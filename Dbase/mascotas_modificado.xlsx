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ovecoffee/Desktop/taller_ing/GoVet/Dbase/"/>
    </mc:Choice>
  </mc:AlternateContent>
  <xr:revisionPtr revIDLastSave="0" documentId="13_ncr:1_{FD3DF4DB-3A60-2C4F-9BB0-F434AD7AF204}" xr6:coauthVersionLast="47" xr6:coauthVersionMax="47" xr10:uidLastSave="{00000000-0000-0000-0000-000000000000}"/>
  <bookViews>
    <workbookView xWindow="0" yWindow="500" windowWidth="28800" windowHeight="15640" activeTab="1" xr2:uid="{4F2466E2-0A20-5543-9080-8657B76207F1}"/>
  </bookViews>
  <sheets>
    <sheet name="Fichas clínicas" sheetId="1" r:id="rId1"/>
    <sheet name="paciente_tutor" sheetId="6" r:id="rId2"/>
    <sheet name="clientes" sheetId="5" r:id="rId3"/>
    <sheet name="especies" sheetId="2" r:id="rId4"/>
    <sheet name="razas" sheetId="3" r:id="rId5"/>
    <sheet name="funcion_lista_razas" sheetId="4" r:id="rId6"/>
  </sheets>
  <definedNames>
    <definedName name="_xlnm._FilterDatabase" localSheetId="0" hidden="1">'Fichas clínicas'!$D$1:$D$2357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" i="1"/>
  <c r="AG50" i="1"/>
  <c r="AG99" i="1"/>
  <c r="AG170" i="1"/>
  <c r="AG202" i="1"/>
  <c r="AG229" i="1"/>
  <c r="AG266" i="1"/>
  <c r="AG298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9" i="1"/>
  <c r="AG9" i="1" s="1"/>
  <c r="AF10" i="1"/>
  <c r="AG10" i="1" s="1"/>
  <c r="AF11" i="1"/>
  <c r="AG11" i="1" s="1"/>
  <c r="AF12" i="1"/>
  <c r="AG12" i="1" s="1"/>
  <c r="AF13" i="1"/>
  <c r="AG13" i="1" s="1"/>
  <c r="AF14" i="1"/>
  <c r="AG14" i="1" s="1"/>
  <c r="AF15" i="1"/>
  <c r="AG15" i="1" s="1"/>
  <c r="AF16" i="1"/>
  <c r="AG16" i="1" s="1"/>
  <c r="AF17" i="1"/>
  <c r="AG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F40" i="1"/>
  <c r="AG40" i="1" s="1"/>
  <c r="AF41" i="1"/>
  <c r="AG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F50" i="1"/>
  <c r="AF51" i="1"/>
  <c r="AG51" i="1" s="1"/>
  <c r="AF52" i="1"/>
  <c r="AG52" i="1" s="1"/>
  <c r="AF53" i="1"/>
  <c r="AG53" i="1" s="1"/>
  <c r="AF54" i="1"/>
  <c r="AG54" i="1" s="1"/>
  <c r="AF55" i="1"/>
  <c r="AG55" i="1" s="1"/>
  <c r="AF56" i="1"/>
  <c r="AG56" i="1" s="1"/>
  <c r="AF57" i="1"/>
  <c r="AG57" i="1" s="1"/>
  <c r="AF58" i="1"/>
  <c r="AG58" i="1" s="1"/>
  <c r="AF59" i="1"/>
  <c r="AG59" i="1" s="1"/>
  <c r="AF60" i="1"/>
  <c r="AG60" i="1" s="1"/>
  <c r="AF61" i="1"/>
  <c r="AG61" i="1" s="1"/>
  <c r="AF62" i="1"/>
  <c r="AG62" i="1" s="1"/>
  <c r="AF63" i="1"/>
  <c r="AG63" i="1" s="1"/>
  <c r="AF64" i="1"/>
  <c r="AG64" i="1" s="1"/>
  <c r="AF65" i="1"/>
  <c r="AG65" i="1" s="1"/>
  <c r="AF66" i="1"/>
  <c r="AG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G79" i="1" s="1"/>
  <c r="AF80" i="1"/>
  <c r="AG80" i="1" s="1"/>
  <c r="AF81" i="1"/>
  <c r="AG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F90" i="1"/>
  <c r="AG90" i="1" s="1"/>
  <c r="AF91" i="1"/>
  <c r="AG91" i="1" s="1"/>
  <c r="AF92" i="1"/>
  <c r="AG92" i="1" s="1"/>
  <c r="AF93" i="1"/>
  <c r="AG93" i="1" s="1"/>
  <c r="AF94" i="1"/>
  <c r="AG94" i="1" s="1"/>
  <c r="AF95" i="1"/>
  <c r="AG95" i="1" s="1"/>
  <c r="AF96" i="1"/>
  <c r="AG96" i="1" s="1"/>
  <c r="AF97" i="1"/>
  <c r="AG97" i="1" s="1"/>
  <c r="AF98" i="1"/>
  <c r="AG98" i="1" s="1"/>
  <c r="AF99" i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F113" i="1"/>
  <c r="AG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20" i="1"/>
  <c r="AG120" i="1" s="1"/>
  <c r="AF121" i="1"/>
  <c r="AG121" i="1" s="1"/>
  <c r="AF122" i="1"/>
  <c r="AG122" i="1" s="1"/>
  <c r="AF123" i="1"/>
  <c r="AG123" i="1" s="1"/>
  <c r="AF124" i="1"/>
  <c r="AG124" i="1" s="1"/>
  <c r="AF125" i="1"/>
  <c r="AG125" i="1" s="1"/>
  <c r="AF126" i="1"/>
  <c r="AG126" i="1" s="1"/>
  <c r="AF127" i="1"/>
  <c r="AG127" i="1" s="1"/>
  <c r="AF128" i="1"/>
  <c r="AG128" i="1" s="1"/>
  <c r="AF129" i="1"/>
  <c r="AG129" i="1" s="1"/>
  <c r="AF130" i="1"/>
  <c r="AG130" i="1" s="1"/>
  <c r="AF131" i="1"/>
  <c r="AG131" i="1" s="1"/>
  <c r="AF132" i="1"/>
  <c r="AG132" i="1" s="1"/>
  <c r="AF133" i="1"/>
  <c r="AG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0" i="1"/>
  <c r="AG140" i="1" s="1"/>
  <c r="AF141" i="1"/>
  <c r="AG141" i="1" s="1"/>
  <c r="AF142" i="1"/>
  <c r="AG142" i="1" s="1"/>
  <c r="AF143" i="1"/>
  <c r="AG143" i="1" s="1"/>
  <c r="AF144" i="1"/>
  <c r="AG144" i="1" s="1"/>
  <c r="AF145" i="1"/>
  <c r="AG145" i="1" s="1"/>
  <c r="AF146" i="1"/>
  <c r="AG146" i="1" s="1"/>
  <c r="AF147" i="1"/>
  <c r="AG147" i="1" s="1"/>
  <c r="AF148" i="1"/>
  <c r="AG148" i="1" s="1"/>
  <c r="AF149" i="1"/>
  <c r="AG149" i="1" s="1"/>
  <c r="AF150" i="1"/>
  <c r="AG150" i="1" s="1"/>
  <c r="AF151" i="1"/>
  <c r="AG151" i="1" s="1"/>
  <c r="AF152" i="1"/>
  <c r="AG152" i="1" s="1"/>
  <c r="AF153" i="1"/>
  <c r="AG153" i="1" s="1"/>
  <c r="AF154" i="1"/>
  <c r="AG154" i="1" s="1"/>
  <c r="AF155" i="1"/>
  <c r="AG155" i="1" s="1"/>
  <c r="AF156" i="1"/>
  <c r="AG156" i="1" s="1"/>
  <c r="AF157" i="1"/>
  <c r="AG157" i="1" s="1"/>
  <c r="AF158" i="1"/>
  <c r="AG158" i="1" s="1"/>
  <c r="AF159" i="1"/>
  <c r="AG159" i="1" s="1"/>
  <c r="AF160" i="1"/>
  <c r="AG160" i="1" s="1"/>
  <c r="AF161" i="1"/>
  <c r="AG161" i="1" s="1"/>
  <c r="AF162" i="1"/>
  <c r="AG162" i="1" s="1"/>
  <c r="AF163" i="1"/>
  <c r="AG163" i="1" s="1"/>
  <c r="AF164" i="1"/>
  <c r="AG164" i="1" s="1"/>
  <c r="AF165" i="1"/>
  <c r="AG165" i="1" s="1"/>
  <c r="AF166" i="1"/>
  <c r="AG166" i="1" s="1"/>
  <c r="AF167" i="1"/>
  <c r="AG167" i="1" s="1"/>
  <c r="AF168" i="1"/>
  <c r="AG168" i="1" s="1"/>
  <c r="AF169" i="1"/>
  <c r="AG169" i="1" s="1"/>
  <c r="AF170" i="1"/>
  <c r="AF171" i="1"/>
  <c r="AG171" i="1" s="1"/>
  <c r="AF172" i="1"/>
  <c r="AG172" i="1" s="1"/>
  <c r="AF173" i="1"/>
  <c r="AG173" i="1" s="1"/>
  <c r="AF174" i="1"/>
  <c r="AG174" i="1" s="1"/>
  <c r="AF175" i="1"/>
  <c r="AG175" i="1" s="1"/>
  <c r="AF176" i="1"/>
  <c r="AG176" i="1" s="1"/>
  <c r="AF177" i="1"/>
  <c r="AG177" i="1" s="1"/>
  <c r="AF178" i="1"/>
  <c r="AG178" i="1" s="1"/>
  <c r="AF179" i="1"/>
  <c r="AG179" i="1" s="1"/>
  <c r="AF180" i="1"/>
  <c r="AG180" i="1" s="1"/>
  <c r="AF181" i="1"/>
  <c r="AG181" i="1" s="1"/>
  <c r="AF182" i="1"/>
  <c r="AG182" i="1" s="1"/>
  <c r="AF183" i="1"/>
  <c r="AG183" i="1" s="1"/>
  <c r="AF184" i="1"/>
  <c r="AG184" i="1" s="1"/>
  <c r="AF185" i="1"/>
  <c r="AG185" i="1" s="1"/>
  <c r="AF186" i="1"/>
  <c r="AG186" i="1" s="1"/>
  <c r="AF187" i="1"/>
  <c r="AG187" i="1" s="1"/>
  <c r="AF188" i="1"/>
  <c r="AG188" i="1" s="1"/>
  <c r="AF189" i="1"/>
  <c r="AG189" i="1" s="1"/>
  <c r="AF190" i="1"/>
  <c r="AG190" i="1" s="1"/>
  <c r="AF191" i="1"/>
  <c r="AG191" i="1" s="1"/>
  <c r="AF192" i="1"/>
  <c r="AG192" i="1" s="1"/>
  <c r="AF193" i="1"/>
  <c r="AG193" i="1" s="1"/>
  <c r="AF194" i="1"/>
  <c r="AG194" i="1" s="1"/>
  <c r="AF195" i="1"/>
  <c r="AG195" i="1" s="1"/>
  <c r="AF196" i="1"/>
  <c r="AG196" i="1" s="1"/>
  <c r="AF197" i="1"/>
  <c r="AG197" i="1" s="1"/>
  <c r="AF198" i="1"/>
  <c r="AG198" i="1" s="1"/>
  <c r="AF199" i="1"/>
  <c r="AG199" i="1" s="1"/>
  <c r="AF200" i="1"/>
  <c r="AG200" i="1" s="1"/>
  <c r="AF201" i="1"/>
  <c r="AG201" i="1" s="1"/>
  <c r="AF202" i="1"/>
  <c r="AF203" i="1"/>
  <c r="AG203" i="1" s="1"/>
  <c r="AF204" i="1"/>
  <c r="AG204" i="1" s="1"/>
  <c r="AF205" i="1"/>
  <c r="AG205" i="1" s="1"/>
  <c r="AF206" i="1"/>
  <c r="AG206" i="1" s="1"/>
  <c r="AF207" i="1"/>
  <c r="AG207" i="1" s="1"/>
  <c r="AF208" i="1"/>
  <c r="AG208" i="1" s="1"/>
  <c r="AF209" i="1"/>
  <c r="AG209" i="1" s="1"/>
  <c r="AF210" i="1"/>
  <c r="AG210" i="1" s="1"/>
  <c r="AF211" i="1"/>
  <c r="AG211" i="1" s="1"/>
  <c r="AF212" i="1"/>
  <c r="AG212" i="1" s="1"/>
  <c r="AF213" i="1"/>
  <c r="AG213" i="1" s="1"/>
  <c r="AF214" i="1"/>
  <c r="AG214" i="1" s="1"/>
  <c r="AF215" i="1"/>
  <c r="AG215" i="1" s="1"/>
  <c r="AF216" i="1"/>
  <c r="AG216" i="1" s="1"/>
  <c r="AF217" i="1"/>
  <c r="AG217" i="1" s="1"/>
  <c r="AF218" i="1"/>
  <c r="AG218" i="1" s="1"/>
  <c r="AF219" i="1"/>
  <c r="AG219" i="1" s="1"/>
  <c r="AF220" i="1"/>
  <c r="AG220" i="1" s="1"/>
  <c r="AF221" i="1"/>
  <c r="AG221" i="1" s="1"/>
  <c r="AF222" i="1"/>
  <c r="AG222" i="1" s="1"/>
  <c r="AF223" i="1"/>
  <c r="AG223" i="1" s="1"/>
  <c r="AF224" i="1"/>
  <c r="AG224" i="1" s="1"/>
  <c r="AF225" i="1"/>
  <c r="AG225" i="1" s="1"/>
  <c r="AF226" i="1"/>
  <c r="AG226" i="1" s="1"/>
  <c r="AF227" i="1"/>
  <c r="AG227" i="1" s="1"/>
  <c r="AF228" i="1"/>
  <c r="AG228" i="1" s="1"/>
  <c r="AF229" i="1"/>
  <c r="AF230" i="1"/>
  <c r="AG230" i="1" s="1"/>
  <c r="AF231" i="1"/>
  <c r="AG231" i="1" s="1"/>
  <c r="AF232" i="1"/>
  <c r="AG232" i="1" s="1"/>
  <c r="AF233" i="1"/>
  <c r="AG233" i="1" s="1"/>
  <c r="AF234" i="1"/>
  <c r="AG234" i="1" s="1"/>
  <c r="AF235" i="1"/>
  <c r="AG235" i="1" s="1"/>
  <c r="AF236" i="1"/>
  <c r="AG236" i="1" s="1"/>
  <c r="AF237" i="1"/>
  <c r="AG237" i="1" s="1"/>
  <c r="AF238" i="1"/>
  <c r="AG238" i="1" s="1"/>
  <c r="AF239" i="1"/>
  <c r="AG239" i="1" s="1"/>
  <c r="AF240" i="1"/>
  <c r="AG240" i="1" s="1"/>
  <c r="AF241" i="1"/>
  <c r="AG241" i="1" s="1"/>
  <c r="AF242" i="1"/>
  <c r="AG242" i="1" s="1"/>
  <c r="AF243" i="1"/>
  <c r="AG243" i="1" s="1"/>
  <c r="AF244" i="1"/>
  <c r="AG244" i="1" s="1"/>
  <c r="AF245" i="1"/>
  <c r="AG245" i="1" s="1"/>
  <c r="AF246" i="1"/>
  <c r="AG246" i="1" s="1"/>
  <c r="AF247" i="1"/>
  <c r="AG247" i="1" s="1"/>
  <c r="AF248" i="1"/>
  <c r="AG248" i="1" s="1"/>
  <c r="AF249" i="1"/>
  <c r="AG249" i="1" s="1"/>
  <c r="AF250" i="1"/>
  <c r="AG250" i="1" s="1"/>
  <c r="AF251" i="1"/>
  <c r="AG251" i="1" s="1"/>
  <c r="AF252" i="1"/>
  <c r="AG252" i="1" s="1"/>
  <c r="AF253" i="1"/>
  <c r="AG253" i="1" s="1"/>
  <c r="AF254" i="1"/>
  <c r="AG254" i="1" s="1"/>
  <c r="AF255" i="1"/>
  <c r="AG255" i="1" s="1"/>
  <c r="AF256" i="1"/>
  <c r="AG256" i="1" s="1"/>
  <c r="AF257" i="1"/>
  <c r="AG257" i="1" s="1"/>
  <c r="AF258" i="1"/>
  <c r="AG258" i="1" s="1"/>
  <c r="AF259" i="1"/>
  <c r="AG259" i="1" s="1"/>
  <c r="AF260" i="1"/>
  <c r="AG260" i="1" s="1"/>
  <c r="AF261" i="1"/>
  <c r="AG261" i="1" s="1"/>
  <c r="AF262" i="1"/>
  <c r="AG262" i="1" s="1"/>
  <c r="AF263" i="1"/>
  <c r="AG263" i="1" s="1"/>
  <c r="AF264" i="1"/>
  <c r="AG264" i="1" s="1"/>
  <c r="AF265" i="1"/>
  <c r="AG265" i="1" s="1"/>
  <c r="AF266" i="1"/>
  <c r="AF267" i="1"/>
  <c r="AG267" i="1" s="1"/>
  <c r="AF268" i="1"/>
  <c r="AG268" i="1" s="1"/>
  <c r="AF269" i="1"/>
  <c r="AG269" i="1" s="1"/>
  <c r="AF270" i="1"/>
  <c r="AG270" i="1" s="1"/>
  <c r="AF271" i="1"/>
  <c r="AG271" i="1" s="1"/>
  <c r="AF272" i="1"/>
  <c r="AG272" i="1" s="1"/>
  <c r="AF273" i="1"/>
  <c r="AG273" i="1" s="1"/>
  <c r="AF274" i="1"/>
  <c r="AG274" i="1" s="1"/>
  <c r="AF275" i="1"/>
  <c r="AG275" i="1" s="1"/>
  <c r="AF276" i="1"/>
  <c r="AG276" i="1" s="1"/>
  <c r="AF277" i="1"/>
  <c r="AG277" i="1" s="1"/>
  <c r="AF278" i="1"/>
  <c r="AG278" i="1" s="1"/>
  <c r="AF279" i="1"/>
  <c r="AG279" i="1" s="1"/>
  <c r="AF280" i="1"/>
  <c r="AG280" i="1" s="1"/>
  <c r="AF281" i="1"/>
  <c r="AG281" i="1" s="1"/>
  <c r="AF282" i="1"/>
  <c r="AG282" i="1" s="1"/>
  <c r="AF283" i="1"/>
  <c r="AG283" i="1" s="1"/>
  <c r="AF284" i="1"/>
  <c r="AG284" i="1" s="1"/>
  <c r="AF285" i="1"/>
  <c r="AG285" i="1" s="1"/>
  <c r="AF286" i="1"/>
  <c r="AG286" i="1" s="1"/>
  <c r="AF287" i="1"/>
  <c r="AG287" i="1" s="1"/>
  <c r="AF288" i="1"/>
  <c r="AG288" i="1" s="1"/>
  <c r="AF289" i="1"/>
  <c r="AG289" i="1" s="1"/>
  <c r="AF290" i="1"/>
  <c r="AG290" i="1" s="1"/>
  <c r="AF291" i="1"/>
  <c r="AG291" i="1" s="1"/>
  <c r="AF292" i="1"/>
  <c r="AG292" i="1" s="1"/>
  <c r="AF293" i="1"/>
  <c r="AG293" i="1" s="1"/>
  <c r="AF294" i="1"/>
  <c r="AG294" i="1" s="1"/>
  <c r="AF295" i="1"/>
  <c r="AG295" i="1" s="1"/>
  <c r="AF296" i="1"/>
  <c r="AG296" i="1" s="1"/>
  <c r="AF297" i="1"/>
  <c r="AG297" i="1" s="1"/>
  <c r="AF298" i="1"/>
  <c r="AF299" i="1"/>
  <c r="AG299" i="1" s="1"/>
  <c r="AF300" i="1"/>
  <c r="AG300" i="1" s="1"/>
  <c r="AF301" i="1"/>
  <c r="AG301" i="1" s="1"/>
  <c r="AF302" i="1"/>
  <c r="AG302" i="1" s="1"/>
  <c r="AF303" i="1"/>
  <c r="AG303" i="1" s="1"/>
  <c r="AF304" i="1"/>
  <c r="AG304" i="1" s="1"/>
  <c r="AF305" i="1"/>
  <c r="AG305" i="1" s="1"/>
  <c r="AF306" i="1"/>
  <c r="AG306" i="1" s="1"/>
  <c r="AF307" i="1"/>
  <c r="AG307" i="1" s="1"/>
  <c r="AF308" i="1"/>
  <c r="AG308" i="1" s="1"/>
  <c r="AF309" i="1"/>
  <c r="AG309" i="1" s="1"/>
  <c r="AF310" i="1"/>
  <c r="AG310" i="1" s="1"/>
  <c r="AF311" i="1"/>
  <c r="AG311" i="1" s="1"/>
  <c r="AF312" i="1"/>
  <c r="AG312" i="1" s="1"/>
  <c r="AF313" i="1"/>
  <c r="AG313" i="1" s="1"/>
  <c r="AF314" i="1"/>
  <c r="AG314" i="1" s="1"/>
  <c r="AF315" i="1"/>
  <c r="AG315" i="1" s="1"/>
  <c r="AF316" i="1"/>
  <c r="AG316" i="1" s="1"/>
  <c r="AF317" i="1"/>
  <c r="AG317" i="1" s="1"/>
  <c r="AF318" i="1"/>
  <c r="AG318" i="1" s="1"/>
  <c r="AF319" i="1"/>
  <c r="AG319" i="1" s="1"/>
  <c r="AF320" i="1"/>
  <c r="AG320" i="1" s="1"/>
  <c r="AF321" i="1"/>
  <c r="AG321" i="1" s="1"/>
  <c r="AF322" i="1"/>
  <c r="AG322" i="1" s="1"/>
  <c r="AF323" i="1"/>
  <c r="AG323" i="1" s="1"/>
  <c r="AF324" i="1"/>
  <c r="AG324" i="1" s="1"/>
  <c r="AF325" i="1"/>
  <c r="AG325" i="1" s="1"/>
  <c r="AF326" i="1"/>
  <c r="AG326" i="1" s="1"/>
  <c r="AF327" i="1"/>
  <c r="AG327" i="1" s="1"/>
  <c r="AF328" i="1"/>
  <c r="AG328" i="1" s="1"/>
  <c r="AF329" i="1"/>
  <c r="AG329" i="1" s="1"/>
  <c r="AF330" i="1"/>
  <c r="AG330" i="1" s="1"/>
  <c r="AF331" i="1"/>
  <c r="AG331" i="1" s="1"/>
  <c r="AF332" i="1"/>
  <c r="AG332" i="1" s="1"/>
  <c r="AF333" i="1"/>
  <c r="AG333" i="1" s="1"/>
  <c r="AF334" i="1"/>
  <c r="AG334" i="1" s="1"/>
  <c r="AF335" i="1"/>
  <c r="AG335" i="1" s="1"/>
  <c r="AF336" i="1"/>
  <c r="AG336" i="1" s="1"/>
  <c r="AF337" i="1"/>
  <c r="AG337" i="1" s="1"/>
  <c r="AF338" i="1"/>
  <c r="AG338" i="1" s="1"/>
  <c r="AF339" i="1"/>
  <c r="AG339" i="1" s="1"/>
  <c r="AF340" i="1"/>
  <c r="AG340" i="1" s="1"/>
  <c r="AF341" i="1"/>
  <c r="AG341" i="1" s="1"/>
  <c r="AF342" i="1"/>
  <c r="AG342" i="1" s="1"/>
  <c r="AF343" i="1"/>
  <c r="AG343" i="1" s="1"/>
  <c r="AF344" i="1"/>
  <c r="AG344" i="1" s="1"/>
  <c r="AF345" i="1"/>
  <c r="AG345" i="1" s="1"/>
  <c r="AF346" i="1"/>
  <c r="AG346" i="1" s="1"/>
  <c r="AF347" i="1"/>
  <c r="AG347" i="1" s="1"/>
  <c r="AF348" i="1"/>
  <c r="AG348" i="1" s="1"/>
  <c r="AF349" i="1"/>
  <c r="AG349" i="1" s="1"/>
  <c r="AF350" i="1"/>
  <c r="AG350" i="1" s="1"/>
  <c r="AF351" i="1"/>
  <c r="AG351" i="1" s="1"/>
  <c r="AF352" i="1"/>
  <c r="AG352" i="1" s="1"/>
  <c r="AF353" i="1"/>
  <c r="AG353" i="1" s="1"/>
  <c r="AF354" i="1"/>
  <c r="AG354" i="1" s="1"/>
  <c r="AF355" i="1"/>
  <c r="AG355" i="1" s="1"/>
  <c r="AF356" i="1"/>
  <c r="AG356" i="1" s="1"/>
  <c r="AF357" i="1"/>
  <c r="AG357" i="1" s="1"/>
  <c r="AF358" i="1"/>
  <c r="AG358" i="1" s="1"/>
  <c r="AF359" i="1"/>
  <c r="AG359" i="1" s="1"/>
  <c r="AF360" i="1"/>
  <c r="AG360" i="1" s="1"/>
  <c r="AF361" i="1"/>
  <c r="AG361" i="1" s="1"/>
  <c r="AF362" i="1"/>
  <c r="AG362" i="1" s="1"/>
  <c r="AF363" i="1"/>
  <c r="AG363" i="1" s="1"/>
  <c r="AF364" i="1"/>
  <c r="AG364" i="1" s="1"/>
  <c r="AF365" i="1"/>
  <c r="AG365" i="1" s="1"/>
  <c r="AF366" i="1"/>
  <c r="AG366" i="1" s="1"/>
  <c r="AF367" i="1"/>
  <c r="AG367" i="1" s="1"/>
  <c r="AF368" i="1"/>
  <c r="AG368" i="1" s="1"/>
  <c r="AF369" i="1"/>
  <c r="AG369" i="1" s="1"/>
  <c r="AF370" i="1"/>
  <c r="AG370" i="1" s="1"/>
  <c r="AF371" i="1"/>
  <c r="AG371" i="1" s="1"/>
  <c r="AF372" i="1"/>
  <c r="AG372" i="1" s="1"/>
  <c r="AF373" i="1"/>
  <c r="AG373" i="1" s="1"/>
  <c r="AF374" i="1"/>
  <c r="AG374" i="1" s="1"/>
  <c r="AF375" i="1"/>
  <c r="AG375" i="1" s="1"/>
  <c r="AF376" i="1"/>
  <c r="AG376" i="1" s="1"/>
  <c r="AF377" i="1"/>
  <c r="AG377" i="1" s="1"/>
  <c r="AF378" i="1"/>
  <c r="AG378" i="1" s="1"/>
  <c r="AF379" i="1"/>
  <c r="AG379" i="1" s="1"/>
  <c r="AF380" i="1"/>
  <c r="AG380" i="1" s="1"/>
  <c r="AF381" i="1"/>
  <c r="AG381" i="1" s="1"/>
  <c r="AF382" i="1"/>
  <c r="AG382" i="1" s="1"/>
  <c r="AF383" i="1"/>
  <c r="AG383" i="1" s="1"/>
  <c r="AF384" i="1"/>
  <c r="AG384" i="1" s="1"/>
  <c r="AF385" i="1"/>
  <c r="AG385" i="1" s="1"/>
  <c r="AH385" i="1" s="1"/>
  <c r="AF386" i="1"/>
  <c r="AG386" i="1" s="1"/>
  <c r="AF387" i="1"/>
  <c r="AG387" i="1" s="1"/>
  <c r="AF388" i="1"/>
  <c r="AG388" i="1" s="1"/>
  <c r="AF389" i="1"/>
  <c r="AG389" i="1" s="1"/>
  <c r="AF390" i="1"/>
  <c r="AG390" i="1" s="1"/>
  <c r="AF391" i="1"/>
  <c r="AG391" i="1" s="1"/>
  <c r="AF392" i="1"/>
  <c r="AG392" i="1" s="1"/>
  <c r="AF393" i="1"/>
  <c r="AG393" i="1" s="1"/>
  <c r="AH393" i="1" s="1"/>
  <c r="AF394" i="1"/>
  <c r="AG394" i="1" s="1"/>
  <c r="AF395" i="1"/>
  <c r="AG395" i="1" s="1"/>
  <c r="AF396" i="1"/>
  <c r="AG396" i="1" s="1"/>
  <c r="AF397" i="1"/>
  <c r="AG397" i="1" s="1"/>
  <c r="AF398" i="1"/>
  <c r="AG398" i="1" s="1"/>
  <c r="AF399" i="1"/>
  <c r="AG399" i="1" s="1"/>
  <c r="AF400" i="1"/>
  <c r="AG400" i="1" s="1"/>
  <c r="AF401" i="1"/>
  <c r="AG401" i="1" s="1"/>
  <c r="AF402" i="1"/>
  <c r="AG402" i="1" s="1"/>
  <c r="AF403" i="1"/>
  <c r="AG403" i="1" s="1"/>
  <c r="AF404" i="1"/>
  <c r="AG404" i="1" s="1"/>
  <c r="AF405" i="1"/>
  <c r="AG405" i="1" s="1"/>
  <c r="AF406" i="1"/>
  <c r="AG406" i="1" s="1"/>
  <c r="AF407" i="1"/>
  <c r="AG407" i="1" s="1"/>
  <c r="AF408" i="1"/>
  <c r="AG408" i="1" s="1"/>
  <c r="AF409" i="1"/>
  <c r="AG409" i="1" s="1"/>
  <c r="AF410" i="1"/>
  <c r="AG410" i="1" s="1"/>
  <c r="AF411" i="1"/>
  <c r="AG411" i="1" s="1"/>
  <c r="AF412" i="1"/>
  <c r="AG412" i="1" s="1"/>
  <c r="AF413" i="1"/>
  <c r="AG413" i="1" s="1"/>
  <c r="AF414" i="1"/>
  <c r="AG414" i="1" s="1"/>
  <c r="AF415" i="1"/>
  <c r="AG415" i="1" s="1"/>
  <c r="AF416" i="1"/>
  <c r="AG416" i="1" s="1"/>
  <c r="AF417" i="1"/>
  <c r="AG417" i="1" s="1"/>
  <c r="AH417" i="1" s="1"/>
  <c r="AF418" i="1"/>
  <c r="AG418" i="1" s="1"/>
  <c r="AF419" i="1"/>
  <c r="AG419" i="1" s="1"/>
  <c r="AF420" i="1"/>
  <c r="AG420" i="1" s="1"/>
  <c r="AF421" i="1"/>
  <c r="AG421" i="1" s="1"/>
  <c r="AF422" i="1"/>
  <c r="AG422" i="1" s="1"/>
  <c r="AF423" i="1"/>
  <c r="AG423" i="1" s="1"/>
  <c r="AF424" i="1"/>
  <c r="AG424" i="1" s="1"/>
  <c r="AF425" i="1"/>
  <c r="AG425" i="1" s="1"/>
  <c r="AF426" i="1"/>
  <c r="AG426" i="1" s="1"/>
  <c r="AF427" i="1"/>
  <c r="AG427" i="1" s="1"/>
  <c r="AF428" i="1"/>
  <c r="AG428" i="1" s="1"/>
  <c r="AF429" i="1"/>
  <c r="AG429" i="1" s="1"/>
  <c r="AF430" i="1"/>
  <c r="AG430" i="1" s="1"/>
  <c r="AF431" i="1"/>
  <c r="AG431" i="1" s="1"/>
  <c r="AF432" i="1"/>
  <c r="AG432" i="1" s="1"/>
  <c r="AF433" i="1"/>
  <c r="AG433" i="1" s="1"/>
  <c r="AF434" i="1"/>
  <c r="AG434" i="1" s="1"/>
  <c r="AF435" i="1"/>
  <c r="AG435" i="1" s="1"/>
  <c r="AF436" i="1"/>
  <c r="AG436" i="1" s="1"/>
  <c r="AF437" i="1"/>
  <c r="AG437" i="1" s="1"/>
  <c r="AF438" i="1"/>
  <c r="AG438" i="1" s="1"/>
  <c r="AF439" i="1"/>
  <c r="AG439" i="1" s="1"/>
  <c r="AF440" i="1"/>
  <c r="AG440" i="1" s="1"/>
  <c r="AF441" i="1"/>
  <c r="AG441" i="1" s="1"/>
  <c r="AH441" i="1" s="1"/>
  <c r="AF442" i="1"/>
  <c r="AG442" i="1" s="1"/>
  <c r="AF443" i="1"/>
  <c r="AG443" i="1" s="1"/>
  <c r="AF444" i="1"/>
  <c r="AG444" i="1" s="1"/>
  <c r="AF445" i="1"/>
  <c r="AG445" i="1" s="1"/>
  <c r="AF446" i="1"/>
  <c r="AG446" i="1" s="1"/>
  <c r="AF447" i="1"/>
  <c r="AG447" i="1" s="1"/>
  <c r="AF448" i="1"/>
  <c r="AG448" i="1" s="1"/>
  <c r="AF449" i="1"/>
  <c r="AG449" i="1" s="1"/>
  <c r="AH449" i="1" s="1"/>
  <c r="AF450" i="1"/>
  <c r="AG450" i="1" s="1"/>
  <c r="AF451" i="1"/>
  <c r="AG451" i="1" s="1"/>
  <c r="AF452" i="1"/>
  <c r="AG452" i="1" s="1"/>
  <c r="AF453" i="1"/>
  <c r="AG453" i="1" s="1"/>
  <c r="AF454" i="1"/>
  <c r="AG454" i="1" s="1"/>
  <c r="AF455" i="1"/>
  <c r="AG455" i="1" s="1"/>
  <c r="AF456" i="1"/>
  <c r="AG456" i="1" s="1"/>
  <c r="AF457" i="1"/>
  <c r="AG457" i="1" s="1"/>
  <c r="AH457" i="1" s="1"/>
  <c r="AF458" i="1"/>
  <c r="AG458" i="1" s="1"/>
  <c r="AF459" i="1"/>
  <c r="AG459" i="1" s="1"/>
  <c r="AF460" i="1"/>
  <c r="AG460" i="1" s="1"/>
  <c r="AF461" i="1"/>
  <c r="AG461" i="1" s="1"/>
  <c r="AF462" i="1"/>
  <c r="AG462" i="1" s="1"/>
  <c r="AF463" i="1"/>
  <c r="AG463" i="1" s="1"/>
  <c r="AF464" i="1"/>
  <c r="AG464" i="1" s="1"/>
  <c r="AF465" i="1"/>
  <c r="AG465" i="1" s="1"/>
  <c r="AH465" i="1" s="1"/>
  <c r="AF466" i="1"/>
  <c r="AG466" i="1" s="1"/>
  <c r="AF467" i="1"/>
  <c r="AG467" i="1" s="1"/>
  <c r="AF468" i="1"/>
  <c r="AG468" i="1" s="1"/>
  <c r="AF469" i="1"/>
  <c r="AG469" i="1" s="1"/>
  <c r="AF470" i="1"/>
  <c r="AG470" i="1" s="1"/>
  <c r="AF471" i="1"/>
  <c r="AG471" i="1" s="1"/>
  <c r="AF472" i="1"/>
  <c r="AG472" i="1" s="1"/>
  <c r="AF473" i="1"/>
  <c r="AG473" i="1" s="1"/>
  <c r="AH473" i="1" s="1"/>
  <c r="AF474" i="1"/>
  <c r="AG474" i="1" s="1"/>
  <c r="AF475" i="1"/>
  <c r="AG475" i="1" s="1"/>
  <c r="AF476" i="1"/>
  <c r="AG476" i="1" s="1"/>
  <c r="AF477" i="1"/>
  <c r="AG477" i="1" s="1"/>
  <c r="AF478" i="1"/>
  <c r="AG478" i="1" s="1"/>
  <c r="AF479" i="1"/>
  <c r="AG479" i="1" s="1"/>
  <c r="AF480" i="1"/>
  <c r="AG480" i="1" s="1"/>
  <c r="AF481" i="1"/>
  <c r="AG481" i="1" s="1"/>
  <c r="AF482" i="1"/>
  <c r="AG482" i="1" s="1"/>
  <c r="AF483" i="1"/>
  <c r="AG483" i="1" s="1"/>
  <c r="AF484" i="1"/>
  <c r="AG484" i="1" s="1"/>
  <c r="AF485" i="1"/>
  <c r="AG485" i="1" s="1"/>
  <c r="AF486" i="1"/>
  <c r="AG486" i="1" s="1"/>
  <c r="AF487" i="1"/>
  <c r="AG487" i="1" s="1"/>
  <c r="AF488" i="1"/>
  <c r="AG488" i="1" s="1"/>
  <c r="AF489" i="1"/>
  <c r="AG489" i="1" s="1"/>
  <c r="AF490" i="1"/>
  <c r="AG490" i="1" s="1"/>
  <c r="AF491" i="1"/>
  <c r="AG491" i="1" s="1"/>
  <c r="AF492" i="1"/>
  <c r="AG492" i="1" s="1"/>
  <c r="AF493" i="1"/>
  <c r="AG493" i="1" s="1"/>
  <c r="AF494" i="1"/>
  <c r="AG494" i="1" s="1"/>
  <c r="AF495" i="1"/>
  <c r="AG495" i="1" s="1"/>
  <c r="AF496" i="1"/>
  <c r="AG496" i="1" s="1"/>
  <c r="AF497" i="1"/>
  <c r="AG497" i="1" s="1"/>
  <c r="AF498" i="1"/>
  <c r="AG498" i="1" s="1"/>
  <c r="AF499" i="1"/>
  <c r="AG499" i="1" s="1"/>
  <c r="AF500" i="1"/>
  <c r="AG500" i="1" s="1"/>
  <c r="AF501" i="1"/>
  <c r="AG501" i="1" s="1"/>
  <c r="AF502" i="1"/>
  <c r="AG502" i="1" s="1"/>
  <c r="AF503" i="1"/>
  <c r="AG503" i="1" s="1"/>
  <c r="AF504" i="1"/>
  <c r="AG504" i="1" s="1"/>
  <c r="AF505" i="1"/>
  <c r="AG505" i="1" s="1"/>
  <c r="AF506" i="1"/>
  <c r="AG506" i="1" s="1"/>
  <c r="AF507" i="1"/>
  <c r="AG507" i="1" s="1"/>
  <c r="AF508" i="1"/>
  <c r="AG508" i="1" s="1"/>
  <c r="AF509" i="1"/>
  <c r="AG509" i="1" s="1"/>
  <c r="AF510" i="1"/>
  <c r="AG510" i="1" s="1"/>
  <c r="AF511" i="1"/>
  <c r="AG511" i="1" s="1"/>
  <c r="AF512" i="1"/>
  <c r="AG512" i="1" s="1"/>
  <c r="AF513" i="1"/>
  <c r="AG513" i="1" s="1"/>
  <c r="AF514" i="1"/>
  <c r="AG514" i="1" s="1"/>
  <c r="AF515" i="1"/>
  <c r="AG515" i="1" s="1"/>
  <c r="AF516" i="1"/>
  <c r="AG516" i="1" s="1"/>
  <c r="AF517" i="1"/>
  <c r="AG517" i="1" s="1"/>
  <c r="AF518" i="1"/>
  <c r="AG518" i="1" s="1"/>
  <c r="AF519" i="1"/>
  <c r="AG519" i="1" s="1"/>
  <c r="AF520" i="1"/>
  <c r="AG520" i="1" s="1"/>
  <c r="AF521" i="1"/>
  <c r="AG521" i="1" s="1"/>
  <c r="AF522" i="1"/>
  <c r="AG522" i="1" s="1"/>
  <c r="AF523" i="1"/>
  <c r="AG523" i="1" s="1"/>
  <c r="AF524" i="1"/>
  <c r="AG524" i="1" s="1"/>
  <c r="AF525" i="1"/>
  <c r="AG525" i="1" s="1"/>
  <c r="AF526" i="1"/>
  <c r="AG526" i="1" s="1"/>
  <c r="AF527" i="1"/>
  <c r="AG527" i="1" s="1"/>
  <c r="AF528" i="1"/>
  <c r="AG528" i="1" s="1"/>
  <c r="AF529" i="1"/>
  <c r="AG529" i="1" s="1"/>
  <c r="AF530" i="1"/>
  <c r="AG530" i="1" s="1"/>
  <c r="AF531" i="1"/>
  <c r="AG531" i="1" s="1"/>
  <c r="AF532" i="1"/>
  <c r="AG532" i="1" s="1"/>
  <c r="AF533" i="1"/>
  <c r="AG533" i="1" s="1"/>
  <c r="AF534" i="1"/>
  <c r="AG534" i="1" s="1"/>
  <c r="AF535" i="1"/>
  <c r="AG535" i="1" s="1"/>
  <c r="AF536" i="1"/>
  <c r="AG536" i="1" s="1"/>
  <c r="AF537" i="1"/>
  <c r="AG537" i="1" s="1"/>
  <c r="AF538" i="1"/>
  <c r="AG538" i="1" s="1"/>
  <c r="AF539" i="1"/>
  <c r="AG539" i="1" s="1"/>
  <c r="AF540" i="1"/>
  <c r="AG540" i="1" s="1"/>
  <c r="AF541" i="1"/>
  <c r="AG541" i="1" s="1"/>
  <c r="AF542" i="1"/>
  <c r="AG542" i="1" s="1"/>
  <c r="AF543" i="1"/>
  <c r="AG543" i="1" s="1"/>
  <c r="AF544" i="1"/>
  <c r="AG544" i="1" s="1"/>
  <c r="AF545" i="1"/>
  <c r="AG545" i="1" s="1"/>
  <c r="AF546" i="1"/>
  <c r="AG546" i="1" s="1"/>
  <c r="AF547" i="1"/>
  <c r="AG547" i="1" s="1"/>
  <c r="AF548" i="1"/>
  <c r="AG548" i="1" s="1"/>
  <c r="AF549" i="1"/>
  <c r="AG549" i="1" s="1"/>
  <c r="AF550" i="1"/>
  <c r="AG550" i="1" s="1"/>
  <c r="AF551" i="1"/>
  <c r="AG551" i="1" s="1"/>
  <c r="AF552" i="1"/>
  <c r="AG552" i="1" s="1"/>
  <c r="AF553" i="1"/>
  <c r="AG553" i="1" s="1"/>
  <c r="AF554" i="1"/>
  <c r="AG554" i="1" s="1"/>
  <c r="AF555" i="1"/>
  <c r="AG555" i="1" s="1"/>
  <c r="AF556" i="1"/>
  <c r="AG556" i="1" s="1"/>
  <c r="AF557" i="1"/>
  <c r="AG557" i="1" s="1"/>
  <c r="AF558" i="1"/>
  <c r="AG558" i="1" s="1"/>
  <c r="AF559" i="1"/>
  <c r="AG559" i="1" s="1"/>
  <c r="AF560" i="1"/>
  <c r="AG560" i="1" s="1"/>
  <c r="AF561" i="1"/>
  <c r="AG561" i="1" s="1"/>
  <c r="AF562" i="1"/>
  <c r="AG562" i="1" s="1"/>
  <c r="AF563" i="1"/>
  <c r="AG563" i="1" s="1"/>
  <c r="AF564" i="1"/>
  <c r="AG564" i="1" s="1"/>
  <c r="AF565" i="1"/>
  <c r="AG565" i="1" s="1"/>
  <c r="AF566" i="1"/>
  <c r="AG566" i="1" s="1"/>
  <c r="AF567" i="1"/>
  <c r="AG567" i="1" s="1"/>
  <c r="AF568" i="1"/>
  <c r="AG568" i="1" s="1"/>
  <c r="AF569" i="1"/>
  <c r="AG569" i="1" s="1"/>
  <c r="AH569" i="1" s="1"/>
  <c r="AF570" i="1"/>
  <c r="AG570" i="1" s="1"/>
  <c r="AF571" i="1"/>
  <c r="AG571" i="1" s="1"/>
  <c r="AF572" i="1"/>
  <c r="AG572" i="1" s="1"/>
  <c r="AF573" i="1"/>
  <c r="AG573" i="1" s="1"/>
  <c r="AF574" i="1"/>
  <c r="AG574" i="1" s="1"/>
  <c r="AF575" i="1"/>
  <c r="AG575" i="1" s="1"/>
  <c r="AF576" i="1"/>
  <c r="AG576" i="1" s="1"/>
  <c r="AF577" i="1"/>
  <c r="AG577" i="1" s="1"/>
  <c r="AF578" i="1"/>
  <c r="AG578" i="1" s="1"/>
  <c r="AF579" i="1"/>
  <c r="AG579" i="1" s="1"/>
  <c r="AF580" i="1"/>
  <c r="AG580" i="1" s="1"/>
  <c r="AF581" i="1"/>
  <c r="AG581" i="1" s="1"/>
  <c r="AF582" i="1"/>
  <c r="AG582" i="1" s="1"/>
  <c r="AF583" i="1"/>
  <c r="AG583" i="1" s="1"/>
  <c r="AF584" i="1"/>
  <c r="AG584" i="1" s="1"/>
  <c r="AF585" i="1"/>
  <c r="AG585" i="1" s="1"/>
  <c r="AF586" i="1"/>
  <c r="AG586" i="1" s="1"/>
  <c r="AF587" i="1"/>
  <c r="AG587" i="1" s="1"/>
  <c r="AF588" i="1"/>
  <c r="AG588" i="1" s="1"/>
  <c r="AF589" i="1"/>
  <c r="AG589" i="1" s="1"/>
  <c r="AF590" i="1"/>
  <c r="AG590" i="1" s="1"/>
  <c r="AF591" i="1"/>
  <c r="AG591" i="1" s="1"/>
  <c r="AF592" i="1"/>
  <c r="AG592" i="1" s="1"/>
  <c r="AF593" i="1"/>
  <c r="AG593" i="1" s="1"/>
  <c r="AF594" i="1"/>
  <c r="AG594" i="1" s="1"/>
  <c r="AF595" i="1"/>
  <c r="AG595" i="1" s="1"/>
  <c r="AF596" i="1"/>
  <c r="AG596" i="1" s="1"/>
  <c r="AF597" i="1"/>
  <c r="AG597" i="1" s="1"/>
  <c r="AF598" i="1"/>
  <c r="AG598" i="1" s="1"/>
  <c r="AF599" i="1"/>
  <c r="AG599" i="1" s="1"/>
  <c r="AF600" i="1"/>
  <c r="AG600" i="1" s="1"/>
  <c r="AF601" i="1"/>
  <c r="AG601" i="1" s="1"/>
  <c r="AH601" i="1" s="1"/>
  <c r="AF602" i="1"/>
  <c r="AG602" i="1" s="1"/>
  <c r="AF603" i="1"/>
  <c r="AG603" i="1" s="1"/>
  <c r="AF604" i="1"/>
  <c r="AG604" i="1" s="1"/>
  <c r="AF605" i="1"/>
  <c r="AG605" i="1" s="1"/>
  <c r="AF606" i="1"/>
  <c r="AG606" i="1" s="1"/>
  <c r="AF607" i="1"/>
  <c r="AG607" i="1" s="1"/>
  <c r="AF608" i="1"/>
  <c r="AG608" i="1" s="1"/>
  <c r="AF609" i="1"/>
  <c r="AG609" i="1" s="1"/>
  <c r="AH609" i="1" s="1"/>
  <c r="AF610" i="1"/>
  <c r="AG610" i="1" s="1"/>
  <c r="AF611" i="1"/>
  <c r="AG611" i="1" s="1"/>
  <c r="AF612" i="1"/>
  <c r="AG612" i="1" s="1"/>
  <c r="AF613" i="1"/>
  <c r="AG613" i="1" s="1"/>
  <c r="AF614" i="1"/>
  <c r="AG614" i="1" s="1"/>
  <c r="AF615" i="1"/>
  <c r="AG615" i="1" s="1"/>
  <c r="AF616" i="1"/>
  <c r="AG616" i="1" s="1"/>
  <c r="AF617" i="1"/>
  <c r="AG617" i="1" s="1"/>
  <c r="AH617" i="1" s="1"/>
  <c r="AF618" i="1"/>
  <c r="AG618" i="1" s="1"/>
  <c r="AF619" i="1"/>
  <c r="AG619" i="1" s="1"/>
  <c r="AF620" i="1"/>
  <c r="AG620" i="1" s="1"/>
  <c r="AF621" i="1"/>
  <c r="AG621" i="1" s="1"/>
  <c r="AF622" i="1"/>
  <c r="AG622" i="1" s="1"/>
  <c r="AF623" i="1"/>
  <c r="AG623" i="1" s="1"/>
  <c r="AF624" i="1"/>
  <c r="AG624" i="1" s="1"/>
  <c r="AF625" i="1"/>
  <c r="AG625" i="1" s="1"/>
  <c r="AF626" i="1"/>
  <c r="AG626" i="1" s="1"/>
  <c r="AF627" i="1"/>
  <c r="AG627" i="1" s="1"/>
  <c r="AF628" i="1"/>
  <c r="AG628" i="1" s="1"/>
  <c r="AF629" i="1"/>
  <c r="AG629" i="1" s="1"/>
  <c r="AF630" i="1"/>
  <c r="AG630" i="1" s="1"/>
  <c r="AF631" i="1"/>
  <c r="AG631" i="1" s="1"/>
  <c r="AF632" i="1"/>
  <c r="AG632" i="1" s="1"/>
  <c r="AF633" i="1"/>
  <c r="AG633" i="1" s="1"/>
  <c r="AH633" i="1" s="1"/>
  <c r="AF634" i="1"/>
  <c r="AG634" i="1" s="1"/>
  <c r="AF635" i="1"/>
  <c r="AG635" i="1" s="1"/>
  <c r="AF636" i="1"/>
  <c r="AG636" i="1" s="1"/>
  <c r="AF637" i="1"/>
  <c r="AG637" i="1" s="1"/>
  <c r="AF638" i="1"/>
  <c r="AG638" i="1" s="1"/>
  <c r="AF639" i="1"/>
  <c r="AG639" i="1" s="1"/>
  <c r="AF640" i="1"/>
  <c r="AG640" i="1" s="1"/>
  <c r="AF641" i="1"/>
  <c r="AG641" i="1" s="1"/>
  <c r="AH641" i="1" s="1"/>
  <c r="AF642" i="1"/>
  <c r="AG642" i="1" s="1"/>
  <c r="AF643" i="1"/>
  <c r="AG643" i="1" s="1"/>
  <c r="AF644" i="1"/>
  <c r="AG644" i="1" s="1"/>
  <c r="AF645" i="1"/>
  <c r="AG645" i="1" s="1"/>
  <c r="AF646" i="1"/>
  <c r="AG646" i="1" s="1"/>
  <c r="AF647" i="1"/>
  <c r="AG647" i="1" s="1"/>
  <c r="AF648" i="1"/>
  <c r="AG648" i="1" s="1"/>
  <c r="AF649" i="1"/>
  <c r="AG649" i="1" s="1"/>
  <c r="AF650" i="1"/>
  <c r="AG650" i="1" s="1"/>
  <c r="AF651" i="1"/>
  <c r="AG651" i="1" s="1"/>
  <c r="AF652" i="1"/>
  <c r="AG652" i="1" s="1"/>
  <c r="AF653" i="1"/>
  <c r="AG653" i="1" s="1"/>
  <c r="AF654" i="1"/>
  <c r="AG654" i="1" s="1"/>
  <c r="AF655" i="1"/>
  <c r="AG655" i="1" s="1"/>
  <c r="AF656" i="1"/>
  <c r="AG656" i="1" s="1"/>
  <c r="AF657" i="1"/>
  <c r="AG657" i="1" s="1"/>
  <c r="AF658" i="1"/>
  <c r="AG658" i="1" s="1"/>
  <c r="AF659" i="1"/>
  <c r="AG659" i="1" s="1"/>
  <c r="AF660" i="1"/>
  <c r="AG660" i="1" s="1"/>
  <c r="AF661" i="1"/>
  <c r="AG661" i="1" s="1"/>
  <c r="AF662" i="1"/>
  <c r="AG662" i="1" s="1"/>
  <c r="AF663" i="1"/>
  <c r="AG663" i="1" s="1"/>
  <c r="AF664" i="1"/>
  <c r="AG664" i="1" s="1"/>
  <c r="AF665" i="1"/>
  <c r="AG665" i="1" s="1"/>
  <c r="AH665" i="1" s="1"/>
  <c r="AF666" i="1"/>
  <c r="AG666" i="1" s="1"/>
  <c r="AF667" i="1"/>
  <c r="AG667" i="1" s="1"/>
  <c r="AF668" i="1"/>
  <c r="AG668" i="1" s="1"/>
  <c r="AF669" i="1"/>
  <c r="AG669" i="1" s="1"/>
  <c r="AF670" i="1"/>
  <c r="AG670" i="1" s="1"/>
  <c r="AF671" i="1"/>
  <c r="AG671" i="1" s="1"/>
  <c r="AF672" i="1"/>
  <c r="AG672" i="1" s="1"/>
  <c r="AF673" i="1"/>
  <c r="AG673" i="1" s="1"/>
  <c r="AH673" i="1" s="1"/>
  <c r="AF674" i="1"/>
  <c r="AG674" i="1" s="1"/>
  <c r="AF675" i="1"/>
  <c r="AG675" i="1" s="1"/>
  <c r="AF676" i="1"/>
  <c r="AG676" i="1" s="1"/>
  <c r="AF677" i="1"/>
  <c r="AG677" i="1" s="1"/>
  <c r="AF678" i="1"/>
  <c r="AG678" i="1" s="1"/>
  <c r="AF679" i="1"/>
  <c r="AG679" i="1" s="1"/>
  <c r="AF680" i="1"/>
  <c r="AG680" i="1" s="1"/>
  <c r="AF681" i="1"/>
  <c r="AG681" i="1" s="1"/>
  <c r="AF682" i="1"/>
  <c r="AG682" i="1" s="1"/>
  <c r="AF683" i="1"/>
  <c r="AG683" i="1" s="1"/>
  <c r="AF684" i="1"/>
  <c r="AG684" i="1" s="1"/>
  <c r="AF685" i="1"/>
  <c r="AG685" i="1" s="1"/>
  <c r="AF686" i="1"/>
  <c r="AG686" i="1" s="1"/>
  <c r="AF687" i="1"/>
  <c r="AG687" i="1" s="1"/>
  <c r="AF688" i="1"/>
  <c r="AG688" i="1" s="1"/>
  <c r="AF689" i="1"/>
  <c r="AG689" i="1" s="1"/>
  <c r="AH689" i="1" s="1"/>
  <c r="AF690" i="1"/>
  <c r="AG690" i="1" s="1"/>
  <c r="AF691" i="1"/>
  <c r="AG691" i="1" s="1"/>
  <c r="AF692" i="1"/>
  <c r="AG692" i="1" s="1"/>
  <c r="AF693" i="1"/>
  <c r="AG693" i="1" s="1"/>
  <c r="AF694" i="1"/>
  <c r="AG694" i="1" s="1"/>
  <c r="AF695" i="1"/>
  <c r="AG695" i="1" s="1"/>
  <c r="AF696" i="1"/>
  <c r="AG696" i="1" s="1"/>
  <c r="AF697" i="1"/>
  <c r="AG697" i="1" s="1"/>
  <c r="AF698" i="1"/>
  <c r="AG698" i="1" s="1"/>
  <c r="AF699" i="1"/>
  <c r="AG699" i="1" s="1"/>
  <c r="AF700" i="1"/>
  <c r="AG700" i="1" s="1"/>
  <c r="AF701" i="1"/>
  <c r="AG701" i="1" s="1"/>
  <c r="AF702" i="1"/>
  <c r="AG702" i="1" s="1"/>
  <c r="AF703" i="1"/>
  <c r="AG703" i="1" s="1"/>
  <c r="AF704" i="1"/>
  <c r="AG704" i="1" s="1"/>
  <c r="AF705" i="1"/>
  <c r="AG705" i="1" s="1"/>
  <c r="AF706" i="1"/>
  <c r="AG706" i="1" s="1"/>
  <c r="AF707" i="1"/>
  <c r="AG707" i="1" s="1"/>
  <c r="AF708" i="1"/>
  <c r="AG708" i="1" s="1"/>
  <c r="AF709" i="1"/>
  <c r="AG709" i="1" s="1"/>
  <c r="AF710" i="1"/>
  <c r="AG710" i="1" s="1"/>
  <c r="AF711" i="1"/>
  <c r="AG711" i="1" s="1"/>
  <c r="AF712" i="1"/>
  <c r="AG712" i="1" s="1"/>
  <c r="AF713" i="1"/>
  <c r="AG713" i="1" s="1"/>
  <c r="AF714" i="1"/>
  <c r="AG714" i="1" s="1"/>
  <c r="AF715" i="1"/>
  <c r="AG715" i="1" s="1"/>
  <c r="AF716" i="1"/>
  <c r="AG716" i="1" s="1"/>
  <c r="AF717" i="1"/>
  <c r="AG717" i="1" s="1"/>
  <c r="AF718" i="1"/>
  <c r="AG718" i="1" s="1"/>
  <c r="AF719" i="1"/>
  <c r="AG719" i="1" s="1"/>
  <c r="AF720" i="1"/>
  <c r="AG720" i="1" s="1"/>
  <c r="AF721" i="1"/>
  <c r="AG721" i="1" s="1"/>
  <c r="AH721" i="1" s="1"/>
  <c r="AF722" i="1"/>
  <c r="AG722" i="1" s="1"/>
  <c r="AF723" i="1"/>
  <c r="AG723" i="1" s="1"/>
  <c r="AF724" i="1"/>
  <c r="AG724" i="1" s="1"/>
  <c r="AF725" i="1"/>
  <c r="AG725" i="1" s="1"/>
  <c r="AF726" i="1"/>
  <c r="AG726" i="1" s="1"/>
  <c r="AF727" i="1"/>
  <c r="AG727" i="1" s="1"/>
  <c r="AF728" i="1"/>
  <c r="AG728" i="1" s="1"/>
  <c r="AF729" i="1"/>
  <c r="AG729" i="1" s="1"/>
  <c r="AF730" i="1"/>
  <c r="AG730" i="1" s="1"/>
  <c r="AF731" i="1"/>
  <c r="AG731" i="1" s="1"/>
  <c r="AF732" i="1"/>
  <c r="AG732" i="1" s="1"/>
  <c r="AF733" i="1"/>
  <c r="AG733" i="1" s="1"/>
  <c r="AF734" i="1"/>
  <c r="AG734" i="1" s="1"/>
  <c r="AF735" i="1"/>
  <c r="AG735" i="1" s="1"/>
  <c r="AF736" i="1"/>
  <c r="AG736" i="1" s="1"/>
  <c r="AF737" i="1"/>
  <c r="AG737" i="1" s="1"/>
  <c r="AF738" i="1"/>
  <c r="AG738" i="1" s="1"/>
  <c r="AF739" i="1"/>
  <c r="AG739" i="1" s="1"/>
  <c r="AF740" i="1"/>
  <c r="AG740" i="1" s="1"/>
  <c r="AF741" i="1"/>
  <c r="AG741" i="1" s="1"/>
  <c r="AF742" i="1"/>
  <c r="AG742" i="1" s="1"/>
  <c r="AF743" i="1"/>
  <c r="AG743" i="1" s="1"/>
  <c r="AF744" i="1"/>
  <c r="AG744" i="1" s="1"/>
  <c r="AF745" i="1"/>
  <c r="AG745" i="1" s="1"/>
  <c r="AH745" i="1" s="1"/>
  <c r="AF746" i="1"/>
  <c r="AG746" i="1" s="1"/>
  <c r="AF747" i="1"/>
  <c r="AG747" i="1" s="1"/>
  <c r="AF748" i="1"/>
  <c r="AG748" i="1" s="1"/>
  <c r="AF749" i="1"/>
  <c r="AG749" i="1" s="1"/>
  <c r="AF750" i="1"/>
  <c r="AG750" i="1" s="1"/>
  <c r="AF751" i="1"/>
  <c r="AG751" i="1" s="1"/>
  <c r="AF752" i="1"/>
  <c r="AG752" i="1" s="1"/>
  <c r="AF753" i="1"/>
  <c r="AG753" i="1" s="1"/>
  <c r="AF754" i="1"/>
  <c r="AG754" i="1" s="1"/>
  <c r="AF755" i="1"/>
  <c r="AG755" i="1" s="1"/>
  <c r="AF756" i="1"/>
  <c r="AG756" i="1" s="1"/>
  <c r="AF757" i="1"/>
  <c r="AG757" i="1" s="1"/>
  <c r="AF758" i="1"/>
  <c r="AG758" i="1" s="1"/>
  <c r="AF759" i="1"/>
  <c r="AG759" i="1" s="1"/>
  <c r="AF760" i="1"/>
  <c r="AG760" i="1" s="1"/>
  <c r="AF761" i="1"/>
  <c r="AG761" i="1" s="1"/>
  <c r="AH761" i="1" s="1"/>
  <c r="AF762" i="1"/>
  <c r="AG762" i="1" s="1"/>
  <c r="AF763" i="1"/>
  <c r="AG763" i="1" s="1"/>
  <c r="AF764" i="1"/>
  <c r="AG764" i="1" s="1"/>
  <c r="AF765" i="1"/>
  <c r="AG765" i="1" s="1"/>
  <c r="AF766" i="1"/>
  <c r="AG766" i="1" s="1"/>
  <c r="AF767" i="1"/>
  <c r="AG767" i="1" s="1"/>
  <c r="AF768" i="1"/>
  <c r="AG768" i="1" s="1"/>
  <c r="AF769" i="1"/>
  <c r="AG769" i="1" s="1"/>
  <c r="AF770" i="1"/>
  <c r="AG770" i="1" s="1"/>
  <c r="AF771" i="1"/>
  <c r="AG771" i="1" s="1"/>
  <c r="AF772" i="1"/>
  <c r="AG772" i="1" s="1"/>
  <c r="AF773" i="1"/>
  <c r="AG773" i="1" s="1"/>
  <c r="AF774" i="1"/>
  <c r="AG774" i="1" s="1"/>
  <c r="AF775" i="1"/>
  <c r="AG775" i="1" s="1"/>
  <c r="AF776" i="1"/>
  <c r="AG776" i="1" s="1"/>
  <c r="AF777" i="1"/>
  <c r="AG777" i="1" s="1"/>
  <c r="AH777" i="1" s="1"/>
  <c r="AF778" i="1"/>
  <c r="AG778" i="1" s="1"/>
  <c r="AF779" i="1"/>
  <c r="AG779" i="1" s="1"/>
  <c r="AF780" i="1"/>
  <c r="AG780" i="1" s="1"/>
  <c r="AF781" i="1"/>
  <c r="AG781" i="1" s="1"/>
  <c r="AF782" i="1"/>
  <c r="AG782" i="1" s="1"/>
  <c r="AF783" i="1"/>
  <c r="AG783" i="1" s="1"/>
  <c r="AF784" i="1"/>
  <c r="AG784" i="1" s="1"/>
  <c r="AF785" i="1"/>
  <c r="AG785" i="1" s="1"/>
  <c r="AF786" i="1"/>
  <c r="AG786" i="1" s="1"/>
  <c r="AF787" i="1"/>
  <c r="AG787" i="1" s="1"/>
  <c r="AF788" i="1"/>
  <c r="AG788" i="1" s="1"/>
  <c r="AF789" i="1"/>
  <c r="AG789" i="1" s="1"/>
  <c r="AF790" i="1"/>
  <c r="AG790" i="1" s="1"/>
  <c r="AF791" i="1"/>
  <c r="AG791" i="1" s="1"/>
  <c r="AF792" i="1"/>
  <c r="AG792" i="1" s="1"/>
  <c r="AF793" i="1"/>
  <c r="AG793" i="1" s="1"/>
  <c r="AF794" i="1"/>
  <c r="AG794" i="1" s="1"/>
  <c r="AF795" i="1"/>
  <c r="AG795" i="1" s="1"/>
  <c r="AF796" i="1"/>
  <c r="AG796" i="1" s="1"/>
  <c r="AF797" i="1"/>
  <c r="AG797" i="1" s="1"/>
  <c r="AF798" i="1"/>
  <c r="AG798" i="1" s="1"/>
  <c r="AF799" i="1"/>
  <c r="AG799" i="1" s="1"/>
  <c r="AF800" i="1"/>
  <c r="AG800" i="1" s="1"/>
  <c r="AF801" i="1"/>
  <c r="AG801" i="1" s="1"/>
  <c r="AH801" i="1" s="1"/>
  <c r="AF802" i="1"/>
  <c r="AG802" i="1" s="1"/>
  <c r="AF803" i="1"/>
  <c r="AG803" i="1" s="1"/>
  <c r="AF804" i="1"/>
  <c r="AG804" i="1" s="1"/>
  <c r="AF805" i="1"/>
  <c r="AG805" i="1" s="1"/>
  <c r="AF806" i="1"/>
  <c r="AG806" i="1" s="1"/>
  <c r="AF807" i="1"/>
  <c r="AG807" i="1" s="1"/>
  <c r="AF808" i="1"/>
  <c r="AG808" i="1" s="1"/>
  <c r="AF809" i="1"/>
  <c r="AG809" i="1" s="1"/>
  <c r="AF810" i="1"/>
  <c r="AG810" i="1" s="1"/>
  <c r="AF811" i="1"/>
  <c r="AG811" i="1" s="1"/>
  <c r="AF812" i="1"/>
  <c r="AG812" i="1" s="1"/>
  <c r="AF813" i="1"/>
  <c r="AG813" i="1" s="1"/>
  <c r="AF814" i="1"/>
  <c r="AG814" i="1" s="1"/>
  <c r="AF815" i="1"/>
  <c r="AG815" i="1" s="1"/>
  <c r="AF816" i="1"/>
  <c r="AG816" i="1" s="1"/>
  <c r="AF817" i="1"/>
  <c r="AG817" i="1" s="1"/>
  <c r="AF818" i="1"/>
  <c r="AG818" i="1" s="1"/>
  <c r="AF819" i="1"/>
  <c r="AG819" i="1" s="1"/>
  <c r="AF820" i="1"/>
  <c r="AG820" i="1" s="1"/>
  <c r="AF821" i="1"/>
  <c r="AG821" i="1" s="1"/>
  <c r="AF822" i="1"/>
  <c r="AG822" i="1" s="1"/>
  <c r="AF823" i="1"/>
  <c r="AG823" i="1" s="1"/>
  <c r="AF824" i="1"/>
  <c r="AG824" i="1" s="1"/>
  <c r="AF825" i="1"/>
  <c r="AG825" i="1" s="1"/>
  <c r="AF826" i="1"/>
  <c r="AG826" i="1" s="1"/>
  <c r="AF827" i="1"/>
  <c r="AG827" i="1" s="1"/>
  <c r="AF828" i="1"/>
  <c r="AG828" i="1" s="1"/>
  <c r="AF829" i="1"/>
  <c r="AG829" i="1" s="1"/>
  <c r="AF830" i="1"/>
  <c r="AG830" i="1" s="1"/>
  <c r="AF831" i="1"/>
  <c r="AG831" i="1" s="1"/>
  <c r="AF832" i="1"/>
  <c r="AG832" i="1" s="1"/>
  <c r="AF833" i="1"/>
  <c r="AG833" i="1" s="1"/>
  <c r="AF834" i="1"/>
  <c r="AG834" i="1" s="1"/>
  <c r="AF835" i="1"/>
  <c r="AG835" i="1" s="1"/>
  <c r="AF836" i="1"/>
  <c r="AG836" i="1" s="1"/>
  <c r="AF837" i="1"/>
  <c r="AG837" i="1" s="1"/>
  <c r="AF838" i="1"/>
  <c r="AG838" i="1" s="1"/>
  <c r="AF839" i="1"/>
  <c r="AG839" i="1" s="1"/>
  <c r="AF840" i="1"/>
  <c r="AG840" i="1" s="1"/>
  <c r="AF841" i="1"/>
  <c r="AG841" i="1" s="1"/>
  <c r="AF842" i="1"/>
  <c r="AG842" i="1" s="1"/>
  <c r="AF843" i="1"/>
  <c r="AG843" i="1" s="1"/>
  <c r="AF844" i="1"/>
  <c r="AG844" i="1" s="1"/>
  <c r="AF845" i="1"/>
  <c r="AG845" i="1" s="1"/>
  <c r="AF846" i="1"/>
  <c r="AG846" i="1" s="1"/>
  <c r="AF847" i="1"/>
  <c r="AG847" i="1" s="1"/>
  <c r="AF848" i="1"/>
  <c r="AG848" i="1" s="1"/>
  <c r="AF849" i="1"/>
  <c r="AG849" i="1" s="1"/>
  <c r="AH849" i="1" s="1"/>
  <c r="AF850" i="1"/>
  <c r="AG850" i="1" s="1"/>
  <c r="AF851" i="1"/>
  <c r="AG851" i="1" s="1"/>
  <c r="AF852" i="1"/>
  <c r="AG852" i="1" s="1"/>
  <c r="AF853" i="1"/>
  <c r="AG853" i="1" s="1"/>
  <c r="AF854" i="1"/>
  <c r="AG854" i="1" s="1"/>
  <c r="AF855" i="1"/>
  <c r="AG855" i="1" s="1"/>
  <c r="AF856" i="1"/>
  <c r="AG856" i="1" s="1"/>
  <c r="AF857" i="1"/>
  <c r="AG857" i="1" s="1"/>
  <c r="AH857" i="1" s="1"/>
  <c r="AF858" i="1"/>
  <c r="AG858" i="1" s="1"/>
  <c r="AF859" i="1"/>
  <c r="AG859" i="1" s="1"/>
  <c r="AF860" i="1"/>
  <c r="AG860" i="1" s="1"/>
  <c r="AF861" i="1"/>
  <c r="AG861" i="1" s="1"/>
  <c r="AF862" i="1"/>
  <c r="AG862" i="1" s="1"/>
  <c r="AF863" i="1"/>
  <c r="AG863" i="1" s="1"/>
  <c r="AF864" i="1"/>
  <c r="AG864" i="1" s="1"/>
  <c r="AF865" i="1"/>
  <c r="AG865" i="1" s="1"/>
  <c r="AF866" i="1"/>
  <c r="AG866" i="1" s="1"/>
  <c r="AF867" i="1"/>
  <c r="AG867" i="1" s="1"/>
  <c r="AF868" i="1"/>
  <c r="AG868" i="1" s="1"/>
  <c r="AF869" i="1"/>
  <c r="AG869" i="1" s="1"/>
  <c r="AF870" i="1"/>
  <c r="AG870" i="1" s="1"/>
  <c r="AF871" i="1"/>
  <c r="AG871" i="1" s="1"/>
  <c r="AF872" i="1"/>
  <c r="AG872" i="1" s="1"/>
  <c r="AF873" i="1"/>
  <c r="AG873" i="1" s="1"/>
  <c r="AH873" i="1" s="1"/>
  <c r="AF874" i="1"/>
  <c r="AG874" i="1" s="1"/>
  <c r="AF875" i="1"/>
  <c r="AG875" i="1" s="1"/>
  <c r="AF876" i="1"/>
  <c r="AG876" i="1" s="1"/>
  <c r="AF877" i="1"/>
  <c r="AG877" i="1" s="1"/>
  <c r="AF878" i="1"/>
  <c r="AG878" i="1" s="1"/>
  <c r="AF879" i="1"/>
  <c r="AG879" i="1" s="1"/>
  <c r="AF880" i="1"/>
  <c r="AG880" i="1" s="1"/>
  <c r="AF881" i="1"/>
  <c r="AG881" i="1" s="1"/>
  <c r="AH881" i="1" s="1"/>
  <c r="AF882" i="1"/>
  <c r="AG882" i="1" s="1"/>
  <c r="AF883" i="1"/>
  <c r="AG883" i="1" s="1"/>
  <c r="AF884" i="1"/>
  <c r="AG884" i="1" s="1"/>
  <c r="AF885" i="1"/>
  <c r="AG885" i="1" s="1"/>
  <c r="AF886" i="1"/>
  <c r="AG886" i="1" s="1"/>
  <c r="AF887" i="1"/>
  <c r="AG887" i="1" s="1"/>
  <c r="AF888" i="1"/>
  <c r="AG888" i="1" s="1"/>
  <c r="AF889" i="1"/>
  <c r="AG889" i="1" s="1"/>
  <c r="AF890" i="1"/>
  <c r="AG890" i="1" s="1"/>
  <c r="AF891" i="1"/>
  <c r="AG891" i="1" s="1"/>
  <c r="AF892" i="1"/>
  <c r="AG892" i="1" s="1"/>
  <c r="AF893" i="1"/>
  <c r="AG893" i="1" s="1"/>
  <c r="AF894" i="1"/>
  <c r="AG894" i="1" s="1"/>
  <c r="AF895" i="1"/>
  <c r="AG895" i="1" s="1"/>
  <c r="AF896" i="1"/>
  <c r="AG896" i="1" s="1"/>
  <c r="AF897" i="1"/>
  <c r="AG897" i="1" s="1"/>
  <c r="AF898" i="1"/>
  <c r="AG898" i="1" s="1"/>
  <c r="AF899" i="1"/>
  <c r="AG899" i="1" s="1"/>
  <c r="AF900" i="1"/>
  <c r="AG900" i="1" s="1"/>
  <c r="AF901" i="1"/>
  <c r="AG901" i="1" s="1"/>
  <c r="AF902" i="1"/>
  <c r="AG902" i="1" s="1"/>
  <c r="AF903" i="1"/>
  <c r="AG903" i="1" s="1"/>
  <c r="AF904" i="1"/>
  <c r="AG904" i="1" s="1"/>
  <c r="AF905" i="1"/>
  <c r="AG905" i="1" s="1"/>
  <c r="AH905" i="1" s="1"/>
  <c r="AF906" i="1"/>
  <c r="AG906" i="1" s="1"/>
  <c r="AF907" i="1"/>
  <c r="AG907" i="1" s="1"/>
  <c r="AF908" i="1"/>
  <c r="AG908" i="1" s="1"/>
  <c r="AF909" i="1"/>
  <c r="AG909" i="1" s="1"/>
  <c r="AF910" i="1"/>
  <c r="AG910" i="1" s="1"/>
  <c r="AF911" i="1"/>
  <c r="AG911" i="1" s="1"/>
  <c r="AF912" i="1"/>
  <c r="AG912" i="1" s="1"/>
  <c r="AF913" i="1"/>
  <c r="AG913" i="1" s="1"/>
  <c r="AH913" i="1" s="1"/>
  <c r="AF914" i="1"/>
  <c r="AG914" i="1" s="1"/>
  <c r="AF915" i="1"/>
  <c r="AG915" i="1" s="1"/>
  <c r="AF916" i="1"/>
  <c r="AG916" i="1" s="1"/>
  <c r="AF917" i="1"/>
  <c r="AG917" i="1" s="1"/>
  <c r="AF918" i="1"/>
  <c r="AG918" i="1" s="1"/>
  <c r="AF919" i="1"/>
  <c r="AG919" i="1" s="1"/>
  <c r="AF920" i="1"/>
  <c r="AG920" i="1" s="1"/>
  <c r="AF921" i="1"/>
  <c r="AG921" i="1" s="1"/>
  <c r="AF922" i="1"/>
  <c r="AG922" i="1" s="1"/>
  <c r="AF923" i="1"/>
  <c r="AG923" i="1" s="1"/>
  <c r="AF924" i="1"/>
  <c r="AG924" i="1" s="1"/>
  <c r="AF925" i="1"/>
  <c r="AG925" i="1" s="1"/>
  <c r="AF926" i="1"/>
  <c r="AG926" i="1" s="1"/>
  <c r="AF927" i="1"/>
  <c r="AG927" i="1" s="1"/>
  <c r="AF928" i="1"/>
  <c r="AG928" i="1" s="1"/>
  <c r="AF929" i="1"/>
  <c r="AG929" i="1" s="1"/>
  <c r="AF930" i="1"/>
  <c r="AG930" i="1" s="1"/>
  <c r="AF931" i="1"/>
  <c r="AG931" i="1" s="1"/>
  <c r="AF932" i="1"/>
  <c r="AG932" i="1" s="1"/>
  <c r="AF933" i="1"/>
  <c r="AG933" i="1" s="1"/>
  <c r="AF934" i="1"/>
  <c r="AG934" i="1" s="1"/>
  <c r="AF935" i="1"/>
  <c r="AG935" i="1" s="1"/>
  <c r="AF936" i="1"/>
  <c r="AG936" i="1" s="1"/>
  <c r="AF937" i="1"/>
  <c r="AG937" i="1" s="1"/>
  <c r="AH937" i="1" s="1"/>
  <c r="AF938" i="1"/>
  <c r="AG938" i="1" s="1"/>
  <c r="AF939" i="1"/>
  <c r="AG939" i="1" s="1"/>
  <c r="AF940" i="1"/>
  <c r="AG940" i="1" s="1"/>
  <c r="AF941" i="1"/>
  <c r="AG941" i="1" s="1"/>
  <c r="AF942" i="1"/>
  <c r="AG942" i="1" s="1"/>
  <c r="AF943" i="1"/>
  <c r="AG943" i="1" s="1"/>
  <c r="AF944" i="1"/>
  <c r="AG944" i="1" s="1"/>
  <c r="AF945" i="1"/>
  <c r="AG945" i="1" s="1"/>
  <c r="AF946" i="1"/>
  <c r="AG946" i="1" s="1"/>
  <c r="AF947" i="1"/>
  <c r="AG947" i="1" s="1"/>
  <c r="AF948" i="1"/>
  <c r="AG948" i="1" s="1"/>
  <c r="AF949" i="1"/>
  <c r="AG949" i="1" s="1"/>
  <c r="AF950" i="1"/>
  <c r="AG950" i="1" s="1"/>
  <c r="AF951" i="1"/>
  <c r="AG951" i="1" s="1"/>
  <c r="AF952" i="1"/>
  <c r="AG952" i="1" s="1"/>
  <c r="AF953" i="1"/>
  <c r="AG953" i="1" s="1"/>
  <c r="AF954" i="1"/>
  <c r="AG954" i="1" s="1"/>
  <c r="AF955" i="1"/>
  <c r="AG955" i="1" s="1"/>
  <c r="AF956" i="1"/>
  <c r="AG956" i="1" s="1"/>
  <c r="AF957" i="1"/>
  <c r="AG957" i="1" s="1"/>
  <c r="AF958" i="1"/>
  <c r="AG958" i="1" s="1"/>
  <c r="AF959" i="1"/>
  <c r="AG959" i="1" s="1"/>
  <c r="AF960" i="1"/>
  <c r="AG960" i="1" s="1"/>
  <c r="AF961" i="1"/>
  <c r="AG961" i="1" s="1"/>
  <c r="AF962" i="1"/>
  <c r="AG962" i="1" s="1"/>
  <c r="AF963" i="1"/>
  <c r="AG963" i="1" s="1"/>
  <c r="AF964" i="1"/>
  <c r="AG964" i="1" s="1"/>
  <c r="AF965" i="1"/>
  <c r="AG965" i="1" s="1"/>
  <c r="AF966" i="1"/>
  <c r="AG966" i="1" s="1"/>
  <c r="AF967" i="1"/>
  <c r="AG967" i="1" s="1"/>
  <c r="AF968" i="1"/>
  <c r="AG968" i="1" s="1"/>
  <c r="AF969" i="1"/>
  <c r="AG969" i="1" s="1"/>
  <c r="AH969" i="1" s="1"/>
  <c r="AF970" i="1"/>
  <c r="AG970" i="1" s="1"/>
  <c r="AF971" i="1"/>
  <c r="AG971" i="1" s="1"/>
  <c r="AF972" i="1"/>
  <c r="AG972" i="1" s="1"/>
  <c r="AF973" i="1"/>
  <c r="AG973" i="1" s="1"/>
  <c r="AF974" i="1"/>
  <c r="AG974" i="1" s="1"/>
  <c r="AF975" i="1"/>
  <c r="AG975" i="1" s="1"/>
  <c r="AF976" i="1"/>
  <c r="AG976" i="1" s="1"/>
  <c r="AF977" i="1"/>
  <c r="AG977" i="1" s="1"/>
  <c r="AH977" i="1" s="1"/>
  <c r="AF978" i="1"/>
  <c r="AG978" i="1" s="1"/>
  <c r="AF979" i="1"/>
  <c r="AG979" i="1" s="1"/>
  <c r="AF980" i="1"/>
  <c r="AG980" i="1" s="1"/>
  <c r="AF981" i="1"/>
  <c r="AG981" i="1" s="1"/>
  <c r="AF982" i="1"/>
  <c r="AG982" i="1" s="1"/>
  <c r="AF983" i="1"/>
  <c r="AG983" i="1" s="1"/>
  <c r="AF984" i="1"/>
  <c r="AG984" i="1" s="1"/>
  <c r="AF985" i="1"/>
  <c r="AG985" i="1" s="1"/>
  <c r="AF986" i="1"/>
  <c r="AG986" i="1" s="1"/>
  <c r="AF987" i="1"/>
  <c r="AG987" i="1" s="1"/>
  <c r="AF988" i="1"/>
  <c r="AG988" i="1" s="1"/>
  <c r="AF989" i="1"/>
  <c r="AG989" i="1" s="1"/>
  <c r="AF990" i="1"/>
  <c r="AG990" i="1" s="1"/>
  <c r="AF991" i="1"/>
  <c r="AG991" i="1" s="1"/>
  <c r="AF992" i="1"/>
  <c r="AG992" i="1" s="1"/>
  <c r="AF993" i="1"/>
  <c r="AG993" i="1" s="1"/>
  <c r="AF994" i="1"/>
  <c r="AG994" i="1" s="1"/>
  <c r="AF995" i="1"/>
  <c r="AG995" i="1" s="1"/>
  <c r="AF996" i="1"/>
  <c r="AG996" i="1" s="1"/>
  <c r="AF997" i="1"/>
  <c r="AG997" i="1" s="1"/>
  <c r="AF998" i="1"/>
  <c r="AG998" i="1" s="1"/>
  <c r="AF999" i="1"/>
  <c r="AG999" i="1" s="1"/>
  <c r="AF1000" i="1"/>
  <c r="AG1000" i="1" s="1"/>
  <c r="AF1001" i="1"/>
  <c r="AG1001" i="1" s="1"/>
  <c r="AF1002" i="1"/>
  <c r="AG1002" i="1" s="1"/>
  <c r="AF1003" i="1"/>
  <c r="AG1003" i="1" s="1"/>
  <c r="AF1004" i="1"/>
  <c r="AG1004" i="1" s="1"/>
  <c r="AF1005" i="1"/>
  <c r="AG1005" i="1" s="1"/>
  <c r="AF1006" i="1"/>
  <c r="AG1006" i="1" s="1"/>
  <c r="AF1007" i="1"/>
  <c r="AG1007" i="1" s="1"/>
  <c r="AF1008" i="1"/>
  <c r="AG1008" i="1" s="1"/>
  <c r="AF1009" i="1"/>
  <c r="AG1009" i="1" s="1"/>
  <c r="AF1010" i="1"/>
  <c r="AG1010" i="1" s="1"/>
  <c r="AF1011" i="1"/>
  <c r="AG1011" i="1" s="1"/>
  <c r="AF1012" i="1"/>
  <c r="AG1012" i="1" s="1"/>
  <c r="AF1013" i="1"/>
  <c r="AG1013" i="1" s="1"/>
  <c r="AF1014" i="1"/>
  <c r="AG1014" i="1" s="1"/>
  <c r="AF1015" i="1"/>
  <c r="AG1015" i="1" s="1"/>
  <c r="AF1016" i="1"/>
  <c r="AG1016" i="1" s="1"/>
  <c r="AF1017" i="1"/>
  <c r="AG1017" i="1" s="1"/>
  <c r="AF1018" i="1"/>
  <c r="AG1018" i="1" s="1"/>
  <c r="AF1019" i="1"/>
  <c r="AG1019" i="1" s="1"/>
  <c r="AF1020" i="1"/>
  <c r="AG1020" i="1" s="1"/>
  <c r="AF1021" i="1"/>
  <c r="AG1021" i="1" s="1"/>
  <c r="AF1022" i="1"/>
  <c r="AG1022" i="1" s="1"/>
  <c r="AF1023" i="1"/>
  <c r="AG1023" i="1" s="1"/>
  <c r="AF1024" i="1"/>
  <c r="AG1024" i="1" s="1"/>
  <c r="AF1025" i="1"/>
  <c r="AG1025" i="1" s="1"/>
  <c r="AF1026" i="1"/>
  <c r="AG1026" i="1" s="1"/>
  <c r="AF1027" i="1"/>
  <c r="AG1027" i="1" s="1"/>
  <c r="AF1028" i="1"/>
  <c r="AG1028" i="1" s="1"/>
  <c r="AF1029" i="1"/>
  <c r="AG1029" i="1" s="1"/>
  <c r="AF1030" i="1"/>
  <c r="AG1030" i="1" s="1"/>
  <c r="AF1031" i="1"/>
  <c r="AG1031" i="1" s="1"/>
  <c r="AF1032" i="1"/>
  <c r="AG1032" i="1" s="1"/>
  <c r="AF1033" i="1"/>
  <c r="AG1033" i="1" s="1"/>
  <c r="AF1034" i="1"/>
  <c r="AG1034" i="1" s="1"/>
  <c r="AF1035" i="1"/>
  <c r="AG1035" i="1" s="1"/>
  <c r="AF1036" i="1"/>
  <c r="AG1036" i="1" s="1"/>
  <c r="AF1037" i="1"/>
  <c r="AG1037" i="1" s="1"/>
  <c r="AF1038" i="1"/>
  <c r="AG1038" i="1" s="1"/>
  <c r="AF1039" i="1"/>
  <c r="AG1039" i="1" s="1"/>
  <c r="AF1040" i="1"/>
  <c r="AG1040" i="1" s="1"/>
  <c r="AF1041" i="1"/>
  <c r="AG1041" i="1" s="1"/>
  <c r="AH1041" i="1" s="1"/>
  <c r="AF1042" i="1"/>
  <c r="AG1042" i="1" s="1"/>
  <c r="AF1043" i="1"/>
  <c r="AG1043" i="1" s="1"/>
  <c r="AF1044" i="1"/>
  <c r="AG1044" i="1" s="1"/>
  <c r="AF1045" i="1"/>
  <c r="AG1045" i="1" s="1"/>
  <c r="AF1046" i="1"/>
  <c r="AG1046" i="1" s="1"/>
  <c r="AF1047" i="1"/>
  <c r="AG1047" i="1" s="1"/>
  <c r="AF1048" i="1"/>
  <c r="AG1048" i="1" s="1"/>
  <c r="AF1049" i="1"/>
  <c r="AG1049" i="1" s="1"/>
  <c r="AH1049" i="1" s="1"/>
  <c r="AF1050" i="1"/>
  <c r="AG1050" i="1" s="1"/>
  <c r="AF1051" i="1"/>
  <c r="AG1051" i="1" s="1"/>
  <c r="AF1052" i="1"/>
  <c r="AG1052" i="1" s="1"/>
  <c r="AF1053" i="1"/>
  <c r="AG1053" i="1" s="1"/>
  <c r="AF1054" i="1"/>
  <c r="AG1054" i="1" s="1"/>
  <c r="AF1055" i="1"/>
  <c r="AG1055" i="1" s="1"/>
  <c r="AF1056" i="1"/>
  <c r="AG1056" i="1" s="1"/>
  <c r="AF1057" i="1"/>
  <c r="AG1057" i="1" s="1"/>
  <c r="AF1058" i="1"/>
  <c r="AG1058" i="1" s="1"/>
  <c r="AF1059" i="1"/>
  <c r="AG1059" i="1" s="1"/>
  <c r="AF1060" i="1"/>
  <c r="AG1060" i="1" s="1"/>
  <c r="AF1061" i="1"/>
  <c r="AG1061" i="1" s="1"/>
  <c r="AF1062" i="1"/>
  <c r="AG1062" i="1" s="1"/>
  <c r="AF1063" i="1"/>
  <c r="AG1063" i="1" s="1"/>
  <c r="AF1064" i="1"/>
  <c r="AG1064" i="1" s="1"/>
  <c r="AF1065" i="1"/>
  <c r="AG1065" i="1" s="1"/>
  <c r="AF1066" i="1"/>
  <c r="AG1066" i="1" s="1"/>
  <c r="AF1067" i="1"/>
  <c r="AG1067" i="1" s="1"/>
  <c r="AF1068" i="1"/>
  <c r="AG1068" i="1" s="1"/>
  <c r="AF1069" i="1"/>
  <c r="AG1069" i="1" s="1"/>
  <c r="AF1070" i="1"/>
  <c r="AG1070" i="1" s="1"/>
  <c r="AF1071" i="1"/>
  <c r="AG1071" i="1" s="1"/>
  <c r="AF1072" i="1"/>
  <c r="AG1072" i="1" s="1"/>
  <c r="AF1073" i="1"/>
  <c r="AG1073" i="1" s="1"/>
  <c r="AF1074" i="1"/>
  <c r="AG1074" i="1" s="1"/>
  <c r="AF1075" i="1"/>
  <c r="AG1075" i="1" s="1"/>
  <c r="AF1076" i="1"/>
  <c r="AG1076" i="1" s="1"/>
  <c r="AF1077" i="1"/>
  <c r="AG1077" i="1" s="1"/>
  <c r="AF1078" i="1"/>
  <c r="AG1078" i="1" s="1"/>
  <c r="AF1079" i="1"/>
  <c r="AG1079" i="1" s="1"/>
  <c r="AF1080" i="1"/>
  <c r="AG1080" i="1" s="1"/>
  <c r="AF1081" i="1"/>
  <c r="AG1081" i="1" s="1"/>
  <c r="AF1082" i="1"/>
  <c r="AG1082" i="1" s="1"/>
  <c r="AF1083" i="1"/>
  <c r="AG1083" i="1" s="1"/>
  <c r="AF1084" i="1"/>
  <c r="AG1084" i="1" s="1"/>
  <c r="AF1085" i="1"/>
  <c r="AG1085" i="1" s="1"/>
  <c r="AF1086" i="1"/>
  <c r="AG1086" i="1" s="1"/>
  <c r="AF1087" i="1"/>
  <c r="AG1087" i="1" s="1"/>
  <c r="AF1088" i="1"/>
  <c r="AG1088" i="1" s="1"/>
  <c r="AF1089" i="1"/>
  <c r="AG1089" i="1" s="1"/>
  <c r="AF1090" i="1"/>
  <c r="AG1090" i="1" s="1"/>
  <c r="AF1091" i="1"/>
  <c r="AG1091" i="1" s="1"/>
  <c r="AF1092" i="1"/>
  <c r="AG1092" i="1" s="1"/>
  <c r="AF1093" i="1"/>
  <c r="AG1093" i="1" s="1"/>
  <c r="AF1094" i="1"/>
  <c r="AG1094" i="1" s="1"/>
  <c r="AF1095" i="1"/>
  <c r="AG1095" i="1" s="1"/>
  <c r="AF1096" i="1"/>
  <c r="AG1096" i="1" s="1"/>
  <c r="AF1097" i="1"/>
  <c r="AG1097" i="1" s="1"/>
  <c r="AF1098" i="1"/>
  <c r="AG1098" i="1" s="1"/>
  <c r="AF1099" i="1"/>
  <c r="AG1099" i="1" s="1"/>
  <c r="AF1100" i="1"/>
  <c r="AG1100" i="1" s="1"/>
  <c r="AF1101" i="1"/>
  <c r="AG1101" i="1" s="1"/>
  <c r="AF1102" i="1"/>
  <c r="AG1102" i="1" s="1"/>
  <c r="AF1103" i="1"/>
  <c r="AG1103" i="1" s="1"/>
  <c r="AF1104" i="1"/>
  <c r="AG1104" i="1" s="1"/>
  <c r="AF1105" i="1"/>
  <c r="AG1105" i="1" s="1"/>
  <c r="AH1105" i="1" s="1"/>
  <c r="AF1106" i="1"/>
  <c r="AG1106" i="1" s="1"/>
  <c r="AF1107" i="1"/>
  <c r="AG1107" i="1" s="1"/>
  <c r="AF1108" i="1"/>
  <c r="AG1108" i="1" s="1"/>
  <c r="AF1109" i="1"/>
  <c r="AG1109" i="1" s="1"/>
  <c r="AF1110" i="1"/>
  <c r="AG1110" i="1" s="1"/>
  <c r="AF1111" i="1"/>
  <c r="AG1111" i="1" s="1"/>
  <c r="AF1112" i="1"/>
  <c r="AG1112" i="1" s="1"/>
  <c r="AF1113" i="1"/>
  <c r="AG1113" i="1" s="1"/>
  <c r="AF1114" i="1"/>
  <c r="AG1114" i="1" s="1"/>
  <c r="AF1115" i="1"/>
  <c r="AG1115" i="1" s="1"/>
  <c r="AF1116" i="1"/>
  <c r="AG1116" i="1" s="1"/>
  <c r="AF1117" i="1"/>
  <c r="AG1117" i="1" s="1"/>
  <c r="AF1118" i="1"/>
  <c r="AG1118" i="1" s="1"/>
  <c r="AF1119" i="1"/>
  <c r="AG1119" i="1" s="1"/>
  <c r="AF1120" i="1"/>
  <c r="AG1120" i="1" s="1"/>
  <c r="AF1121" i="1"/>
  <c r="AG1121" i="1" s="1"/>
  <c r="AF1122" i="1"/>
  <c r="AG1122" i="1" s="1"/>
  <c r="AF1123" i="1"/>
  <c r="AG1123" i="1" s="1"/>
  <c r="AF1124" i="1"/>
  <c r="AG1124" i="1" s="1"/>
  <c r="AF1125" i="1"/>
  <c r="AG1125" i="1" s="1"/>
  <c r="AF1126" i="1"/>
  <c r="AG1126" i="1" s="1"/>
  <c r="AF1127" i="1"/>
  <c r="AG1127" i="1" s="1"/>
  <c r="AF1128" i="1"/>
  <c r="AG1128" i="1" s="1"/>
  <c r="AF1129" i="1"/>
  <c r="AG1129" i="1" s="1"/>
  <c r="AF1130" i="1"/>
  <c r="AG1130" i="1" s="1"/>
  <c r="AF1131" i="1"/>
  <c r="AG1131" i="1" s="1"/>
  <c r="AF1132" i="1"/>
  <c r="AG1132" i="1" s="1"/>
  <c r="AF1133" i="1"/>
  <c r="AG1133" i="1" s="1"/>
  <c r="AF1134" i="1"/>
  <c r="AG1134" i="1" s="1"/>
  <c r="AF1135" i="1"/>
  <c r="AG1135" i="1" s="1"/>
  <c r="AF1136" i="1"/>
  <c r="AG1136" i="1" s="1"/>
  <c r="AF1137" i="1"/>
  <c r="AG1137" i="1" s="1"/>
  <c r="AF1138" i="1"/>
  <c r="AG1138" i="1" s="1"/>
  <c r="AF1139" i="1"/>
  <c r="AG1139" i="1" s="1"/>
  <c r="AF1140" i="1"/>
  <c r="AG1140" i="1" s="1"/>
  <c r="AF1141" i="1"/>
  <c r="AG1141" i="1" s="1"/>
  <c r="AF1142" i="1"/>
  <c r="AG1142" i="1" s="1"/>
  <c r="AF1143" i="1"/>
  <c r="AG1143" i="1" s="1"/>
  <c r="AF1144" i="1"/>
  <c r="AG1144" i="1" s="1"/>
  <c r="AF1145" i="1"/>
  <c r="AG1145" i="1" s="1"/>
  <c r="AF1146" i="1"/>
  <c r="AG1146" i="1" s="1"/>
  <c r="AF1147" i="1"/>
  <c r="AG1147" i="1" s="1"/>
  <c r="AF1148" i="1"/>
  <c r="AG1148" i="1" s="1"/>
  <c r="AF1149" i="1"/>
  <c r="AG1149" i="1" s="1"/>
  <c r="AF1150" i="1"/>
  <c r="AG1150" i="1" s="1"/>
  <c r="AF1151" i="1"/>
  <c r="AG1151" i="1" s="1"/>
  <c r="AF1152" i="1"/>
  <c r="AG1152" i="1" s="1"/>
  <c r="AF1153" i="1"/>
  <c r="AG1153" i="1" s="1"/>
  <c r="AF1154" i="1"/>
  <c r="AG1154" i="1" s="1"/>
  <c r="AF1155" i="1"/>
  <c r="AG1155" i="1" s="1"/>
  <c r="AF1156" i="1"/>
  <c r="AG1156" i="1" s="1"/>
  <c r="AF1157" i="1"/>
  <c r="AG1157" i="1" s="1"/>
  <c r="AF1158" i="1"/>
  <c r="AG1158" i="1" s="1"/>
  <c r="AF1159" i="1"/>
  <c r="AG1159" i="1" s="1"/>
  <c r="AF1160" i="1"/>
  <c r="AG1160" i="1" s="1"/>
  <c r="AF1161" i="1"/>
  <c r="AG1161" i="1" s="1"/>
  <c r="AH1161" i="1" s="1"/>
  <c r="AF1162" i="1"/>
  <c r="AG1162" i="1" s="1"/>
  <c r="AF1163" i="1"/>
  <c r="AG1163" i="1" s="1"/>
  <c r="AF1164" i="1"/>
  <c r="AG1164" i="1" s="1"/>
  <c r="AF1165" i="1"/>
  <c r="AG1165" i="1" s="1"/>
  <c r="AF1166" i="1"/>
  <c r="AG1166" i="1" s="1"/>
  <c r="AF1167" i="1"/>
  <c r="AG1167" i="1" s="1"/>
  <c r="AF1168" i="1"/>
  <c r="AG1168" i="1" s="1"/>
  <c r="AF1169" i="1"/>
  <c r="AG1169" i="1" s="1"/>
  <c r="AF1170" i="1"/>
  <c r="AG1170" i="1" s="1"/>
  <c r="AF1171" i="1"/>
  <c r="AG1171" i="1" s="1"/>
  <c r="AF1172" i="1"/>
  <c r="AG1172" i="1" s="1"/>
  <c r="AF1173" i="1"/>
  <c r="AG1173" i="1" s="1"/>
  <c r="AF1174" i="1"/>
  <c r="AG1174" i="1" s="1"/>
  <c r="AF1175" i="1"/>
  <c r="AG1175" i="1" s="1"/>
  <c r="AF1176" i="1"/>
  <c r="AG1176" i="1" s="1"/>
  <c r="AF1177" i="1"/>
  <c r="AG1177" i="1" s="1"/>
  <c r="AF1178" i="1"/>
  <c r="AG1178" i="1" s="1"/>
  <c r="AF1179" i="1"/>
  <c r="AG1179" i="1" s="1"/>
  <c r="AF1180" i="1"/>
  <c r="AG1180" i="1" s="1"/>
  <c r="AF1181" i="1"/>
  <c r="AG1181" i="1" s="1"/>
  <c r="AF1182" i="1"/>
  <c r="AG1182" i="1" s="1"/>
  <c r="AF1183" i="1"/>
  <c r="AG1183" i="1" s="1"/>
  <c r="AF1184" i="1"/>
  <c r="AG1184" i="1" s="1"/>
  <c r="AF1185" i="1"/>
  <c r="AG1185" i="1" s="1"/>
  <c r="AH1185" i="1" s="1"/>
  <c r="AF1186" i="1"/>
  <c r="AG1186" i="1" s="1"/>
  <c r="AF1187" i="1"/>
  <c r="AG1187" i="1" s="1"/>
  <c r="AF1188" i="1"/>
  <c r="AG1188" i="1" s="1"/>
  <c r="AF1189" i="1"/>
  <c r="AG1189" i="1" s="1"/>
  <c r="AF1190" i="1"/>
  <c r="AG1190" i="1" s="1"/>
  <c r="AF1191" i="1"/>
  <c r="AG1191" i="1" s="1"/>
  <c r="AF1192" i="1"/>
  <c r="AG1192" i="1" s="1"/>
  <c r="AF1193" i="1"/>
  <c r="AG1193" i="1" s="1"/>
  <c r="AH1193" i="1" s="1"/>
  <c r="AF1194" i="1"/>
  <c r="AG1194" i="1" s="1"/>
  <c r="AF1195" i="1"/>
  <c r="AG1195" i="1" s="1"/>
  <c r="AF1196" i="1"/>
  <c r="AG1196" i="1" s="1"/>
  <c r="AF1197" i="1"/>
  <c r="AG1197" i="1" s="1"/>
  <c r="AF1198" i="1"/>
  <c r="AG1198" i="1" s="1"/>
  <c r="AF1199" i="1"/>
  <c r="AG1199" i="1" s="1"/>
  <c r="AF1200" i="1"/>
  <c r="AG1200" i="1" s="1"/>
  <c r="AF1201" i="1"/>
  <c r="AG1201" i="1" s="1"/>
  <c r="AH1201" i="1" s="1"/>
  <c r="AF1202" i="1"/>
  <c r="AG1202" i="1" s="1"/>
  <c r="AF1203" i="1"/>
  <c r="AG1203" i="1" s="1"/>
  <c r="AF1204" i="1"/>
  <c r="AG1204" i="1" s="1"/>
  <c r="AF1205" i="1"/>
  <c r="AG1205" i="1" s="1"/>
  <c r="AF1206" i="1"/>
  <c r="AG1206" i="1" s="1"/>
  <c r="AF1207" i="1"/>
  <c r="AG1207" i="1" s="1"/>
  <c r="AF1208" i="1"/>
  <c r="AG1208" i="1" s="1"/>
  <c r="AF1209" i="1"/>
  <c r="AG1209" i="1" s="1"/>
  <c r="AH1209" i="1" s="1"/>
  <c r="AF1210" i="1"/>
  <c r="AG1210" i="1" s="1"/>
  <c r="AF1211" i="1"/>
  <c r="AG1211" i="1" s="1"/>
  <c r="AF1212" i="1"/>
  <c r="AG1212" i="1" s="1"/>
  <c r="AF1213" i="1"/>
  <c r="AG1213" i="1" s="1"/>
  <c r="AF1214" i="1"/>
  <c r="AG1214" i="1" s="1"/>
  <c r="AF1215" i="1"/>
  <c r="AG1215" i="1" s="1"/>
  <c r="AF1216" i="1"/>
  <c r="AG1216" i="1" s="1"/>
  <c r="AF1217" i="1"/>
  <c r="AG1217" i="1" s="1"/>
  <c r="AF1218" i="1"/>
  <c r="AG1218" i="1" s="1"/>
  <c r="AF1219" i="1"/>
  <c r="AG1219" i="1" s="1"/>
  <c r="AF1220" i="1"/>
  <c r="AG1220" i="1" s="1"/>
  <c r="AF1221" i="1"/>
  <c r="AG1221" i="1" s="1"/>
  <c r="AF1222" i="1"/>
  <c r="AG1222" i="1" s="1"/>
  <c r="AF1223" i="1"/>
  <c r="AG1223" i="1" s="1"/>
  <c r="AF1224" i="1"/>
  <c r="AG1224" i="1" s="1"/>
  <c r="AF1225" i="1"/>
  <c r="AG1225" i="1" s="1"/>
  <c r="AF1226" i="1"/>
  <c r="AG1226" i="1" s="1"/>
  <c r="AF1227" i="1"/>
  <c r="AG1227" i="1" s="1"/>
  <c r="AF1228" i="1"/>
  <c r="AG1228" i="1" s="1"/>
  <c r="AF1229" i="1"/>
  <c r="AG1229" i="1" s="1"/>
  <c r="AF1230" i="1"/>
  <c r="AG1230" i="1" s="1"/>
  <c r="AF1231" i="1"/>
  <c r="AG1231" i="1" s="1"/>
  <c r="AF1232" i="1"/>
  <c r="AG1232" i="1" s="1"/>
  <c r="AF1233" i="1"/>
  <c r="AG1233" i="1" s="1"/>
  <c r="AF1234" i="1"/>
  <c r="AG1234" i="1" s="1"/>
  <c r="AF1235" i="1"/>
  <c r="AG1235" i="1" s="1"/>
  <c r="AF1236" i="1"/>
  <c r="AG1236" i="1" s="1"/>
  <c r="AF1237" i="1"/>
  <c r="AG1237" i="1" s="1"/>
  <c r="AF1238" i="1"/>
  <c r="AG1238" i="1" s="1"/>
  <c r="AF1239" i="1"/>
  <c r="AG1239" i="1" s="1"/>
  <c r="AF1240" i="1"/>
  <c r="AG1240" i="1" s="1"/>
  <c r="AF1241" i="1"/>
  <c r="AG1241" i="1" s="1"/>
  <c r="AF1242" i="1"/>
  <c r="AG1242" i="1" s="1"/>
  <c r="AF1243" i="1"/>
  <c r="AG1243" i="1" s="1"/>
  <c r="AF1244" i="1"/>
  <c r="AG1244" i="1" s="1"/>
  <c r="AF1245" i="1"/>
  <c r="AG1245" i="1" s="1"/>
  <c r="AF1246" i="1"/>
  <c r="AG1246" i="1" s="1"/>
  <c r="AF1247" i="1"/>
  <c r="AG1247" i="1" s="1"/>
  <c r="AF1248" i="1"/>
  <c r="AG1248" i="1" s="1"/>
  <c r="AF1249" i="1"/>
  <c r="AG1249" i="1" s="1"/>
  <c r="AF1250" i="1"/>
  <c r="AG1250" i="1" s="1"/>
  <c r="AF1251" i="1"/>
  <c r="AG1251" i="1" s="1"/>
  <c r="AF1252" i="1"/>
  <c r="AG1252" i="1" s="1"/>
  <c r="AF1253" i="1"/>
  <c r="AG1253" i="1" s="1"/>
  <c r="AF1254" i="1"/>
  <c r="AG1254" i="1" s="1"/>
  <c r="AF1255" i="1"/>
  <c r="AG1255" i="1" s="1"/>
  <c r="AF1256" i="1"/>
  <c r="AG1256" i="1" s="1"/>
  <c r="AF1257" i="1"/>
  <c r="AG1257" i="1" s="1"/>
  <c r="AH1257" i="1" s="1"/>
  <c r="AF1258" i="1"/>
  <c r="AG1258" i="1" s="1"/>
  <c r="AF1259" i="1"/>
  <c r="AG1259" i="1" s="1"/>
  <c r="AF1260" i="1"/>
  <c r="AG1260" i="1" s="1"/>
  <c r="AF1261" i="1"/>
  <c r="AG1261" i="1" s="1"/>
  <c r="AF1262" i="1"/>
  <c r="AG1262" i="1" s="1"/>
  <c r="AF1263" i="1"/>
  <c r="AG1263" i="1" s="1"/>
  <c r="AF1264" i="1"/>
  <c r="AG1264" i="1" s="1"/>
  <c r="AF1265" i="1"/>
  <c r="AG1265" i="1" s="1"/>
  <c r="AF1266" i="1"/>
  <c r="AG1266" i="1" s="1"/>
  <c r="AF1267" i="1"/>
  <c r="AG1267" i="1" s="1"/>
  <c r="AF1268" i="1"/>
  <c r="AG1268" i="1" s="1"/>
  <c r="AF1269" i="1"/>
  <c r="AG1269" i="1" s="1"/>
  <c r="AF1270" i="1"/>
  <c r="AG1270" i="1" s="1"/>
  <c r="AF1271" i="1"/>
  <c r="AG1271" i="1" s="1"/>
  <c r="AF1272" i="1"/>
  <c r="AG1272" i="1" s="1"/>
  <c r="AF1273" i="1"/>
  <c r="AG1273" i="1" s="1"/>
  <c r="AH1273" i="1" s="1"/>
  <c r="AF1274" i="1"/>
  <c r="AG1274" i="1" s="1"/>
  <c r="AF1275" i="1"/>
  <c r="AG1275" i="1" s="1"/>
  <c r="AF1276" i="1"/>
  <c r="AG1276" i="1" s="1"/>
  <c r="AF1277" i="1"/>
  <c r="AG1277" i="1" s="1"/>
  <c r="AF1278" i="1"/>
  <c r="AG1278" i="1" s="1"/>
  <c r="AF1279" i="1"/>
  <c r="AG1279" i="1" s="1"/>
  <c r="AF1280" i="1"/>
  <c r="AG1280" i="1" s="1"/>
  <c r="AF1281" i="1"/>
  <c r="AG1281" i="1" s="1"/>
  <c r="AH1281" i="1" s="1"/>
  <c r="AF1282" i="1"/>
  <c r="AG1282" i="1" s="1"/>
  <c r="AF1283" i="1"/>
  <c r="AG1283" i="1" s="1"/>
  <c r="AF1284" i="1"/>
  <c r="AG1284" i="1" s="1"/>
  <c r="AF1285" i="1"/>
  <c r="AG1285" i="1" s="1"/>
  <c r="AF1286" i="1"/>
  <c r="AG1286" i="1" s="1"/>
  <c r="AF1287" i="1"/>
  <c r="AG1287" i="1" s="1"/>
  <c r="AF1288" i="1"/>
  <c r="AG1288" i="1" s="1"/>
  <c r="AF1289" i="1"/>
  <c r="AG1289" i="1" s="1"/>
  <c r="AF1290" i="1"/>
  <c r="AG1290" i="1" s="1"/>
  <c r="AF1291" i="1"/>
  <c r="AG1291" i="1" s="1"/>
  <c r="AF1292" i="1"/>
  <c r="AG1292" i="1" s="1"/>
  <c r="AF1293" i="1"/>
  <c r="AG1293" i="1" s="1"/>
  <c r="AF1294" i="1"/>
  <c r="AG1294" i="1" s="1"/>
  <c r="AF1295" i="1"/>
  <c r="AG1295" i="1" s="1"/>
  <c r="AF1296" i="1"/>
  <c r="AG1296" i="1" s="1"/>
  <c r="AF1297" i="1"/>
  <c r="AG1297" i="1" s="1"/>
  <c r="AH1297" i="1" s="1"/>
  <c r="AF1298" i="1"/>
  <c r="AG1298" i="1" s="1"/>
  <c r="AF1299" i="1"/>
  <c r="AG1299" i="1" s="1"/>
  <c r="AF1300" i="1"/>
  <c r="AG1300" i="1" s="1"/>
  <c r="AF1301" i="1"/>
  <c r="AG1301" i="1" s="1"/>
  <c r="AF1302" i="1"/>
  <c r="AG1302" i="1" s="1"/>
  <c r="AF1303" i="1"/>
  <c r="AG1303" i="1" s="1"/>
  <c r="AF1304" i="1"/>
  <c r="AG1304" i="1" s="1"/>
  <c r="AF1305" i="1"/>
  <c r="AG1305" i="1" s="1"/>
  <c r="AF1306" i="1"/>
  <c r="AG1306" i="1" s="1"/>
  <c r="AF1307" i="1"/>
  <c r="AG1307" i="1" s="1"/>
  <c r="AF1308" i="1"/>
  <c r="AG1308" i="1" s="1"/>
  <c r="AF1309" i="1"/>
  <c r="AG1309" i="1" s="1"/>
  <c r="AF1310" i="1"/>
  <c r="AG1310" i="1" s="1"/>
  <c r="AF1311" i="1"/>
  <c r="AG1311" i="1" s="1"/>
  <c r="AF1312" i="1"/>
  <c r="AG1312" i="1" s="1"/>
  <c r="AF1313" i="1"/>
  <c r="AG1313" i="1" s="1"/>
  <c r="AF1314" i="1"/>
  <c r="AG1314" i="1" s="1"/>
  <c r="AF1315" i="1"/>
  <c r="AG1315" i="1" s="1"/>
  <c r="AF1316" i="1"/>
  <c r="AG1316" i="1" s="1"/>
  <c r="AF1317" i="1"/>
  <c r="AG1317" i="1" s="1"/>
  <c r="AF1318" i="1"/>
  <c r="AG1318" i="1" s="1"/>
  <c r="AF1319" i="1"/>
  <c r="AG1319" i="1" s="1"/>
  <c r="AF1320" i="1"/>
  <c r="AG1320" i="1" s="1"/>
  <c r="AF1321" i="1"/>
  <c r="AG1321" i="1" s="1"/>
  <c r="AH1321" i="1" s="1"/>
  <c r="AF1322" i="1"/>
  <c r="AG1322" i="1" s="1"/>
  <c r="AF1323" i="1"/>
  <c r="AG1323" i="1" s="1"/>
  <c r="AF1324" i="1"/>
  <c r="AG1324" i="1" s="1"/>
  <c r="AF1325" i="1"/>
  <c r="AG1325" i="1" s="1"/>
  <c r="AF1326" i="1"/>
  <c r="AG1326" i="1" s="1"/>
  <c r="AF1327" i="1"/>
  <c r="AG1327" i="1" s="1"/>
  <c r="AF1328" i="1"/>
  <c r="AG1328" i="1" s="1"/>
  <c r="AF1329" i="1"/>
  <c r="AG1329" i="1" s="1"/>
  <c r="AH1329" i="1" s="1"/>
  <c r="AF1330" i="1"/>
  <c r="AG1330" i="1" s="1"/>
  <c r="AF1331" i="1"/>
  <c r="AG1331" i="1" s="1"/>
  <c r="AF1332" i="1"/>
  <c r="AG1332" i="1" s="1"/>
  <c r="AF1333" i="1"/>
  <c r="AG1333" i="1" s="1"/>
  <c r="AF1334" i="1"/>
  <c r="AG1334" i="1" s="1"/>
  <c r="AF1335" i="1"/>
  <c r="AG1335" i="1" s="1"/>
  <c r="AF1336" i="1"/>
  <c r="AG1336" i="1" s="1"/>
  <c r="AF1337" i="1"/>
  <c r="AG1337" i="1" s="1"/>
  <c r="AH1337" i="1" s="1"/>
  <c r="AF1338" i="1"/>
  <c r="AG1338" i="1" s="1"/>
  <c r="AF1339" i="1"/>
  <c r="AG1339" i="1" s="1"/>
  <c r="AF1340" i="1"/>
  <c r="AG1340" i="1" s="1"/>
  <c r="AF1341" i="1"/>
  <c r="AG1341" i="1" s="1"/>
  <c r="AF1342" i="1"/>
  <c r="AG1342" i="1" s="1"/>
  <c r="AF1343" i="1"/>
  <c r="AG1343" i="1" s="1"/>
  <c r="AF1344" i="1"/>
  <c r="AG1344" i="1" s="1"/>
  <c r="AF1345" i="1"/>
  <c r="AG1345" i="1" s="1"/>
  <c r="AF1346" i="1"/>
  <c r="AG1346" i="1" s="1"/>
  <c r="AF1347" i="1"/>
  <c r="AG1347" i="1" s="1"/>
  <c r="AF1348" i="1"/>
  <c r="AG1348" i="1" s="1"/>
  <c r="AF1349" i="1"/>
  <c r="AG1349" i="1" s="1"/>
  <c r="AF1350" i="1"/>
  <c r="AG1350" i="1" s="1"/>
  <c r="AF1351" i="1"/>
  <c r="AG1351" i="1" s="1"/>
  <c r="AF1352" i="1"/>
  <c r="AG1352" i="1" s="1"/>
  <c r="AF1353" i="1"/>
  <c r="AG1353" i="1" s="1"/>
  <c r="AF1354" i="1"/>
  <c r="AG1354" i="1" s="1"/>
  <c r="AF1355" i="1"/>
  <c r="AG1355" i="1" s="1"/>
  <c r="AF1356" i="1"/>
  <c r="AG1356" i="1" s="1"/>
  <c r="AF1357" i="1"/>
  <c r="AG1357" i="1" s="1"/>
  <c r="AF1358" i="1"/>
  <c r="AG1358" i="1" s="1"/>
  <c r="AF1359" i="1"/>
  <c r="AG1359" i="1" s="1"/>
  <c r="AF1360" i="1"/>
  <c r="AG1360" i="1" s="1"/>
  <c r="AF1361" i="1"/>
  <c r="AG1361" i="1" s="1"/>
  <c r="AH1361" i="1" s="1"/>
  <c r="AF1362" i="1"/>
  <c r="AG1362" i="1" s="1"/>
  <c r="AF1363" i="1"/>
  <c r="AG1363" i="1" s="1"/>
  <c r="AF1364" i="1"/>
  <c r="AG1364" i="1" s="1"/>
  <c r="AF1365" i="1"/>
  <c r="AG1365" i="1" s="1"/>
  <c r="AF1366" i="1"/>
  <c r="AG1366" i="1" s="1"/>
  <c r="AF1367" i="1"/>
  <c r="AG1367" i="1" s="1"/>
  <c r="AF1368" i="1"/>
  <c r="AG1368" i="1" s="1"/>
  <c r="AF1369" i="1"/>
  <c r="AG1369" i="1" s="1"/>
  <c r="AF1370" i="1"/>
  <c r="AG1370" i="1" s="1"/>
  <c r="AF1371" i="1"/>
  <c r="AG1371" i="1" s="1"/>
  <c r="AF1372" i="1"/>
  <c r="AG1372" i="1" s="1"/>
  <c r="AF1373" i="1"/>
  <c r="AG1373" i="1" s="1"/>
  <c r="AF1374" i="1"/>
  <c r="AG1374" i="1" s="1"/>
  <c r="AF1375" i="1"/>
  <c r="AG1375" i="1" s="1"/>
  <c r="AF1376" i="1"/>
  <c r="AG1376" i="1" s="1"/>
  <c r="AF1377" i="1"/>
  <c r="AG1377" i="1" s="1"/>
  <c r="AH1377" i="1" s="1"/>
  <c r="AF1378" i="1"/>
  <c r="AG1378" i="1" s="1"/>
  <c r="AF1379" i="1"/>
  <c r="AG1379" i="1" s="1"/>
  <c r="AF1380" i="1"/>
  <c r="AG1380" i="1" s="1"/>
  <c r="AF1381" i="1"/>
  <c r="AG1381" i="1" s="1"/>
  <c r="AF1382" i="1"/>
  <c r="AG1382" i="1" s="1"/>
  <c r="AF1383" i="1"/>
  <c r="AG1383" i="1" s="1"/>
  <c r="AF1384" i="1"/>
  <c r="AG1384" i="1" s="1"/>
  <c r="AF1385" i="1"/>
  <c r="AG1385" i="1" s="1"/>
  <c r="AF1386" i="1"/>
  <c r="AG1386" i="1" s="1"/>
  <c r="AF1387" i="1"/>
  <c r="AG1387" i="1" s="1"/>
  <c r="AF1388" i="1"/>
  <c r="AG1388" i="1" s="1"/>
  <c r="AF1389" i="1"/>
  <c r="AG1389" i="1" s="1"/>
  <c r="AF1390" i="1"/>
  <c r="AG1390" i="1" s="1"/>
  <c r="AF1391" i="1"/>
  <c r="AG1391" i="1" s="1"/>
  <c r="AF1392" i="1"/>
  <c r="AG1392" i="1" s="1"/>
  <c r="AF1393" i="1"/>
  <c r="AG1393" i="1" s="1"/>
  <c r="AF1394" i="1"/>
  <c r="AG1394" i="1" s="1"/>
  <c r="AF1395" i="1"/>
  <c r="AG1395" i="1" s="1"/>
  <c r="AF1396" i="1"/>
  <c r="AG1396" i="1" s="1"/>
  <c r="AF1397" i="1"/>
  <c r="AG1397" i="1" s="1"/>
  <c r="AF1398" i="1"/>
  <c r="AG1398" i="1" s="1"/>
  <c r="AF1399" i="1"/>
  <c r="AG1399" i="1" s="1"/>
  <c r="AF1400" i="1"/>
  <c r="AG1400" i="1" s="1"/>
  <c r="AF1401" i="1"/>
  <c r="AG1401" i="1" s="1"/>
  <c r="AF1402" i="1"/>
  <c r="AG1402" i="1" s="1"/>
  <c r="AF1403" i="1"/>
  <c r="AG1403" i="1" s="1"/>
  <c r="AF1404" i="1"/>
  <c r="AG1404" i="1" s="1"/>
  <c r="AF1405" i="1"/>
  <c r="AG1405" i="1" s="1"/>
  <c r="AF1406" i="1"/>
  <c r="AG1406" i="1" s="1"/>
  <c r="AF1407" i="1"/>
  <c r="AG1407" i="1" s="1"/>
  <c r="AF1408" i="1"/>
  <c r="AG1408" i="1" s="1"/>
  <c r="AF1409" i="1"/>
  <c r="AG1409" i="1" s="1"/>
  <c r="AH1409" i="1" s="1"/>
  <c r="AF1410" i="1"/>
  <c r="AG1410" i="1" s="1"/>
  <c r="AF1411" i="1"/>
  <c r="AG1411" i="1" s="1"/>
  <c r="AF1412" i="1"/>
  <c r="AG1412" i="1" s="1"/>
  <c r="AF1413" i="1"/>
  <c r="AG1413" i="1" s="1"/>
  <c r="AF1414" i="1"/>
  <c r="AG1414" i="1" s="1"/>
  <c r="AF1415" i="1"/>
  <c r="AG1415" i="1" s="1"/>
  <c r="AF1416" i="1"/>
  <c r="AG1416" i="1" s="1"/>
  <c r="AF1417" i="1"/>
  <c r="AG1417" i="1" s="1"/>
  <c r="AH1417" i="1" s="1"/>
  <c r="AF1418" i="1"/>
  <c r="AG1418" i="1" s="1"/>
  <c r="AF1419" i="1"/>
  <c r="AG1419" i="1" s="1"/>
  <c r="AF1420" i="1"/>
  <c r="AG1420" i="1" s="1"/>
  <c r="AF1421" i="1"/>
  <c r="AG1421" i="1" s="1"/>
  <c r="AF1422" i="1"/>
  <c r="AG1422" i="1" s="1"/>
  <c r="AF1423" i="1"/>
  <c r="AG1423" i="1" s="1"/>
  <c r="AF1424" i="1"/>
  <c r="AG1424" i="1" s="1"/>
  <c r="AF1425" i="1"/>
  <c r="AG1425" i="1" s="1"/>
  <c r="AF1426" i="1"/>
  <c r="AG1426" i="1" s="1"/>
  <c r="AF1427" i="1"/>
  <c r="AG1427" i="1" s="1"/>
  <c r="AF1428" i="1"/>
  <c r="AG1428" i="1" s="1"/>
  <c r="AF1429" i="1"/>
  <c r="AG1429" i="1" s="1"/>
  <c r="AF1430" i="1"/>
  <c r="AG1430" i="1" s="1"/>
  <c r="AF1431" i="1"/>
  <c r="AG1431" i="1" s="1"/>
  <c r="AF1432" i="1"/>
  <c r="AG1432" i="1" s="1"/>
  <c r="AF1433" i="1"/>
  <c r="AG1433" i="1" s="1"/>
  <c r="AF1434" i="1"/>
  <c r="AG1434" i="1" s="1"/>
  <c r="AF1435" i="1"/>
  <c r="AG1435" i="1" s="1"/>
  <c r="AF1436" i="1"/>
  <c r="AG1436" i="1" s="1"/>
  <c r="AF1437" i="1"/>
  <c r="AG1437" i="1" s="1"/>
  <c r="AF1438" i="1"/>
  <c r="AG1438" i="1" s="1"/>
  <c r="AF1439" i="1"/>
  <c r="AG1439" i="1" s="1"/>
  <c r="AF1440" i="1"/>
  <c r="AG1440" i="1" s="1"/>
  <c r="AF1441" i="1"/>
  <c r="AG1441" i="1" s="1"/>
  <c r="AF1442" i="1"/>
  <c r="AG1442" i="1" s="1"/>
  <c r="AF1443" i="1"/>
  <c r="AG1443" i="1" s="1"/>
  <c r="AF1444" i="1"/>
  <c r="AG1444" i="1" s="1"/>
  <c r="AF1445" i="1"/>
  <c r="AG1445" i="1" s="1"/>
  <c r="AF1446" i="1"/>
  <c r="AG1446" i="1" s="1"/>
  <c r="AF1447" i="1"/>
  <c r="AG1447" i="1" s="1"/>
  <c r="AF1448" i="1"/>
  <c r="AG1448" i="1" s="1"/>
  <c r="AF1449" i="1"/>
  <c r="AG1449" i="1" s="1"/>
  <c r="AF1450" i="1"/>
  <c r="AG1450" i="1" s="1"/>
  <c r="AF1451" i="1"/>
  <c r="AG1451" i="1" s="1"/>
  <c r="AF1452" i="1"/>
  <c r="AG1452" i="1" s="1"/>
  <c r="AF1453" i="1"/>
  <c r="AG1453" i="1" s="1"/>
  <c r="AF1454" i="1"/>
  <c r="AG1454" i="1" s="1"/>
  <c r="AF1455" i="1"/>
  <c r="AG1455" i="1" s="1"/>
  <c r="AF1456" i="1"/>
  <c r="AG1456" i="1" s="1"/>
  <c r="AF1457" i="1"/>
  <c r="AG1457" i="1" s="1"/>
  <c r="AH1457" i="1" s="1"/>
  <c r="AF1458" i="1"/>
  <c r="AG1458" i="1" s="1"/>
  <c r="AF1459" i="1"/>
  <c r="AG1459" i="1" s="1"/>
  <c r="AF1460" i="1"/>
  <c r="AG1460" i="1" s="1"/>
  <c r="AF1461" i="1"/>
  <c r="AG1461" i="1" s="1"/>
  <c r="AF1462" i="1"/>
  <c r="AG1462" i="1" s="1"/>
  <c r="AF1463" i="1"/>
  <c r="AG1463" i="1" s="1"/>
  <c r="AF1464" i="1"/>
  <c r="AG1464" i="1" s="1"/>
  <c r="AF1465" i="1"/>
  <c r="AG1465" i="1" s="1"/>
  <c r="AF1466" i="1"/>
  <c r="AG1466" i="1" s="1"/>
  <c r="AF1467" i="1"/>
  <c r="AG1467" i="1" s="1"/>
  <c r="AF1468" i="1"/>
  <c r="AG1468" i="1" s="1"/>
  <c r="AF1469" i="1"/>
  <c r="AG1469" i="1" s="1"/>
  <c r="AF1470" i="1"/>
  <c r="AG1470" i="1" s="1"/>
  <c r="AF1471" i="1"/>
  <c r="AG1471" i="1" s="1"/>
  <c r="AF1472" i="1"/>
  <c r="AG1472" i="1" s="1"/>
  <c r="AF1473" i="1"/>
  <c r="AG1473" i="1" s="1"/>
  <c r="AF1474" i="1"/>
  <c r="AG1474" i="1" s="1"/>
  <c r="AF1475" i="1"/>
  <c r="AG1475" i="1" s="1"/>
  <c r="AF1476" i="1"/>
  <c r="AG1476" i="1" s="1"/>
  <c r="AF1477" i="1"/>
  <c r="AG1477" i="1" s="1"/>
  <c r="AF1478" i="1"/>
  <c r="AG1478" i="1" s="1"/>
  <c r="AF1479" i="1"/>
  <c r="AG1479" i="1" s="1"/>
  <c r="AF1480" i="1"/>
  <c r="AG1480" i="1" s="1"/>
  <c r="AF1481" i="1"/>
  <c r="AG1481" i="1" s="1"/>
  <c r="AF1482" i="1"/>
  <c r="AG1482" i="1" s="1"/>
  <c r="AF1483" i="1"/>
  <c r="AG1483" i="1" s="1"/>
  <c r="AF1484" i="1"/>
  <c r="AG1484" i="1" s="1"/>
  <c r="AF1485" i="1"/>
  <c r="AG1485" i="1" s="1"/>
  <c r="AF1486" i="1"/>
  <c r="AG1486" i="1" s="1"/>
  <c r="AF1487" i="1"/>
  <c r="AG1487" i="1" s="1"/>
  <c r="AF1488" i="1"/>
  <c r="AG1488" i="1" s="1"/>
  <c r="AF1489" i="1"/>
  <c r="AG1489" i="1" s="1"/>
  <c r="AF1490" i="1"/>
  <c r="AG1490" i="1" s="1"/>
  <c r="AF1491" i="1"/>
  <c r="AG1491" i="1" s="1"/>
  <c r="AF1492" i="1"/>
  <c r="AG1492" i="1" s="1"/>
  <c r="AF1493" i="1"/>
  <c r="AG1493" i="1" s="1"/>
  <c r="AF1494" i="1"/>
  <c r="AG1494" i="1" s="1"/>
  <c r="AF1495" i="1"/>
  <c r="AG1495" i="1" s="1"/>
  <c r="AF1496" i="1"/>
  <c r="AG1496" i="1" s="1"/>
  <c r="AF1497" i="1"/>
  <c r="AG1497" i="1" s="1"/>
  <c r="AH1497" i="1" s="1"/>
  <c r="AF1498" i="1"/>
  <c r="AG1498" i="1" s="1"/>
  <c r="AF1499" i="1"/>
  <c r="AG1499" i="1" s="1"/>
  <c r="AF1500" i="1"/>
  <c r="AG1500" i="1" s="1"/>
  <c r="AF1501" i="1"/>
  <c r="AG1501" i="1" s="1"/>
  <c r="AF1502" i="1"/>
  <c r="AG1502" i="1" s="1"/>
  <c r="AF1503" i="1"/>
  <c r="AG1503" i="1" s="1"/>
  <c r="AF1504" i="1"/>
  <c r="AG1504" i="1" s="1"/>
  <c r="AF1505" i="1"/>
  <c r="AG1505" i="1" s="1"/>
  <c r="AF1506" i="1"/>
  <c r="AG1506" i="1" s="1"/>
  <c r="AF1507" i="1"/>
  <c r="AG1507" i="1" s="1"/>
  <c r="AF1508" i="1"/>
  <c r="AG1508" i="1" s="1"/>
  <c r="AF1509" i="1"/>
  <c r="AG1509" i="1" s="1"/>
  <c r="AF1510" i="1"/>
  <c r="AG1510" i="1" s="1"/>
  <c r="AF1511" i="1"/>
  <c r="AG1511" i="1" s="1"/>
  <c r="AF1512" i="1"/>
  <c r="AG1512" i="1" s="1"/>
  <c r="AF1513" i="1"/>
  <c r="AG1513" i="1" s="1"/>
  <c r="AF1514" i="1"/>
  <c r="AG1514" i="1" s="1"/>
  <c r="AF1515" i="1"/>
  <c r="AG1515" i="1" s="1"/>
  <c r="AF1516" i="1"/>
  <c r="AG1516" i="1" s="1"/>
  <c r="AF1517" i="1"/>
  <c r="AG1517" i="1" s="1"/>
  <c r="AF1518" i="1"/>
  <c r="AG1518" i="1" s="1"/>
  <c r="AF1519" i="1"/>
  <c r="AG1519" i="1" s="1"/>
  <c r="AF1520" i="1"/>
  <c r="AG1520" i="1" s="1"/>
  <c r="AF1521" i="1"/>
  <c r="AG1521" i="1" s="1"/>
  <c r="AF1522" i="1"/>
  <c r="AG1522" i="1" s="1"/>
  <c r="AF1523" i="1"/>
  <c r="AG1523" i="1" s="1"/>
  <c r="AF1524" i="1"/>
  <c r="AG1524" i="1" s="1"/>
  <c r="AF1525" i="1"/>
  <c r="AG1525" i="1" s="1"/>
  <c r="AF1526" i="1"/>
  <c r="AG1526" i="1" s="1"/>
  <c r="AF1527" i="1"/>
  <c r="AG1527" i="1" s="1"/>
  <c r="AF1528" i="1"/>
  <c r="AG1528" i="1" s="1"/>
  <c r="AF1529" i="1"/>
  <c r="AG1529" i="1" s="1"/>
  <c r="AF1530" i="1"/>
  <c r="AG1530" i="1" s="1"/>
  <c r="AF1531" i="1"/>
  <c r="AG1531" i="1" s="1"/>
  <c r="AF1532" i="1"/>
  <c r="AG1532" i="1" s="1"/>
  <c r="AF1533" i="1"/>
  <c r="AG1533" i="1" s="1"/>
  <c r="AF1534" i="1"/>
  <c r="AG1534" i="1" s="1"/>
  <c r="AF1535" i="1"/>
  <c r="AG1535" i="1" s="1"/>
  <c r="AF1536" i="1"/>
  <c r="AG1536" i="1" s="1"/>
  <c r="AF1537" i="1"/>
  <c r="AG1537" i="1" s="1"/>
  <c r="AF1538" i="1"/>
  <c r="AG1538" i="1" s="1"/>
  <c r="AF1539" i="1"/>
  <c r="AG1539" i="1" s="1"/>
  <c r="AF1540" i="1"/>
  <c r="AG1540" i="1" s="1"/>
  <c r="AF1541" i="1"/>
  <c r="AG1541" i="1" s="1"/>
  <c r="AF1542" i="1"/>
  <c r="AG1542" i="1" s="1"/>
  <c r="AF1543" i="1"/>
  <c r="AG1543" i="1" s="1"/>
  <c r="AF1544" i="1"/>
  <c r="AG1544" i="1" s="1"/>
  <c r="AF1545" i="1"/>
  <c r="AG1545" i="1" s="1"/>
  <c r="AF1546" i="1"/>
  <c r="AG1546" i="1" s="1"/>
  <c r="AF1547" i="1"/>
  <c r="AG1547" i="1" s="1"/>
  <c r="AF1548" i="1"/>
  <c r="AG1548" i="1" s="1"/>
  <c r="AF1549" i="1"/>
  <c r="AG1549" i="1" s="1"/>
  <c r="AF1550" i="1"/>
  <c r="AG1550" i="1" s="1"/>
  <c r="AF1551" i="1"/>
  <c r="AG1551" i="1" s="1"/>
  <c r="AF1552" i="1"/>
  <c r="AG1552" i="1" s="1"/>
  <c r="AF1553" i="1"/>
  <c r="AG1553" i="1" s="1"/>
  <c r="AH1553" i="1" s="1"/>
  <c r="AF1554" i="1"/>
  <c r="AG1554" i="1" s="1"/>
  <c r="AF1555" i="1"/>
  <c r="AG1555" i="1" s="1"/>
  <c r="AF1556" i="1"/>
  <c r="AG1556" i="1" s="1"/>
  <c r="AF1557" i="1"/>
  <c r="AG1557" i="1" s="1"/>
  <c r="AF1558" i="1"/>
  <c r="AG1558" i="1" s="1"/>
  <c r="AF1559" i="1"/>
  <c r="AG1559" i="1" s="1"/>
  <c r="AF1560" i="1"/>
  <c r="AG1560" i="1" s="1"/>
  <c r="AF1561" i="1"/>
  <c r="AG1561" i="1" s="1"/>
  <c r="AH1561" i="1" s="1"/>
  <c r="AF1562" i="1"/>
  <c r="AG1562" i="1" s="1"/>
  <c r="AF1563" i="1"/>
  <c r="AG1563" i="1" s="1"/>
  <c r="AF1564" i="1"/>
  <c r="AG1564" i="1" s="1"/>
  <c r="AF1565" i="1"/>
  <c r="AG1565" i="1" s="1"/>
  <c r="AF1566" i="1"/>
  <c r="AG1566" i="1" s="1"/>
  <c r="AF1567" i="1"/>
  <c r="AG1567" i="1" s="1"/>
  <c r="AF1568" i="1"/>
  <c r="AG1568" i="1" s="1"/>
  <c r="AF1569" i="1"/>
  <c r="AG1569" i="1" s="1"/>
  <c r="AF1570" i="1"/>
  <c r="AG1570" i="1" s="1"/>
  <c r="AF1571" i="1"/>
  <c r="AG1571" i="1" s="1"/>
  <c r="AF1572" i="1"/>
  <c r="AG1572" i="1" s="1"/>
  <c r="AF1573" i="1"/>
  <c r="AG1573" i="1" s="1"/>
  <c r="AF1574" i="1"/>
  <c r="AG1574" i="1" s="1"/>
  <c r="AF1575" i="1"/>
  <c r="AG1575" i="1" s="1"/>
  <c r="AF1576" i="1"/>
  <c r="AG1576" i="1" s="1"/>
  <c r="AF1577" i="1"/>
  <c r="AG1577" i="1" s="1"/>
  <c r="AF1578" i="1"/>
  <c r="AG1578" i="1" s="1"/>
  <c r="AF1579" i="1"/>
  <c r="AG1579" i="1" s="1"/>
  <c r="AF1580" i="1"/>
  <c r="AG1580" i="1" s="1"/>
  <c r="AF1581" i="1"/>
  <c r="AG1581" i="1" s="1"/>
  <c r="AF1582" i="1"/>
  <c r="AG1582" i="1" s="1"/>
  <c r="AF1583" i="1"/>
  <c r="AG1583" i="1" s="1"/>
  <c r="AF1584" i="1"/>
  <c r="AG1584" i="1" s="1"/>
  <c r="AF1585" i="1"/>
  <c r="AG1585" i="1" s="1"/>
  <c r="AF1586" i="1"/>
  <c r="AG1586" i="1" s="1"/>
  <c r="AF1587" i="1"/>
  <c r="AG1587" i="1" s="1"/>
  <c r="AF1588" i="1"/>
  <c r="AG1588" i="1" s="1"/>
  <c r="AF1589" i="1"/>
  <c r="AG1589" i="1" s="1"/>
  <c r="AF1590" i="1"/>
  <c r="AG1590" i="1" s="1"/>
  <c r="AF1591" i="1"/>
  <c r="AG1591" i="1" s="1"/>
  <c r="AF1592" i="1"/>
  <c r="AG1592" i="1" s="1"/>
  <c r="AF1593" i="1"/>
  <c r="AG1593" i="1" s="1"/>
  <c r="AF1594" i="1"/>
  <c r="AG1594" i="1" s="1"/>
  <c r="AF1595" i="1"/>
  <c r="AG1595" i="1" s="1"/>
  <c r="AF1596" i="1"/>
  <c r="AG1596" i="1" s="1"/>
  <c r="AF1597" i="1"/>
  <c r="AG1597" i="1" s="1"/>
  <c r="AF1598" i="1"/>
  <c r="AG1598" i="1" s="1"/>
  <c r="AF1599" i="1"/>
  <c r="AG1599" i="1" s="1"/>
  <c r="AF1600" i="1"/>
  <c r="AG1600" i="1" s="1"/>
  <c r="AF1601" i="1"/>
  <c r="AG1601" i="1" s="1"/>
  <c r="AF1602" i="1"/>
  <c r="AG1602" i="1" s="1"/>
  <c r="AF1603" i="1"/>
  <c r="AG1603" i="1" s="1"/>
  <c r="AF1604" i="1"/>
  <c r="AG1604" i="1" s="1"/>
  <c r="AF1605" i="1"/>
  <c r="AG1605" i="1" s="1"/>
  <c r="AF1606" i="1"/>
  <c r="AG1606" i="1" s="1"/>
  <c r="AF1607" i="1"/>
  <c r="AG1607" i="1" s="1"/>
  <c r="AF1608" i="1"/>
  <c r="AG1608" i="1" s="1"/>
  <c r="AF1609" i="1"/>
  <c r="AG1609" i="1" s="1"/>
  <c r="AF1610" i="1"/>
  <c r="AG1610" i="1" s="1"/>
  <c r="AF1611" i="1"/>
  <c r="AG1611" i="1" s="1"/>
  <c r="AF1612" i="1"/>
  <c r="AG1612" i="1" s="1"/>
  <c r="AF1613" i="1"/>
  <c r="AG1613" i="1" s="1"/>
  <c r="AF1614" i="1"/>
  <c r="AG1614" i="1" s="1"/>
  <c r="AF1615" i="1"/>
  <c r="AG1615" i="1" s="1"/>
  <c r="AF1616" i="1"/>
  <c r="AG1616" i="1" s="1"/>
  <c r="AF1617" i="1"/>
  <c r="AG1617" i="1" s="1"/>
  <c r="AF1618" i="1"/>
  <c r="AG1618" i="1" s="1"/>
  <c r="AF1619" i="1"/>
  <c r="AG1619" i="1" s="1"/>
  <c r="AF1620" i="1"/>
  <c r="AG1620" i="1" s="1"/>
  <c r="AF1621" i="1"/>
  <c r="AG1621" i="1" s="1"/>
  <c r="AF1622" i="1"/>
  <c r="AG1622" i="1" s="1"/>
  <c r="AF1623" i="1"/>
  <c r="AG1623" i="1" s="1"/>
  <c r="AF1624" i="1"/>
  <c r="AG1624" i="1" s="1"/>
  <c r="AF1625" i="1"/>
  <c r="AG1625" i="1" s="1"/>
  <c r="AF1626" i="1"/>
  <c r="AG1626" i="1" s="1"/>
  <c r="AF1627" i="1"/>
  <c r="AG1627" i="1" s="1"/>
  <c r="AF1628" i="1"/>
  <c r="AG1628" i="1" s="1"/>
  <c r="AF1629" i="1"/>
  <c r="AG1629" i="1" s="1"/>
  <c r="AF1630" i="1"/>
  <c r="AG1630" i="1" s="1"/>
  <c r="AF1631" i="1"/>
  <c r="AG1631" i="1" s="1"/>
  <c r="AF1632" i="1"/>
  <c r="AG1632" i="1" s="1"/>
  <c r="AF1633" i="1"/>
  <c r="AG1633" i="1" s="1"/>
  <c r="AF1634" i="1"/>
  <c r="AG1634" i="1" s="1"/>
  <c r="AF1635" i="1"/>
  <c r="AG1635" i="1" s="1"/>
  <c r="AF1636" i="1"/>
  <c r="AG1636" i="1" s="1"/>
  <c r="AF1637" i="1"/>
  <c r="AG1637" i="1" s="1"/>
  <c r="AF1638" i="1"/>
  <c r="AG1638" i="1" s="1"/>
  <c r="AF1639" i="1"/>
  <c r="AG1639" i="1" s="1"/>
  <c r="AF1640" i="1"/>
  <c r="AG1640" i="1" s="1"/>
  <c r="AF1641" i="1"/>
  <c r="AG1641" i="1" s="1"/>
  <c r="AH1641" i="1" s="1"/>
  <c r="AF1642" i="1"/>
  <c r="AG1642" i="1" s="1"/>
  <c r="AF1643" i="1"/>
  <c r="AG1643" i="1" s="1"/>
  <c r="AF1644" i="1"/>
  <c r="AG1644" i="1" s="1"/>
  <c r="AF1645" i="1"/>
  <c r="AG1645" i="1" s="1"/>
  <c r="AF1646" i="1"/>
  <c r="AG1646" i="1" s="1"/>
  <c r="AF1647" i="1"/>
  <c r="AG1647" i="1" s="1"/>
  <c r="AF1648" i="1"/>
  <c r="AG1648" i="1" s="1"/>
  <c r="AF1649" i="1"/>
  <c r="AG1649" i="1" s="1"/>
  <c r="AH1649" i="1" s="1"/>
  <c r="AF1650" i="1"/>
  <c r="AG1650" i="1" s="1"/>
  <c r="AF1651" i="1"/>
  <c r="AG1651" i="1" s="1"/>
  <c r="AF1652" i="1"/>
  <c r="AG1652" i="1" s="1"/>
  <c r="AF1653" i="1"/>
  <c r="AG1653" i="1" s="1"/>
  <c r="AF1654" i="1"/>
  <c r="AG1654" i="1" s="1"/>
  <c r="AF1655" i="1"/>
  <c r="AG1655" i="1" s="1"/>
  <c r="AF1656" i="1"/>
  <c r="AG1656" i="1" s="1"/>
  <c r="AF1657" i="1"/>
  <c r="AG1657" i="1" s="1"/>
  <c r="AH1657" i="1" s="1"/>
  <c r="AF1658" i="1"/>
  <c r="AG1658" i="1" s="1"/>
  <c r="AF1659" i="1"/>
  <c r="AG1659" i="1" s="1"/>
  <c r="AF1660" i="1"/>
  <c r="AG1660" i="1" s="1"/>
  <c r="AF1661" i="1"/>
  <c r="AG1661" i="1" s="1"/>
  <c r="AF1662" i="1"/>
  <c r="AG1662" i="1" s="1"/>
  <c r="AF1663" i="1"/>
  <c r="AG1663" i="1" s="1"/>
  <c r="AF1664" i="1"/>
  <c r="AG1664" i="1" s="1"/>
  <c r="AF1665" i="1"/>
  <c r="AG1665" i="1" s="1"/>
  <c r="AF1666" i="1"/>
  <c r="AG1666" i="1" s="1"/>
  <c r="AF1667" i="1"/>
  <c r="AG1667" i="1" s="1"/>
  <c r="AF1668" i="1"/>
  <c r="AG1668" i="1" s="1"/>
  <c r="AF1669" i="1"/>
  <c r="AG1669" i="1" s="1"/>
  <c r="AF1670" i="1"/>
  <c r="AG1670" i="1" s="1"/>
  <c r="AF1671" i="1"/>
  <c r="AG1671" i="1" s="1"/>
  <c r="AF1672" i="1"/>
  <c r="AG1672" i="1" s="1"/>
  <c r="AF1673" i="1"/>
  <c r="AG1673" i="1" s="1"/>
  <c r="AF1674" i="1"/>
  <c r="AG1674" i="1" s="1"/>
  <c r="AF1675" i="1"/>
  <c r="AG1675" i="1" s="1"/>
  <c r="AF1676" i="1"/>
  <c r="AG1676" i="1" s="1"/>
  <c r="AF1677" i="1"/>
  <c r="AG1677" i="1" s="1"/>
  <c r="AF1678" i="1"/>
  <c r="AG1678" i="1" s="1"/>
  <c r="AF1679" i="1"/>
  <c r="AG1679" i="1" s="1"/>
  <c r="AF1680" i="1"/>
  <c r="AG1680" i="1" s="1"/>
  <c r="AF1681" i="1"/>
  <c r="AG1681" i="1" s="1"/>
  <c r="AF1682" i="1"/>
  <c r="AG1682" i="1" s="1"/>
  <c r="AF1683" i="1"/>
  <c r="AG1683" i="1" s="1"/>
  <c r="AF1684" i="1"/>
  <c r="AG1684" i="1" s="1"/>
  <c r="AF1685" i="1"/>
  <c r="AG1685" i="1" s="1"/>
  <c r="AF1686" i="1"/>
  <c r="AG1686" i="1" s="1"/>
  <c r="AF1687" i="1"/>
  <c r="AG1687" i="1" s="1"/>
  <c r="AF1688" i="1"/>
  <c r="AG1688" i="1" s="1"/>
  <c r="AF1689" i="1"/>
  <c r="AG1689" i="1" s="1"/>
  <c r="AF1690" i="1"/>
  <c r="AG1690" i="1" s="1"/>
  <c r="AF1691" i="1"/>
  <c r="AG1691" i="1" s="1"/>
  <c r="AF1692" i="1"/>
  <c r="AG1692" i="1" s="1"/>
  <c r="AF1693" i="1"/>
  <c r="AG1693" i="1" s="1"/>
  <c r="AF1694" i="1"/>
  <c r="AG1694" i="1" s="1"/>
  <c r="AF1695" i="1"/>
  <c r="AG1695" i="1" s="1"/>
  <c r="AF1696" i="1"/>
  <c r="AG1696" i="1" s="1"/>
  <c r="AF1697" i="1"/>
  <c r="AG1697" i="1" s="1"/>
  <c r="AF1698" i="1"/>
  <c r="AG1698" i="1" s="1"/>
  <c r="AF1699" i="1"/>
  <c r="AG1699" i="1" s="1"/>
  <c r="AF1700" i="1"/>
  <c r="AG1700" i="1" s="1"/>
  <c r="AF1701" i="1"/>
  <c r="AG1701" i="1" s="1"/>
  <c r="AF1702" i="1"/>
  <c r="AG1702" i="1" s="1"/>
  <c r="AF1703" i="1"/>
  <c r="AG1703" i="1" s="1"/>
  <c r="AF1704" i="1"/>
  <c r="AG1704" i="1" s="1"/>
  <c r="AF1705" i="1"/>
  <c r="AG1705" i="1" s="1"/>
  <c r="AF1706" i="1"/>
  <c r="AG1706" i="1" s="1"/>
  <c r="AF1707" i="1"/>
  <c r="AG1707" i="1" s="1"/>
  <c r="AF1708" i="1"/>
  <c r="AG1708" i="1" s="1"/>
  <c r="AF1709" i="1"/>
  <c r="AG1709" i="1" s="1"/>
  <c r="AF1710" i="1"/>
  <c r="AG1710" i="1" s="1"/>
  <c r="AF1711" i="1"/>
  <c r="AG1711" i="1" s="1"/>
  <c r="AF1712" i="1"/>
  <c r="AG1712" i="1" s="1"/>
  <c r="AF1713" i="1"/>
  <c r="AG1713" i="1" s="1"/>
  <c r="AF1714" i="1"/>
  <c r="AG1714" i="1" s="1"/>
  <c r="AF1715" i="1"/>
  <c r="AG1715" i="1" s="1"/>
  <c r="AF1716" i="1"/>
  <c r="AG1716" i="1" s="1"/>
  <c r="AF1717" i="1"/>
  <c r="AG1717" i="1" s="1"/>
  <c r="AF1718" i="1"/>
  <c r="AG1718" i="1" s="1"/>
  <c r="AF1719" i="1"/>
  <c r="AG1719" i="1" s="1"/>
  <c r="AF1720" i="1"/>
  <c r="AG1720" i="1" s="1"/>
  <c r="AF1721" i="1"/>
  <c r="AG1721" i="1" s="1"/>
  <c r="AH1721" i="1" s="1"/>
  <c r="AF1722" i="1"/>
  <c r="AG1722" i="1" s="1"/>
  <c r="AF1723" i="1"/>
  <c r="AG1723" i="1" s="1"/>
  <c r="AF1724" i="1"/>
  <c r="AG1724" i="1" s="1"/>
  <c r="AF1725" i="1"/>
  <c r="AG1725" i="1" s="1"/>
  <c r="AF1726" i="1"/>
  <c r="AG1726" i="1" s="1"/>
  <c r="AF1727" i="1"/>
  <c r="AG1727" i="1" s="1"/>
  <c r="AF1728" i="1"/>
  <c r="AG1728" i="1" s="1"/>
  <c r="AF1729" i="1"/>
  <c r="AG1729" i="1" s="1"/>
  <c r="AF1730" i="1"/>
  <c r="AG1730" i="1" s="1"/>
  <c r="AF1731" i="1"/>
  <c r="AG1731" i="1" s="1"/>
  <c r="AF1732" i="1"/>
  <c r="AG1732" i="1" s="1"/>
  <c r="AF1733" i="1"/>
  <c r="AG1733" i="1" s="1"/>
  <c r="AF1734" i="1"/>
  <c r="AG1734" i="1" s="1"/>
  <c r="AF1735" i="1"/>
  <c r="AG1735" i="1" s="1"/>
  <c r="AF1736" i="1"/>
  <c r="AG1736" i="1" s="1"/>
  <c r="AF1737" i="1"/>
  <c r="AG1737" i="1" s="1"/>
  <c r="AH1737" i="1" s="1"/>
  <c r="AF1738" i="1"/>
  <c r="AG1738" i="1" s="1"/>
  <c r="AF1739" i="1"/>
  <c r="AG1739" i="1" s="1"/>
  <c r="AF1740" i="1"/>
  <c r="AG1740" i="1" s="1"/>
  <c r="AF1741" i="1"/>
  <c r="AG1741" i="1" s="1"/>
  <c r="AF1742" i="1"/>
  <c r="AG1742" i="1" s="1"/>
  <c r="AF1743" i="1"/>
  <c r="AG1743" i="1" s="1"/>
  <c r="AF1744" i="1"/>
  <c r="AG1744" i="1" s="1"/>
  <c r="AF1745" i="1"/>
  <c r="AG1745" i="1" s="1"/>
  <c r="AH1745" i="1" s="1"/>
  <c r="AF1746" i="1"/>
  <c r="AG1746" i="1" s="1"/>
  <c r="AF1747" i="1"/>
  <c r="AG1747" i="1" s="1"/>
  <c r="AF1748" i="1"/>
  <c r="AG1748" i="1" s="1"/>
  <c r="AF1749" i="1"/>
  <c r="AG1749" i="1" s="1"/>
  <c r="AF1750" i="1"/>
  <c r="AG1750" i="1" s="1"/>
  <c r="AF1751" i="1"/>
  <c r="AG1751" i="1" s="1"/>
  <c r="AF1752" i="1"/>
  <c r="AG1752" i="1" s="1"/>
  <c r="AF1753" i="1"/>
  <c r="AG1753" i="1" s="1"/>
  <c r="AF1754" i="1"/>
  <c r="AG1754" i="1" s="1"/>
  <c r="AF1755" i="1"/>
  <c r="AG1755" i="1" s="1"/>
  <c r="AF1756" i="1"/>
  <c r="AG1756" i="1" s="1"/>
  <c r="AF1757" i="1"/>
  <c r="AG1757" i="1" s="1"/>
  <c r="AF1758" i="1"/>
  <c r="AG1758" i="1" s="1"/>
  <c r="AF1759" i="1"/>
  <c r="AG1759" i="1" s="1"/>
  <c r="AF1760" i="1"/>
  <c r="AG1760" i="1" s="1"/>
  <c r="AF1761" i="1"/>
  <c r="AG1761" i="1" s="1"/>
  <c r="AH1761" i="1" s="1"/>
  <c r="AF1762" i="1"/>
  <c r="AG1762" i="1" s="1"/>
  <c r="AF1763" i="1"/>
  <c r="AG1763" i="1" s="1"/>
  <c r="AF1764" i="1"/>
  <c r="AG1764" i="1" s="1"/>
  <c r="AF1765" i="1"/>
  <c r="AG1765" i="1" s="1"/>
  <c r="AF1766" i="1"/>
  <c r="AG1766" i="1" s="1"/>
  <c r="AF1767" i="1"/>
  <c r="AG1767" i="1" s="1"/>
  <c r="AF1768" i="1"/>
  <c r="AG1768" i="1" s="1"/>
  <c r="AF1769" i="1"/>
  <c r="AG1769" i="1" s="1"/>
  <c r="AF1770" i="1"/>
  <c r="AG1770" i="1" s="1"/>
  <c r="AF1771" i="1"/>
  <c r="AG1771" i="1" s="1"/>
  <c r="AF1772" i="1"/>
  <c r="AG1772" i="1" s="1"/>
  <c r="AF1773" i="1"/>
  <c r="AG1773" i="1" s="1"/>
  <c r="AF1774" i="1"/>
  <c r="AG1774" i="1" s="1"/>
  <c r="AF1775" i="1"/>
  <c r="AG1775" i="1" s="1"/>
  <c r="AF1776" i="1"/>
  <c r="AG1776" i="1" s="1"/>
  <c r="AF1777" i="1"/>
  <c r="AG1777" i="1" s="1"/>
  <c r="AH1777" i="1" s="1"/>
  <c r="AF1778" i="1"/>
  <c r="AG1778" i="1" s="1"/>
  <c r="AF1779" i="1"/>
  <c r="AG1779" i="1" s="1"/>
  <c r="AF1780" i="1"/>
  <c r="AG1780" i="1" s="1"/>
  <c r="AF1781" i="1"/>
  <c r="AG1781" i="1" s="1"/>
  <c r="AF1782" i="1"/>
  <c r="AG1782" i="1" s="1"/>
  <c r="AF1783" i="1"/>
  <c r="AG1783" i="1" s="1"/>
  <c r="AF1784" i="1"/>
  <c r="AG1784" i="1" s="1"/>
  <c r="AF1785" i="1"/>
  <c r="AG1785" i="1" s="1"/>
  <c r="AF1786" i="1"/>
  <c r="AG1786" i="1" s="1"/>
  <c r="AF1787" i="1"/>
  <c r="AG1787" i="1" s="1"/>
  <c r="AF1788" i="1"/>
  <c r="AG1788" i="1" s="1"/>
  <c r="AF1789" i="1"/>
  <c r="AG1789" i="1" s="1"/>
  <c r="AF1790" i="1"/>
  <c r="AG1790" i="1" s="1"/>
  <c r="AF1791" i="1"/>
  <c r="AG1791" i="1" s="1"/>
  <c r="AF1792" i="1"/>
  <c r="AG1792" i="1" s="1"/>
  <c r="AF1793" i="1"/>
  <c r="AG1793" i="1" s="1"/>
  <c r="AH1793" i="1" s="1"/>
  <c r="AF1794" i="1"/>
  <c r="AG1794" i="1" s="1"/>
  <c r="AF1795" i="1"/>
  <c r="AG1795" i="1" s="1"/>
  <c r="AF1796" i="1"/>
  <c r="AG1796" i="1" s="1"/>
  <c r="AF1797" i="1"/>
  <c r="AG1797" i="1" s="1"/>
  <c r="AF1798" i="1"/>
  <c r="AG1798" i="1" s="1"/>
  <c r="AF1799" i="1"/>
  <c r="AG1799" i="1" s="1"/>
  <c r="AF1800" i="1"/>
  <c r="AG1800" i="1" s="1"/>
  <c r="AF1801" i="1"/>
  <c r="AG1801" i="1" s="1"/>
  <c r="AF1802" i="1"/>
  <c r="AG1802" i="1" s="1"/>
  <c r="AF1803" i="1"/>
  <c r="AG1803" i="1" s="1"/>
  <c r="AF1804" i="1"/>
  <c r="AG1804" i="1" s="1"/>
  <c r="AF1805" i="1"/>
  <c r="AG1805" i="1" s="1"/>
  <c r="AF1806" i="1"/>
  <c r="AG1806" i="1" s="1"/>
  <c r="AF1807" i="1"/>
  <c r="AG1807" i="1" s="1"/>
  <c r="AF1808" i="1"/>
  <c r="AG1808" i="1" s="1"/>
  <c r="AF1809" i="1"/>
  <c r="AG1809" i="1" s="1"/>
  <c r="AF1810" i="1"/>
  <c r="AG1810" i="1" s="1"/>
  <c r="AF1811" i="1"/>
  <c r="AG1811" i="1" s="1"/>
  <c r="AF1812" i="1"/>
  <c r="AG1812" i="1" s="1"/>
  <c r="AF1813" i="1"/>
  <c r="AG1813" i="1" s="1"/>
  <c r="AF1814" i="1"/>
  <c r="AG1814" i="1" s="1"/>
  <c r="AF1815" i="1"/>
  <c r="AG1815" i="1" s="1"/>
  <c r="AF1816" i="1"/>
  <c r="AG1816" i="1" s="1"/>
  <c r="AF1817" i="1"/>
  <c r="AG1817" i="1" s="1"/>
  <c r="AF1818" i="1"/>
  <c r="AG1818" i="1" s="1"/>
  <c r="AF1819" i="1"/>
  <c r="AG1819" i="1" s="1"/>
  <c r="AF1820" i="1"/>
  <c r="AG1820" i="1" s="1"/>
  <c r="AF1821" i="1"/>
  <c r="AG1821" i="1" s="1"/>
  <c r="AF1822" i="1"/>
  <c r="AG1822" i="1" s="1"/>
  <c r="AF1823" i="1"/>
  <c r="AG1823" i="1" s="1"/>
  <c r="AF1824" i="1"/>
  <c r="AG1824" i="1" s="1"/>
  <c r="AF1825" i="1"/>
  <c r="AG1825" i="1" s="1"/>
  <c r="AF1826" i="1"/>
  <c r="AG1826" i="1" s="1"/>
  <c r="AF1827" i="1"/>
  <c r="AG1827" i="1" s="1"/>
  <c r="AF1828" i="1"/>
  <c r="AG1828" i="1" s="1"/>
  <c r="AF1829" i="1"/>
  <c r="AG1829" i="1" s="1"/>
  <c r="AF1830" i="1"/>
  <c r="AG1830" i="1" s="1"/>
  <c r="AF1831" i="1"/>
  <c r="AG1831" i="1" s="1"/>
  <c r="AF1832" i="1"/>
  <c r="AG1832" i="1" s="1"/>
  <c r="AF1833" i="1"/>
  <c r="AG1833" i="1" s="1"/>
  <c r="AF1834" i="1"/>
  <c r="AG1834" i="1" s="1"/>
  <c r="AF1835" i="1"/>
  <c r="AG1835" i="1" s="1"/>
  <c r="AF1836" i="1"/>
  <c r="AG1836" i="1" s="1"/>
  <c r="AF1837" i="1"/>
  <c r="AG1837" i="1" s="1"/>
  <c r="AF1838" i="1"/>
  <c r="AG1838" i="1" s="1"/>
  <c r="AF1839" i="1"/>
  <c r="AG1839" i="1" s="1"/>
  <c r="AF1840" i="1"/>
  <c r="AG1840" i="1" s="1"/>
  <c r="AF1841" i="1"/>
  <c r="AG1841" i="1" s="1"/>
  <c r="AF1842" i="1"/>
  <c r="AG1842" i="1" s="1"/>
  <c r="AF1843" i="1"/>
  <c r="AG1843" i="1" s="1"/>
  <c r="AF1844" i="1"/>
  <c r="AG1844" i="1" s="1"/>
  <c r="AF1845" i="1"/>
  <c r="AG1845" i="1" s="1"/>
  <c r="AF1846" i="1"/>
  <c r="AG1846" i="1" s="1"/>
  <c r="AF1847" i="1"/>
  <c r="AG1847" i="1" s="1"/>
  <c r="AF1848" i="1"/>
  <c r="AG1848" i="1" s="1"/>
  <c r="AF1849" i="1"/>
  <c r="AG1849" i="1" s="1"/>
  <c r="AH1849" i="1" s="1"/>
  <c r="AF1850" i="1"/>
  <c r="AG1850" i="1" s="1"/>
  <c r="AF1851" i="1"/>
  <c r="AG1851" i="1" s="1"/>
  <c r="AF1852" i="1"/>
  <c r="AG1852" i="1" s="1"/>
  <c r="AF1853" i="1"/>
  <c r="AG1853" i="1" s="1"/>
  <c r="AF1854" i="1"/>
  <c r="AG1854" i="1" s="1"/>
  <c r="AF1855" i="1"/>
  <c r="AG1855" i="1" s="1"/>
  <c r="AF1856" i="1"/>
  <c r="AG1856" i="1" s="1"/>
  <c r="AF1857" i="1"/>
  <c r="AG1857" i="1" s="1"/>
  <c r="AH1857" i="1" s="1"/>
  <c r="AF1858" i="1"/>
  <c r="AG1858" i="1" s="1"/>
  <c r="AF1859" i="1"/>
  <c r="AG1859" i="1" s="1"/>
  <c r="AF1860" i="1"/>
  <c r="AG1860" i="1" s="1"/>
  <c r="AF1861" i="1"/>
  <c r="AG1861" i="1" s="1"/>
  <c r="AF1862" i="1"/>
  <c r="AG1862" i="1" s="1"/>
  <c r="AF1863" i="1"/>
  <c r="AG1863" i="1" s="1"/>
  <c r="AF1864" i="1"/>
  <c r="AG1864" i="1" s="1"/>
  <c r="AF1865" i="1"/>
  <c r="AG1865" i="1" s="1"/>
  <c r="AF1866" i="1"/>
  <c r="AG1866" i="1" s="1"/>
  <c r="AF1867" i="1"/>
  <c r="AG1867" i="1" s="1"/>
  <c r="AF1868" i="1"/>
  <c r="AG1868" i="1" s="1"/>
  <c r="AF1869" i="1"/>
  <c r="AG1869" i="1" s="1"/>
  <c r="AF1870" i="1"/>
  <c r="AG1870" i="1" s="1"/>
  <c r="AF1871" i="1"/>
  <c r="AG1871" i="1" s="1"/>
  <c r="AF1872" i="1"/>
  <c r="AG1872" i="1" s="1"/>
  <c r="AF1873" i="1"/>
  <c r="AG1873" i="1" s="1"/>
  <c r="AF1874" i="1"/>
  <c r="AG1874" i="1" s="1"/>
  <c r="AF1875" i="1"/>
  <c r="AG1875" i="1" s="1"/>
  <c r="AF1876" i="1"/>
  <c r="AG1876" i="1" s="1"/>
  <c r="AF1877" i="1"/>
  <c r="AG1877" i="1" s="1"/>
  <c r="AF1878" i="1"/>
  <c r="AG1878" i="1" s="1"/>
  <c r="AF1879" i="1"/>
  <c r="AG1879" i="1" s="1"/>
  <c r="AF1880" i="1"/>
  <c r="AG1880" i="1" s="1"/>
  <c r="AF1881" i="1"/>
  <c r="AG1881" i="1" s="1"/>
  <c r="AF1882" i="1"/>
  <c r="AG1882" i="1" s="1"/>
  <c r="AF1883" i="1"/>
  <c r="AG1883" i="1" s="1"/>
  <c r="AF1884" i="1"/>
  <c r="AG1884" i="1" s="1"/>
  <c r="AF1885" i="1"/>
  <c r="AG1885" i="1" s="1"/>
  <c r="AF1886" i="1"/>
  <c r="AG1886" i="1" s="1"/>
  <c r="AF1887" i="1"/>
  <c r="AG1887" i="1" s="1"/>
  <c r="AF1888" i="1"/>
  <c r="AG1888" i="1" s="1"/>
  <c r="AF1889" i="1"/>
  <c r="AG1889" i="1" s="1"/>
  <c r="AF1890" i="1"/>
  <c r="AG1890" i="1" s="1"/>
  <c r="AF1891" i="1"/>
  <c r="AG1891" i="1" s="1"/>
  <c r="AF1892" i="1"/>
  <c r="AG1892" i="1" s="1"/>
  <c r="AF1893" i="1"/>
  <c r="AG1893" i="1" s="1"/>
  <c r="AF1894" i="1"/>
  <c r="AG1894" i="1" s="1"/>
  <c r="AF1895" i="1"/>
  <c r="AG1895" i="1" s="1"/>
  <c r="AF1896" i="1"/>
  <c r="AG1896" i="1" s="1"/>
  <c r="AF1897" i="1"/>
  <c r="AG1897" i="1" s="1"/>
  <c r="AF1898" i="1"/>
  <c r="AG1898" i="1" s="1"/>
  <c r="AF1899" i="1"/>
  <c r="AG1899" i="1" s="1"/>
  <c r="AF1900" i="1"/>
  <c r="AG1900" i="1" s="1"/>
  <c r="AF1901" i="1"/>
  <c r="AG1901" i="1" s="1"/>
  <c r="AF1902" i="1"/>
  <c r="AG1902" i="1" s="1"/>
  <c r="AF1903" i="1"/>
  <c r="AG1903" i="1" s="1"/>
  <c r="AF1904" i="1"/>
  <c r="AG1904" i="1" s="1"/>
  <c r="AF1905" i="1"/>
  <c r="AG1905" i="1" s="1"/>
  <c r="AF1906" i="1"/>
  <c r="AG1906" i="1" s="1"/>
  <c r="AF1907" i="1"/>
  <c r="AG1907" i="1" s="1"/>
  <c r="AF1908" i="1"/>
  <c r="AG1908" i="1" s="1"/>
  <c r="AF1909" i="1"/>
  <c r="AG1909" i="1" s="1"/>
  <c r="AF1910" i="1"/>
  <c r="AG1910" i="1" s="1"/>
  <c r="AF1911" i="1"/>
  <c r="AG1911" i="1" s="1"/>
  <c r="AF1912" i="1"/>
  <c r="AG1912" i="1" s="1"/>
  <c r="AF1913" i="1"/>
  <c r="AG1913" i="1" s="1"/>
  <c r="AF1914" i="1"/>
  <c r="AG1914" i="1" s="1"/>
  <c r="AF1915" i="1"/>
  <c r="AG1915" i="1" s="1"/>
  <c r="AF1916" i="1"/>
  <c r="AG1916" i="1" s="1"/>
  <c r="AF1917" i="1"/>
  <c r="AG1917" i="1" s="1"/>
  <c r="AF1918" i="1"/>
  <c r="AG1918" i="1" s="1"/>
  <c r="AF1919" i="1"/>
  <c r="AG1919" i="1" s="1"/>
  <c r="AF1920" i="1"/>
  <c r="AG1920" i="1" s="1"/>
  <c r="AF1921" i="1"/>
  <c r="AG1921" i="1" s="1"/>
  <c r="AF1922" i="1"/>
  <c r="AG1922" i="1" s="1"/>
  <c r="AF1923" i="1"/>
  <c r="AG1923" i="1" s="1"/>
  <c r="AF1924" i="1"/>
  <c r="AG1924" i="1" s="1"/>
  <c r="AF1925" i="1"/>
  <c r="AG1925" i="1" s="1"/>
  <c r="AF1926" i="1"/>
  <c r="AG1926" i="1" s="1"/>
  <c r="AF1927" i="1"/>
  <c r="AG1927" i="1" s="1"/>
  <c r="AF1928" i="1"/>
  <c r="AG1928" i="1" s="1"/>
  <c r="AF1929" i="1"/>
  <c r="AG1929" i="1" s="1"/>
  <c r="AF1930" i="1"/>
  <c r="AG1930" i="1" s="1"/>
  <c r="AF1931" i="1"/>
  <c r="AG1931" i="1" s="1"/>
  <c r="AF1932" i="1"/>
  <c r="AG1932" i="1" s="1"/>
  <c r="AF1933" i="1"/>
  <c r="AG1933" i="1" s="1"/>
  <c r="AF1934" i="1"/>
  <c r="AG1934" i="1" s="1"/>
  <c r="AF1935" i="1"/>
  <c r="AG1935" i="1" s="1"/>
  <c r="AF1936" i="1"/>
  <c r="AG1936" i="1" s="1"/>
  <c r="AF1937" i="1"/>
  <c r="AG1937" i="1" s="1"/>
  <c r="AF1938" i="1"/>
  <c r="AG1938" i="1" s="1"/>
  <c r="AF1939" i="1"/>
  <c r="AG1939" i="1" s="1"/>
  <c r="AF1940" i="1"/>
  <c r="AG1940" i="1" s="1"/>
  <c r="AF1941" i="1"/>
  <c r="AG1941" i="1" s="1"/>
  <c r="AF1942" i="1"/>
  <c r="AG1942" i="1" s="1"/>
  <c r="AF1943" i="1"/>
  <c r="AG1943" i="1" s="1"/>
  <c r="AF1944" i="1"/>
  <c r="AG1944" i="1" s="1"/>
  <c r="AF1945" i="1"/>
  <c r="AG1945" i="1" s="1"/>
  <c r="AF1946" i="1"/>
  <c r="AG1946" i="1" s="1"/>
  <c r="AF1947" i="1"/>
  <c r="AG1947" i="1" s="1"/>
  <c r="AF1948" i="1"/>
  <c r="AG1948" i="1" s="1"/>
  <c r="AF1949" i="1"/>
  <c r="AG1949" i="1" s="1"/>
  <c r="AF1950" i="1"/>
  <c r="AG1950" i="1" s="1"/>
  <c r="AF1951" i="1"/>
  <c r="AG1951" i="1" s="1"/>
  <c r="AF1952" i="1"/>
  <c r="AG1952" i="1" s="1"/>
  <c r="AF1953" i="1"/>
  <c r="AG1953" i="1" s="1"/>
  <c r="AF1954" i="1"/>
  <c r="AG1954" i="1" s="1"/>
  <c r="AF1955" i="1"/>
  <c r="AG1955" i="1" s="1"/>
  <c r="AF1956" i="1"/>
  <c r="AG1956" i="1" s="1"/>
  <c r="AF1957" i="1"/>
  <c r="AG1957" i="1" s="1"/>
  <c r="AF1958" i="1"/>
  <c r="AG1958" i="1" s="1"/>
  <c r="AF1959" i="1"/>
  <c r="AG1959" i="1" s="1"/>
  <c r="AF1960" i="1"/>
  <c r="AG1960" i="1" s="1"/>
  <c r="AF1961" i="1"/>
  <c r="AG1961" i="1" s="1"/>
  <c r="AH1961" i="1" s="1"/>
  <c r="AF1962" i="1"/>
  <c r="AG1962" i="1" s="1"/>
  <c r="AF1963" i="1"/>
  <c r="AG1963" i="1" s="1"/>
  <c r="AF1964" i="1"/>
  <c r="AG1964" i="1" s="1"/>
  <c r="AF1965" i="1"/>
  <c r="AG1965" i="1" s="1"/>
  <c r="AF1966" i="1"/>
  <c r="AG1966" i="1" s="1"/>
  <c r="AF1967" i="1"/>
  <c r="AG1967" i="1" s="1"/>
  <c r="AF1968" i="1"/>
  <c r="AG1968" i="1" s="1"/>
  <c r="AF1969" i="1"/>
  <c r="AG1969" i="1" s="1"/>
  <c r="AF1970" i="1"/>
  <c r="AG1970" i="1" s="1"/>
  <c r="AF1971" i="1"/>
  <c r="AG1971" i="1" s="1"/>
  <c r="AF1972" i="1"/>
  <c r="AG1972" i="1" s="1"/>
  <c r="AF1973" i="1"/>
  <c r="AG1973" i="1" s="1"/>
  <c r="AF1974" i="1"/>
  <c r="AG1974" i="1" s="1"/>
  <c r="AF1975" i="1"/>
  <c r="AG1975" i="1" s="1"/>
  <c r="AF1976" i="1"/>
  <c r="AG1976" i="1" s="1"/>
  <c r="AF1977" i="1"/>
  <c r="AG1977" i="1" s="1"/>
  <c r="AF1978" i="1"/>
  <c r="AG1978" i="1" s="1"/>
  <c r="AF1979" i="1"/>
  <c r="AG1979" i="1" s="1"/>
  <c r="AF1980" i="1"/>
  <c r="AG1980" i="1" s="1"/>
  <c r="AF1981" i="1"/>
  <c r="AG1981" i="1" s="1"/>
  <c r="AF1982" i="1"/>
  <c r="AG1982" i="1" s="1"/>
  <c r="AF1983" i="1"/>
  <c r="AG1983" i="1" s="1"/>
  <c r="AF1984" i="1"/>
  <c r="AG1984" i="1" s="1"/>
  <c r="AF1985" i="1"/>
  <c r="AG1985" i="1" s="1"/>
  <c r="AH1985" i="1" s="1"/>
  <c r="AF1986" i="1"/>
  <c r="AG1986" i="1" s="1"/>
  <c r="AF1987" i="1"/>
  <c r="AG1987" i="1" s="1"/>
  <c r="AF1988" i="1"/>
  <c r="AG1988" i="1" s="1"/>
  <c r="AF1989" i="1"/>
  <c r="AG1989" i="1" s="1"/>
  <c r="AF1990" i="1"/>
  <c r="AG1990" i="1" s="1"/>
  <c r="AF1991" i="1"/>
  <c r="AG1991" i="1" s="1"/>
  <c r="AF1992" i="1"/>
  <c r="AG1992" i="1" s="1"/>
  <c r="AF1993" i="1"/>
  <c r="AG1993" i="1" s="1"/>
  <c r="AH1993" i="1" s="1"/>
  <c r="AF1994" i="1"/>
  <c r="AG1994" i="1" s="1"/>
  <c r="AF1995" i="1"/>
  <c r="AG1995" i="1" s="1"/>
  <c r="AF1996" i="1"/>
  <c r="AG1996" i="1" s="1"/>
  <c r="AF1997" i="1"/>
  <c r="AG1997" i="1" s="1"/>
  <c r="AF1998" i="1"/>
  <c r="AG1998" i="1" s="1"/>
  <c r="AF1999" i="1"/>
  <c r="AG1999" i="1" s="1"/>
  <c r="AF2000" i="1"/>
  <c r="AG2000" i="1" s="1"/>
  <c r="AF2001" i="1"/>
  <c r="AG2001" i="1" s="1"/>
  <c r="AF2002" i="1"/>
  <c r="AG2002" i="1" s="1"/>
  <c r="AF2003" i="1"/>
  <c r="AG2003" i="1" s="1"/>
  <c r="AF2004" i="1"/>
  <c r="AG2004" i="1" s="1"/>
  <c r="AF2005" i="1"/>
  <c r="AG2005" i="1" s="1"/>
  <c r="AF2006" i="1"/>
  <c r="AG2006" i="1" s="1"/>
  <c r="AF2007" i="1"/>
  <c r="AG2007" i="1" s="1"/>
  <c r="AF2008" i="1"/>
  <c r="AG2008" i="1" s="1"/>
  <c r="AF2009" i="1"/>
  <c r="AG2009" i="1" s="1"/>
  <c r="AF2010" i="1"/>
  <c r="AG2010" i="1" s="1"/>
  <c r="AF2011" i="1"/>
  <c r="AG2011" i="1" s="1"/>
  <c r="AF2012" i="1"/>
  <c r="AG2012" i="1" s="1"/>
  <c r="AF2013" i="1"/>
  <c r="AG2013" i="1" s="1"/>
  <c r="AF2014" i="1"/>
  <c r="AG2014" i="1" s="1"/>
  <c r="AF2015" i="1"/>
  <c r="AG2015" i="1" s="1"/>
  <c r="AF2016" i="1"/>
  <c r="AG2016" i="1" s="1"/>
  <c r="AF2017" i="1"/>
  <c r="AG2017" i="1" s="1"/>
  <c r="AF2018" i="1"/>
  <c r="AG2018" i="1" s="1"/>
  <c r="AF2019" i="1"/>
  <c r="AG2019" i="1" s="1"/>
  <c r="AF2020" i="1"/>
  <c r="AG2020" i="1" s="1"/>
  <c r="AF2021" i="1"/>
  <c r="AG2021" i="1" s="1"/>
  <c r="AF2022" i="1"/>
  <c r="AG2022" i="1" s="1"/>
  <c r="AF2023" i="1"/>
  <c r="AG2023" i="1" s="1"/>
  <c r="AF2024" i="1"/>
  <c r="AG2024" i="1" s="1"/>
  <c r="AF2025" i="1"/>
  <c r="AG2025" i="1" s="1"/>
  <c r="AF2026" i="1"/>
  <c r="AG2026" i="1" s="1"/>
  <c r="AF2027" i="1"/>
  <c r="AG2027" i="1" s="1"/>
  <c r="AF2028" i="1"/>
  <c r="AG2028" i="1" s="1"/>
  <c r="AF2029" i="1"/>
  <c r="AG2029" i="1" s="1"/>
  <c r="AF2030" i="1"/>
  <c r="AG2030" i="1" s="1"/>
  <c r="AF2031" i="1"/>
  <c r="AG2031" i="1" s="1"/>
  <c r="AF2032" i="1"/>
  <c r="AG2032" i="1" s="1"/>
  <c r="AF2033" i="1"/>
  <c r="AG2033" i="1" s="1"/>
  <c r="AF2034" i="1"/>
  <c r="AG2034" i="1" s="1"/>
  <c r="AF2035" i="1"/>
  <c r="AG2035" i="1" s="1"/>
  <c r="AF2036" i="1"/>
  <c r="AG2036" i="1" s="1"/>
  <c r="AF2037" i="1"/>
  <c r="AG2037" i="1" s="1"/>
  <c r="AF2038" i="1"/>
  <c r="AG2038" i="1" s="1"/>
  <c r="AF2039" i="1"/>
  <c r="AG2039" i="1" s="1"/>
  <c r="AF2040" i="1"/>
  <c r="AG2040" i="1" s="1"/>
  <c r="AF2041" i="1"/>
  <c r="AG2041" i="1" s="1"/>
  <c r="AF2042" i="1"/>
  <c r="AG2042" i="1" s="1"/>
  <c r="AF2043" i="1"/>
  <c r="AG2043" i="1" s="1"/>
  <c r="AF2044" i="1"/>
  <c r="AG2044" i="1" s="1"/>
  <c r="AF2045" i="1"/>
  <c r="AG2045" i="1" s="1"/>
  <c r="AF2046" i="1"/>
  <c r="AG2046" i="1" s="1"/>
  <c r="AF2047" i="1"/>
  <c r="AG2047" i="1" s="1"/>
  <c r="AF2048" i="1"/>
  <c r="AG2048" i="1" s="1"/>
  <c r="AF2049" i="1"/>
  <c r="AG2049" i="1" s="1"/>
  <c r="AF2050" i="1"/>
  <c r="AG2050" i="1" s="1"/>
  <c r="AF2051" i="1"/>
  <c r="AG2051" i="1" s="1"/>
  <c r="AF2052" i="1"/>
  <c r="AG2052" i="1" s="1"/>
  <c r="AF2053" i="1"/>
  <c r="AG2053" i="1" s="1"/>
  <c r="AF2054" i="1"/>
  <c r="AG2054" i="1" s="1"/>
  <c r="AF2055" i="1"/>
  <c r="AG2055" i="1" s="1"/>
  <c r="AF2056" i="1"/>
  <c r="AG2056" i="1" s="1"/>
  <c r="AF2057" i="1"/>
  <c r="AG2057" i="1" s="1"/>
  <c r="AF2058" i="1"/>
  <c r="AG2058" i="1" s="1"/>
  <c r="AF2059" i="1"/>
  <c r="AG2059" i="1" s="1"/>
  <c r="AF2060" i="1"/>
  <c r="AG2060" i="1" s="1"/>
  <c r="AF2061" i="1"/>
  <c r="AG2061" i="1" s="1"/>
  <c r="AF2062" i="1"/>
  <c r="AG2062" i="1" s="1"/>
  <c r="AF2063" i="1"/>
  <c r="AG2063" i="1" s="1"/>
  <c r="AF2064" i="1"/>
  <c r="AG2064" i="1" s="1"/>
  <c r="AF2065" i="1"/>
  <c r="AG2065" i="1" s="1"/>
  <c r="AF2066" i="1"/>
  <c r="AG2066" i="1" s="1"/>
  <c r="AF2067" i="1"/>
  <c r="AG2067" i="1" s="1"/>
  <c r="AF2068" i="1"/>
  <c r="AG2068" i="1" s="1"/>
  <c r="AF2069" i="1"/>
  <c r="AG2069" i="1" s="1"/>
  <c r="AF2070" i="1"/>
  <c r="AG2070" i="1" s="1"/>
  <c r="AF2071" i="1"/>
  <c r="AG2071" i="1" s="1"/>
  <c r="AF2072" i="1"/>
  <c r="AG2072" i="1" s="1"/>
  <c r="AF2073" i="1"/>
  <c r="AG2073" i="1" s="1"/>
  <c r="AF2074" i="1"/>
  <c r="AG2074" i="1" s="1"/>
  <c r="AF2075" i="1"/>
  <c r="AG2075" i="1" s="1"/>
  <c r="AF2076" i="1"/>
  <c r="AG2076" i="1" s="1"/>
  <c r="AF2077" i="1"/>
  <c r="AG2077" i="1" s="1"/>
  <c r="AF2078" i="1"/>
  <c r="AG2078" i="1" s="1"/>
  <c r="AF2079" i="1"/>
  <c r="AG2079" i="1" s="1"/>
  <c r="AF2080" i="1"/>
  <c r="AG2080" i="1" s="1"/>
  <c r="AF2081" i="1"/>
  <c r="AG2081" i="1" s="1"/>
  <c r="AH2081" i="1" s="1"/>
  <c r="AF2082" i="1"/>
  <c r="AG2082" i="1" s="1"/>
  <c r="AF2083" i="1"/>
  <c r="AG2083" i="1" s="1"/>
  <c r="AF2084" i="1"/>
  <c r="AG2084" i="1" s="1"/>
  <c r="AF2085" i="1"/>
  <c r="AG2085" i="1" s="1"/>
  <c r="AF2086" i="1"/>
  <c r="AG2086" i="1" s="1"/>
  <c r="AF2087" i="1"/>
  <c r="AG2087" i="1" s="1"/>
  <c r="AF2088" i="1"/>
  <c r="AG2088" i="1" s="1"/>
  <c r="AF2089" i="1"/>
  <c r="AG2089" i="1" s="1"/>
  <c r="AF2090" i="1"/>
  <c r="AG2090" i="1" s="1"/>
  <c r="AF2091" i="1"/>
  <c r="AG2091" i="1" s="1"/>
  <c r="AF2092" i="1"/>
  <c r="AG2092" i="1" s="1"/>
  <c r="AF2093" i="1"/>
  <c r="AG2093" i="1" s="1"/>
  <c r="AF2094" i="1"/>
  <c r="AG2094" i="1" s="1"/>
  <c r="AF2095" i="1"/>
  <c r="AG2095" i="1" s="1"/>
  <c r="AF2096" i="1"/>
  <c r="AG2096" i="1" s="1"/>
  <c r="AF2097" i="1"/>
  <c r="AG2097" i="1" s="1"/>
  <c r="AH2097" i="1" s="1"/>
  <c r="AF2098" i="1"/>
  <c r="AG2098" i="1" s="1"/>
  <c r="AF2099" i="1"/>
  <c r="AG2099" i="1" s="1"/>
  <c r="AF2100" i="1"/>
  <c r="AG2100" i="1" s="1"/>
  <c r="AF2101" i="1"/>
  <c r="AG2101" i="1" s="1"/>
  <c r="AF2102" i="1"/>
  <c r="AG2102" i="1" s="1"/>
  <c r="AF2103" i="1"/>
  <c r="AG2103" i="1" s="1"/>
  <c r="AF2104" i="1"/>
  <c r="AG2104" i="1" s="1"/>
  <c r="AF2105" i="1"/>
  <c r="AG2105" i="1" s="1"/>
  <c r="AH2105" i="1" s="1"/>
  <c r="AF2106" i="1"/>
  <c r="AG2106" i="1" s="1"/>
  <c r="AF2107" i="1"/>
  <c r="AG2107" i="1" s="1"/>
  <c r="AF2108" i="1"/>
  <c r="AG2108" i="1" s="1"/>
  <c r="AF2109" i="1"/>
  <c r="AG2109" i="1" s="1"/>
  <c r="AF2110" i="1"/>
  <c r="AG2110" i="1" s="1"/>
  <c r="AF2111" i="1"/>
  <c r="AG2111" i="1" s="1"/>
  <c r="AF2112" i="1"/>
  <c r="AG2112" i="1" s="1"/>
  <c r="AF2113" i="1"/>
  <c r="AG2113" i="1" s="1"/>
  <c r="AF2114" i="1"/>
  <c r="AG2114" i="1" s="1"/>
  <c r="AF2115" i="1"/>
  <c r="AG2115" i="1" s="1"/>
  <c r="AF2116" i="1"/>
  <c r="AG2116" i="1" s="1"/>
  <c r="AF2117" i="1"/>
  <c r="AG2117" i="1" s="1"/>
  <c r="AF2118" i="1"/>
  <c r="AG2118" i="1" s="1"/>
  <c r="AF2119" i="1"/>
  <c r="AG2119" i="1" s="1"/>
  <c r="AF2120" i="1"/>
  <c r="AG2120" i="1" s="1"/>
  <c r="AF2121" i="1"/>
  <c r="AG2121" i="1" s="1"/>
  <c r="AF2122" i="1"/>
  <c r="AG2122" i="1" s="1"/>
  <c r="AF2123" i="1"/>
  <c r="AG2123" i="1" s="1"/>
  <c r="AF2124" i="1"/>
  <c r="AG2124" i="1" s="1"/>
  <c r="AF2125" i="1"/>
  <c r="AG2125" i="1" s="1"/>
  <c r="AF2126" i="1"/>
  <c r="AG2126" i="1" s="1"/>
  <c r="AF2127" i="1"/>
  <c r="AG2127" i="1" s="1"/>
  <c r="AF2128" i="1"/>
  <c r="AG2128" i="1" s="1"/>
  <c r="AF2129" i="1"/>
  <c r="AG2129" i="1" s="1"/>
  <c r="AF2130" i="1"/>
  <c r="AG2130" i="1" s="1"/>
  <c r="AF2131" i="1"/>
  <c r="AG2131" i="1" s="1"/>
  <c r="AF2132" i="1"/>
  <c r="AG2132" i="1" s="1"/>
  <c r="AF2133" i="1"/>
  <c r="AG2133" i="1" s="1"/>
  <c r="AF2134" i="1"/>
  <c r="AG2134" i="1" s="1"/>
  <c r="AF2135" i="1"/>
  <c r="AG2135" i="1" s="1"/>
  <c r="AF2136" i="1"/>
  <c r="AG2136" i="1" s="1"/>
  <c r="AF2137" i="1"/>
  <c r="AG2137" i="1" s="1"/>
  <c r="AF2138" i="1"/>
  <c r="AG2138" i="1" s="1"/>
  <c r="AF2139" i="1"/>
  <c r="AG2139" i="1" s="1"/>
  <c r="AF2140" i="1"/>
  <c r="AG2140" i="1" s="1"/>
  <c r="AF2141" i="1"/>
  <c r="AG2141" i="1" s="1"/>
  <c r="AF2142" i="1"/>
  <c r="AG2142" i="1" s="1"/>
  <c r="AF2143" i="1"/>
  <c r="AG2143" i="1" s="1"/>
  <c r="AF2144" i="1"/>
  <c r="AG2144" i="1" s="1"/>
  <c r="AF2145" i="1"/>
  <c r="AG2145" i="1" s="1"/>
  <c r="AF2146" i="1"/>
  <c r="AG2146" i="1" s="1"/>
  <c r="AF2147" i="1"/>
  <c r="AG2147" i="1" s="1"/>
  <c r="AF2148" i="1"/>
  <c r="AG2148" i="1" s="1"/>
  <c r="AF2149" i="1"/>
  <c r="AG2149" i="1" s="1"/>
  <c r="AF2150" i="1"/>
  <c r="AG2150" i="1" s="1"/>
  <c r="AF2151" i="1"/>
  <c r="AG2151" i="1" s="1"/>
  <c r="AF2152" i="1"/>
  <c r="AG2152" i="1" s="1"/>
  <c r="AF2153" i="1"/>
  <c r="AG2153" i="1" s="1"/>
  <c r="AF2154" i="1"/>
  <c r="AG2154" i="1" s="1"/>
  <c r="AF2155" i="1"/>
  <c r="AG2155" i="1" s="1"/>
  <c r="AF2156" i="1"/>
  <c r="AG2156" i="1" s="1"/>
  <c r="AF2157" i="1"/>
  <c r="AG2157" i="1" s="1"/>
  <c r="AF2158" i="1"/>
  <c r="AG2158" i="1" s="1"/>
  <c r="AF2159" i="1"/>
  <c r="AG2159" i="1" s="1"/>
  <c r="AF2160" i="1"/>
  <c r="AG2160" i="1" s="1"/>
  <c r="AF2161" i="1"/>
  <c r="AG2161" i="1" s="1"/>
  <c r="AF2162" i="1"/>
  <c r="AG2162" i="1" s="1"/>
  <c r="AF2163" i="1"/>
  <c r="AG2163" i="1" s="1"/>
  <c r="AF2164" i="1"/>
  <c r="AG2164" i="1" s="1"/>
  <c r="AF2165" i="1"/>
  <c r="AG2165" i="1" s="1"/>
  <c r="AF2166" i="1"/>
  <c r="AG2166" i="1" s="1"/>
  <c r="AF2167" i="1"/>
  <c r="AG2167" i="1" s="1"/>
  <c r="AF2168" i="1"/>
  <c r="AG2168" i="1" s="1"/>
  <c r="AF2169" i="1"/>
  <c r="AG2169" i="1" s="1"/>
  <c r="AF2170" i="1"/>
  <c r="AG2170" i="1" s="1"/>
  <c r="AF2171" i="1"/>
  <c r="AG2171" i="1" s="1"/>
  <c r="AF2172" i="1"/>
  <c r="AG2172" i="1" s="1"/>
  <c r="AF2173" i="1"/>
  <c r="AG2173" i="1" s="1"/>
  <c r="AF2174" i="1"/>
  <c r="AG2174" i="1" s="1"/>
  <c r="AF2175" i="1"/>
  <c r="AG2175" i="1" s="1"/>
  <c r="AF2176" i="1"/>
  <c r="AG2176" i="1" s="1"/>
  <c r="AF2177" i="1"/>
  <c r="AG2177" i="1" s="1"/>
  <c r="AF2178" i="1"/>
  <c r="AG2178" i="1" s="1"/>
  <c r="AF2179" i="1"/>
  <c r="AG2179" i="1" s="1"/>
  <c r="AF2180" i="1"/>
  <c r="AG2180" i="1" s="1"/>
  <c r="AF2181" i="1"/>
  <c r="AG2181" i="1" s="1"/>
  <c r="AF2182" i="1"/>
  <c r="AG2182" i="1" s="1"/>
  <c r="AF2183" i="1"/>
  <c r="AG2183" i="1" s="1"/>
  <c r="AF2184" i="1"/>
  <c r="AG2184" i="1" s="1"/>
  <c r="AF2185" i="1"/>
  <c r="AG2185" i="1" s="1"/>
  <c r="AF2186" i="1"/>
  <c r="AG2186" i="1" s="1"/>
  <c r="AF2187" i="1"/>
  <c r="AG2187" i="1" s="1"/>
  <c r="AF2188" i="1"/>
  <c r="AG2188" i="1" s="1"/>
  <c r="AF2189" i="1"/>
  <c r="AG2189" i="1" s="1"/>
  <c r="AF2190" i="1"/>
  <c r="AG2190" i="1" s="1"/>
  <c r="AF2191" i="1"/>
  <c r="AG2191" i="1" s="1"/>
  <c r="AF2192" i="1"/>
  <c r="AG2192" i="1" s="1"/>
  <c r="AF2193" i="1"/>
  <c r="AG2193" i="1" s="1"/>
  <c r="AH2193" i="1" s="1"/>
  <c r="AF2194" i="1"/>
  <c r="AG2194" i="1" s="1"/>
  <c r="AF2195" i="1"/>
  <c r="AG2195" i="1" s="1"/>
  <c r="AF2196" i="1"/>
  <c r="AG2196" i="1" s="1"/>
  <c r="AF2197" i="1"/>
  <c r="AG2197" i="1" s="1"/>
  <c r="AF2198" i="1"/>
  <c r="AG2198" i="1" s="1"/>
  <c r="AF2199" i="1"/>
  <c r="AG2199" i="1" s="1"/>
  <c r="AF2200" i="1"/>
  <c r="AG2200" i="1" s="1"/>
  <c r="AF2201" i="1"/>
  <c r="AG2201" i="1" s="1"/>
  <c r="AF2202" i="1"/>
  <c r="AG2202" i="1" s="1"/>
  <c r="AF2203" i="1"/>
  <c r="AG2203" i="1" s="1"/>
  <c r="AF2204" i="1"/>
  <c r="AG2204" i="1" s="1"/>
  <c r="AF2205" i="1"/>
  <c r="AG2205" i="1" s="1"/>
  <c r="AF2206" i="1"/>
  <c r="AG2206" i="1" s="1"/>
  <c r="AF2207" i="1"/>
  <c r="AG2207" i="1" s="1"/>
  <c r="AF2208" i="1"/>
  <c r="AG2208" i="1" s="1"/>
  <c r="AF2209" i="1"/>
  <c r="AG2209" i="1" s="1"/>
  <c r="AF2210" i="1"/>
  <c r="AG2210" i="1" s="1"/>
  <c r="AF2211" i="1"/>
  <c r="AG2211" i="1" s="1"/>
  <c r="AF2212" i="1"/>
  <c r="AG2212" i="1" s="1"/>
  <c r="AF2213" i="1"/>
  <c r="AG2213" i="1" s="1"/>
  <c r="AF2214" i="1"/>
  <c r="AG2214" i="1" s="1"/>
  <c r="AF2215" i="1"/>
  <c r="AG2215" i="1" s="1"/>
  <c r="AF2216" i="1"/>
  <c r="AG2216" i="1" s="1"/>
  <c r="AF2217" i="1"/>
  <c r="AG2217" i="1" s="1"/>
  <c r="AF2218" i="1"/>
  <c r="AG2218" i="1" s="1"/>
  <c r="AF2219" i="1"/>
  <c r="AG2219" i="1" s="1"/>
  <c r="AF2220" i="1"/>
  <c r="AG2220" i="1" s="1"/>
  <c r="AF2221" i="1"/>
  <c r="AG2221" i="1" s="1"/>
  <c r="AF2222" i="1"/>
  <c r="AG2222" i="1" s="1"/>
  <c r="AF2223" i="1"/>
  <c r="AG2223" i="1" s="1"/>
  <c r="AF2224" i="1"/>
  <c r="AG2224" i="1" s="1"/>
  <c r="AF2225" i="1"/>
  <c r="AG2225" i="1" s="1"/>
  <c r="AH2225" i="1" s="1"/>
  <c r="AF2226" i="1"/>
  <c r="AG2226" i="1" s="1"/>
  <c r="AF2227" i="1"/>
  <c r="AG2227" i="1" s="1"/>
  <c r="AF2228" i="1"/>
  <c r="AG2228" i="1" s="1"/>
  <c r="AF2229" i="1"/>
  <c r="AG2229" i="1" s="1"/>
  <c r="AF2230" i="1"/>
  <c r="AG2230" i="1" s="1"/>
  <c r="AF2231" i="1"/>
  <c r="AG2231" i="1" s="1"/>
  <c r="AF2232" i="1"/>
  <c r="AG2232" i="1" s="1"/>
  <c r="AF2233" i="1"/>
  <c r="AG2233" i="1" s="1"/>
  <c r="AF2234" i="1"/>
  <c r="AG2234" i="1" s="1"/>
  <c r="AF2235" i="1"/>
  <c r="AG2235" i="1" s="1"/>
  <c r="AF2236" i="1"/>
  <c r="AG2236" i="1" s="1"/>
  <c r="AF2237" i="1"/>
  <c r="AG2237" i="1" s="1"/>
  <c r="AF2238" i="1"/>
  <c r="AG2238" i="1" s="1"/>
  <c r="AF2239" i="1"/>
  <c r="AG2239" i="1" s="1"/>
  <c r="AF2240" i="1"/>
  <c r="AG2240" i="1" s="1"/>
  <c r="AF2241" i="1"/>
  <c r="AG2241" i="1" s="1"/>
  <c r="AF2242" i="1"/>
  <c r="AG2242" i="1" s="1"/>
  <c r="AF2243" i="1"/>
  <c r="AG2243" i="1" s="1"/>
  <c r="AF2244" i="1"/>
  <c r="AG2244" i="1" s="1"/>
  <c r="AF2245" i="1"/>
  <c r="AG2245" i="1" s="1"/>
  <c r="AF2246" i="1"/>
  <c r="AG2246" i="1" s="1"/>
  <c r="AF2247" i="1"/>
  <c r="AG2247" i="1" s="1"/>
  <c r="AF2248" i="1"/>
  <c r="AG2248" i="1" s="1"/>
  <c r="AF2249" i="1"/>
  <c r="AG2249" i="1" s="1"/>
  <c r="AH2249" i="1" s="1"/>
  <c r="AF2250" i="1"/>
  <c r="AG2250" i="1" s="1"/>
  <c r="AF2251" i="1"/>
  <c r="AG2251" i="1" s="1"/>
  <c r="AF2252" i="1"/>
  <c r="AG2252" i="1" s="1"/>
  <c r="AF2253" i="1"/>
  <c r="AG2253" i="1" s="1"/>
  <c r="AF2254" i="1"/>
  <c r="AG2254" i="1" s="1"/>
  <c r="AF2255" i="1"/>
  <c r="AG2255" i="1" s="1"/>
  <c r="AF2256" i="1"/>
  <c r="AG2256" i="1" s="1"/>
  <c r="AF2257" i="1"/>
  <c r="AG2257" i="1" s="1"/>
  <c r="AF2258" i="1"/>
  <c r="AG2258" i="1" s="1"/>
  <c r="AF2259" i="1"/>
  <c r="AG2259" i="1" s="1"/>
  <c r="AF2260" i="1"/>
  <c r="AG2260" i="1" s="1"/>
  <c r="AF2261" i="1"/>
  <c r="AG2261" i="1" s="1"/>
  <c r="AF2262" i="1"/>
  <c r="AG2262" i="1" s="1"/>
  <c r="AF2263" i="1"/>
  <c r="AG2263" i="1" s="1"/>
  <c r="AF2264" i="1"/>
  <c r="AG2264" i="1" s="1"/>
  <c r="AF2265" i="1"/>
  <c r="AG2265" i="1" s="1"/>
  <c r="AH2265" i="1" s="1"/>
  <c r="AF2266" i="1"/>
  <c r="AG2266" i="1" s="1"/>
  <c r="AF2267" i="1"/>
  <c r="AG2267" i="1" s="1"/>
  <c r="AF2268" i="1"/>
  <c r="AG2268" i="1" s="1"/>
  <c r="AF2269" i="1"/>
  <c r="AG2269" i="1" s="1"/>
  <c r="AF2270" i="1"/>
  <c r="AG2270" i="1" s="1"/>
  <c r="AF2271" i="1"/>
  <c r="AG2271" i="1" s="1"/>
  <c r="AF2272" i="1"/>
  <c r="AG2272" i="1" s="1"/>
  <c r="AH2272" i="1" s="1"/>
  <c r="AF2273" i="1"/>
  <c r="AG2273" i="1" s="1"/>
  <c r="AH2273" i="1" s="1"/>
  <c r="AF2274" i="1"/>
  <c r="AG2274" i="1" s="1"/>
  <c r="AF2275" i="1"/>
  <c r="AG2275" i="1" s="1"/>
  <c r="AF2276" i="1"/>
  <c r="AG2276" i="1" s="1"/>
  <c r="AF2277" i="1"/>
  <c r="AG2277" i="1" s="1"/>
  <c r="AF2278" i="1"/>
  <c r="AG2278" i="1" s="1"/>
  <c r="AF2279" i="1"/>
  <c r="AG2279" i="1" s="1"/>
  <c r="AF2280" i="1"/>
  <c r="AG2280" i="1" s="1"/>
  <c r="AF2281" i="1"/>
  <c r="AG2281" i="1" s="1"/>
  <c r="AF2282" i="1"/>
  <c r="AG2282" i="1" s="1"/>
  <c r="AF2283" i="1"/>
  <c r="AG2283" i="1" s="1"/>
  <c r="AF2284" i="1"/>
  <c r="AG2284" i="1" s="1"/>
  <c r="AF2285" i="1"/>
  <c r="AG2285" i="1" s="1"/>
  <c r="AF2286" i="1"/>
  <c r="AG2286" i="1" s="1"/>
  <c r="AF2287" i="1"/>
  <c r="AG2287" i="1" s="1"/>
  <c r="AF2288" i="1"/>
  <c r="AG2288" i="1" s="1"/>
  <c r="AH2288" i="1" s="1"/>
  <c r="AF2289" i="1"/>
  <c r="AG2289" i="1" s="1"/>
  <c r="AF2290" i="1"/>
  <c r="AG2290" i="1" s="1"/>
  <c r="AF2291" i="1"/>
  <c r="AG2291" i="1" s="1"/>
  <c r="AF2292" i="1"/>
  <c r="AG2292" i="1" s="1"/>
  <c r="AF2293" i="1"/>
  <c r="AG2293" i="1" s="1"/>
  <c r="AF2294" i="1"/>
  <c r="AG2294" i="1" s="1"/>
  <c r="AF2295" i="1"/>
  <c r="AG2295" i="1" s="1"/>
  <c r="AF2296" i="1"/>
  <c r="AG2296" i="1" s="1"/>
  <c r="AF2297" i="1"/>
  <c r="AG2297" i="1" s="1"/>
  <c r="AF2298" i="1"/>
  <c r="AG2298" i="1" s="1"/>
  <c r="AF2299" i="1"/>
  <c r="AG2299" i="1" s="1"/>
  <c r="AF2300" i="1"/>
  <c r="AG2300" i="1" s="1"/>
  <c r="AF2301" i="1"/>
  <c r="AG2301" i="1" s="1"/>
  <c r="AF2302" i="1"/>
  <c r="AG2302" i="1" s="1"/>
  <c r="AF2303" i="1"/>
  <c r="AG2303" i="1" s="1"/>
  <c r="AF2304" i="1"/>
  <c r="AG2304" i="1" s="1"/>
  <c r="AF2305" i="1"/>
  <c r="AG2305" i="1" s="1"/>
  <c r="AF2306" i="1"/>
  <c r="AG2306" i="1" s="1"/>
  <c r="AF2307" i="1"/>
  <c r="AG2307" i="1" s="1"/>
  <c r="AF2308" i="1"/>
  <c r="AG2308" i="1" s="1"/>
  <c r="AF2309" i="1"/>
  <c r="AG2309" i="1" s="1"/>
  <c r="AF2310" i="1"/>
  <c r="AG2310" i="1" s="1"/>
  <c r="AF2311" i="1"/>
  <c r="AG2311" i="1" s="1"/>
  <c r="AF2312" i="1"/>
  <c r="AG2312" i="1" s="1"/>
  <c r="AF2313" i="1"/>
  <c r="AG2313" i="1" s="1"/>
  <c r="AF2314" i="1"/>
  <c r="AG2314" i="1" s="1"/>
  <c r="AF2315" i="1"/>
  <c r="AG2315" i="1" s="1"/>
  <c r="AF2316" i="1"/>
  <c r="AG2316" i="1" s="1"/>
  <c r="AF2317" i="1"/>
  <c r="AG2317" i="1" s="1"/>
  <c r="AF2318" i="1"/>
  <c r="AG2318" i="1" s="1"/>
  <c r="AF2319" i="1"/>
  <c r="AG2319" i="1" s="1"/>
  <c r="AF2320" i="1"/>
  <c r="AG2320" i="1" s="1"/>
  <c r="AH2320" i="1" s="1"/>
  <c r="AF2321" i="1"/>
  <c r="AG2321" i="1" s="1"/>
  <c r="AH2321" i="1" s="1"/>
  <c r="AF2322" i="1"/>
  <c r="AG2322" i="1" s="1"/>
  <c r="AF2323" i="1"/>
  <c r="AG2323" i="1" s="1"/>
  <c r="AF2324" i="1"/>
  <c r="AG2324" i="1" s="1"/>
  <c r="AF2325" i="1"/>
  <c r="AG2325" i="1" s="1"/>
  <c r="AF2326" i="1"/>
  <c r="AG2326" i="1" s="1"/>
  <c r="AF2327" i="1"/>
  <c r="AG2327" i="1" s="1"/>
  <c r="AF2328" i="1"/>
  <c r="AG2328" i="1" s="1"/>
  <c r="AH2328" i="1" s="1"/>
  <c r="AF2329" i="1"/>
  <c r="AG2329" i="1" s="1"/>
  <c r="AH2329" i="1" s="1"/>
  <c r="AF2330" i="1"/>
  <c r="AG2330" i="1" s="1"/>
  <c r="AF2331" i="1"/>
  <c r="AG2331" i="1" s="1"/>
  <c r="AF2332" i="1"/>
  <c r="AG2332" i="1" s="1"/>
  <c r="AF2333" i="1"/>
  <c r="AG2333" i="1" s="1"/>
  <c r="AF2334" i="1"/>
  <c r="AG2334" i="1" s="1"/>
  <c r="AF2335" i="1"/>
  <c r="AG2335" i="1" s="1"/>
  <c r="AF2336" i="1"/>
  <c r="AG2336" i="1" s="1"/>
  <c r="AF2337" i="1"/>
  <c r="AG2337" i="1" s="1"/>
  <c r="AH2337" i="1" s="1"/>
  <c r="AF2338" i="1"/>
  <c r="AG2338" i="1" s="1"/>
  <c r="AF2339" i="1"/>
  <c r="AG2339" i="1" s="1"/>
  <c r="AF2340" i="1"/>
  <c r="AG2340" i="1" s="1"/>
  <c r="AF2341" i="1"/>
  <c r="AG2341" i="1" s="1"/>
  <c r="AF2342" i="1"/>
  <c r="AG2342" i="1" s="1"/>
  <c r="AF2343" i="1"/>
  <c r="AG2343" i="1" s="1"/>
  <c r="AF2344" i="1"/>
  <c r="AG2344" i="1" s="1"/>
  <c r="AF2345" i="1"/>
  <c r="AG2345" i="1" s="1"/>
  <c r="AF2346" i="1"/>
  <c r="AG2346" i="1" s="1"/>
  <c r="AF2347" i="1"/>
  <c r="AG2347" i="1" s="1"/>
  <c r="AF2348" i="1"/>
  <c r="AG2348" i="1" s="1"/>
  <c r="AF2349" i="1"/>
  <c r="AG2349" i="1" s="1"/>
  <c r="AF2350" i="1"/>
  <c r="AG2350" i="1" s="1"/>
  <c r="AF2351" i="1"/>
  <c r="AG2351" i="1" s="1"/>
  <c r="AF2352" i="1"/>
  <c r="AG2352" i="1" s="1"/>
  <c r="AF2353" i="1"/>
  <c r="AG2353" i="1" s="1"/>
  <c r="AH2353" i="1" s="1"/>
  <c r="AF2354" i="1"/>
  <c r="AG2354" i="1" s="1"/>
  <c r="AF2355" i="1"/>
  <c r="AG2355" i="1" s="1"/>
  <c r="AF2356" i="1"/>
  <c r="AG2356" i="1" s="1"/>
  <c r="AF2357" i="1"/>
  <c r="AG2357" i="1" s="1"/>
  <c r="AF2" i="1"/>
  <c r="AG2" i="1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" i="1"/>
  <c r="A2" i="3"/>
  <c r="AH2297" i="1" l="1"/>
  <c r="AH2241" i="1"/>
  <c r="AH2217" i="1"/>
  <c r="AH2161" i="1"/>
  <c r="AH2121" i="1"/>
  <c r="AH2065" i="1"/>
  <c r="AH2017" i="1"/>
  <c r="AH1945" i="1"/>
  <c r="AH1921" i="1"/>
  <c r="AH1889" i="1"/>
  <c r="AH1841" i="1"/>
  <c r="AH1809" i="1"/>
  <c r="AH1769" i="1"/>
  <c r="AH1729" i="1"/>
  <c r="AH1689" i="1"/>
  <c r="AH1609" i="1"/>
  <c r="AH1569" i="1"/>
  <c r="AH1545" i="1"/>
  <c r="AH1505" i="1"/>
  <c r="AH1473" i="1"/>
  <c r="AH1441" i="1"/>
  <c r="AH1401" i="1"/>
  <c r="AH1313" i="1"/>
  <c r="AH1289" i="1"/>
  <c r="AH1225" i="1"/>
  <c r="AH1153" i="1"/>
  <c r="AH1121" i="1"/>
  <c r="AH1081" i="1"/>
  <c r="AH1025" i="1"/>
  <c r="AH985" i="1"/>
  <c r="AH961" i="1"/>
  <c r="AH889" i="1"/>
  <c r="AH841" i="1"/>
  <c r="AH817" i="1"/>
  <c r="AH809" i="1"/>
  <c r="AH785" i="1"/>
  <c r="AH561" i="1"/>
  <c r="AH2347" i="1"/>
  <c r="AH2339" i="1"/>
  <c r="AH2323" i="1"/>
  <c r="AH2307" i="1"/>
  <c r="AH2291" i="1"/>
  <c r="AH2283" i="1"/>
  <c r="AH2267" i="1"/>
  <c r="AH2251" i="1"/>
  <c r="AH2235" i="1"/>
  <c r="AH2227" i="1"/>
  <c r="AH2211" i="1"/>
  <c r="AH2195" i="1"/>
  <c r="AH2179" i="1"/>
  <c r="AH2163" i="1"/>
  <c r="AH2147" i="1"/>
  <c r="AH2139" i="1"/>
  <c r="AH2123" i="1"/>
  <c r="AH2107" i="1"/>
  <c r="AH2091" i="1"/>
  <c r="AH2075" i="1"/>
  <c r="AH2059" i="1"/>
  <c r="AH2043" i="1"/>
  <c r="AH2027" i="1"/>
  <c r="AH2019" i="1"/>
  <c r="AH2003" i="1"/>
  <c r="AH1987" i="1"/>
  <c r="AH1971" i="1"/>
  <c r="AH1955" i="1"/>
  <c r="AH1939" i="1"/>
  <c r="AH1915" i="1"/>
  <c r="AH1851" i="1"/>
  <c r="AH987" i="1"/>
  <c r="AH2289" i="1"/>
  <c r="AH2201" i="1"/>
  <c r="AH2145" i="1"/>
  <c r="AH2033" i="1"/>
  <c r="AH2001" i="1"/>
  <c r="AH1929" i="1"/>
  <c r="AH1881" i="1"/>
  <c r="AH1825" i="1"/>
  <c r="AH1713" i="1"/>
  <c r="AH1673" i="1"/>
  <c r="AH1601" i="1"/>
  <c r="AH1529" i="1"/>
  <c r="AH1481" i="1"/>
  <c r="AH1425" i="1"/>
  <c r="AH1385" i="1"/>
  <c r="AH1353" i="1"/>
  <c r="AH1305" i="1"/>
  <c r="AH1241" i="1"/>
  <c r="AH1177" i="1"/>
  <c r="AH1129" i="1"/>
  <c r="AH1073" i="1"/>
  <c r="AH1017" i="1"/>
  <c r="AH945" i="1"/>
  <c r="AH897" i="1"/>
  <c r="AH737" i="1"/>
  <c r="AH553" i="1"/>
  <c r="AH2296" i="1"/>
  <c r="AH2355" i="1"/>
  <c r="AH2331" i="1"/>
  <c r="AH2315" i="1"/>
  <c r="AH2299" i="1"/>
  <c r="AH2275" i="1"/>
  <c r="AH2259" i="1"/>
  <c r="AH2243" i="1"/>
  <c r="AH2219" i="1"/>
  <c r="AH2203" i="1"/>
  <c r="AH2187" i="1"/>
  <c r="AH2171" i="1"/>
  <c r="AH2155" i="1"/>
  <c r="AH2131" i="1"/>
  <c r="AH2115" i="1"/>
  <c r="AH2099" i="1"/>
  <c r="AH2083" i="1"/>
  <c r="AH2067" i="1"/>
  <c r="AH2051" i="1"/>
  <c r="AH2035" i="1"/>
  <c r="AH2011" i="1"/>
  <c r="AH1995" i="1"/>
  <c r="AH1979" i="1"/>
  <c r="AH1963" i="1"/>
  <c r="AH1947" i="1"/>
  <c r="AH1931" i="1"/>
  <c r="AH1923" i="1"/>
  <c r="AH1907" i="1"/>
  <c r="AH1899" i="1"/>
  <c r="AH1891" i="1"/>
  <c r="AH1883" i="1"/>
  <c r="AH1875" i="1"/>
  <c r="AH1867" i="1"/>
  <c r="AH1859" i="1"/>
  <c r="AH1843" i="1"/>
  <c r="AH1835" i="1"/>
  <c r="AH1827" i="1"/>
  <c r="AH1819" i="1"/>
  <c r="AH1811" i="1"/>
  <c r="AH1803" i="1"/>
  <c r="AH1795" i="1"/>
  <c r="AH1787" i="1"/>
  <c r="AH1779" i="1"/>
  <c r="AH1771" i="1"/>
  <c r="AH1763" i="1"/>
  <c r="AH1755" i="1"/>
  <c r="AH1747" i="1"/>
  <c r="AH1739" i="1"/>
  <c r="AH1731" i="1"/>
  <c r="AH1723" i="1"/>
  <c r="AH1715" i="1"/>
  <c r="AH1707" i="1"/>
  <c r="AH1699" i="1"/>
  <c r="AH1691" i="1"/>
  <c r="AH1683" i="1"/>
  <c r="AH1675" i="1"/>
  <c r="AH1667" i="1"/>
  <c r="AH1659" i="1"/>
  <c r="AH1651" i="1"/>
  <c r="AH1643" i="1"/>
  <c r="AH1635" i="1"/>
  <c r="AH1627" i="1"/>
  <c r="AH1619" i="1"/>
  <c r="AH1611" i="1"/>
  <c r="AH1603" i="1"/>
  <c r="AH1595" i="1"/>
  <c r="AH1587" i="1"/>
  <c r="AH1579" i="1"/>
  <c r="AH1571" i="1"/>
  <c r="AH1563" i="1"/>
  <c r="AH1555" i="1"/>
  <c r="AH1547" i="1"/>
  <c r="AH1539" i="1"/>
  <c r="AH1531" i="1"/>
  <c r="AH1523" i="1"/>
  <c r="AH1515" i="1"/>
  <c r="AH1507" i="1"/>
  <c r="AH1499" i="1"/>
  <c r="AH1491" i="1"/>
  <c r="AH1483" i="1"/>
  <c r="AH1475" i="1"/>
  <c r="AH1467" i="1"/>
  <c r="AH1459" i="1"/>
  <c r="AH1451" i="1"/>
  <c r="AH1443" i="1"/>
  <c r="AH1435" i="1"/>
  <c r="AH1427" i="1"/>
  <c r="AH1419" i="1"/>
  <c r="AH1411" i="1"/>
  <c r="AH1403" i="1"/>
  <c r="AH1395" i="1"/>
  <c r="AH1387" i="1"/>
  <c r="AH1379" i="1"/>
  <c r="AH1371" i="1"/>
  <c r="AH1363" i="1"/>
  <c r="AH1355" i="1"/>
  <c r="AH1347" i="1"/>
  <c r="AH1339" i="1"/>
  <c r="AH1331" i="1"/>
  <c r="AH1323" i="1"/>
  <c r="AH1315" i="1"/>
  <c r="AH1307" i="1"/>
  <c r="AH1299" i="1"/>
  <c r="AH1291" i="1"/>
  <c r="AH1283" i="1"/>
  <c r="AH1275" i="1"/>
  <c r="AH1267" i="1"/>
  <c r="AH1259" i="1"/>
  <c r="AH1251" i="1"/>
  <c r="AH1243" i="1"/>
  <c r="AH1235" i="1"/>
  <c r="AH1227" i="1"/>
  <c r="AH1219" i="1"/>
  <c r="AH1211" i="1"/>
  <c r="AH1203" i="1"/>
  <c r="AH1195" i="1"/>
  <c r="AH1187" i="1"/>
  <c r="AH1179" i="1"/>
  <c r="AH1171" i="1"/>
  <c r="AH1163" i="1"/>
  <c r="AH1155" i="1"/>
  <c r="AH1147" i="1"/>
  <c r="AH1139" i="1"/>
  <c r="AH1131" i="1"/>
  <c r="AH1123" i="1"/>
  <c r="AH1115" i="1"/>
  <c r="AH1107" i="1"/>
  <c r="AH1099" i="1"/>
  <c r="AH1091" i="1"/>
  <c r="AH1083" i="1"/>
  <c r="AH1075" i="1"/>
  <c r="AH1067" i="1"/>
  <c r="AH1059" i="1"/>
  <c r="AH1051" i="1"/>
  <c r="AH1043" i="1"/>
  <c r="AH1035" i="1"/>
  <c r="AH1027" i="1"/>
  <c r="AH1019" i="1"/>
  <c r="AH1011" i="1"/>
  <c r="AH1003" i="1"/>
  <c r="AH995" i="1"/>
  <c r="AH979" i="1"/>
  <c r="AH2073" i="1"/>
  <c r="AH1913" i="1"/>
  <c r="AH1801" i="1"/>
  <c r="AH1705" i="1"/>
  <c r="AH1617" i="1"/>
  <c r="AH1249" i="1"/>
  <c r="AH1169" i="1"/>
  <c r="AH1097" i="1"/>
  <c r="AH1009" i="1"/>
  <c r="AH929" i="1"/>
  <c r="AH865" i="1"/>
  <c r="AH833" i="1"/>
  <c r="AH793" i="1"/>
  <c r="AH753" i="1"/>
  <c r="AH713" i="1"/>
  <c r="AH697" i="1"/>
  <c r="AH681" i="1"/>
  <c r="AH657" i="1"/>
  <c r="AH649" i="1"/>
  <c r="AH625" i="1"/>
  <c r="AH593" i="1"/>
  <c r="AH585" i="1"/>
  <c r="AH577" i="1"/>
  <c r="AH521" i="1"/>
  <c r="AH513" i="1"/>
  <c r="AH505" i="1"/>
  <c r="AH497" i="1"/>
  <c r="AH489" i="1"/>
  <c r="AH481" i="1"/>
  <c r="AH433" i="1"/>
  <c r="AH425" i="1"/>
  <c r="AH409" i="1"/>
  <c r="AH401" i="1"/>
  <c r="AH377" i="1"/>
  <c r="AH369" i="1"/>
  <c r="AH361" i="1"/>
  <c r="AH353" i="1"/>
  <c r="AH345" i="1"/>
  <c r="AH337" i="1"/>
  <c r="AH329" i="1"/>
  <c r="AH321" i="1"/>
  <c r="AH313" i="1"/>
  <c r="AH305" i="1"/>
  <c r="AH297" i="1"/>
  <c r="AH289" i="1"/>
  <c r="AH281" i="1"/>
  <c r="AH273" i="1"/>
  <c r="AH265" i="1"/>
  <c r="AH257" i="1"/>
  <c r="AH249" i="1"/>
  <c r="AH241" i="1"/>
  <c r="AH233" i="1"/>
  <c r="AH225" i="1"/>
  <c r="AH217" i="1"/>
  <c r="AH209" i="1"/>
  <c r="AH201" i="1"/>
  <c r="AH193" i="1"/>
  <c r="AH185" i="1"/>
  <c r="AH2257" i="1"/>
  <c r="AH2185" i="1"/>
  <c r="AH2129" i="1"/>
  <c r="AH2041" i="1"/>
  <c r="AH1977" i="1"/>
  <c r="AH1905" i="1"/>
  <c r="AH1817" i="1"/>
  <c r="AH1665" i="1"/>
  <c r="AH1593" i="1"/>
  <c r="AH1537" i="1"/>
  <c r="AH1465" i="1"/>
  <c r="AH1393" i="1"/>
  <c r="AH1137" i="1"/>
  <c r="AH1057" i="1"/>
  <c r="AH2336" i="1"/>
  <c r="AH2312" i="1"/>
  <c r="AH2248" i="1"/>
  <c r="AH2200" i="1"/>
  <c r="AH2160" i="1"/>
  <c r="AH2112" i="1"/>
  <c r="AH2056" i="1"/>
  <c r="AH2000" i="1"/>
  <c r="AH1944" i="1"/>
  <c r="AH1888" i="1"/>
  <c r="AH1832" i="1"/>
  <c r="AH1776" i="1"/>
  <c r="AH1720" i="1"/>
  <c r="AH1664" i="1"/>
  <c r="AH1616" i="1"/>
  <c r="AH1560" i="1"/>
  <c r="AH1456" i="1"/>
  <c r="AH912" i="1"/>
  <c r="AH2137" i="1"/>
  <c r="AH2049" i="1"/>
  <c r="AH1953" i="1"/>
  <c r="AH1873" i="1"/>
  <c r="AH1697" i="1"/>
  <c r="AH1625" i="1"/>
  <c r="AH1513" i="1"/>
  <c r="AH1433" i="1"/>
  <c r="AH1233" i="1"/>
  <c r="AH1089" i="1"/>
  <c r="AH993" i="1"/>
  <c r="AH921" i="1"/>
  <c r="AH825" i="1"/>
  <c r="AH769" i="1"/>
  <c r="AH729" i="1"/>
  <c r="AH705" i="1"/>
  <c r="AH529" i="1"/>
  <c r="AH359" i="1"/>
  <c r="AH2313" i="1"/>
  <c r="AH2233" i="1"/>
  <c r="AH2209" i="1"/>
  <c r="AH2153" i="1"/>
  <c r="AH2113" i="1"/>
  <c r="AH2089" i="1"/>
  <c r="AH2057" i="1"/>
  <c r="AH2009" i="1"/>
  <c r="AH1969" i="1"/>
  <c r="AH1937" i="1"/>
  <c r="AH1897" i="1"/>
  <c r="AH1865" i="1"/>
  <c r="AH1833" i="1"/>
  <c r="AH1785" i="1"/>
  <c r="AH1753" i="1"/>
  <c r="AH1681" i="1"/>
  <c r="AH1633" i="1"/>
  <c r="AH1577" i="1"/>
  <c r="AH1521" i="1"/>
  <c r="AH1489" i="1"/>
  <c r="AH1449" i="1"/>
  <c r="AH1369" i="1"/>
  <c r="AH1345" i="1"/>
  <c r="AH1265" i="1"/>
  <c r="AH1217" i="1"/>
  <c r="AH1145" i="1"/>
  <c r="AH1113" i="1"/>
  <c r="AH1065" i="1"/>
  <c r="AH1033" i="1"/>
  <c r="AH1001" i="1"/>
  <c r="AH953" i="1"/>
  <c r="AH545" i="1"/>
  <c r="AH2352" i="1"/>
  <c r="AH2256" i="1"/>
  <c r="AH2232" i="1"/>
  <c r="AH2208" i="1"/>
  <c r="AH2184" i="1"/>
  <c r="AH2168" i="1"/>
  <c r="AH2144" i="1"/>
  <c r="AH2128" i="1"/>
  <c r="AH2096" i="1"/>
  <c r="AH2088" i="1"/>
  <c r="AH2072" i="1"/>
  <c r="AH2040" i="1"/>
  <c r="AH2024" i="1"/>
  <c r="AH2016" i="1"/>
  <c r="AH1992" i="1"/>
  <c r="AH1976" i="1"/>
  <c r="AH1960" i="1"/>
  <c r="AH1936" i="1"/>
  <c r="AH1920" i="1"/>
  <c r="AH1904" i="1"/>
  <c r="AH1880" i="1"/>
  <c r="AH1864" i="1"/>
  <c r="AH1848" i="1"/>
  <c r="AH1824" i="1"/>
  <c r="AH1800" i="1"/>
  <c r="AH1784" i="1"/>
  <c r="AH1760" i="1"/>
  <c r="AH1744" i="1"/>
  <c r="AH1728" i="1"/>
  <c r="AH1704" i="1"/>
  <c r="AH1696" i="1"/>
  <c r="AH1680" i="1"/>
  <c r="AH1648" i="1"/>
  <c r="AH1632" i="1"/>
  <c r="AH1608" i="1"/>
  <c r="AH1584" i="1"/>
  <c r="AH1568" i="1"/>
  <c r="AH1552" i="1"/>
  <c r="AH1536" i="1"/>
  <c r="AH1520" i="1"/>
  <c r="AH1496" i="1"/>
  <c r="AH1480" i="1"/>
  <c r="AH1464" i="1"/>
  <c r="AH1440" i="1"/>
  <c r="AH1424" i="1"/>
  <c r="AH1408" i="1"/>
  <c r="AH1392" i="1"/>
  <c r="AH1376" i="1"/>
  <c r="AH1352" i="1"/>
  <c r="AH1336" i="1"/>
  <c r="AH1320" i="1"/>
  <c r="AH1304" i="1"/>
  <c r="AH1288" i="1"/>
  <c r="AH1272" i="1"/>
  <c r="AH1256" i="1"/>
  <c r="AH1240" i="1"/>
  <c r="AH1224" i="1"/>
  <c r="AH1208" i="1"/>
  <c r="AH1192" i="1"/>
  <c r="AH1168" i="1"/>
  <c r="AH1152" i="1"/>
  <c r="AH1136" i="1"/>
  <c r="AH1112" i="1"/>
  <c r="AH936" i="1"/>
  <c r="AH2351" i="1"/>
  <c r="AH2327" i="1"/>
  <c r="AH2295" i="1"/>
  <c r="AH2247" i="1"/>
  <c r="AH2345" i="1"/>
  <c r="AH2281" i="1"/>
  <c r="AH2169" i="1"/>
  <c r="AH1585" i="1"/>
  <c r="AH928" i="1"/>
  <c r="AH2335" i="1"/>
  <c r="AH2311" i="1"/>
  <c r="AH2287" i="1"/>
  <c r="AH2271" i="1"/>
  <c r="AH2239" i="1"/>
  <c r="AH2305" i="1"/>
  <c r="AH2177" i="1"/>
  <c r="AH2025" i="1"/>
  <c r="AH537" i="1"/>
  <c r="AH2344" i="1"/>
  <c r="AH2304" i="1"/>
  <c r="AH2280" i="1"/>
  <c r="AH2264" i="1"/>
  <c r="AH2240" i="1"/>
  <c r="AH2224" i="1"/>
  <c r="AH2216" i="1"/>
  <c r="AH2192" i="1"/>
  <c r="AH2176" i="1"/>
  <c r="AH2152" i="1"/>
  <c r="AH2136" i="1"/>
  <c r="AH2120" i="1"/>
  <c r="AH2104" i="1"/>
  <c r="AH2080" i="1"/>
  <c r="AH2064" i="1"/>
  <c r="AH2048" i="1"/>
  <c r="AH2032" i="1"/>
  <c r="AH2008" i="1"/>
  <c r="AH1984" i="1"/>
  <c r="AH1968" i="1"/>
  <c r="AH1952" i="1"/>
  <c r="AH1928" i="1"/>
  <c r="AH1912" i="1"/>
  <c r="AH1896" i="1"/>
  <c r="AH1872" i="1"/>
  <c r="AH1856" i="1"/>
  <c r="AH1840" i="1"/>
  <c r="AH1816" i="1"/>
  <c r="AH1808" i="1"/>
  <c r="AH1792" i="1"/>
  <c r="AH1768" i="1"/>
  <c r="AH1752" i="1"/>
  <c r="AH1736" i="1"/>
  <c r="AH1712" i="1"/>
  <c r="AH1688" i="1"/>
  <c r="AH1672" i="1"/>
  <c r="AH1656" i="1"/>
  <c r="AH1640" i="1"/>
  <c r="AH1624" i="1"/>
  <c r="AH1600" i="1"/>
  <c r="AH1592" i="1"/>
  <c r="AH1576" i="1"/>
  <c r="AH1544" i="1"/>
  <c r="AH1528" i="1"/>
  <c r="AH1512" i="1"/>
  <c r="AH1504" i="1"/>
  <c r="AH1488" i="1"/>
  <c r="AH1472" i="1"/>
  <c r="AH1448" i="1"/>
  <c r="AH1432" i="1"/>
  <c r="AH1416" i="1"/>
  <c r="AH1400" i="1"/>
  <c r="AH1384" i="1"/>
  <c r="AH1368" i="1"/>
  <c r="AH1360" i="1"/>
  <c r="AH1344" i="1"/>
  <c r="AH1328" i="1"/>
  <c r="AH1312" i="1"/>
  <c r="AH1296" i="1"/>
  <c r="AH1280" i="1"/>
  <c r="AH1264" i="1"/>
  <c r="AH1248" i="1"/>
  <c r="AH1232" i="1"/>
  <c r="AH1216" i="1"/>
  <c r="AH1200" i="1"/>
  <c r="AH1184" i="1"/>
  <c r="AH1176" i="1"/>
  <c r="AH1160" i="1"/>
  <c r="AH1144" i="1"/>
  <c r="AH1128" i="1"/>
  <c r="AH1120" i="1"/>
  <c r="AH1104" i="1"/>
  <c r="AH1096" i="1"/>
  <c r="AH1088" i="1"/>
  <c r="AH1080" i="1"/>
  <c r="AH1072" i="1"/>
  <c r="AH1064" i="1"/>
  <c r="AH1056" i="1"/>
  <c r="AH1048" i="1"/>
  <c r="AH1040" i="1"/>
  <c r="AH1032" i="1"/>
  <c r="AH1024" i="1"/>
  <c r="AH1016" i="1"/>
  <c r="AH1008" i="1"/>
  <c r="AH1000" i="1"/>
  <c r="AH992" i="1"/>
  <c r="AH984" i="1"/>
  <c r="AH976" i="1"/>
  <c r="AH968" i="1"/>
  <c r="AH960" i="1"/>
  <c r="AH952" i="1"/>
  <c r="AH944" i="1"/>
  <c r="AH920" i="1"/>
  <c r="AH2343" i="1"/>
  <c r="AH2319" i="1"/>
  <c r="AH2303" i="1"/>
  <c r="AH2279" i="1"/>
  <c r="AH2263" i="1"/>
  <c r="AH2255" i="1"/>
  <c r="AH2231" i="1"/>
  <c r="AH904" i="1"/>
  <c r="AH896" i="1"/>
  <c r="AH888" i="1"/>
  <c r="AH880" i="1"/>
  <c r="AH872" i="1"/>
  <c r="AH864" i="1"/>
  <c r="AH856" i="1"/>
  <c r="AH848" i="1"/>
  <c r="AH840" i="1"/>
  <c r="AH832" i="1"/>
  <c r="AH824" i="1"/>
  <c r="AH816" i="1"/>
  <c r="AH808" i="1"/>
  <c r="AH800" i="1"/>
  <c r="AH792" i="1"/>
  <c r="AH784" i="1"/>
  <c r="AH776" i="1"/>
  <c r="AH768" i="1"/>
  <c r="AH760" i="1"/>
  <c r="AH752" i="1"/>
  <c r="AH744" i="1"/>
  <c r="AH736" i="1"/>
  <c r="AH728" i="1"/>
  <c r="AH720" i="1"/>
  <c r="AH712" i="1"/>
  <c r="AH704" i="1"/>
  <c r="AH696" i="1"/>
  <c r="AH688" i="1"/>
  <c r="AH680" i="1"/>
  <c r="AH672" i="1"/>
  <c r="AH664" i="1"/>
  <c r="AH656" i="1"/>
  <c r="AH648" i="1"/>
  <c r="AH640" i="1"/>
  <c r="AH632" i="1"/>
  <c r="AH624" i="1"/>
  <c r="AH616" i="1"/>
  <c r="AH608" i="1"/>
  <c r="AH600" i="1"/>
  <c r="AH592" i="1"/>
  <c r="AH584" i="1"/>
  <c r="AH576" i="1"/>
  <c r="AH568" i="1"/>
  <c r="AH560" i="1"/>
  <c r="AH552" i="1"/>
  <c r="AH544" i="1"/>
  <c r="AH536" i="1"/>
  <c r="AH528" i="1"/>
  <c r="AH520" i="1"/>
  <c r="AH512" i="1"/>
  <c r="AH504" i="1"/>
  <c r="AH496" i="1"/>
  <c r="AH488" i="1"/>
  <c r="AH480" i="1"/>
  <c r="AH472" i="1"/>
  <c r="AH464" i="1"/>
  <c r="AH456" i="1"/>
  <c r="AH448" i="1"/>
  <c r="AH440" i="1"/>
  <c r="AH432" i="1"/>
  <c r="AH424" i="1"/>
  <c r="AH416" i="1"/>
  <c r="AH408" i="1"/>
  <c r="AH400" i="1"/>
  <c r="AH392" i="1"/>
  <c r="AH384" i="1"/>
  <c r="AH376" i="1"/>
  <c r="AH368" i="1"/>
  <c r="AH360" i="1"/>
  <c r="AH352" i="1"/>
  <c r="AH344" i="1"/>
  <c r="AH336" i="1"/>
  <c r="AH328" i="1"/>
  <c r="AH320" i="1"/>
  <c r="AH312" i="1"/>
  <c r="AH304" i="1"/>
  <c r="AH296" i="1"/>
  <c r="AH288" i="1"/>
  <c r="AH280" i="1"/>
  <c r="AH272" i="1"/>
  <c r="AH264" i="1"/>
  <c r="AH256" i="1"/>
  <c r="AH248" i="1"/>
  <c r="AH240" i="1"/>
  <c r="AH232" i="1"/>
  <c r="AH2207" i="1"/>
  <c r="AH2183" i="1"/>
  <c r="AH2159" i="1"/>
  <c r="AH2135" i="1"/>
  <c r="AH2111" i="1"/>
  <c r="AH2095" i="1"/>
  <c r="AH2071" i="1"/>
  <c r="AH2039" i="1"/>
  <c r="AH2007" i="1"/>
  <c r="AH1983" i="1"/>
  <c r="AH1959" i="1"/>
  <c r="AH1935" i="1"/>
  <c r="AH1911" i="1"/>
  <c r="AH1887" i="1"/>
  <c r="AH1863" i="1"/>
  <c r="AH1839" i="1"/>
  <c r="AH1815" i="1"/>
  <c r="AH1791" i="1"/>
  <c r="AH1767" i="1"/>
  <c r="AH1743" i="1"/>
  <c r="AH1719" i="1"/>
  <c r="AH1695" i="1"/>
  <c r="AH1679" i="1"/>
  <c r="AH1655" i="1"/>
  <c r="AH1631" i="1"/>
  <c r="AH1607" i="1"/>
  <c r="AH1575" i="1"/>
  <c r="AH1551" i="1"/>
  <c r="AH1527" i="1"/>
  <c r="AH1495" i="1"/>
  <c r="AH1471" i="1"/>
  <c r="AH1447" i="1"/>
  <c r="AH1423" i="1"/>
  <c r="AH1407" i="1"/>
  <c r="AH1383" i="1"/>
  <c r="AH1359" i="1"/>
  <c r="AH1343" i="1"/>
  <c r="AH1327" i="1"/>
  <c r="AH1303" i="1"/>
  <c r="AH1279" i="1"/>
  <c r="AH1247" i="1"/>
  <c r="AH1223" i="1"/>
  <c r="AH1199" i="1"/>
  <c r="AH1167" i="1"/>
  <c r="AH1143" i="1"/>
  <c r="AH1111" i="1"/>
  <c r="AH1087" i="1"/>
  <c r="AH1063" i="1"/>
  <c r="AH1039" i="1"/>
  <c r="AH1015" i="1"/>
  <c r="AH975" i="1"/>
  <c r="AH959" i="1"/>
  <c r="AH943" i="1"/>
  <c r="AH919" i="1"/>
  <c r="AH895" i="1"/>
  <c r="AH871" i="1"/>
  <c r="AH847" i="1"/>
  <c r="AH823" i="1"/>
  <c r="AH791" i="1"/>
  <c r="AH767" i="1"/>
  <c r="AH743" i="1"/>
  <c r="AH719" i="1"/>
  <c r="AH695" i="1"/>
  <c r="AH671" i="1"/>
  <c r="AH647" i="1"/>
  <c r="AH623" i="1"/>
  <c r="AH591" i="1"/>
  <c r="AH543" i="1"/>
  <c r="AH351" i="1"/>
  <c r="AH2223" i="1"/>
  <c r="AH2199" i="1"/>
  <c r="AH2175" i="1"/>
  <c r="AH2151" i="1"/>
  <c r="AH2127" i="1"/>
  <c r="AH2103" i="1"/>
  <c r="AH2079" i="1"/>
  <c r="AH2063" i="1"/>
  <c r="AH2047" i="1"/>
  <c r="AH2023" i="1"/>
  <c r="AH1999" i="1"/>
  <c r="AH1967" i="1"/>
  <c r="AH1951" i="1"/>
  <c r="AH1927" i="1"/>
  <c r="AH1903" i="1"/>
  <c r="AH1879" i="1"/>
  <c r="AH1855" i="1"/>
  <c r="AH1831" i="1"/>
  <c r="AH1807" i="1"/>
  <c r="AH1783" i="1"/>
  <c r="AH1759" i="1"/>
  <c r="AH1735" i="1"/>
  <c r="AH1711" i="1"/>
  <c r="AH1687" i="1"/>
  <c r="AH1663" i="1"/>
  <c r="AH1639" i="1"/>
  <c r="AH1615" i="1"/>
  <c r="AH1591" i="1"/>
  <c r="AH1567" i="1"/>
  <c r="AH1543" i="1"/>
  <c r="AH1519" i="1"/>
  <c r="AH1503" i="1"/>
  <c r="AH1479" i="1"/>
  <c r="AH1455" i="1"/>
  <c r="AH1431" i="1"/>
  <c r="AH1399" i="1"/>
  <c r="AH1375" i="1"/>
  <c r="AH1351" i="1"/>
  <c r="AH1319" i="1"/>
  <c r="AH1295" i="1"/>
  <c r="AH1271" i="1"/>
  <c r="AH1255" i="1"/>
  <c r="AH1231" i="1"/>
  <c r="AH1207" i="1"/>
  <c r="AH1183" i="1"/>
  <c r="AH1159" i="1"/>
  <c r="AH1135" i="1"/>
  <c r="AH1119" i="1"/>
  <c r="AH1095" i="1"/>
  <c r="AH1071" i="1"/>
  <c r="AH1047" i="1"/>
  <c r="AH1023" i="1"/>
  <c r="AH999" i="1"/>
  <c r="AH983" i="1"/>
  <c r="AH967" i="1"/>
  <c r="AH935" i="1"/>
  <c r="AH911" i="1"/>
  <c r="AH887" i="1"/>
  <c r="AH863" i="1"/>
  <c r="AH839" i="1"/>
  <c r="AH807" i="1"/>
  <c r="AH783" i="1"/>
  <c r="AH759" i="1"/>
  <c r="AH735" i="1"/>
  <c r="AH703" i="1"/>
  <c r="AH679" i="1"/>
  <c r="AH655" i="1"/>
  <c r="AH631" i="1"/>
  <c r="AH607" i="1"/>
  <c r="AH583" i="1"/>
  <c r="AH567" i="1"/>
  <c r="AH551" i="1"/>
  <c r="AH527" i="1"/>
  <c r="AH511" i="1"/>
  <c r="AH487" i="1"/>
  <c r="AH471" i="1"/>
  <c r="AH455" i="1"/>
  <c r="AH439" i="1"/>
  <c r="AH423" i="1"/>
  <c r="AH407" i="1"/>
  <c r="AH367" i="1"/>
  <c r="AH2215" i="1"/>
  <c r="AH2191" i="1"/>
  <c r="AH2167" i="1"/>
  <c r="AH2143" i="1"/>
  <c r="AH2119" i="1"/>
  <c r="AH2087" i="1"/>
  <c r="AH2055" i="1"/>
  <c r="AH2031" i="1"/>
  <c r="AH2015" i="1"/>
  <c r="AH1991" i="1"/>
  <c r="AH1975" i="1"/>
  <c r="AH1943" i="1"/>
  <c r="AH1919" i="1"/>
  <c r="AH1895" i="1"/>
  <c r="AH1871" i="1"/>
  <c r="AH1847" i="1"/>
  <c r="AH1823" i="1"/>
  <c r="AH1799" i="1"/>
  <c r="AH1775" i="1"/>
  <c r="AH1751" i="1"/>
  <c r="AH1727" i="1"/>
  <c r="AH1703" i="1"/>
  <c r="AH1671" i="1"/>
  <c r="AH1647" i="1"/>
  <c r="AH1623" i="1"/>
  <c r="AH1599" i="1"/>
  <c r="AH1583" i="1"/>
  <c r="AH1559" i="1"/>
  <c r="AH1535" i="1"/>
  <c r="AH1511" i="1"/>
  <c r="AH1487" i="1"/>
  <c r="AH1463" i="1"/>
  <c r="AH1439" i="1"/>
  <c r="AH1415" i="1"/>
  <c r="AH1391" i="1"/>
  <c r="AH1367" i="1"/>
  <c r="AH1335" i="1"/>
  <c r="AH1311" i="1"/>
  <c r="AH1287" i="1"/>
  <c r="AH1263" i="1"/>
  <c r="AH1239" i="1"/>
  <c r="AH1215" i="1"/>
  <c r="AH1191" i="1"/>
  <c r="AH1175" i="1"/>
  <c r="AH1151" i="1"/>
  <c r="AH1127" i="1"/>
  <c r="AH1103" i="1"/>
  <c r="AH1079" i="1"/>
  <c r="AH1055" i="1"/>
  <c r="AH1031" i="1"/>
  <c r="AH1007" i="1"/>
  <c r="AH991" i="1"/>
  <c r="AH951" i="1"/>
  <c r="AH927" i="1"/>
  <c r="AH903" i="1"/>
  <c r="AH879" i="1"/>
  <c r="AH855" i="1"/>
  <c r="AH831" i="1"/>
  <c r="AH815" i="1"/>
  <c r="AH799" i="1"/>
  <c r="AH775" i="1"/>
  <c r="AH751" i="1"/>
  <c r="AH727" i="1"/>
  <c r="AH711" i="1"/>
  <c r="AH687" i="1"/>
  <c r="AH663" i="1"/>
  <c r="AH639" i="1"/>
  <c r="AH615" i="1"/>
  <c r="AH599" i="1"/>
  <c r="AH575" i="1"/>
  <c r="AH559" i="1"/>
  <c r="AH535" i="1"/>
  <c r="AH519" i="1"/>
  <c r="AH503" i="1"/>
  <c r="AH495" i="1"/>
  <c r="AH479" i="1"/>
  <c r="AH463" i="1"/>
  <c r="AH447" i="1"/>
  <c r="AH431" i="1"/>
  <c r="AH415" i="1"/>
  <c r="AH399" i="1"/>
  <c r="AH391" i="1"/>
  <c r="AH383" i="1"/>
  <c r="AH375" i="1"/>
  <c r="AH343" i="1"/>
  <c r="AH971" i="1"/>
  <c r="AH963" i="1"/>
  <c r="AH947" i="1"/>
  <c r="AH931" i="1"/>
  <c r="AH915" i="1"/>
  <c r="AH891" i="1"/>
  <c r="AH619" i="1"/>
  <c r="AH955" i="1"/>
  <c r="AH939" i="1"/>
  <c r="AH923" i="1"/>
  <c r="AH907" i="1"/>
  <c r="AH899" i="1"/>
  <c r="AH883" i="1"/>
  <c r="AH875" i="1"/>
  <c r="AH867" i="1"/>
  <c r="AH859" i="1"/>
  <c r="AH851" i="1"/>
  <c r="AH843" i="1"/>
  <c r="AH835" i="1"/>
  <c r="AH827" i="1"/>
  <c r="AH819" i="1"/>
  <c r="AH811" i="1"/>
  <c r="AH803" i="1"/>
  <c r="AH795" i="1"/>
  <c r="AH787" i="1"/>
  <c r="AH779" i="1"/>
  <c r="AH771" i="1"/>
  <c r="AH763" i="1"/>
  <c r="AH755" i="1"/>
  <c r="AH747" i="1"/>
  <c r="AH739" i="1"/>
  <c r="AH731" i="1"/>
  <c r="AH723" i="1"/>
  <c r="AH715" i="1"/>
  <c r="AH707" i="1"/>
  <c r="AH699" i="1"/>
  <c r="AH691" i="1"/>
  <c r="AH683" i="1"/>
  <c r="AH675" i="1"/>
  <c r="AH667" i="1"/>
  <c r="AH659" i="1"/>
  <c r="AH651" i="1"/>
  <c r="AH643" i="1"/>
  <c r="AH635" i="1"/>
  <c r="AH627" i="1"/>
  <c r="AH2354" i="1"/>
  <c r="AH2346" i="1"/>
  <c r="AH2338" i="1"/>
  <c r="AH2330" i="1"/>
  <c r="AH2322" i="1"/>
  <c r="AH2314" i="1"/>
  <c r="AH2306" i="1"/>
  <c r="AH2298" i="1"/>
  <c r="AH2290" i="1"/>
  <c r="AH2282" i="1"/>
  <c r="AH2274" i="1"/>
  <c r="AH2266" i="1"/>
  <c r="AH2258" i="1"/>
  <c r="AH2250" i="1"/>
  <c r="AH2242" i="1"/>
  <c r="AH2234" i="1"/>
  <c r="AH2226" i="1"/>
  <c r="AH2218" i="1"/>
  <c r="AH2210" i="1"/>
  <c r="AH2202" i="1"/>
  <c r="AH2194" i="1"/>
  <c r="AH2186" i="1"/>
  <c r="AH2178" i="1"/>
  <c r="AH2170" i="1"/>
  <c r="AH2162" i="1"/>
  <c r="AH2154" i="1"/>
  <c r="AH2146" i="1"/>
  <c r="AH2138" i="1"/>
  <c r="AH2130" i="1"/>
  <c r="AH2122" i="1"/>
  <c r="AH2114" i="1"/>
  <c r="AH2106" i="1"/>
  <c r="AH2098" i="1"/>
  <c r="AH2090" i="1"/>
  <c r="AH2082" i="1"/>
  <c r="AH2074" i="1"/>
  <c r="AH2066" i="1"/>
  <c r="AH2058" i="1"/>
  <c r="AH2050" i="1"/>
  <c r="AH2042" i="1"/>
  <c r="AH2034" i="1"/>
  <c r="AH2026" i="1"/>
  <c r="AH2018" i="1"/>
  <c r="AH2010" i="1"/>
  <c r="AH2002" i="1"/>
  <c r="AH1994" i="1"/>
  <c r="AH1986" i="1"/>
  <c r="AH177" i="1"/>
  <c r="AH169" i="1"/>
  <c r="AH161" i="1"/>
  <c r="AH153" i="1"/>
  <c r="AH145" i="1"/>
  <c r="AH137" i="1"/>
  <c r="AH129" i="1"/>
  <c r="AH121" i="1"/>
  <c r="AH113" i="1"/>
  <c r="AH105" i="1"/>
  <c r="AH97" i="1"/>
  <c r="AH89" i="1"/>
  <c r="AH81" i="1"/>
  <c r="AH73" i="1"/>
  <c r="AH65" i="1"/>
  <c r="AH57" i="1"/>
  <c r="AH49" i="1"/>
  <c r="AH41" i="1"/>
  <c r="AH33" i="1"/>
  <c r="AH25" i="1"/>
  <c r="AH17" i="1"/>
  <c r="AH9" i="1"/>
  <c r="AH224" i="1"/>
  <c r="AH216" i="1"/>
  <c r="AH208" i="1"/>
  <c r="AH200" i="1"/>
  <c r="AH192" i="1"/>
  <c r="AH184" i="1"/>
  <c r="AH176" i="1"/>
  <c r="AH168" i="1"/>
  <c r="AH160" i="1"/>
  <c r="AH152" i="1"/>
  <c r="AH144" i="1"/>
  <c r="AH136" i="1"/>
  <c r="AH128" i="1"/>
  <c r="AH120" i="1"/>
  <c r="AH112" i="1"/>
  <c r="AH104" i="1"/>
  <c r="AH96" i="1"/>
  <c r="AH88" i="1"/>
  <c r="AH80" i="1"/>
  <c r="AH72" i="1"/>
  <c r="AH64" i="1"/>
  <c r="AH56" i="1"/>
  <c r="AH48" i="1"/>
  <c r="AH40" i="1"/>
  <c r="AH32" i="1"/>
  <c r="AH24" i="1"/>
  <c r="AH16" i="1"/>
  <c r="AH8" i="1"/>
  <c r="AH287" i="1"/>
  <c r="AH231" i="1"/>
  <c r="AH199" i="1"/>
  <c r="AH175" i="1"/>
  <c r="AH151" i="1"/>
  <c r="AH135" i="1"/>
  <c r="AH127" i="1"/>
  <c r="AH119" i="1"/>
  <c r="AH111" i="1"/>
  <c r="AH103" i="1"/>
  <c r="AH95" i="1"/>
  <c r="AH87" i="1"/>
  <c r="AH79" i="1"/>
  <c r="AH71" i="1"/>
  <c r="AH63" i="1"/>
  <c r="AH55" i="1"/>
  <c r="AH47" i="1"/>
  <c r="AH39" i="1"/>
  <c r="AH7" i="1"/>
  <c r="AH335" i="1"/>
  <c r="AH319" i="1"/>
  <c r="AH295" i="1"/>
  <c r="AH271" i="1"/>
  <c r="AH255" i="1"/>
  <c r="AH239" i="1"/>
  <c r="AH223" i="1"/>
  <c r="AH207" i="1"/>
  <c r="AH191" i="1"/>
  <c r="AH183" i="1"/>
  <c r="AH167" i="1"/>
  <c r="AH159" i="1"/>
  <c r="AH143" i="1"/>
  <c r="AH15" i="1"/>
  <c r="AH2" i="1"/>
  <c r="AH2350" i="1"/>
  <c r="AH2342" i="1"/>
  <c r="AH2334" i="1"/>
  <c r="AH2326" i="1"/>
  <c r="AH2318" i="1"/>
  <c r="AH2310" i="1"/>
  <c r="AH2302" i="1"/>
  <c r="AH2294" i="1"/>
  <c r="AH2286" i="1"/>
  <c r="AH2278" i="1"/>
  <c r="AH2270" i="1"/>
  <c r="AH2262" i="1"/>
  <c r="AH2254" i="1"/>
  <c r="AH2246" i="1"/>
  <c r="AH2238" i="1"/>
  <c r="AH2230" i="1"/>
  <c r="AH2222" i="1"/>
  <c r="AH2214" i="1"/>
  <c r="AH2206" i="1"/>
  <c r="AH2198" i="1"/>
  <c r="AH2190" i="1"/>
  <c r="AH2182" i="1"/>
  <c r="AH2174" i="1"/>
  <c r="AH2166" i="1"/>
  <c r="AH2158" i="1"/>
  <c r="AH2150" i="1"/>
  <c r="AH2142" i="1"/>
  <c r="AH2134" i="1"/>
  <c r="AH2126" i="1"/>
  <c r="AH2118" i="1"/>
  <c r="AH2110" i="1"/>
  <c r="AH2102" i="1"/>
  <c r="AH2094" i="1"/>
  <c r="AH2086" i="1"/>
  <c r="AH2078" i="1"/>
  <c r="AH2070" i="1"/>
  <c r="AH2062" i="1"/>
  <c r="AH2054" i="1"/>
  <c r="AH2046" i="1"/>
  <c r="AH2038" i="1"/>
  <c r="AH2030" i="1"/>
  <c r="AH2022" i="1"/>
  <c r="AH2014" i="1"/>
  <c r="AH2006" i="1"/>
  <c r="AH1998" i="1"/>
  <c r="AH1990" i="1"/>
  <c r="AH1982" i="1"/>
  <c r="AH1974" i="1"/>
  <c r="AH1966" i="1"/>
  <c r="AH1958" i="1"/>
  <c r="AH1950" i="1"/>
  <c r="AH1942" i="1"/>
  <c r="AH1934" i="1"/>
  <c r="AH1926" i="1"/>
  <c r="AH1918" i="1"/>
  <c r="AH1910" i="1"/>
  <c r="AH1902" i="1"/>
  <c r="AH1894" i="1"/>
  <c r="AH1886" i="1"/>
  <c r="AH31" i="1"/>
  <c r="AH2357" i="1"/>
  <c r="AH2349" i="1"/>
  <c r="AH2341" i="1"/>
  <c r="AH2333" i="1"/>
  <c r="AH2325" i="1"/>
  <c r="AH2317" i="1"/>
  <c r="AH2309" i="1"/>
  <c r="AH2301" i="1"/>
  <c r="AH2293" i="1"/>
  <c r="AH2285" i="1"/>
  <c r="AH2277" i="1"/>
  <c r="AH2269" i="1"/>
  <c r="AH2261" i="1"/>
  <c r="AH2253" i="1"/>
  <c r="AH2245" i="1"/>
  <c r="AH2229" i="1"/>
  <c r="AH2221" i="1"/>
  <c r="AH2213" i="1"/>
  <c r="AH2205" i="1"/>
  <c r="AH2197" i="1"/>
  <c r="AH2189" i="1"/>
  <c r="AH2181" i="1"/>
  <c r="AH2173" i="1"/>
  <c r="AH2165" i="1"/>
  <c r="AH2157" i="1"/>
  <c r="AH2149" i="1"/>
  <c r="AH2141" i="1"/>
  <c r="AH2133" i="1"/>
  <c r="AH2125" i="1"/>
  <c r="AH2117" i="1"/>
  <c r="AH2109" i="1"/>
  <c r="AH2101" i="1"/>
  <c r="AH2093" i="1"/>
  <c r="AH2085" i="1"/>
  <c r="AH2077" i="1"/>
  <c r="AH2069" i="1"/>
  <c r="AH2061" i="1"/>
  <c r="AH2053" i="1"/>
  <c r="AH2045" i="1"/>
  <c r="AH2037" i="1"/>
  <c r="AH2029" i="1"/>
  <c r="AH2021" i="1"/>
  <c r="AH2013" i="1"/>
  <c r="AH2005" i="1"/>
  <c r="AH1997" i="1"/>
  <c r="AH1989" i="1"/>
  <c r="AH1981" i="1"/>
  <c r="AH1973" i="1"/>
  <c r="AH1965" i="1"/>
  <c r="AH1957" i="1"/>
  <c r="AH1949" i="1"/>
  <c r="AH1941" i="1"/>
  <c r="AH1933" i="1"/>
  <c r="AH1925" i="1"/>
  <c r="AH1917" i="1"/>
  <c r="AH1909" i="1"/>
  <c r="AH1901" i="1"/>
  <c r="AH1893" i="1"/>
  <c r="AH1885" i="1"/>
  <c r="AH1877" i="1"/>
  <c r="AH1869" i="1"/>
  <c r="AH1861" i="1"/>
  <c r="AH1853" i="1"/>
  <c r="AH1845" i="1"/>
  <c r="AH1837" i="1"/>
  <c r="AH1829" i="1"/>
  <c r="AH1821" i="1"/>
  <c r="AH1813" i="1"/>
  <c r="AH1805" i="1"/>
  <c r="AH1797" i="1"/>
  <c r="AH1789" i="1"/>
  <c r="AH1781" i="1"/>
  <c r="AH1773" i="1"/>
  <c r="AH1765" i="1"/>
  <c r="AH1757" i="1"/>
  <c r="AH1749" i="1"/>
  <c r="AH1741" i="1"/>
  <c r="AH1733" i="1"/>
  <c r="AH1725" i="1"/>
  <c r="AH1717" i="1"/>
  <c r="AH1709" i="1"/>
  <c r="AH1701" i="1"/>
  <c r="AH1693" i="1"/>
  <c r="AH1685" i="1"/>
  <c r="AH1677" i="1"/>
  <c r="AH1669" i="1"/>
  <c r="AH1661" i="1"/>
  <c r="AH1653" i="1"/>
  <c r="AH1645" i="1"/>
  <c r="AH1637" i="1"/>
  <c r="AH1629" i="1"/>
  <c r="AH1621" i="1"/>
  <c r="AH1613" i="1"/>
  <c r="AH1605" i="1"/>
  <c r="AH1597" i="1"/>
  <c r="AH1589" i="1"/>
  <c r="AH1581" i="1"/>
  <c r="AH1573" i="1"/>
  <c r="AH1565" i="1"/>
  <c r="AH1557" i="1"/>
  <c r="AH1549" i="1"/>
  <c r="AH1541" i="1"/>
  <c r="AH1533" i="1"/>
  <c r="AH327" i="1"/>
  <c r="AH311" i="1"/>
  <c r="AH303" i="1"/>
  <c r="AH279" i="1"/>
  <c r="AH263" i="1"/>
  <c r="AH247" i="1"/>
  <c r="AH215" i="1"/>
  <c r="AH23" i="1"/>
  <c r="AH2237" i="1"/>
  <c r="AH2356" i="1"/>
  <c r="AH2348" i="1"/>
  <c r="AH2340" i="1"/>
  <c r="AH2332" i="1"/>
  <c r="AH2324" i="1"/>
  <c r="AH2316" i="1"/>
  <c r="AH2308" i="1"/>
  <c r="AH2300" i="1"/>
  <c r="AH2292" i="1"/>
  <c r="AH2284" i="1"/>
  <c r="AH2276" i="1"/>
  <c r="AH2268" i="1"/>
  <c r="AH2260" i="1"/>
  <c r="AH2252" i="1"/>
  <c r="AH2244" i="1"/>
  <c r="AH2236" i="1"/>
  <c r="AH2228" i="1"/>
  <c r="AH2220" i="1"/>
  <c r="AH2212" i="1"/>
  <c r="AH2204" i="1"/>
  <c r="AH2196" i="1"/>
  <c r="AH2188" i="1"/>
  <c r="AH2180" i="1"/>
  <c r="AH2172" i="1"/>
  <c r="AH2164" i="1"/>
  <c r="AH1978" i="1"/>
  <c r="AH1970" i="1"/>
  <c r="AH1962" i="1"/>
  <c r="AH1954" i="1"/>
  <c r="AH1946" i="1"/>
  <c r="AH1938" i="1"/>
  <c r="AH1930" i="1"/>
  <c r="AH1922" i="1"/>
  <c r="AH1914" i="1"/>
  <c r="AH1906" i="1"/>
  <c r="AH1898" i="1"/>
  <c r="AH1890" i="1"/>
  <c r="AH1882" i="1"/>
  <c r="AH1874" i="1"/>
  <c r="AH1866" i="1"/>
  <c r="AH1858" i="1"/>
  <c r="AH1850" i="1"/>
  <c r="AH1842" i="1"/>
  <c r="AH1834" i="1"/>
  <c r="AH1826" i="1"/>
  <c r="AH1818" i="1"/>
  <c r="AH1810" i="1"/>
  <c r="AH1802" i="1"/>
  <c r="AH1794" i="1"/>
  <c r="AH1786" i="1"/>
  <c r="AH1778" i="1"/>
  <c r="AH1770" i="1"/>
  <c r="AH1762" i="1"/>
  <c r="AH1754" i="1"/>
  <c r="AH1746" i="1"/>
  <c r="AH1738" i="1"/>
  <c r="AH1730" i="1"/>
  <c r="AH1722" i="1"/>
  <c r="AH1714" i="1"/>
  <c r="AH1706" i="1"/>
  <c r="AH1698" i="1"/>
  <c r="AH1690" i="1"/>
  <c r="AH1682" i="1"/>
  <c r="AH1674" i="1"/>
  <c r="AH1666" i="1"/>
  <c r="AH1658" i="1"/>
  <c r="AH1650" i="1"/>
  <c r="AH1642" i="1"/>
  <c r="AH1634" i="1"/>
  <c r="AH1626" i="1"/>
  <c r="AH1618" i="1"/>
  <c r="AH1610" i="1"/>
  <c r="AH1602" i="1"/>
  <c r="AH1594" i="1"/>
  <c r="AH1586" i="1"/>
  <c r="AH1578" i="1"/>
  <c r="AH1570" i="1"/>
  <c r="AH1562" i="1"/>
  <c r="AH1554" i="1"/>
  <c r="AH1546" i="1"/>
  <c r="AH1538" i="1"/>
  <c r="AH1530" i="1"/>
  <c r="AH1522" i="1"/>
  <c r="AH1514" i="1"/>
  <c r="AH1506" i="1"/>
  <c r="AH1498" i="1"/>
  <c r="AH1490" i="1"/>
  <c r="AH1482" i="1"/>
  <c r="AH1474" i="1"/>
  <c r="AH1466" i="1"/>
  <c r="AH1458" i="1"/>
  <c r="AH1450" i="1"/>
  <c r="AH1442" i="1"/>
  <c r="AH1434" i="1"/>
  <c r="AH1426" i="1"/>
  <c r="AH1418" i="1"/>
  <c r="AH1410" i="1"/>
  <c r="AH1402" i="1"/>
  <c r="AH1394" i="1"/>
  <c r="AH1386" i="1"/>
  <c r="AH1378" i="1"/>
  <c r="AH1370" i="1"/>
  <c r="AH1362" i="1"/>
  <c r="AH1354" i="1"/>
  <c r="AH1346" i="1"/>
  <c r="AH1338" i="1"/>
  <c r="AH1330" i="1"/>
  <c r="AH1322" i="1"/>
  <c r="AH1314" i="1"/>
  <c r="AH1306" i="1"/>
  <c r="AH1878" i="1"/>
  <c r="AH1870" i="1"/>
  <c r="AH1862" i="1"/>
  <c r="AH1854" i="1"/>
  <c r="AH1846" i="1"/>
  <c r="AH1838" i="1"/>
  <c r="AH1830" i="1"/>
  <c r="AH1822" i="1"/>
  <c r="AH1814" i="1"/>
  <c r="AH1806" i="1"/>
  <c r="AH1798" i="1"/>
  <c r="AH1790" i="1"/>
  <c r="AH1782" i="1"/>
  <c r="AH1774" i="1"/>
  <c r="AH1766" i="1"/>
  <c r="AH1758" i="1"/>
  <c r="AH1750" i="1"/>
  <c r="AH1742" i="1"/>
  <c r="AH1734" i="1"/>
  <c r="AH1726" i="1"/>
  <c r="AH1718" i="1"/>
  <c r="AH1710" i="1"/>
  <c r="AH1702" i="1"/>
  <c r="AH1694" i="1"/>
  <c r="AH1686" i="1"/>
  <c r="AH1678" i="1"/>
  <c r="AH1670" i="1"/>
  <c r="AH1662" i="1"/>
  <c r="AH1654" i="1"/>
  <c r="AH1646" i="1"/>
  <c r="AH1638" i="1"/>
  <c r="AH1630" i="1"/>
  <c r="AH1622" i="1"/>
  <c r="AH1614" i="1"/>
  <c r="AH1606" i="1"/>
  <c r="AH1598" i="1"/>
  <c r="AH1590" i="1"/>
  <c r="AH1582" i="1"/>
  <c r="AH1574" i="1"/>
  <c r="AH1566" i="1"/>
  <c r="AH1558" i="1"/>
  <c r="AH1550" i="1"/>
  <c r="AH1542" i="1"/>
  <c r="AH1534" i="1"/>
  <c r="AH1526" i="1"/>
  <c r="AH1518" i="1"/>
  <c r="AH1510" i="1"/>
  <c r="AH1502" i="1"/>
  <c r="AH1494" i="1"/>
  <c r="AH1486" i="1"/>
  <c r="AH1478" i="1"/>
  <c r="AH1470" i="1"/>
  <c r="AH1462" i="1"/>
  <c r="AH1454" i="1"/>
  <c r="AH1446" i="1"/>
  <c r="AH1438" i="1"/>
  <c r="AH1430" i="1"/>
  <c r="AH1422" i="1"/>
  <c r="AH1414" i="1"/>
  <c r="AH1406" i="1"/>
  <c r="AH1398" i="1"/>
  <c r="AH1390" i="1"/>
  <c r="AH1382" i="1"/>
  <c r="AH1374" i="1"/>
  <c r="AH1366" i="1"/>
  <c r="AH1358" i="1"/>
  <c r="AH1350" i="1"/>
  <c r="AH1342" i="1"/>
  <c r="AH1334" i="1"/>
  <c r="AH1326" i="1"/>
  <c r="AH1318" i="1"/>
  <c r="AH1310" i="1"/>
  <c r="AH1302" i="1"/>
  <c r="AH1294" i="1"/>
  <c r="AH1286" i="1"/>
  <c r="AH1278" i="1"/>
  <c r="AH1270" i="1"/>
  <c r="AH1262" i="1"/>
  <c r="AH1254" i="1"/>
  <c r="AH1246" i="1"/>
  <c r="AH1238" i="1"/>
  <c r="AH1230" i="1"/>
  <c r="AH1222" i="1"/>
  <c r="AH1214" i="1"/>
  <c r="AH1206" i="1"/>
  <c r="AH1525" i="1"/>
  <c r="AH1517" i="1"/>
  <c r="AH1509" i="1"/>
  <c r="AH1501" i="1"/>
  <c r="AH1493" i="1"/>
  <c r="AH1485" i="1"/>
  <c r="AH1477" i="1"/>
  <c r="AH1469" i="1"/>
  <c r="AH1461" i="1"/>
  <c r="AH1453" i="1"/>
  <c r="AH1445" i="1"/>
  <c r="AH1437" i="1"/>
  <c r="AH1429" i="1"/>
  <c r="AH1421" i="1"/>
  <c r="AH1413" i="1"/>
  <c r="AH1405" i="1"/>
  <c r="AH1397" i="1"/>
  <c r="AH1389" i="1"/>
  <c r="AH1381" i="1"/>
  <c r="AH1373" i="1"/>
  <c r="AH1365" i="1"/>
  <c r="AH1357" i="1"/>
  <c r="AH1349" i="1"/>
  <c r="AH1341" i="1"/>
  <c r="AH1333" i="1"/>
  <c r="AH1325" i="1"/>
  <c r="AH1317" i="1"/>
  <c r="AH1309" i="1"/>
  <c r="AH1301" i="1"/>
  <c r="AH1293" i="1"/>
  <c r="AH1285" i="1"/>
  <c r="AH1277" i="1"/>
  <c r="AH1269" i="1"/>
  <c r="AH1261" i="1"/>
  <c r="AH1253" i="1"/>
  <c r="AH1245" i="1"/>
  <c r="AH1237" i="1"/>
  <c r="AH1229" i="1"/>
  <c r="AH1221" i="1"/>
  <c r="AH1213" i="1"/>
  <c r="AH1205" i="1"/>
  <c r="AH1197" i="1"/>
  <c r="AH1189" i="1"/>
  <c r="AH1181" i="1"/>
  <c r="AH1173" i="1"/>
  <c r="AH1165" i="1"/>
  <c r="AH1157" i="1"/>
  <c r="AH1149" i="1"/>
  <c r="AH1141" i="1"/>
  <c r="AH1133" i="1"/>
  <c r="AH1125" i="1"/>
  <c r="AH1117" i="1"/>
  <c r="AH1109" i="1"/>
  <c r="AH1101" i="1"/>
  <c r="AH1093" i="1"/>
  <c r="AH1085" i="1"/>
  <c r="AH1077" i="1"/>
  <c r="AH1069" i="1"/>
  <c r="AH1061" i="1"/>
  <c r="AH1053" i="1"/>
  <c r="AH1045" i="1"/>
  <c r="AH1037" i="1"/>
  <c r="AH1029" i="1"/>
  <c r="AH1021" i="1"/>
  <c r="AH1013" i="1"/>
  <c r="AH1005" i="1"/>
  <c r="AH997" i="1"/>
  <c r="AH989" i="1"/>
  <c r="AH981" i="1"/>
  <c r="AH973" i="1"/>
  <c r="AH965" i="1"/>
  <c r="AH957" i="1"/>
  <c r="AH949" i="1"/>
  <c r="AH941" i="1"/>
  <c r="AH933" i="1"/>
  <c r="AH925" i="1"/>
  <c r="AH917" i="1"/>
  <c r="AH909" i="1"/>
  <c r="AH901" i="1"/>
  <c r="AH893" i="1"/>
  <c r="AH885" i="1"/>
  <c r="AH877" i="1"/>
  <c r="AH869" i="1"/>
  <c r="AH861" i="1"/>
  <c r="AH853" i="1"/>
  <c r="AH845" i="1"/>
  <c r="AH837" i="1"/>
  <c r="AH829" i="1"/>
  <c r="AH821" i="1"/>
  <c r="AH813" i="1"/>
  <c r="AH805" i="1"/>
  <c r="AH797" i="1"/>
  <c r="AH789" i="1"/>
  <c r="AH781" i="1"/>
  <c r="AH773" i="1"/>
  <c r="AH765" i="1"/>
  <c r="AH757" i="1"/>
  <c r="AH749" i="1"/>
  <c r="AH741" i="1"/>
  <c r="AH733" i="1"/>
  <c r="AH725" i="1"/>
  <c r="AH717" i="1"/>
  <c r="AH709" i="1"/>
  <c r="AH701" i="1"/>
  <c r="AH693" i="1"/>
  <c r="AH2156" i="1"/>
  <c r="AH2148" i="1"/>
  <c r="AH2140" i="1"/>
  <c r="AH2132" i="1"/>
  <c r="AH2124" i="1"/>
  <c r="AH2116" i="1"/>
  <c r="AH2108" i="1"/>
  <c r="AH2100" i="1"/>
  <c r="AH2092" i="1"/>
  <c r="AH2084" i="1"/>
  <c r="AH2076" i="1"/>
  <c r="AH2068" i="1"/>
  <c r="AH2060" i="1"/>
  <c r="AH2052" i="1"/>
  <c r="AH2044" i="1"/>
  <c r="AH2036" i="1"/>
  <c r="AH2028" i="1"/>
  <c r="AH2020" i="1"/>
  <c r="AH2012" i="1"/>
  <c r="AH2004" i="1"/>
  <c r="AH1996" i="1"/>
  <c r="AH1988" i="1"/>
  <c r="AH1980" i="1"/>
  <c r="AH1972" i="1"/>
  <c r="AH1964" i="1"/>
  <c r="AH1956" i="1"/>
  <c r="AH1948" i="1"/>
  <c r="AH1940" i="1"/>
  <c r="AH1932" i="1"/>
  <c r="AH1924" i="1"/>
  <c r="AH1916" i="1"/>
  <c r="AH1908" i="1"/>
  <c r="AH1900" i="1"/>
  <c r="AH1892" i="1"/>
  <c r="AH1884" i="1"/>
  <c r="AH1876" i="1"/>
  <c r="AH1868" i="1"/>
  <c r="AH1860" i="1"/>
  <c r="AH1852" i="1"/>
  <c r="AH1844" i="1"/>
  <c r="AH1836" i="1"/>
  <c r="AH1828" i="1"/>
  <c r="AH1820" i="1"/>
  <c r="AH1812" i="1"/>
  <c r="AH1804" i="1"/>
  <c r="AH1796" i="1"/>
  <c r="AH1788" i="1"/>
  <c r="AH1780" i="1"/>
  <c r="AH1772" i="1"/>
  <c r="AH1764" i="1"/>
  <c r="AH1756" i="1"/>
  <c r="AH1748" i="1"/>
  <c r="AH1740" i="1"/>
  <c r="AH1732" i="1"/>
  <c r="AH1724" i="1"/>
  <c r="AH1716" i="1"/>
  <c r="AH1708" i="1"/>
  <c r="AH1700" i="1"/>
  <c r="AH1692" i="1"/>
  <c r="AH1684" i="1"/>
  <c r="AH1676" i="1"/>
  <c r="AH1668" i="1"/>
  <c r="AH1660" i="1"/>
  <c r="AH1652" i="1"/>
  <c r="AH1644" i="1"/>
  <c r="AH1636" i="1"/>
  <c r="AH1628" i="1"/>
  <c r="AH1620" i="1"/>
  <c r="AH1612" i="1"/>
  <c r="AH1604" i="1"/>
  <c r="AH1596" i="1"/>
  <c r="AH1588" i="1"/>
  <c r="AH1580" i="1"/>
  <c r="AH1572" i="1"/>
  <c r="AH1564" i="1"/>
  <c r="AH1556" i="1"/>
  <c r="AH1548" i="1"/>
  <c r="AH1540" i="1"/>
  <c r="AH1532" i="1"/>
  <c r="AH1524" i="1"/>
  <c r="AH1516" i="1"/>
  <c r="AH1508" i="1"/>
  <c r="AH1500" i="1"/>
  <c r="AH1492" i="1"/>
  <c r="AH1484" i="1"/>
  <c r="AH1476" i="1"/>
  <c r="AH1468" i="1"/>
  <c r="AH1460" i="1"/>
  <c r="AH1452" i="1"/>
  <c r="AH1444" i="1"/>
  <c r="AH1436" i="1"/>
  <c r="AH1428" i="1"/>
  <c r="AH1420" i="1"/>
  <c r="AH1412" i="1"/>
  <c r="AH1404" i="1"/>
  <c r="AH1396" i="1"/>
  <c r="AH1388" i="1"/>
  <c r="AH1380" i="1"/>
  <c r="AH1372" i="1"/>
  <c r="AH1364" i="1"/>
  <c r="AH1356" i="1"/>
  <c r="AH1348" i="1"/>
  <c r="AH1298" i="1"/>
  <c r="AH1290" i="1"/>
  <c r="AH1282" i="1"/>
  <c r="AH1274" i="1"/>
  <c r="AH1266" i="1"/>
  <c r="AH1258" i="1"/>
  <c r="AH1250" i="1"/>
  <c r="AH1242" i="1"/>
  <c r="AH1234" i="1"/>
  <c r="AH1226" i="1"/>
  <c r="AH1218" i="1"/>
  <c r="AH1210" i="1"/>
  <c r="AH1202" i="1"/>
  <c r="AH1194" i="1"/>
  <c r="AH1186" i="1"/>
  <c r="AH1178" i="1"/>
  <c r="AH1170" i="1"/>
  <c r="AH1162" i="1"/>
  <c r="AH1154" i="1"/>
  <c r="AH1146" i="1"/>
  <c r="AH1138" i="1"/>
  <c r="AH1130" i="1"/>
  <c r="AH1122" i="1"/>
  <c r="AH1114" i="1"/>
  <c r="AH1106" i="1"/>
  <c r="AH1098" i="1"/>
  <c r="AH1090" i="1"/>
  <c r="AH1082" i="1"/>
  <c r="AH1074" i="1"/>
  <c r="AH1066" i="1"/>
  <c r="AH1058" i="1"/>
  <c r="AH1050" i="1"/>
  <c r="AH1042" i="1"/>
  <c r="AH1034" i="1"/>
  <c r="AH1026" i="1"/>
  <c r="AH1018" i="1"/>
  <c r="AH1010" i="1"/>
  <c r="AH1002" i="1"/>
  <c r="AH994" i="1"/>
  <c r="AH986" i="1"/>
  <c r="AH978" i="1"/>
  <c r="AH970" i="1"/>
  <c r="AH962" i="1"/>
  <c r="AH954" i="1"/>
  <c r="AH946" i="1"/>
  <c r="AH938" i="1"/>
  <c r="AH930" i="1"/>
  <c r="AH922" i="1"/>
  <c r="AH914" i="1"/>
  <c r="AH906" i="1"/>
  <c r="AH898" i="1"/>
  <c r="AH890" i="1"/>
  <c r="AH882" i="1"/>
  <c r="AH874" i="1"/>
  <c r="AH866" i="1"/>
  <c r="AH858" i="1"/>
  <c r="AH850" i="1"/>
  <c r="AH842" i="1"/>
  <c r="AH834" i="1"/>
  <c r="AH826" i="1"/>
  <c r="AH818" i="1"/>
  <c r="AH810" i="1"/>
  <c r="AH802" i="1"/>
  <c r="AH794" i="1"/>
  <c r="AH786" i="1"/>
  <c r="AH778" i="1"/>
  <c r="AH770" i="1"/>
  <c r="AH762" i="1"/>
  <c r="AH754" i="1"/>
  <c r="AH746" i="1"/>
  <c r="AH738" i="1"/>
  <c r="AH730" i="1"/>
  <c r="AH722" i="1"/>
  <c r="AH714" i="1"/>
  <c r="AH706" i="1"/>
  <c r="AH698" i="1"/>
  <c r="AH690" i="1"/>
  <c r="AH682" i="1"/>
  <c r="AH266" i="1"/>
  <c r="AH1198" i="1"/>
  <c r="AH1190" i="1"/>
  <c r="AH1182" i="1"/>
  <c r="AH1174" i="1"/>
  <c r="AH1166" i="1"/>
  <c r="AH1158" i="1"/>
  <c r="AH1150" i="1"/>
  <c r="AH1142" i="1"/>
  <c r="AH1134" i="1"/>
  <c r="AH1126" i="1"/>
  <c r="AH1118" i="1"/>
  <c r="AH1110" i="1"/>
  <c r="AH1102" i="1"/>
  <c r="AH1094" i="1"/>
  <c r="AH1086" i="1"/>
  <c r="AH1078" i="1"/>
  <c r="AH1070" i="1"/>
  <c r="AH1062" i="1"/>
  <c r="AH1054" i="1"/>
  <c r="AH1046" i="1"/>
  <c r="AH1038" i="1"/>
  <c r="AH1030" i="1"/>
  <c r="AH1022" i="1"/>
  <c r="AH1014" i="1"/>
  <c r="AH1006" i="1"/>
  <c r="AH998" i="1"/>
  <c r="AH990" i="1"/>
  <c r="AH982" i="1"/>
  <c r="AH974" i="1"/>
  <c r="AH966" i="1"/>
  <c r="AH958" i="1"/>
  <c r="AH950" i="1"/>
  <c r="AH942" i="1"/>
  <c r="AH934" i="1"/>
  <c r="AH926" i="1"/>
  <c r="AH918" i="1"/>
  <c r="AH910" i="1"/>
  <c r="AH902" i="1"/>
  <c r="AH894" i="1"/>
  <c r="AH886" i="1"/>
  <c r="AH878" i="1"/>
  <c r="AH870" i="1"/>
  <c r="AH862" i="1"/>
  <c r="AH854" i="1"/>
  <c r="AH846" i="1"/>
  <c r="AH838" i="1"/>
  <c r="AH830" i="1"/>
  <c r="AH822" i="1"/>
  <c r="AH814" i="1"/>
  <c r="AH806" i="1"/>
  <c r="AH798" i="1"/>
  <c r="AH790" i="1"/>
  <c r="AH782" i="1"/>
  <c r="AH774" i="1"/>
  <c r="AH766" i="1"/>
  <c r="AH758" i="1"/>
  <c r="AH750" i="1"/>
  <c r="AH742" i="1"/>
  <c r="AH734" i="1"/>
  <c r="AH726" i="1"/>
  <c r="AH718" i="1"/>
  <c r="AH710" i="1"/>
  <c r="AH702" i="1"/>
  <c r="AH694" i="1"/>
  <c r="AH686" i="1"/>
  <c r="AH678" i="1"/>
  <c r="AH670" i="1"/>
  <c r="AH662" i="1"/>
  <c r="AH654" i="1"/>
  <c r="AH646" i="1"/>
  <c r="AH638" i="1"/>
  <c r="AH630" i="1"/>
  <c r="AH622" i="1"/>
  <c r="AH614" i="1"/>
  <c r="AH606" i="1"/>
  <c r="AH598" i="1"/>
  <c r="AH590" i="1"/>
  <c r="AH685" i="1"/>
  <c r="AH677" i="1"/>
  <c r="AH669" i="1"/>
  <c r="AH661" i="1"/>
  <c r="AH653" i="1"/>
  <c r="AH645" i="1"/>
  <c r="AH637" i="1"/>
  <c r="AH629" i="1"/>
  <c r="AH621" i="1"/>
  <c r="AH613" i="1"/>
  <c r="AH605" i="1"/>
  <c r="AH597" i="1"/>
  <c r="AH589" i="1"/>
  <c r="AH581" i="1"/>
  <c r="AH573" i="1"/>
  <c r="AH565" i="1"/>
  <c r="AH557" i="1"/>
  <c r="AH549" i="1"/>
  <c r="AH541" i="1"/>
  <c r="AH533" i="1"/>
  <c r="AH525" i="1"/>
  <c r="AH517" i="1"/>
  <c r="AH509" i="1"/>
  <c r="AH501" i="1"/>
  <c r="AH493" i="1"/>
  <c r="AH485" i="1"/>
  <c r="AH477" i="1"/>
  <c r="AH469" i="1"/>
  <c r="AH461" i="1"/>
  <c r="AH453" i="1"/>
  <c r="AH445" i="1"/>
  <c r="AH437" i="1"/>
  <c r="AH429" i="1"/>
  <c r="AH421" i="1"/>
  <c r="AH413" i="1"/>
  <c r="AH405" i="1"/>
  <c r="AH397" i="1"/>
  <c r="AH389" i="1"/>
  <c r="AH381" i="1"/>
  <c r="AH373" i="1"/>
  <c r="AH365" i="1"/>
  <c r="AH357" i="1"/>
  <c r="AH349" i="1"/>
  <c r="AH341" i="1"/>
  <c r="AH333" i="1"/>
  <c r="AH325" i="1"/>
  <c r="AH317" i="1"/>
  <c r="AH309" i="1"/>
  <c r="AH301" i="1"/>
  <c r="AH293" i="1"/>
  <c r="AH285" i="1"/>
  <c r="AH277" i="1"/>
  <c r="AH269" i="1"/>
  <c r="AH261" i="1"/>
  <c r="AH253" i="1"/>
  <c r="AH245" i="1"/>
  <c r="AH237" i="1"/>
  <c r="AH221" i="1"/>
  <c r="AH213" i="1"/>
  <c r="AH205" i="1"/>
  <c r="AH197" i="1"/>
  <c r="AH189" i="1"/>
  <c r="AH181" i="1"/>
  <c r="AH173" i="1"/>
  <c r="AH165" i="1"/>
  <c r="AH157" i="1"/>
  <c r="AH149" i="1"/>
  <c r="AH141" i="1"/>
  <c r="AH133" i="1"/>
  <c r="AH125" i="1"/>
  <c r="AH117" i="1"/>
  <c r="AH109" i="1"/>
  <c r="AH101" i="1"/>
  <c r="AH93" i="1"/>
  <c r="AH85" i="1"/>
  <c r="AH77" i="1"/>
  <c r="AH69" i="1"/>
  <c r="AH61" i="1"/>
  <c r="AH53" i="1"/>
  <c r="AH45" i="1"/>
  <c r="AH37" i="1"/>
  <c r="AH29" i="1"/>
  <c r="AH21" i="1"/>
  <c r="AH13" i="1"/>
  <c r="AH5" i="1"/>
  <c r="AH1340" i="1"/>
  <c r="AH1332" i="1"/>
  <c r="AH1324" i="1"/>
  <c r="AH1316" i="1"/>
  <c r="AH1308" i="1"/>
  <c r="AH1300" i="1"/>
  <c r="AH1292" i="1"/>
  <c r="AH1284" i="1"/>
  <c r="AH1276" i="1"/>
  <c r="AH1268" i="1"/>
  <c r="AH1260" i="1"/>
  <c r="AH1252" i="1"/>
  <c r="AH1244" i="1"/>
  <c r="AH1236" i="1"/>
  <c r="AH1228" i="1"/>
  <c r="AH1220" i="1"/>
  <c r="AH1212" i="1"/>
  <c r="AH1204" i="1"/>
  <c r="AH1196" i="1"/>
  <c r="AH1188" i="1"/>
  <c r="AH1180" i="1"/>
  <c r="AH1172" i="1"/>
  <c r="AH1164" i="1"/>
  <c r="AH1156" i="1"/>
  <c r="AH1148" i="1"/>
  <c r="AH1140" i="1"/>
  <c r="AH1132" i="1"/>
  <c r="AH1124" i="1"/>
  <c r="AH1116" i="1"/>
  <c r="AH1108" i="1"/>
  <c r="AH1100" i="1"/>
  <c r="AH1092" i="1"/>
  <c r="AH1084" i="1"/>
  <c r="AH1076" i="1"/>
  <c r="AH1068" i="1"/>
  <c r="AH1060" i="1"/>
  <c r="AH1052" i="1"/>
  <c r="AH1044" i="1"/>
  <c r="AH1036" i="1"/>
  <c r="AH1028" i="1"/>
  <c r="AH1020" i="1"/>
  <c r="AH1012" i="1"/>
  <c r="AH1004" i="1"/>
  <c r="AH996" i="1"/>
  <c r="AH988" i="1"/>
  <c r="AH980" i="1"/>
  <c r="AH972" i="1"/>
  <c r="AH964" i="1"/>
  <c r="AH956" i="1"/>
  <c r="AH948" i="1"/>
  <c r="AH940" i="1"/>
  <c r="AH932" i="1"/>
  <c r="AH924" i="1"/>
  <c r="AH916" i="1"/>
  <c r="AH908" i="1"/>
  <c r="AH900" i="1"/>
  <c r="AH892" i="1"/>
  <c r="AH884" i="1"/>
  <c r="AH876" i="1"/>
  <c r="AH868" i="1"/>
  <c r="AH860" i="1"/>
  <c r="AH852" i="1"/>
  <c r="AH844" i="1"/>
  <c r="AH836" i="1"/>
  <c r="AH828" i="1"/>
  <c r="AH820" i="1"/>
  <c r="AH812" i="1"/>
  <c r="AH804" i="1"/>
  <c r="AH796" i="1"/>
  <c r="AH788" i="1"/>
  <c r="AH780" i="1"/>
  <c r="AH772" i="1"/>
  <c r="AH764" i="1"/>
  <c r="AH756" i="1"/>
  <c r="AH748" i="1"/>
  <c r="AH740" i="1"/>
  <c r="AH732" i="1"/>
  <c r="AH724" i="1"/>
  <c r="AH716" i="1"/>
  <c r="AH708" i="1"/>
  <c r="AH700" i="1"/>
  <c r="AH692" i="1"/>
  <c r="AH684" i="1"/>
  <c r="AH676" i="1"/>
  <c r="AH611" i="1"/>
  <c r="AH603" i="1"/>
  <c r="AH595" i="1"/>
  <c r="AH587" i="1"/>
  <c r="AH579" i="1"/>
  <c r="AH571" i="1"/>
  <c r="AH563" i="1"/>
  <c r="AH555" i="1"/>
  <c r="AH547" i="1"/>
  <c r="AH539" i="1"/>
  <c r="AH531" i="1"/>
  <c r="AH523" i="1"/>
  <c r="AH515" i="1"/>
  <c r="AH507" i="1"/>
  <c r="AH499" i="1"/>
  <c r="AH491" i="1"/>
  <c r="AH483" i="1"/>
  <c r="AH475" i="1"/>
  <c r="AH467" i="1"/>
  <c r="AH459" i="1"/>
  <c r="AH451" i="1"/>
  <c r="AH443" i="1"/>
  <c r="AH435" i="1"/>
  <c r="AH427" i="1"/>
  <c r="AH419" i="1"/>
  <c r="AH411" i="1"/>
  <c r="AH403" i="1"/>
  <c r="AH395" i="1"/>
  <c r="AH387" i="1"/>
  <c r="AH379" i="1"/>
  <c r="AH371" i="1"/>
  <c r="AH363" i="1"/>
  <c r="AH355" i="1"/>
  <c r="AH347" i="1"/>
  <c r="AH339" i="1"/>
  <c r="AH331" i="1"/>
  <c r="AH323" i="1"/>
  <c r="AH315" i="1"/>
  <c r="AH307" i="1"/>
  <c r="AH299" i="1"/>
  <c r="AH291" i="1"/>
  <c r="AH283" i="1"/>
  <c r="AH275" i="1"/>
  <c r="AH267" i="1"/>
  <c r="AH259" i="1"/>
  <c r="AH251" i="1"/>
  <c r="AH243" i="1"/>
  <c r="AH235" i="1"/>
  <c r="AH227" i="1"/>
  <c r="AH219" i="1"/>
  <c r="AH211" i="1"/>
  <c r="AH203" i="1"/>
  <c r="AH195" i="1"/>
  <c r="AH187" i="1"/>
  <c r="AH179" i="1"/>
  <c r="AH171" i="1"/>
  <c r="AH163" i="1"/>
  <c r="AH155" i="1"/>
  <c r="AH147" i="1"/>
  <c r="AH139" i="1"/>
  <c r="AH131" i="1"/>
  <c r="AH123" i="1"/>
  <c r="AH115" i="1"/>
  <c r="AH107" i="1"/>
  <c r="AH91" i="1"/>
  <c r="AH83" i="1"/>
  <c r="AH75" i="1"/>
  <c r="AH67" i="1"/>
  <c r="AH59" i="1"/>
  <c r="AH51" i="1"/>
  <c r="AH43" i="1"/>
  <c r="AH35" i="1"/>
  <c r="AH27" i="1"/>
  <c r="AH19" i="1"/>
  <c r="AH11" i="1"/>
  <c r="AH3" i="1"/>
  <c r="AH674" i="1"/>
  <c r="AH666" i="1"/>
  <c r="AH658" i="1"/>
  <c r="AH650" i="1"/>
  <c r="AH642" i="1"/>
  <c r="AH634" i="1"/>
  <c r="AH626" i="1"/>
  <c r="AH618" i="1"/>
  <c r="AH610" i="1"/>
  <c r="AH602" i="1"/>
  <c r="AH594" i="1"/>
  <c r="AH586" i="1"/>
  <c r="AH578" i="1"/>
  <c r="AH570" i="1"/>
  <c r="AH562" i="1"/>
  <c r="AH554" i="1"/>
  <c r="AH546" i="1"/>
  <c r="AH538" i="1"/>
  <c r="AH530" i="1"/>
  <c r="AH522" i="1"/>
  <c r="AH514" i="1"/>
  <c r="AH506" i="1"/>
  <c r="AH498" i="1"/>
  <c r="AH490" i="1"/>
  <c r="AH482" i="1"/>
  <c r="AH474" i="1"/>
  <c r="AH466" i="1"/>
  <c r="AH458" i="1"/>
  <c r="AH450" i="1"/>
  <c r="AH442" i="1"/>
  <c r="AH434" i="1"/>
  <c r="AH426" i="1"/>
  <c r="AH418" i="1"/>
  <c r="AH410" i="1"/>
  <c r="AH402" i="1"/>
  <c r="AH394" i="1"/>
  <c r="AH386" i="1"/>
  <c r="AH378" i="1"/>
  <c r="AH370" i="1"/>
  <c r="AH362" i="1"/>
  <c r="AH354" i="1"/>
  <c r="AH346" i="1"/>
  <c r="AH338" i="1"/>
  <c r="AH330" i="1"/>
  <c r="AH322" i="1"/>
  <c r="AH314" i="1"/>
  <c r="AH306" i="1"/>
  <c r="AH290" i="1"/>
  <c r="AH282" i="1"/>
  <c r="AH274" i="1"/>
  <c r="AH258" i="1"/>
  <c r="AH250" i="1"/>
  <c r="AH242" i="1"/>
  <c r="AH234" i="1"/>
  <c r="AH226" i="1"/>
  <c r="AH218" i="1"/>
  <c r="AH210" i="1"/>
  <c r="AH194" i="1"/>
  <c r="AH186" i="1"/>
  <c r="AH178" i="1"/>
  <c r="AH162" i="1"/>
  <c r="AH154" i="1"/>
  <c r="AH146" i="1"/>
  <c r="AH138" i="1"/>
  <c r="AH130" i="1"/>
  <c r="AH122" i="1"/>
  <c r="AH114" i="1"/>
  <c r="AH106" i="1"/>
  <c r="AH98" i="1"/>
  <c r="AH90" i="1"/>
  <c r="AH82" i="1"/>
  <c r="AH74" i="1"/>
  <c r="AH66" i="1"/>
  <c r="AH58" i="1"/>
  <c r="AH42" i="1"/>
  <c r="AH34" i="1"/>
  <c r="AH26" i="1"/>
  <c r="AH18" i="1"/>
  <c r="AH10" i="1"/>
  <c r="AH298" i="1"/>
  <c r="AH229" i="1"/>
  <c r="AH202" i="1"/>
  <c r="AH582" i="1"/>
  <c r="AH574" i="1"/>
  <c r="AH566" i="1"/>
  <c r="AH558" i="1"/>
  <c r="AH550" i="1"/>
  <c r="AH542" i="1"/>
  <c r="AH534" i="1"/>
  <c r="AH526" i="1"/>
  <c r="AH518" i="1"/>
  <c r="AH510" i="1"/>
  <c r="AH502" i="1"/>
  <c r="AH494" i="1"/>
  <c r="AH486" i="1"/>
  <c r="AH478" i="1"/>
  <c r="AH470" i="1"/>
  <c r="AH462" i="1"/>
  <c r="AH454" i="1"/>
  <c r="AH446" i="1"/>
  <c r="AH438" i="1"/>
  <c r="AH430" i="1"/>
  <c r="AH422" i="1"/>
  <c r="AH414" i="1"/>
  <c r="AH406" i="1"/>
  <c r="AH398" i="1"/>
  <c r="AH390" i="1"/>
  <c r="AH382" i="1"/>
  <c r="AH374" i="1"/>
  <c r="AH366" i="1"/>
  <c r="AH358" i="1"/>
  <c r="AH350" i="1"/>
  <c r="AH342" i="1"/>
  <c r="AH334" i="1"/>
  <c r="AH326" i="1"/>
  <c r="AH318" i="1"/>
  <c r="AH310" i="1"/>
  <c r="AH302" i="1"/>
  <c r="AH294" i="1"/>
  <c r="AH286" i="1"/>
  <c r="AH278" i="1"/>
  <c r="AH270" i="1"/>
  <c r="AH262" i="1"/>
  <c r="AH254" i="1"/>
  <c r="AH246" i="1"/>
  <c r="AH238" i="1"/>
  <c r="AH230" i="1"/>
  <c r="AH222" i="1"/>
  <c r="AH214" i="1"/>
  <c r="AH206" i="1"/>
  <c r="AH198" i="1"/>
  <c r="AH190" i="1"/>
  <c r="AH182" i="1"/>
  <c r="AH174" i="1"/>
  <c r="AH166" i="1"/>
  <c r="AH158" i="1"/>
  <c r="AH150" i="1"/>
  <c r="AH142" i="1"/>
  <c r="AH134" i="1"/>
  <c r="AH126" i="1"/>
  <c r="AH118" i="1"/>
  <c r="AH110" i="1"/>
  <c r="AH102" i="1"/>
  <c r="AH94" i="1"/>
  <c r="AH86" i="1"/>
  <c r="AH78" i="1"/>
  <c r="AH70" i="1"/>
  <c r="AH62" i="1"/>
  <c r="AH54" i="1"/>
  <c r="AH46" i="1"/>
  <c r="AH38" i="1"/>
  <c r="AH30" i="1"/>
  <c r="AH22" i="1"/>
  <c r="AH14" i="1"/>
  <c r="AH6" i="1"/>
  <c r="AH170" i="1"/>
  <c r="AH99" i="1"/>
  <c r="AH668" i="1"/>
  <c r="AH660" i="1"/>
  <c r="AH652" i="1"/>
  <c r="AH644" i="1"/>
  <c r="AH636" i="1"/>
  <c r="AH628" i="1"/>
  <c r="AH620" i="1"/>
  <c r="AH612" i="1"/>
  <c r="AH604" i="1"/>
  <c r="AH596" i="1"/>
  <c r="AH588" i="1"/>
  <c r="AH580" i="1"/>
  <c r="AH572" i="1"/>
  <c r="AH564" i="1"/>
  <c r="AH556" i="1"/>
  <c r="AH548" i="1"/>
  <c r="AH540" i="1"/>
  <c r="AH532" i="1"/>
  <c r="AH524" i="1"/>
  <c r="AH516" i="1"/>
  <c r="AH508" i="1"/>
  <c r="AH500" i="1"/>
  <c r="AH492" i="1"/>
  <c r="AH484" i="1"/>
  <c r="AH476" i="1"/>
  <c r="AH468" i="1"/>
  <c r="AH460" i="1"/>
  <c r="AH452" i="1"/>
  <c r="AH444" i="1"/>
  <c r="AH436" i="1"/>
  <c r="AH428" i="1"/>
  <c r="AH420" i="1"/>
  <c r="AH412" i="1"/>
  <c r="AH404" i="1"/>
  <c r="AH396" i="1"/>
  <c r="AH388" i="1"/>
  <c r="AH380" i="1"/>
  <c r="AH372" i="1"/>
  <c r="AH364" i="1"/>
  <c r="AH356" i="1"/>
  <c r="AH348" i="1"/>
  <c r="AH340" i="1"/>
  <c r="AH332" i="1"/>
  <c r="AH324" i="1"/>
  <c r="AH316" i="1"/>
  <c r="AH308" i="1"/>
  <c r="AH300" i="1"/>
  <c r="AH292" i="1"/>
  <c r="AH284" i="1"/>
  <c r="AH276" i="1"/>
  <c r="AH268" i="1"/>
  <c r="AH260" i="1"/>
  <c r="AH252" i="1"/>
  <c r="AH244" i="1"/>
  <c r="AH236" i="1"/>
  <c r="AH228" i="1"/>
  <c r="AH220" i="1"/>
  <c r="AH212" i="1"/>
  <c r="AH204" i="1"/>
  <c r="AH196" i="1"/>
  <c r="AH188" i="1"/>
  <c r="AH180" i="1"/>
  <c r="AH172" i="1"/>
  <c r="AH164" i="1"/>
  <c r="AH156" i="1"/>
  <c r="AH148" i="1"/>
  <c r="AH140" i="1"/>
  <c r="AH132" i="1"/>
  <c r="AH124" i="1"/>
  <c r="AH116" i="1"/>
  <c r="AH108" i="1"/>
  <c r="AH100" i="1"/>
  <c r="AH92" i="1"/>
  <c r="AH84" i="1"/>
  <c r="AH76" i="1"/>
  <c r="AH68" i="1"/>
  <c r="AH60" i="1"/>
  <c r="AH52" i="1"/>
  <c r="AH44" i="1"/>
  <c r="AH36" i="1"/>
  <c r="AH28" i="1"/>
  <c r="AH20" i="1"/>
  <c r="AH12" i="1"/>
  <c r="AH4" i="1"/>
  <c r="AH50" i="1"/>
  <c r="A1" i="4" a="1"/>
  <c r="A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<sst xmlns="http://schemas.openxmlformats.org/spreadsheetml/2006/main" count="45862" uniqueCount="11799">
  <si>
    <t>CÓDIGO MASCOTA</t>
  </si>
  <si>
    <t>RUT CLIENTE</t>
  </si>
  <si>
    <t>NOMBRE</t>
  </si>
  <si>
    <t>ESPECIE</t>
  </si>
  <si>
    <t>RAZA</t>
  </si>
  <si>
    <t>SEXO</t>
  </si>
  <si>
    <t>COLOR</t>
  </si>
  <si>
    <t>TATUAJE</t>
  </si>
  <si>
    <t>CHIP</t>
  </si>
  <si>
    <t>FECHA NACIMIENTO</t>
  </si>
  <si>
    <t>PRÓXIMA VACUNACIÓN</t>
  </si>
  <si>
    <t>PRÓXIMA VACUNACIÓN 2</t>
  </si>
  <si>
    <t>PRÓXIMA ANTIRÁBICA</t>
  </si>
  <si>
    <t>PRÓXIMA DESPARASITACIÓN</t>
  </si>
  <si>
    <t>PRÓXIMO CONTROL</t>
  </si>
  <si>
    <t>OBSERVACIÓN</t>
  </si>
  <si>
    <t>ESTADO</t>
  </si>
  <si>
    <t>OBSERVACIONES CERTIFICADO 1</t>
  </si>
  <si>
    <t>OBSERVACIONES CERTIFICADO 2</t>
  </si>
  <si>
    <t>FECHA CERTIFICADO</t>
  </si>
  <si>
    <t>DOCTORES</t>
  </si>
  <si>
    <t>ESTERILIZADO</t>
  </si>
  <si>
    <t>ALIMENTOS</t>
  </si>
  <si>
    <t>VACUNA</t>
  </si>
  <si>
    <t>VACUNA 2</t>
  </si>
  <si>
    <t>AVISO VAC 1</t>
  </si>
  <si>
    <t>AVISO VAC 2</t>
  </si>
  <si>
    <t>AVISO ANTIRRÁBICA</t>
  </si>
  <si>
    <t>AVISO DESPARASITACIÓN</t>
  </si>
  <si>
    <t>AVISO CONTROL</t>
  </si>
  <si>
    <t>12748091-5</t>
  </si>
  <si>
    <t>ABBY</t>
  </si>
  <si>
    <t>Canis lupus familiaris</t>
  </si>
  <si>
    <t>Mestizo</t>
  </si>
  <si>
    <t>Hembra</t>
  </si>
  <si>
    <t>crema blanco</t>
  </si>
  <si>
    <t>2020-08-26</t>
  </si>
  <si>
    <t>2020-12-01</t>
  </si>
  <si>
    <t>0000-00-00</t>
  </si>
  <si>
    <t>19556213-k</t>
  </si>
  <si>
    <t>CLOE</t>
  </si>
  <si>
    <t>Felis silvestris catus</t>
  </si>
  <si>
    <t>DPC (Doméstico de pelo corto o DSH)</t>
  </si>
  <si>
    <t>NEGRO</t>
  </si>
  <si>
    <t>2020-02-01</t>
  </si>
  <si>
    <t>20315385-6</t>
  </si>
  <si>
    <t>SIMÓN</t>
  </si>
  <si>
    <t>Macho</t>
  </si>
  <si>
    <t>2020-09-29</t>
  </si>
  <si>
    <t>19249784-1</t>
  </si>
  <si>
    <t>MASHA</t>
  </si>
  <si>
    <t>2020-08-09</t>
  </si>
  <si>
    <t>18590970-0</t>
  </si>
  <si>
    <t>KIRA</t>
  </si>
  <si>
    <t>NEGRO CAFE</t>
  </si>
  <si>
    <t>2018-11-01</t>
  </si>
  <si>
    <t>13160474-2</t>
  </si>
  <si>
    <t>BAEL</t>
  </si>
  <si>
    <t>2019-01-01</t>
  </si>
  <si>
    <t>10782898-2</t>
  </si>
  <si>
    <t>TOBY</t>
  </si>
  <si>
    <t>2019-06-01</t>
  </si>
  <si>
    <t>11325552-8</t>
  </si>
  <si>
    <t>Fox Terrier Pelo Corto</t>
  </si>
  <si>
    <t>blanco cafe negro</t>
  </si>
  <si>
    <t>2020-08-17</t>
  </si>
  <si>
    <t>20314994-8</t>
  </si>
  <si>
    <t>teodoro</t>
  </si>
  <si>
    <t>negro cafe blanco</t>
  </si>
  <si>
    <t>2020-03-17</t>
  </si>
  <si>
    <t>20016823-2</t>
  </si>
  <si>
    <t>POLO</t>
  </si>
  <si>
    <t>Shar-Pei</t>
  </si>
  <si>
    <t>cafe</t>
  </si>
  <si>
    <t>2019-11-13</t>
  </si>
  <si>
    <t>12431326-0</t>
  </si>
  <si>
    <t>TOMY</t>
  </si>
  <si>
    <t>GRIS</t>
  </si>
  <si>
    <t>2011-11-11</t>
  </si>
  <si>
    <t>15758791-9</t>
  </si>
  <si>
    <t>SASHA</t>
  </si>
  <si>
    <t>NEGRO BLANCO</t>
  </si>
  <si>
    <t>2020-04-01</t>
  </si>
  <si>
    <t>DAISY</t>
  </si>
  <si>
    <t>NEGRO BLANCO CAFE</t>
  </si>
  <si>
    <t>2020-06-01</t>
  </si>
  <si>
    <t>REMY</t>
  </si>
  <si>
    <t>2019-11-01</t>
  </si>
  <si>
    <t>MININA</t>
  </si>
  <si>
    <t xml:space="preserve">NEGRO AMARILLO </t>
  </si>
  <si>
    <t>2020-01-01</t>
  </si>
  <si>
    <t>11325627-3</t>
  </si>
  <si>
    <t>TITA</t>
  </si>
  <si>
    <t>DPL (Doméstico de pelo Largo o DLH)</t>
  </si>
  <si>
    <t>2006-11-01</t>
  </si>
  <si>
    <t>05175505-7</t>
  </si>
  <si>
    <t>SUYAI</t>
  </si>
  <si>
    <t>2020-04-22</t>
  </si>
  <si>
    <t>RAYEN</t>
  </si>
  <si>
    <t>CAFÉ</t>
  </si>
  <si>
    <t>22062819-1</t>
  </si>
  <si>
    <t>Roberto</t>
  </si>
  <si>
    <t>blanco</t>
  </si>
  <si>
    <t>2020-08-01</t>
  </si>
  <si>
    <t>20707780-1</t>
  </si>
  <si>
    <t>FACON</t>
  </si>
  <si>
    <t>2020-04-12</t>
  </si>
  <si>
    <t>14427559-4</t>
  </si>
  <si>
    <t>BLUE</t>
  </si>
  <si>
    <t>ROJO</t>
  </si>
  <si>
    <t>2021-11-20</t>
  </si>
  <si>
    <t>2021-06-20</t>
  </si>
  <si>
    <t>11187385-2</t>
  </si>
  <si>
    <t>2012-11-01</t>
  </si>
  <si>
    <t>18887671-4</t>
  </si>
  <si>
    <t>TOM</t>
  </si>
  <si>
    <t>CREMA</t>
  </si>
  <si>
    <t>2020-08-28</t>
  </si>
  <si>
    <t>20346376-6</t>
  </si>
  <si>
    <t>2019-10-01</t>
  </si>
  <si>
    <t>7467495-k</t>
  </si>
  <si>
    <t>DIANA</t>
  </si>
  <si>
    <t>Caniche</t>
  </si>
  <si>
    <t>BLANCO</t>
  </si>
  <si>
    <t>2013-03-19</t>
  </si>
  <si>
    <t>5434456-2</t>
  </si>
  <si>
    <t>JACK</t>
  </si>
  <si>
    <t>2020-03-01</t>
  </si>
  <si>
    <t>17276561-0</t>
  </si>
  <si>
    <t>SKY</t>
  </si>
  <si>
    <t>2020-10-01</t>
  </si>
  <si>
    <t>2020-11-27</t>
  </si>
  <si>
    <t>10251174-3</t>
  </si>
  <si>
    <t>KAISSER</t>
  </si>
  <si>
    <t>CAFÉ NEGRO</t>
  </si>
  <si>
    <t>2020-09-22</t>
  </si>
  <si>
    <t>2020-12-11</t>
  </si>
  <si>
    <t>16463817-0</t>
  </si>
  <si>
    <t>ARON</t>
  </si>
  <si>
    <t>2020-02-05</t>
  </si>
  <si>
    <t>2020-11-20</t>
  </si>
  <si>
    <t>14485161-7</t>
  </si>
  <si>
    <t>LOCKY</t>
  </si>
  <si>
    <t>Yorkshire Terrier</t>
  </si>
  <si>
    <t>2017-10-06</t>
  </si>
  <si>
    <t>2021-11-06</t>
  </si>
  <si>
    <t>2021-04-06</t>
  </si>
  <si>
    <t>2021-02-06</t>
  </si>
  <si>
    <t>12430485-7</t>
  </si>
  <si>
    <t>LULÚ</t>
  </si>
  <si>
    <t>Poodle</t>
  </si>
  <si>
    <t>2017-09-18</t>
  </si>
  <si>
    <t>20616154-k</t>
  </si>
  <si>
    <t>ÁGATHA</t>
  </si>
  <si>
    <t>2020-07-07</t>
  </si>
  <si>
    <t>16159892-5</t>
  </si>
  <si>
    <t>ZEUS</t>
  </si>
  <si>
    <t>2016-10-24</t>
  </si>
  <si>
    <t>17511757-1</t>
  </si>
  <si>
    <t>VITO</t>
  </si>
  <si>
    <t>Shih Tzu</t>
  </si>
  <si>
    <t>2018-10-06</t>
  </si>
  <si>
    <t>8785568-6</t>
  </si>
  <si>
    <t>TROMPITO</t>
  </si>
  <si>
    <t>Teckel</t>
  </si>
  <si>
    <t>CAFE</t>
  </si>
  <si>
    <t>2018-02-09</t>
  </si>
  <si>
    <t>15625676-5</t>
  </si>
  <si>
    <t>OZZY</t>
  </si>
  <si>
    <t>ROJO BLANCO</t>
  </si>
  <si>
    <t>2020-09-21</t>
  </si>
  <si>
    <t>19556027-7</t>
  </si>
  <si>
    <t>SOFIA</t>
  </si>
  <si>
    <t>2015-02-02</t>
  </si>
  <si>
    <t>ANTEUS</t>
  </si>
  <si>
    <t>AMARILLO BLANCO NEGRO</t>
  </si>
  <si>
    <t>17283582-1</t>
  </si>
  <si>
    <t>JULIETA</t>
  </si>
  <si>
    <t>2019-09-14</t>
  </si>
  <si>
    <t>12993681-9</t>
  </si>
  <si>
    <t>IGOR</t>
  </si>
  <si>
    <t>2020-09-01</t>
  </si>
  <si>
    <t>Muerte por ataque de perro</t>
  </si>
  <si>
    <t>21359861-9</t>
  </si>
  <si>
    <t>MÁXIMO</t>
  </si>
  <si>
    <t>2020-08-15</t>
  </si>
  <si>
    <t>19248954-7</t>
  </si>
  <si>
    <t>Kuky</t>
  </si>
  <si>
    <t>CAFÉ blanco</t>
  </si>
  <si>
    <t>13519942-7</t>
  </si>
  <si>
    <t>FLUKE</t>
  </si>
  <si>
    <t>2012-04-01</t>
  </si>
  <si>
    <t>16806247-8</t>
  </si>
  <si>
    <t>PEQUITAS</t>
  </si>
  <si>
    <t>NEGRO AMARILLO</t>
  </si>
  <si>
    <t>DULCE</t>
  </si>
  <si>
    <t xml:space="preserve">CREMA GRIS </t>
  </si>
  <si>
    <t>21742568-9</t>
  </si>
  <si>
    <t>KIRO</t>
  </si>
  <si>
    <t>blanco negro</t>
  </si>
  <si>
    <t>15477487-4</t>
  </si>
  <si>
    <t>WOODY</t>
  </si>
  <si>
    <t>PENDIENTE</t>
  </si>
  <si>
    <t>2020-09-10</t>
  </si>
  <si>
    <t>15389247-4</t>
  </si>
  <si>
    <t>LEÓN</t>
  </si>
  <si>
    <t>Chow-Chow</t>
  </si>
  <si>
    <t>2020-04-14</t>
  </si>
  <si>
    <t>13847668-5</t>
  </si>
  <si>
    <t>NANO</t>
  </si>
  <si>
    <t>2019-12-03</t>
  </si>
  <si>
    <t>21022486-6</t>
  </si>
  <si>
    <t>Yioko</t>
  </si>
  <si>
    <t>blanco - gris</t>
  </si>
  <si>
    <t>2017-11-26</t>
  </si>
  <si>
    <t>19281593-2</t>
  </si>
  <si>
    <t>COPITO</t>
  </si>
  <si>
    <t>BLANCO Y CAFÉ</t>
  </si>
  <si>
    <t>2006-01-15</t>
  </si>
  <si>
    <t>KENIA</t>
  </si>
  <si>
    <t>BLANCO CAFÉ</t>
  </si>
  <si>
    <t>2020-02-15</t>
  </si>
  <si>
    <t>10073818-k</t>
  </si>
  <si>
    <t>ROCKY</t>
  </si>
  <si>
    <t>16160582-4</t>
  </si>
  <si>
    <t>Elha</t>
  </si>
  <si>
    <t>Blanco amarillo negro</t>
  </si>
  <si>
    <t>2020-07-30</t>
  </si>
  <si>
    <t>Ygorh</t>
  </si>
  <si>
    <t>Crema café</t>
  </si>
  <si>
    <t>2020-08-30</t>
  </si>
  <si>
    <t>15531062-6</t>
  </si>
  <si>
    <t>DOKY</t>
  </si>
  <si>
    <t>NEGRO CAFE BLANCO</t>
  </si>
  <si>
    <t>2020-06-30</t>
  </si>
  <si>
    <t>18590792-9</t>
  </si>
  <si>
    <t>PRINCESA</t>
  </si>
  <si>
    <t>GRIS CREMA</t>
  </si>
  <si>
    <t>17513079-9</t>
  </si>
  <si>
    <t>CHARLOTTE</t>
  </si>
  <si>
    <t>19022056-7</t>
  </si>
  <si>
    <t>TAMBOR</t>
  </si>
  <si>
    <t>Otra</t>
  </si>
  <si>
    <t>26187713-9</t>
  </si>
  <si>
    <t>BLANCO CREMA GRIS</t>
  </si>
  <si>
    <t>DOKy</t>
  </si>
  <si>
    <t>2007-05-25</t>
  </si>
  <si>
    <t>17694013-1</t>
  </si>
  <si>
    <t>ROLLY</t>
  </si>
  <si>
    <t>2018-04-07</t>
  </si>
  <si>
    <t>15294412-8</t>
  </si>
  <si>
    <t>BLANCA</t>
  </si>
  <si>
    <t>2016-12-15</t>
  </si>
  <si>
    <t>AKUMA</t>
  </si>
  <si>
    <t>2020-03-30</t>
  </si>
  <si>
    <t>8880424-4</t>
  </si>
  <si>
    <t>PUPPE</t>
  </si>
  <si>
    <t>Terrier Chileno</t>
  </si>
  <si>
    <t>BLANCO NEGRO CAFE</t>
  </si>
  <si>
    <t>2020-10-15</t>
  </si>
  <si>
    <t>13587101-k</t>
  </si>
  <si>
    <t>COOPER</t>
  </si>
  <si>
    <t>2015-03-05</t>
  </si>
  <si>
    <t>19249871-6</t>
  </si>
  <si>
    <t>LOLA</t>
  </si>
  <si>
    <t>2007-08-01</t>
  </si>
  <si>
    <t>21375109-3</t>
  </si>
  <si>
    <t>PERLA ESPARZA</t>
  </si>
  <si>
    <t>2014-12-09</t>
  </si>
  <si>
    <t>18288907-5</t>
  </si>
  <si>
    <t>CHOFI</t>
  </si>
  <si>
    <t>2015-01-01</t>
  </si>
  <si>
    <t>15894445-6</t>
  </si>
  <si>
    <t>CHIKI</t>
  </si>
  <si>
    <t>2014-12-26</t>
  </si>
  <si>
    <t>16564231-7</t>
  </si>
  <si>
    <t>MAX</t>
  </si>
  <si>
    <t>GRIS BLANCO</t>
  </si>
  <si>
    <t>2020-11-30</t>
  </si>
  <si>
    <t>18775966-8</t>
  </si>
  <si>
    <t>LUNA</t>
  </si>
  <si>
    <t>2019-12-01</t>
  </si>
  <si>
    <t>13587841-3</t>
  </si>
  <si>
    <t>GAARA</t>
  </si>
  <si>
    <t>BLANCO NEGRO</t>
  </si>
  <si>
    <t>2020-05-14</t>
  </si>
  <si>
    <t>21248634-5</t>
  </si>
  <si>
    <t>GORDO</t>
  </si>
  <si>
    <t>2018-12-01</t>
  </si>
  <si>
    <t>8075808-1</t>
  </si>
  <si>
    <t>ROMEO</t>
  </si>
  <si>
    <t>2020-05-04</t>
  </si>
  <si>
    <t>14082700-2</t>
  </si>
  <si>
    <t>JUANITA</t>
  </si>
  <si>
    <t>2019-10-20</t>
  </si>
  <si>
    <t>19375926-2</t>
  </si>
  <si>
    <t>MANCHAS</t>
  </si>
  <si>
    <t>BLANCO GRIS</t>
  </si>
  <si>
    <t>20314488-1</t>
  </si>
  <si>
    <t>Perla</t>
  </si>
  <si>
    <t>Negro</t>
  </si>
  <si>
    <t>2019-01-08</t>
  </si>
  <si>
    <t>13523057-k</t>
  </si>
  <si>
    <t>JOSE LORENZO</t>
  </si>
  <si>
    <t>2019-03-09</t>
  </si>
  <si>
    <t>9655291-2</t>
  </si>
  <si>
    <t>NEGRO GRIS</t>
  </si>
  <si>
    <t>16806597-3</t>
  </si>
  <si>
    <t>ESTRELLA</t>
  </si>
  <si>
    <t>Pug</t>
  </si>
  <si>
    <t>2018-05-01</t>
  </si>
  <si>
    <t>13807616-4</t>
  </si>
  <si>
    <t>ANTU</t>
  </si>
  <si>
    <t>2015-11-28</t>
  </si>
  <si>
    <t>15883460-K</t>
  </si>
  <si>
    <t>PERLA</t>
  </si>
  <si>
    <t>2017-12-18</t>
  </si>
  <si>
    <t>20868456-6</t>
  </si>
  <si>
    <t>SIMBA</t>
  </si>
  <si>
    <t>2020-10-24</t>
  </si>
  <si>
    <t>7695805-k</t>
  </si>
  <si>
    <t xml:space="preserve">guardiana </t>
  </si>
  <si>
    <t>negra</t>
  </si>
  <si>
    <t>2011-07-01</t>
  </si>
  <si>
    <t>18617587-5</t>
  </si>
  <si>
    <t>EMPANADA KAREN</t>
  </si>
  <si>
    <t>CAFE CREMA</t>
  </si>
  <si>
    <t>14083166-2</t>
  </si>
  <si>
    <t>LUCAS</t>
  </si>
  <si>
    <t>CAFE NEGRO</t>
  </si>
  <si>
    <t>2018-09-01</t>
  </si>
  <si>
    <t>13587789-1</t>
  </si>
  <si>
    <t>Milo</t>
  </si>
  <si>
    <t>2016-09-24</t>
  </si>
  <si>
    <t>AMY</t>
  </si>
  <si>
    <t>2016-12-01</t>
  </si>
  <si>
    <t>17652731-5</t>
  </si>
  <si>
    <t>20642000-6</t>
  </si>
  <si>
    <t>2020-11-01</t>
  </si>
  <si>
    <t>GUANTES</t>
  </si>
  <si>
    <t>WIRU</t>
  </si>
  <si>
    <t>21699213-k</t>
  </si>
  <si>
    <t>LULU</t>
  </si>
  <si>
    <t>15353719-4</t>
  </si>
  <si>
    <t>BAST</t>
  </si>
  <si>
    <t>2020-10-23</t>
  </si>
  <si>
    <t>9062344-3</t>
  </si>
  <si>
    <t>MIA</t>
  </si>
  <si>
    <t>2018-01-01</t>
  </si>
  <si>
    <t>13847727-4</t>
  </si>
  <si>
    <t>Sam</t>
  </si>
  <si>
    <t>crema</t>
  </si>
  <si>
    <t>2019-12-25</t>
  </si>
  <si>
    <t>doky</t>
  </si>
  <si>
    <t>2020-09-23</t>
  </si>
  <si>
    <t>16049642-8</t>
  </si>
  <si>
    <t>2020-11-15</t>
  </si>
  <si>
    <t>11129328-7</t>
  </si>
  <si>
    <t>MININO</t>
  </si>
  <si>
    <t>2019-09-01</t>
  </si>
  <si>
    <t>17200721-k</t>
  </si>
  <si>
    <t>Sofi</t>
  </si>
  <si>
    <t>2020-10-27</t>
  </si>
  <si>
    <t>12431474-7</t>
  </si>
  <si>
    <t>TORITO</t>
  </si>
  <si>
    <t>15549031-4</t>
  </si>
  <si>
    <t>2020-05-01</t>
  </si>
  <si>
    <t>20015005-8</t>
  </si>
  <si>
    <t>TIMONA</t>
  </si>
  <si>
    <t>2020-10-28</t>
  </si>
  <si>
    <t>BLANCO ROJO</t>
  </si>
  <si>
    <t>2019-08-01</t>
  </si>
  <si>
    <t>20514483-8</t>
  </si>
  <si>
    <t>SAMANTHA</t>
  </si>
  <si>
    <t>2020-02-08</t>
  </si>
  <si>
    <t>15998261-0</t>
  </si>
  <si>
    <t>BIANCA</t>
  </si>
  <si>
    <t>15473427-9</t>
  </si>
  <si>
    <t>Luna</t>
  </si>
  <si>
    <t>21513356-7</t>
  </si>
  <si>
    <t>ANGORA</t>
  </si>
  <si>
    <t>11703707-k</t>
  </si>
  <si>
    <t>KOKY</t>
  </si>
  <si>
    <t>2014-05-11</t>
  </si>
  <si>
    <t>10518589-8</t>
  </si>
  <si>
    <t>DUKE</t>
  </si>
  <si>
    <t>2020-10-10</t>
  </si>
  <si>
    <t>COLORIN</t>
  </si>
  <si>
    <t>BLANQUITA</t>
  </si>
  <si>
    <t>MANCHITA</t>
  </si>
  <si>
    <t>BLANCO, NEGRO, ROJO</t>
  </si>
  <si>
    <t>orejon</t>
  </si>
  <si>
    <t>13519818-8</t>
  </si>
  <si>
    <t>2021-11-01</t>
  </si>
  <si>
    <t>11592590-3</t>
  </si>
  <si>
    <t>AMARILLITO</t>
  </si>
  <si>
    <t>2017-07-01</t>
  </si>
  <si>
    <t>20734070-7</t>
  </si>
  <si>
    <t>Polo</t>
  </si>
  <si>
    <t>2020-10-31</t>
  </si>
  <si>
    <t>20657157-8</t>
  </si>
  <si>
    <t>AKIRA</t>
  </si>
  <si>
    <t>2018-09-21</t>
  </si>
  <si>
    <t>16805190-5</t>
  </si>
  <si>
    <t>apricot</t>
  </si>
  <si>
    <t>2012-02-01</t>
  </si>
  <si>
    <t>FLORENCIA</t>
  </si>
  <si>
    <t>2013-05-26</t>
  </si>
  <si>
    <t>2022-01-02</t>
  </si>
  <si>
    <t>2024-01-02</t>
  </si>
  <si>
    <t>2021-02-15</t>
  </si>
  <si>
    <t>15547986-8</t>
  </si>
  <si>
    <t>ZOE</t>
  </si>
  <si>
    <t>2020-07-24</t>
  </si>
  <si>
    <t>motita</t>
  </si>
  <si>
    <t>17360118-2</t>
  </si>
  <si>
    <t>kitty</t>
  </si>
  <si>
    <t>2016-08-16</t>
  </si>
  <si>
    <t>18100012-0</t>
  </si>
  <si>
    <t>2019-07-01</t>
  </si>
  <si>
    <t>2022-08-30</t>
  </si>
  <si>
    <t>2022-08-09</t>
  </si>
  <si>
    <t>2022-09-09</t>
  </si>
  <si>
    <t>10502957-8</t>
  </si>
  <si>
    <t>CANDY</t>
  </si>
  <si>
    <t>BLANCO NARANJO NEGRO</t>
  </si>
  <si>
    <t>2018-07-01</t>
  </si>
  <si>
    <t>17964260-3</t>
  </si>
  <si>
    <t>MICHU</t>
  </si>
  <si>
    <t>15549027-6</t>
  </si>
  <si>
    <t>PRECIOSA</t>
  </si>
  <si>
    <t>GRIS BLANCO NARANJO</t>
  </si>
  <si>
    <t>2020-10-30</t>
  </si>
  <si>
    <t>15530416-2</t>
  </si>
  <si>
    <t>Nacha</t>
  </si>
  <si>
    <t>2020-03-15</t>
  </si>
  <si>
    <t>8310395-7</t>
  </si>
  <si>
    <t>Chita</t>
  </si>
  <si>
    <t>Ovejero Alemán</t>
  </si>
  <si>
    <t>2014-11-01</t>
  </si>
  <si>
    <t>flo</t>
  </si>
  <si>
    <t>2008-01-01</t>
  </si>
  <si>
    <t>8440109-9</t>
  </si>
  <si>
    <t>2020-11-05</t>
  </si>
  <si>
    <t>12128966-0</t>
  </si>
  <si>
    <t>balto</t>
  </si>
  <si>
    <t>macho</t>
  </si>
  <si>
    <t>2020-04-04</t>
  </si>
  <si>
    <t>13609663-k</t>
  </si>
  <si>
    <t>MATIAS IGNACIO</t>
  </si>
  <si>
    <t>7235087-1</t>
  </si>
  <si>
    <t>flor</t>
  </si>
  <si>
    <t>café blanco</t>
  </si>
  <si>
    <t>16782328-9</t>
  </si>
  <si>
    <t>GOKU</t>
  </si>
  <si>
    <t>2020-11-06</t>
  </si>
  <si>
    <t>16842348-9</t>
  </si>
  <si>
    <t>NOAH</t>
  </si>
  <si>
    <t>Beagle</t>
  </si>
  <si>
    <t>2021-10-31</t>
  </si>
  <si>
    <t>10713517-0</t>
  </si>
  <si>
    <t>COCHAYUYO</t>
  </si>
  <si>
    <t>11589148-0</t>
  </si>
  <si>
    <t>AZUL CON BLANCO</t>
  </si>
  <si>
    <t>2019-01-31</t>
  </si>
  <si>
    <t>SHIMMER</t>
  </si>
  <si>
    <t>18888668-k</t>
  </si>
  <si>
    <t>BLANCO CREMA</t>
  </si>
  <si>
    <t>2020-03-29</t>
  </si>
  <si>
    <t>LIA</t>
  </si>
  <si>
    <t>GRIS NEGRO BLANCO</t>
  </si>
  <si>
    <t>2020-10-08</t>
  </si>
  <si>
    <t>17233415-6</t>
  </si>
  <si>
    <t>Boxer</t>
  </si>
  <si>
    <t>ATIGRADO</t>
  </si>
  <si>
    <t>15293915-9</t>
  </si>
  <si>
    <t>MIEL</t>
  </si>
  <si>
    <t>BLANCO AZUL</t>
  </si>
  <si>
    <t>2019-10-21</t>
  </si>
  <si>
    <t>SOMBRA</t>
  </si>
  <si>
    <t>2019-01-06</t>
  </si>
  <si>
    <t>18590821-6</t>
  </si>
  <si>
    <t>13321060-1</t>
  </si>
  <si>
    <t>LEON</t>
  </si>
  <si>
    <t>2020-11-09</t>
  </si>
  <si>
    <t>8063670-9</t>
  </si>
  <si>
    <t>EMMA</t>
  </si>
  <si>
    <t>BLANCO AMARILLO NEGRO</t>
  </si>
  <si>
    <t>10769480-3</t>
  </si>
  <si>
    <t>2017-01-01</t>
  </si>
  <si>
    <t>10438889-2</t>
  </si>
  <si>
    <t>mila</t>
  </si>
  <si>
    <t>amarillo negro blanco</t>
  </si>
  <si>
    <t>2016-01-01</t>
  </si>
  <si>
    <t>2006-01-01</t>
  </si>
  <si>
    <t>15760015-k</t>
  </si>
  <si>
    <t>Mike</t>
  </si>
  <si>
    <t>2020-11-08</t>
  </si>
  <si>
    <t>12566487-3</t>
  </si>
  <si>
    <t>Olivia</t>
  </si>
  <si>
    <t>12745863-4</t>
  </si>
  <si>
    <t>HEIDI</t>
  </si>
  <si>
    <t>2020-02-25</t>
  </si>
  <si>
    <t>20315512-3</t>
  </si>
  <si>
    <t>BARTO</t>
  </si>
  <si>
    <t>2020-12-06</t>
  </si>
  <si>
    <t>15724198-2</t>
  </si>
  <si>
    <t>Akari</t>
  </si>
  <si>
    <t>Akita Americano</t>
  </si>
  <si>
    <t>11426375-3</t>
  </si>
  <si>
    <t>SUNY</t>
  </si>
  <si>
    <t>CAFÉ GRIS BLANCO</t>
  </si>
  <si>
    <t>2020-10-07</t>
  </si>
  <si>
    <t>17360187-5</t>
  </si>
  <si>
    <t>KITTY</t>
  </si>
  <si>
    <t xml:space="preserve">CAFÉ </t>
  </si>
  <si>
    <t>2020-11-18</t>
  </si>
  <si>
    <t>9714429-k</t>
  </si>
  <si>
    <t>pelu</t>
  </si>
  <si>
    <t>2017-10-01</t>
  </si>
  <si>
    <t>17324202-6</t>
  </si>
  <si>
    <t>lupe</t>
  </si>
  <si>
    <t>maya</t>
  </si>
  <si>
    <t>2020-11-22</t>
  </si>
  <si>
    <t>20256928-5</t>
  </si>
  <si>
    <t>bruno</t>
  </si>
  <si>
    <t>tricolor</t>
  </si>
  <si>
    <t>2018-06-13</t>
  </si>
  <si>
    <t>16319852-5</t>
  </si>
  <si>
    <t>CIELO</t>
  </si>
  <si>
    <t>2020-02-06</t>
  </si>
  <si>
    <t>16049369-0</t>
  </si>
  <si>
    <t>frambuesa</t>
  </si>
  <si>
    <t>2020-10-26</t>
  </si>
  <si>
    <t>14280799-8</t>
  </si>
  <si>
    <t>2020-09-18</t>
  </si>
  <si>
    <t>16831008-0</t>
  </si>
  <si>
    <t>MISTY</t>
  </si>
  <si>
    <t>2020-02-11</t>
  </si>
  <si>
    <t>12098037-8</t>
  </si>
  <si>
    <t>niña</t>
  </si>
  <si>
    <t>13962018-6</t>
  </si>
  <si>
    <t>MELINA</t>
  </si>
  <si>
    <t>TRICOLOR GRIS AMARILLO BLANCO</t>
  </si>
  <si>
    <t>12666404-4</t>
  </si>
  <si>
    <t>Golden Retriever</t>
  </si>
  <si>
    <t>ORO</t>
  </si>
  <si>
    <t>2020-11-24</t>
  </si>
  <si>
    <t>11129923-4</t>
  </si>
  <si>
    <t>15265870-2</t>
  </si>
  <si>
    <t>AZUL</t>
  </si>
  <si>
    <t>KIARA</t>
  </si>
  <si>
    <t>AZUL ROJO BLANCO</t>
  </si>
  <si>
    <t>2020-10-22</t>
  </si>
  <si>
    <t>20083805-k</t>
  </si>
  <si>
    <t>KUN</t>
  </si>
  <si>
    <t>BLANCO NEGRO CAGE</t>
  </si>
  <si>
    <t>2020-12-02</t>
  </si>
  <si>
    <t>13588059-0</t>
  </si>
  <si>
    <t>Nala</t>
  </si>
  <si>
    <t>negro cafe</t>
  </si>
  <si>
    <t>2020-12-26</t>
  </si>
  <si>
    <t>MANZANITA</t>
  </si>
  <si>
    <t>2020-10-25</t>
  </si>
  <si>
    <t>15293200-6</t>
  </si>
  <si>
    <t>Micho</t>
  </si>
  <si>
    <t>amarillo blanco</t>
  </si>
  <si>
    <t>19556049-8</t>
  </si>
  <si>
    <t>2020-12-08</t>
  </si>
  <si>
    <t>16563754-2</t>
  </si>
  <si>
    <t>ISIDORA</t>
  </si>
  <si>
    <t>2018-11-09</t>
  </si>
  <si>
    <t>15547738-5</t>
  </si>
  <si>
    <t>LIMÓN</t>
  </si>
  <si>
    <t>TABBY LISTADO NEGRO GRIS</t>
  </si>
  <si>
    <t>16329371-4</t>
  </si>
  <si>
    <t>BOTAS</t>
  </si>
  <si>
    <t>2020-11-28</t>
  </si>
  <si>
    <t>15309184-6</t>
  </si>
  <si>
    <t>patitas</t>
  </si>
  <si>
    <t>2014-01-14</t>
  </si>
  <si>
    <t>17549440-5</t>
  </si>
  <si>
    <t>LOKY</t>
  </si>
  <si>
    <t>NEGRO CAFÉ</t>
  </si>
  <si>
    <t>18776821-7</t>
  </si>
  <si>
    <t>13035575-7</t>
  </si>
  <si>
    <t>flaca</t>
  </si>
  <si>
    <t>negro</t>
  </si>
  <si>
    <t>16128950-7</t>
  </si>
  <si>
    <t>15548684-8</t>
  </si>
  <si>
    <t>WUALY</t>
  </si>
  <si>
    <t>2015-06-01</t>
  </si>
  <si>
    <t>7349876-7</t>
  </si>
  <si>
    <t>COLORES</t>
  </si>
  <si>
    <t>TRICOLOR ROJO NEGRO BLANCO</t>
  </si>
  <si>
    <t>2017-11-01</t>
  </si>
  <si>
    <t>16018181-8</t>
  </si>
  <si>
    <t xml:space="preserve">Chiqui </t>
  </si>
  <si>
    <t>negra con cafe</t>
  </si>
  <si>
    <t>mia</t>
  </si>
  <si>
    <t>CAFE CON GRIS</t>
  </si>
  <si>
    <t>2019-03-01</t>
  </si>
  <si>
    <t>18590855-0</t>
  </si>
  <si>
    <t>MUNAY</t>
  </si>
  <si>
    <t>15706076-7</t>
  </si>
  <si>
    <t>ROOSTER</t>
  </si>
  <si>
    <t>14280628-2</t>
  </si>
  <si>
    <t>CAPITÁN</t>
  </si>
  <si>
    <t>13846480-6</t>
  </si>
  <si>
    <t>2019-02-03</t>
  </si>
  <si>
    <t>16464617-3</t>
  </si>
  <si>
    <t>KUKY</t>
  </si>
  <si>
    <t>2020-11-21</t>
  </si>
  <si>
    <t>MUÑECA</t>
  </si>
  <si>
    <t>BLANCO ROJO NEGRO</t>
  </si>
  <si>
    <t>10788507-2</t>
  </si>
  <si>
    <t>azul</t>
  </si>
  <si>
    <t>18887433-9</t>
  </si>
  <si>
    <t>AQUILES</t>
  </si>
  <si>
    <t>BLANCO CAFÉ (ALBINO)</t>
  </si>
  <si>
    <t>13819015-3</t>
  </si>
  <si>
    <t>Hali</t>
  </si>
  <si>
    <t>16160043-1</t>
  </si>
  <si>
    <t>GARY</t>
  </si>
  <si>
    <t>6015947-5</t>
  </si>
  <si>
    <t>DANCO</t>
  </si>
  <si>
    <t>2014-04-01</t>
  </si>
  <si>
    <t>MONA</t>
  </si>
  <si>
    <t>2010-01-01</t>
  </si>
  <si>
    <t>17694185-5</t>
  </si>
  <si>
    <t>cafe blanco negro</t>
  </si>
  <si>
    <t>19514151-7</t>
  </si>
  <si>
    <t xml:space="preserve">gumball </t>
  </si>
  <si>
    <t>2020-12-21</t>
  </si>
  <si>
    <t>13609615-K</t>
  </si>
  <si>
    <t>TEO</t>
  </si>
  <si>
    <t>17964258-1</t>
  </si>
  <si>
    <t>MILA</t>
  </si>
  <si>
    <t>Malamute de Alaska</t>
  </si>
  <si>
    <t>BLANCO CAFE</t>
  </si>
  <si>
    <t>AZUL BLANCO</t>
  </si>
  <si>
    <t>2020-11-25</t>
  </si>
  <si>
    <t>19877725-0</t>
  </si>
  <si>
    <t>MITTENS</t>
  </si>
  <si>
    <t>CONCHA DE TORTUGA</t>
  </si>
  <si>
    <t>2020-11-14</t>
  </si>
  <si>
    <t>NN</t>
  </si>
  <si>
    <t>GRIS CAFÉ</t>
  </si>
  <si>
    <t>BONNIE</t>
  </si>
  <si>
    <t>2020-08-24</t>
  </si>
  <si>
    <t>21347216-K</t>
  </si>
  <si>
    <t>PALTA</t>
  </si>
  <si>
    <t>GRIS NEGRO</t>
  </si>
  <si>
    <t>15179617-6</t>
  </si>
  <si>
    <t>MOTA</t>
  </si>
  <si>
    <t>11116411-8</t>
  </si>
  <si>
    <t>AMARILLO</t>
  </si>
  <si>
    <t>19465761-7</t>
  </si>
  <si>
    <t>LUMIER</t>
  </si>
  <si>
    <t>2020-12-10</t>
  </si>
  <si>
    <t>20848622-5</t>
  </si>
  <si>
    <t>EURIDICE</t>
  </si>
  <si>
    <t>AMARILO BLANCO</t>
  </si>
  <si>
    <t>18591664-2</t>
  </si>
  <si>
    <t>2020-10-19</t>
  </si>
  <si>
    <t>11430221-k</t>
  </si>
  <si>
    <t>PEPE</t>
  </si>
  <si>
    <t>MICHI</t>
  </si>
  <si>
    <t>MKK</t>
  </si>
  <si>
    <t>8989756-4</t>
  </si>
  <si>
    <t>TIGGER</t>
  </si>
  <si>
    <t>2016-12-12</t>
  </si>
  <si>
    <t>19941947-1</t>
  </si>
  <si>
    <t>CREMA BLANCO GRIS</t>
  </si>
  <si>
    <t>17863966-8</t>
  </si>
  <si>
    <t>RAMON</t>
  </si>
  <si>
    <t>2020-02-18</t>
  </si>
  <si>
    <t>22017875-7</t>
  </si>
  <si>
    <t>LAIKA</t>
  </si>
  <si>
    <t>2014-05-01</t>
  </si>
  <si>
    <t>KALI</t>
  </si>
  <si>
    <t>16300121-7</t>
  </si>
  <si>
    <t>MAI</t>
  </si>
  <si>
    <t>2018-10-01</t>
  </si>
  <si>
    <t>20060826-7</t>
  </si>
  <si>
    <t>BODOQUE</t>
  </si>
  <si>
    <t>2017-12-28</t>
  </si>
  <si>
    <t>17359589-1</t>
  </si>
  <si>
    <t>NRGRO CAFÉ</t>
  </si>
  <si>
    <t>2020-12-31</t>
  </si>
  <si>
    <t>19555002-6</t>
  </si>
  <si>
    <t>mini</t>
  </si>
  <si>
    <t>17638440-9</t>
  </si>
  <si>
    <t>Asoka</t>
  </si>
  <si>
    <t>negro café</t>
  </si>
  <si>
    <t>2017-12-01</t>
  </si>
  <si>
    <t>20161088-5</t>
  </si>
  <si>
    <t>Vader</t>
  </si>
  <si>
    <t>café negro</t>
  </si>
  <si>
    <t>19555355-6</t>
  </si>
  <si>
    <t>PELUSA</t>
  </si>
  <si>
    <t>18591210-8</t>
  </si>
  <si>
    <t>TABY CREMA BLANCO</t>
  </si>
  <si>
    <t>2015-10-17</t>
  </si>
  <si>
    <t>20992343-2</t>
  </si>
  <si>
    <t>PACITA</t>
  </si>
  <si>
    <t>2015-10-23</t>
  </si>
  <si>
    <t>17973351-k</t>
  </si>
  <si>
    <t>WAKANDA</t>
  </si>
  <si>
    <t>2015-02-01</t>
  </si>
  <si>
    <t>2010-08-01</t>
  </si>
  <si>
    <t>11412448-6</t>
  </si>
  <si>
    <t>BRISA</t>
  </si>
  <si>
    <t>17973351-K</t>
  </si>
  <si>
    <t>MAFI</t>
  </si>
  <si>
    <t>6131785-6</t>
  </si>
  <si>
    <t>JUSTIN</t>
  </si>
  <si>
    <t>2013-11-01</t>
  </si>
  <si>
    <t>LILI</t>
  </si>
  <si>
    <t>2019-02-12</t>
  </si>
  <si>
    <t>18886571-2</t>
  </si>
  <si>
    <t>CRESPITA</t>
  </si>
  <si>
    <t>16465631-4</t>
  </si>
  <si>
    <t>MILÚ</t>
  </si>
  <si>
    <t>TRICOLOR</t>
  </si>
  <si>
    <t>2020-12-12</t>
  </si>
  <si>
    <t>15547930-2</t>
  </si>
  <si>
    <t>SALLY</t>
  </si>
  <si>
    <t>TABY CREMA NEGRO</t>
  </si>
  <si>
    <t>TABY NEGRO BLANCO</t>
  </si>
  <si>
    <t>HOLLY</t>
  </si>
  <si>
    <t>TABY AMARILLO NEGRO BLANCO</t>
  </si>
  <si>
    <t>2020-10-11</t>
  </si>
  <si>
    <t>5332139-9</t>
  </si>
  <si>
    <t>2018-07-13</t>
  </si>
  <si>
    <t>6199527-7</t>
  </si>
  <si>
    <t>15530281-k</t>
  </si>
  <si>
    <t>2013-01-01</t>
  </si>
  <si>
    <t>15883195-3</t>
  </si>
  <si>
    <t>SULTAN</t>
  </si>
  <si>
    <t>CAFE BLANCO</t>
  </si>
  <si>
    <t>2016-03-01</t>
  </si>
  <si>
    <t>16160698-7</t>
  </si>
  <si>
    <t>20975801-6</t>
  </si>
  <si>
    <t>BUBU</t>
  </si>
  <si>
    <t>2011-02-06</t>
  </si>
  <si>
    <t>20778143-6</t>
  </si>
  <si>
    <t>GATO</t>
  </si>
  <si>
    <t>2020-12-15</t>
  </si>
  <si>
    <t>AZUL CREMA</t>
  </si>
  <si>
    <t>19248019-1</t>
  </si>
  <si>
    <t>PUCCA</t>
  </si>
  <si>
    <t>2021-01-12</t>
  </si>
  <si>
    <t>COOKIE</t>
  </si>
  <si>
    <t>19248094-9</t>
  </si>
  <si>
    <t>ROJO NEGRO BLANCO TABY</t>
  </si>
  <si>
    <t>16160027-K</t>
  </si>
  <si>
    <t>TERRY</t>
  </si>
  <si>
    <t>13815985-K</t>
  </si>
  <si>
    <t>PERLA METICHE</t>
  </si>
  <si>
    <t>AZUL NEGRO TABY</t>
  </si>
  <si>
    <t>2020-10-14</t>
  </si>
  <si>
    <t>5563255-3</t>
  </si>
  <si>
    <t>PICUCA</t>
  </si>
  <si>
    <t>2014-03-17</t>
  </si>
  <si>
    <t>PELUCHE</t>
  </si>
  <si>
    <t>15548941-3</t>
  </si>
  <si>
    <t>NAIROBI</t>
  </si>
  <si>
    <t>2020-09-16</t>
  </si>
  <si>
    <t>16564646-0</t>
  </si>
  <si>
    <t>NEGROBLANCO</t>
  </si>
  <si>
    <t>15511794-k</t>
  </si>
  <si>
    <t>2020-12-05</t>
  </si>
  <si>
    <t>18776785-7</t>
  </si>
  <si>
    <t>SHIRA</t>
  </si>
  <si>
    <t>18287851-0</t>
  </si>
  <si>
    <t>Hange</t>
  </si>
  <si>
    <t>2021-01-05</t>
  </si>
  <si>
    <t>19545858-8</t>
  </si>
  <si>
    <t>bonita</t>
  </si>
  <si>
    <t>2020-08-12</t>
  </si>
  <si>
    <t>ASHA</t>
  </si>
  <si>
    <t>13587546-5</t>
  </si>
  <si>
    <t>ECKO</t>
  </si>
  <si>
    <t>2021-01-15</t>
  </si>
  <si>
    <t>OTHAR</t>
  </si>
  <si>
    <t>11353947-K</t>
  </si>
  <si>
    <t>NIÑA</t>
  </si>
  <si>
    <t>2015-10-01</t>
  </si>
  <si>
    <t>10621598-7</t>
  </si>
  <si>
    <t>APOLO</t>
  </si>
  <si>
    <t>13116951-5</t>
  </si>
  <si>
    <t>CHAPA</t>
  </si>
  <si>
    <t>2018-11-27</t>
  </si>
  <si>
    <t>18889181-0</t>
  </si>
  <si>
    <t>PANTERA</t>
  </si>
  <si>
    <t>2020-11-23</t>
  </si>
  <si>
    <t>2021-04-01</t>
  </si>
  <si>
    <t>13819012-9</t>
  </si>
  <si>
    <t>GRIS CAFE BLANCO TABY</t>
  </si>
  <si>
    <t>15261262-1</t>
  </si>
  <si>
    <t>ASRILLO BLANCO</t>
  </si>
  <si>
    <t>2017-01-03</t>
  </si>
  <si>
    <t>15262993-1</t>
  </si>
  <si>
    <t>GRIS CREMA BLANCO</t>
  </si>
  <si>
    <t>17693598-7</t>
  </si>
  <si>
    <t>RAYITA</t>
  </si>
  <si>
    <t>TABY CAFÉ NEGRO</t>
  </si>
  <si>
    <t>19845457-5</t>
  </si>
  <si>
    <t>2021-02-01</t>
  </si>
  <si>
    <t>13139154-4</t>
  </si>
  <si>
    <t>mota</t>
  </si>
  <si>
    <t>Fox Terrier de Pelo Duro</t>
  </si>
  <si>
    <t>2018-11-18</t>
  </si>
  <si>
    <t>15259455-0</t>
  </si>
  <si>
    <t>TABY NEGRO CREMA</t>
  </si>
  <si>
    <t>12200339-6</t>
  </si>
  <si>
    <t>LALO</t>
  </si>
  <si>
    <t>2013-03-01</t>
  </si>
  <si>
    <t>16579486-9</t>
  </si>
  <si>
    <t>2017-04-06</t>
  </si>
  <si>
    <t>14560160-6</t>
  </si>
  <si>
    <t>zeus</t>
  </si>
  <si>
    <t>Dogo Argentino</t>
  </si>
  <si>
    <t>13846440-7</t>
  </si>
  <si>
    <t>calico</t>
  </si>
  <si>
    <t>2021-01-10</t>
  </si>
  <si>
    <t>12994189-8</t>
  </si>
  <si>
    <t>SCOOBY</t>
  </si>
  <si>
    <t>11001326-4</t>
  </si>
  <si>
    <t>2015-12-28</t>
  </si>
  <si>
    <t>20922023-7</t>
  </si>
  <si>
    <t>BENITO</t>
  </si>
  <si>
    <t>2021-03-08</t>
  </si>
  <si>
    <t>MUSTAFA</t>
  </si>
  <si>
    <t>2021-03-13</t>
  </si>
  <si>
    <t>15549361-5</t>
  </si>
  <si>
    <t>2020-12-23</t>
  </si>
  <si>
    <t>NEGRITA</t>
  </si>
  <si>
    <t>15849965-7</t>
  </si>
  <si>
    <t>CAFE GRIS</t>
  </si>
  <si>
    <t>2021-01-01</t>
  </si>
  <si>
    <t>18591263-9</t>
  </si>
  <si>
    <t>DAMIAN</t>
  </si>
  <si>
    <t>TABY GRIS NEGRO</t>
  </si>
  <si>
    <t>8633600-6</t>
  </si>
  <si>
    <t>2017-11-17</t>
  </si>
  <si>
    <t>3463087-9</t>
  </si>
  <si>
    <t>2013-03-24</t>
  </si>
  <si>
    <t>9205056-4</t>
  </si>
  <si>
    <t>PELU</t>
  </si>
  <si>
    <t>2015-02-22</t>
  </si>
  <si>
    <t>17694209-6</t>
  </si>
  <si>
    <t>2021-01-21</t>
  </si>
  <si>
    <t>20642136-3</t>
  </si>
  <si>
    <t>Rottweiler</t>
  </si>
  <si>
    <t>2019-03-25</t>
  </si>
  <si>
    <t>CORBATA</t>
  </si>
  <si>
    <t>2011-01-01</t>
  </si>
  <si>
    <t>12883957-7</t>
  </si>
  <si>
    <t>LUPIN</t>
  </si>
  <si>
    <t>2019-10-15</t>
  </si>
  <si>
    <t>14282112-5</t>
  </si>
  <si>
    <t>ARES</t>
  </si>
  <si>
    <t>15759669-1</t>
  </si>
  <si>
    <t>polvita</t>
  </si>
  <si>
    <t>bicolor</t>
  </si>
  <si>
    <t>2020-09-15</t>
  </si>
  <si>
    <t>19624439-5</t>
  </si>
  <si>
    <t>CHITA</t>
  </si>
  <si>
    <t>2007-03-05</t>
  </si>
  <si>
    <t>15883904-0</t>
  </si>
  <si>
    <t>GREGORIA INÉS</t>
  </si>
  <si>
    <t>2018-03-18</t>
  </si>
  <si>
    <t>18500776-6</t>
  </si>
  <si>
    <t>AIKA</t>
  </si>
  <si>
    <t>Terrier Australiano</t>
  </si>
  <si>
    <t>Alba</t>
  </si>
  <si>
    <t>16160824-6</t>
  </si>
  <si>
    <t>SHEIK</t>
  </si>
  <si>
    <t>10573585-5</t>
  </si>
  <si>
    <t>LÍA</t>
  </si>
  <si>
    <t>CALICO</t>
  </si>
  <si>
    <t>17694572-9</t>
  </si>
  <si>
    <t>Niskali</t>
  </si>
  <si>
    <t>21078313-K</t>
  </si>
  <si>
    <t>BOBY</t>
  </si>
  <si>
    <t>TABY NEGRO GRIS</t>
  </si>
  <si>
    <t>21755646-5</t>
  </si>
  <si>
    <t>2020-05-08</t>
  </si>
  <si>
    <t>12994482-K</t>
  </si>
  <si>
    <t>LUNO</t>
  </si>
  <si>
    <t>11129722-3</t>
  </si>
  <si>
    <t>Mudi</t>
  </si>
  <si>
    <t>2014-03-01</t>
  </si>
  <si>
    <t>21783626-3</t>
  </si>
  <si>
    <t>PANCHITO</t>
  </si>
  <si>
    <t>Collie de Pelo Largo</t>
  </si>
  <si>
    <t>15674696-7</t>
  </si>
  <si>
    <t>LULA</t>
  </si>
  <si>
    <t>2007-01-01</t>
  </si>
  <si>
    <t>20708438-7</t>
  </si>
  <si>
    <t>MÁRTIN</t>
  </si>
  <si>
    <t>2020-01-29</t>
  </si>
  <si>
    <t>2020-05-11</t>
  </si>
  <si>
    <t>18591064-4</t>
  </si>
  <si>
    <t>CATA</t>
  </si>
  <si>
    <t>2020-12-17</t>
  </si>
  <si>
    <t>ELVIS</t>
  </si>
  <si>
    <t>18501867-9</t>
  </si>
  <si>
    <t>SAM</t>
  </si>
  <si>
    <t>8916138-k</t>
  </si>
  <si>
    <t>2021-01-29</t>
  </si>
  <si>
    <t>15884648-9</t>
  </si>
  <si>
    <t>BENJI</t>
  </si>
  <si>
    <t>2020-11-10</t>
  </si>
  <si>
    <t>19248526-6</t>
  </si>
  <si>
    <t>11920064-4</t>
  </si>
  <si>
    <t>2021-02-07</t>
  </si>
  <si>
    <t>18289616-0</t>
  </si>
  <si>
    <t>2012-05-01</t>
  </si>
  <si>
    <t>20967444-0</t>
  </si>
  <si>
    <t>TOMAS</t>
  </si>
  <si>
    <t>2009-01-01</t>
  </si>
  <si>
    <t>13399916-7</t>
  </si>
  <si>
    <t>COKI</t>
  </si>
  <si>
    <t>2019-07-27</t>
  </si>
  <si>
    <t>CANELA</t>
  </si>
  <si>
    <t>FLAKO</t>
  </si>
  <si>
    <t>15884104-5</t>
  </si>
  <si>
    <t>SAMIR</t>
  </si>
  <si>
    <t>2019-12-23</t>
  </si>
  <si>
    <t>19184445-9</t>
  </si>
  <si>
    <t>MINHO</t>
  </si>
  <si>
    <t>Siberian Husky</t>
  </si>
  <si>
    <t>2017-03-01</t>
  </si>
  <si>
    <t>18133464-9</t>
  </si>
  <si>
    <t>EMY</t>
  </si>
  <si>
    <t>20315517-4</t>
  </si>
  <si>
    <t>TEODORO</t>
  </si>
  <si>
    <t>2016-05-01</t>
  </si>
  <si>
    <t>19554097-7</t>
  </si>
  <si>
    <t>GASTON</t>
  </si>
  <si>
    <t>2021-02-21</t>
  </si>
  <si>
    <t>11453555-9</t>
  </si>
  <si>
    <t>MEMO</t>
  </si>
  <si>
    <t>14083512-9</t>
  </si>
  <si>
    <t>NENUCA</t>
  </si>
  <si>
    <t>BLANCO GRIS CREMA</t>
  </si>
  <si>
    <t>15548844-1</t>
  </si>
  <si>
    <t>2014-10-01</t>
  </si>
  <si>
    <t>8605187-7</t>
  </si>
  <si>
    <t>2018-04-05</t>
  </si>
  <si>
    <t>14280850-1</t>
  </si>
  <si>
    <t>TANZA</t>
  </si>
  <si>
    <t>2012-01-01</t>
  </si>
  <si>
    <t>16465635-7</t>
  </si>
  <si>
    <t>2021-02-23</t>
  </si>
  <si>
    <t>16805621-4</t>
  </si>
  <si>
    <t>LORNA</t>
  </si>
  <si>
    <t>2015-11-15</t>
  </si>
  <si>
    <t>18885276-9</t>
  </si>
  <si>
    <t>MILU</t>
  </si>
  <si>
    <t>2021-01-04</t>
  </si>
  <si>
    <t>DONALD</t>
  </si>
  <si>
    <t>BLANCO AMARILLO</t>
  </si>
  <si>
    <t>21943419-7</t>
  </si>
  <si>
    <t>2020-08-05</t>
  </si>
  <si>
    <t>12392219-0</t>
  </si>
  <si>
    <t>TYSON</t>
  </si>
  <si>
    <t>American Pit Bull Terrier</t>
  </si>
  <si>
    <t>CAFÉ BLANCO</t>
  </si>
  <si>
    <t>2020-12-22</t>
  </si>
  <si>
    <t>16564633-9</t>
  </si>
  <si>
    <t>2013-03-14</t>
  </si>
  <si>
    <t>ONIX</t>
  </si>
  <si>
    <t>2020-04-15</t>
  </si>
  <si>
    <t>17359194-2</t>
  </si>
  <si>
    <t>MARRÓN</t>
  </si>
  <si>
    <t>2020-12-27</t>
  </si>
  <si>
    <t>17200297-8</t>
  </si>
  <si>
    <t>MOLLY</t>
  </si>
  <si>
    <t>2016-11-08</t>
  </si>
  <si>
    <t>17219168-1</t>
  </si>
  <si>
    <t>20315330-9</t>
  </si>
  <si>
    <t>ORUS</t>
  </si>
  <si>
    <t>2020-09-14</t>
  </si>
  <si>
    <t>9322977-0</t>
  </si>
  <si>
    <t>MARTIN</t>
  </si>
  <si>
    <t>2014-01-01</t>
  </si>
  <si>
    <t>20015951-9</t>
  </si>
  <si>
    <t>KELU</t>
  </si>
  <si>
    <t>NARANJO BLANCO</t>
  </si>
  <si>
    <t>19616999-7</t>
  </si>
  <si>
    <t>Bulldog Francés</t>
  </si>
  <si>
    <t>2235759-K</t>
  </si>
  <si>
    <t>CILCA</t>
  </si>
  <si>
    <t>2019-03-13</t>
  </si>
  <si>
    <t>21080624-5</t>
  </si>
  <si>
    <t>koko</t>
  </si>
  <si>
    <t>BLANCO NEGRO CAFÉ</t>
  </si>
  <si>
    <t>2021-02-19</t>
  </si>
  <si>
    <t>THOR</t>
  </si>
  <si>
    <t>2016-05-26</t>
  </si>
  <si>
    <t>15551979-7</t>
  </si>
  <si>
    <t>21200494-4</t>
  </si>
  <si>
    <t>TOMMY</t>
  </si>
  <si>
    <t>amarillo</t>
  </si>
  <si>
    <t>2014-05-24</t>
  </si>
  <si>
    <t>21430099-0</t>
  </si>
  <si>
    <t>PERLITA</t>
  </si>
  <si>
    <t>18289450-8</t>
  </si>
  <si>
    <t>2021-03-01</t>
  </si>
  <si>
    <t>17693956-7</t>
  </si>
  <si>
    <t>2021-02-24</t>
  </si>
  <si>
    <t>16159829-1</t>
  </si>
  <si>
    <t>MAXIMO</t>
  </si>
  <si>
    <t>GRIS BANCO</t>
  </si>
  <si>
    <t>ALYZ</t>
  </si>
  <si>
    <t>ROJO NEGRO BLANCO TRICOLOR</t>
  </si>
  <si>
    <t>2020-12-07</t>
  </si>
  <si>
    <t>AZUL CREMA BLANCO</t>
  </si>
  <si>
    <t>TEFFY</t>
  </si>
  <si>
    <t>16805686-9</t>
  </si>
  <si>
    <t>RUBÍ</t>
  </si>
  <si>
    <t>2020-12-24</t>
  </si>
  <si>
    <t>16465621-7</t>
  </si>
  <si>
    <t>ATHENEA</t>
  </si>
  <si>
    <t>ATIGRADO CAFÉ NEGRO</t>
  </si>
  <si>
    <t>13846481-4</t>
  </si>
  <si>
    <t>SAMMI</t>
  </si>
  <si>
    <t>20018315-0</t>
  </si>
  <si>
    <t>VEGETA</t>
  </si>
  <si>
    <t>15547620-6</t>
  </si>
  <si>
    <t>FIRE</t>
  </si>
  <si>
    <t>12745284-9</t>
  </si>
  <si>
    <t>2020-06-14</t>
  </si>
  <si>
    <t>21078190-0</t>
  </si>
  <si>
    <t>PIZZA</t>
  </si>
  <si>
    <t>2020-12-28</t>
  </si>
  <si>
    <t>21270713-9</t>
  </si>
  <si>
    <t>KRATOS</t>
  </si>
  <si>
    <t>16434893-8</t>
  </si>
  <si>
    <t>ROJO BLANCO NEGRO</t>
  </si>
  <si>
    <t>PINTITA</t>
  </si>
  <si>
    <t>2021-02-27</t>
  </si>
  <si>
    <t>GORDITO</t>
  </si>
  <si>
    <t>TABBY ROJO</t>
  </si>
  <si>
    <t>18084315-9</t>
  </si>
  <si>
    <t>OTTO</t>
  </si>
  <si>
    <t>16216986-6</t>
  </si>
  <si>
    <t>KIMBA</t>
  </si>
  <si>
    <t>2016-05-05</t>
  </si>
  <si>
    <t>20314094-0</t>
  </si>
  <si>
    <t>negro blanco</t>
  </si>
  <si>
    <t>19555341-6</t>
  </si>
  <si>
    <t>Negrita</t>
  </si>
  <si>
    <t>15530275-5</t>
  </si>
  <si>
    <t>GAMBA PATRICIO</t>
  </si>
  <si>
    <t>2018-01-05</t>
  </si>
  <si>
    <t>22327540-0</t>
  </si>
  <si>
    <t>15294107-2</t>
  </si>
  <si>
    <t>2021-01-14</t>
  </si>
  <si>
    <t>19555228-2</t>
  </si>
  <si>
    <t>MILLIE</t>
  </si>
  <si>
    <t>TABBY NEGRO GRIS CAFÉ?</t>
  </si>
  <si>
    <t>11006034-3</t>
  </si>
  <si>
    <t>Chihuahua</t>
  </si>
  <si>
    <t>20023645-9</t>
  </si>
  <si>
    <t>MILO</t>
  </si>
  <si>
    <t>2019-01-28</t>
  </si>
  <si>
    <t>22095658-k</t>
  </si>
  <si>
    <t>nn</t>
  </si>
  <si>
    <t>rojo blanco</t>
  </si>
  <si>
    <t>2020-03-10</t>
  </si>
  <si>
    <t>13846798-8</t>
  </si>
  <si>
    <t>N/N</t>
  </si>
  <si>
    <t>7375376-7</t>
  </si>
  <si>
    <t>AREPITO</t>
  </si>
  <si>
    <t>2021-03-20</t>
  </si>
  <si>
    <t>15025021-8</t>
  </si>
  <si>
    <t>CEJAS</t>
  </si>
  <si>
    <t>14081847-K</t>
  </si>
  <si>
    <t>TOTORO</t>
  </si>
  <si>
    <t>2020-02-10</t>
  </si>
  <si>
    <t>13521011-0</t>
  </si>
  <si>
    <t>HARU</t>
  </si>
  <si>
    <t>2020-08-20</t>
  </si>
  <si>
    <t>17709210-K</t>
  </si>
  <si>
    <t>NABOO</t>
  </si>
  <si>
    <t>18653412-3</t>
  </si>
  <si>
    <t>2017-07-10</t>
  </si>
  <si>
    <t>21605194-7</t>
  </si>
  <si>
    <t>MENTA</t>
  </si>
  <si>
    <t>2020-09-12</t>
  </si>
  <si>
    <t>2014-05-12</t>
  </si>
  <si>
    <t>14328381-K</t>
  </si>
  <si>
    <t>EROS</t>
  </si>
  <si>
    <t>16464687-4</t>
  </si>
  <si>
    <t>2021-03-15</t>
  </si>
  <si>
    <t>20314352-4</t>
  </si>
  <si>
    <t>WANDA AURORA AGUILERA CORONA</t>
  </si>
  <si>
    <t>2021-01-31</t>
  </si>
  <si>
    <t>18240813-1</t>
  </si>
  <si>
    <t>ROJO BLANCO NEGRO TRICOLOR</t>
  </si>
  <si>
    <t>17360218-9</t>
  </si>
  <si>
    <t>ALMENDRA</t>
  </si>
  <si>
    <t>2019-12-10</t>
  </si>
  <si>
    <t>15759985-2</t>
  </si>
  <si>
    <t>MARTY MCFLY</t>
  </si>
  <si>
    <t>21021763-0</t>
  </si>
  <si>
    <t>ODDY</t>
  </si>
  <si>
    <t>20906274-7</t>
  </si>
  <si>
    <t>17056482-0</t>
  </si>
  <si>
    <t>HELGA</t>
  </si>
  <si>
    <t>FLOKY</t>
  </si>
  <si>
    <t>14082254-K</t>
  </si>
  <si>
    <t>OSITO</t>
  </si>
  <si>
    <t>9803556-7</t>
  </si>
  <si>
    <t>BEBÉ</t>
  </si>
  <si>
    <t>20417295-1</t>
  </si>
  <si>
    <t>snow</t>
  </si>
  <si>
    <t>2021-02-18</t>
  </si>
  <si>
    <t>18421886-0</t>
  </si>
  <si>
    <t>PULGAS</t>
  </si>
  <si>
    <t>2011-05-18</t>
  </si>
  <si>
    <t>19745969-7</t>
  </si>
  <si>
    <t>RARITO</t>
  </si>
  <si>
    <t>2019-11-20</t>
  </si>
  <si>
    <t>17693919-2</t>
  </si>
  <si>
    <t xml:space="preserve">Catalina </t>
  </si>
  <si>
    <t>13587505-8</t>
  </si>
  <si>
    <t>2021-02-05</t>
  </si>
  <si>
    <t>10807994-0</t>
  </si>
  <si>
    <t>21373214-5</t>
  </si>
  <si>
    <t>2020-12-30</t>
  </si>
  <si>
    <t>NALA</t>
  </si>
  <si>
    <t>2021-02-20</t>
  </si>
  <si>
    <t>21073477-5</t>
  </si>
  <si>
    <t>2021-03-26</t>
  </si>
  <si>
    <t>21265862-6</t>
  </si>
  <si>
    <t>HIPO</t>
  </si>
  <si>
    <t>16263208-6</t>
  </si>
  <si>
    <t>VALQUIRIA</t>
  </si>
  <si>
    <t>MIKA</t>
  </si>
  <si>
    <t>CAREI</t>
  </si>
  <si>
    <t>10612804-9</t>
  </si>
  <si>
    <t>2011-04-01</t>
  </si>
  <si>
    <t>15294178-1</t>
  </si>
  <si>
    <t>FOFO</t>
  </si>
  <si>
    <t>2018-04-01</t>
  </si>
  <si>
    <t>SOFY</t>
  </si>
  <si>
    <t>14441796-8</t>
  </si>
  <si>
    <t>JAVI</t>
  </si>
  <si>
    <t>2021-04-09</t>
  </si>
  <si>
    <t>10324109-K</t>
  </si>
  <si>
    <t>BRAKA</t>
  </si>
  <si>
    <t>2021-01-07</t>
  </si>
  <si>
    <t>20041797-6</t>
  </si>
  <si>
    <t>DUKI</t>
  </si>
  <si>
    <t>18174405-7</t>
  </si>
  <si>
    <t>2020-05-06</t>
  </si>
  <si>
    <t>20840719-8</t>
  </si>
  <si>
    <t>2020-12-16</t>
  </si>
  <si>
    <t>19249191-6</t>
  </si>
  <si>
    <t>11114929-1</t>
  </si>
  <si>
    <t>BOBA</t>
  </si>
  <si>
    <t>2017-05-01</t>
  </si>
  <si>
    <t>14083450-5</t>
  </si>
  <si>
    <t>JEFAZO</t>
  </si>
  <si>
    <t>2021-03-25</t>
  </si>
  <si>
    <t>6739088-1</t>
  </si>
  <si>
    <t>2020-11-26</t>
  </si>
  <si>
    <t>18492561-3</t>
  </si>
  <si>
    <t>2021-01-02</t>
  </si>
  <si>
    <t>18132301-9</t>
  </si>
  <si>
    <t>2021-04-11</t>
  </si>
  <si>
    <t>2021-04-13</t>
  </si>
  <si>
    <t>14313923-9</t>
  </si>
  <si>
    <t>HOMERO</t>
  </si>
  <si>
    <t>2013-05-05</t>
  </si>
  <si>
    <t>20781747-3</t>
  </si>
  <si>
    <t>2021-03-02</t>
  </si>
  <si>
    <t>17694643-1</t>
  </si>
  <si>
    <t>TITI</t>
  </si>
  <si>
    <t>ANITA</t>
  </si>
  <si>
    <t>2016-05-25</t>
  </si>
  <si>
    <t>NN GRANDE</t>
  </si>
  <si>
    <t>NN PEQUEÑO</t>
  </si>
  <si>
    <t>2021-04-15</t>
  </si>
  <si>
    <t>17067802-8</t>
  </si>
  <si>
    <t>Pelusa Silvestre Contreras Delgado</t>
  </si>
  <si>
    <t>16464239-9</t>
  </si>
  <si>
    <t>BAGHEERA</t>
  </si>
  <si>
    <t>8602078-5</t>
  </si>
  <si>
    <t>BALDIER</t>
  </si>
  <si>
    <t>15815679-2</t>
  </si>
  <si>
    <t>19198292-4</t>
  </si>
  <si>
    <t>RENATA</t>
  </si>
  <si>
    <t>12911545-9</t>
  </si>
  <si>
    <t>MILENKA</t>
  </si>
  <si>
    <t>2010-02-25</t>
  </si>
  <si>
    <t>15548419-5</t>
  </si>
  <si>
    <t>LARA</t>
  </si>
  <si>
    <t>16682558-k</t>
  </si>
  <si>
    <t>ESPUMA</t>
  </si>
  <si>
    <t>14037343-5</t>
  </si>
  <si>
    <t>BLANCO CAFÉ NEGRO</t>
  </si>
  <si>
    <t>2021-04-23</t>
  </si>
  <si>
    <t>CHETUMÉ</t>
  </si>
  <si>
    <t>11426013-4</t>
  </si>
  <si>
    <t>2021-03-05</t>
  </si>
  <si>
    <t>FLACO</t>
  </si>
  <si>
    <t>14060294-9</t>
  </si>
  <si>
    <t>TORA MARÍA</t>
  </si>
  <si>
    <t>2013-05-15</t>
  </si>
  <si>
    <t>17201539-5</t>
  </si>
  <si>
    <t>CHELSEA</t>
  </si>
  <si>
    <t>2020-06-10</t>
  </si>
  <si>
    <t>8637586-9</t>
  </si>
  <si>
    <t>CLARITA</t>
  </si>
  <si>
    <t>15884338-2</t>
  </si>
  <si>
    <t>2020-03-06</t>
  </si>
  <si>
    <t>20594806-6</t>
  </si>
  <si>
    <t>CLEO</t>
  </si>
  <si>
    <t>BLANCO GRIS NEGRO</t>
  </si>
  <si>
    <t>2021-03-06</t>
  </si>
  <si>
    <t>16363817-7</t>
  </si>
  <si>
    <t>13320592-6</t>
  </si>
  <si>
    <t>CHASCA</t>
  </si>
  <si>
    <t>2019-01-10</t>
  </si>
  <si>
    <t>GORDA</t>
  </si>
  <si>
    <t>NARANJO BLANCO NEGRO</t>
  </si>
  <si>
    <t>2015-06-10</t>
  </si>
  <si>
    <t>19249676-4</t>
  </si>
  <si>
    <t>CHI CHI</t>
  </si>
  <si>
    <t>2021-04-02</t>
  </si>
  <si>
    <t>17359806-8</t>
  </si>
  <si>
    <t>ROMAN</t>
  </si>
  <si>
    <t>6987245-K</t>
  </si>
  <si>
    <t>2016-06-01</t>
  </si>
  <si>
    <t>9116737-9</t>
  </si>
  <si>
    <t>PERLA ANDREA</t>
  </si>
  <si>
    <t>2014-08-01</t>
  </si>
  <si>
    <t>6033632-6</t>
  </si>
  <si>
    <t>CHICA</t>
  </si>
  <si>
    <t>11081001-6</t>
  </si>
  <si>
    <t>RENATO</t>
  </si>
  <si>
    <t>2012-06-01</t>
  </si>
  <si>
    <t>18590513-6</t>
  </si>
  <si>
    <t>GRUÑONCITO</t>
  </si>
  <si>
    <t>GRIS NEGRO TABY</t>
  </si>
  <si>
    <t>19791833-0</t>
  </si>
  <si>
    <t>2021-03-31</t>
  </si>
  <si>
    <t>16870962-5</t>
  </si>
  <si>
    <t>SCOTT</t>
  </si>
  <si>
    <t>CAFÉ BLANCO ATIGRADO</t>
  </si>
  <si>
    <t>2021-04-12</t>
  </si>
  <si>
    <t>15229929-k</t>
  </si>
  <si>
    <t>SPARKY</t>
  </si>
  <si>
    <t>2017-11-15</t>
  </si>
  <si>
    <t>7856830-5</t>
  </si>
  <si>
    <t>LUPITA</t>
  </si>
  <si>
    <t>2021-02-28</t>
  </si>
  <si>
    <t>14281790-K</t>
  </si>
  <si>
    <t>2020-12-03</t>
  </si>
  <si>
    <t>15760058-3</t>
  </si>
  <si>
    <t>TSUKY</t>
  </si>
  <si>
    <t>CAFÉ NEGRO BLANCO</t>
  </si>
  <si>
    <t>2013-06-01</t>
  </si>
  <si>
    <t>17997998-5</t>
  </si>
  <si>
    <t>BENDY</t>
  </si>
  <si>
    <t>2021-01-18</t>
  </si>
  <si>
    <t>2014-06-18</t>
  </si>
  <si>
    <t>18886545-3</t>
  </si>
  <si>
    <t>GEELY</t>
  </si>
  <si>
    <t>BLANCO CAFE GRIS</t>
  </si>
  <si>
    <t>15293649-4</t>
  </si>
  <si>
    <t>M</t>
  </si>
  <si>
    <t>11325570-6</t>
  </si>
  <si>
    <t>REX</t>
  </si>
  <si>
    <t>2012-08-15</t>
  </si>
  <si>
    <t>18888970-0</t>
  </si>
  <si>
    <t>Gata</t>
  </si>
  <si>
    <t>CAFE BLANCO gris</t>
  </si>
  <si>
    <t>2021-05-01</t>
  </si>
  <si>
    <t>kiara</t>
  </si>
  <si>
    <t>21010609-K</t>
  </si>
  <si>
    <t>MAIK</t>
  </si>
  <si>
    <t xml:space="preserve">TABBY ROJO </t>
  </si>
  <si>
    <t>SCAR</t>
  </si>
  <si>
    <t>TABBY NEGRO CAFÉ</t>
  </si>
  <si>
    <t>14083076-3</t>
  </si>
  <si>
    <t>2016-12-21</t>
  </si>
  <si>
    <t>13110506-1</t>
  </si>
  <si>
    <t>TABBY CAFÉ NEGRO</t>
  </si>
  <si>
    <t>Labrador Retriever</t>
  </si>
  <si>
    <t>16320350-2</t>
  </si>
  <si>
    <t>2021-04-25</t>
  </si>
  <si>
    <t>17068339-0</t>
  </si>
  <si>
    <t>AMBAR</t>
  </si>
  <si>
    <t>2016-11-28</t>
  </si>
  <si>
    <t>10259315-4</t>
  </si>
  <si>
    <t>APRICOT</t>
  </si>
  <si>
    <t>2013-04-11</t>
  </si>
  <si>
    <t>21220453-6</t>
  </si>
  <si>
    <t>KYRA</t>
  </si>
  <si>
    <t>CAZANDRA</t>
  </si>
  <si>
    <t>2015-03-01</t>
  </si>
  <si>
    <t>Dona</t>
  </si>
  <si>
    <t>2021-04-30</t>
  </si>
  <si>
    <t>14084824-7</t>
  </si>
  <si>
    <t>MAGGIE</t>
  </si>
  <si>
    <t>2008-06-30</t>
  </si>
  <si>
    <t>CHIN CHIN</t>
  </si>
  <si>
    <t>2015-06-30</t>
  </si>
  <si>
    <t>MARTINA</t>
  </si>
  <si>
    <t>17360152-2</t>
  </si>
  <si>
    <t>FEDERICO</t>
  </si>
  <si>
    <t>CHUQUITO</t>
  </si>
  <si>
    <t>TABBY GRIS NEGRO</t>
  </si>
  <si>
    <t>2020-02-17</t>
  </si>
  <si>
    <t>26510675-7</t>
  </si>
  <si>
    <t>NAPOLEON</t>
  </si>
  <si>
    <t>2019-01-02</t>
  </si>
  <si>
    <t>15759842-2</t>
  </si>
  <si>
    <t>CORAZONCITO</t>
  </si>
  <si>
    <t>CAFÉ BLANCO NEGRO TABBY LISTAD</t>
  </si>
  <si>
    <t>2020-10-16</t>
  </si>
  <si>
    <t>19182261-7</t>
  </si>
  <si>
    <t>NEGRO CAFÉ TABBY</t>
  </si>
  <si>
    <t>15294537-K</t>
  </si>
  <si>
    <t>CENIZA</t>
  </si>
  <si>
    <t>2021-03-30</t>
  </si>
  <si>
    <t>GASPI</t>
  </si>
  <si>
    <t>2020-05-26</t>
  </si>
  <si>
    <t>18289856-2</t>
  </si>
  <si>
    <t>13321219-1</t>
  </si>
  <si>
    <t>ODIN</t>
  </si>
  <si>
    <t>CREMA NEGRO</t>
  </si>
  <si>
    <t>2020-05-12</t>
  </si>
  <si>
    <t>19556223-7</t>
  </si>
  <si>
    <t>blue dream</t>
  </si>
  <si>
    <t>CAFÉ NEGRO BLANCO tabby</t>
  </si>
  <si>
    <t>13847107-1</t>
  </si>
  <si>
    <t>BRUNO</t>
  </si>
  <si>
    <t>2017-09-01</t>
  </si>
  <si>
    <t>20018332-0</t>
  </si>
  <si>
    <t>FLOK</t>
  </si>
  <si>
    <t>Braco de Weimar</t>
  </si>
  <si>
    <t>2018-01-25</t>
  </si>
  <si>
    <t>14282412-4</t>
  </si>
  <si>
    <t>PON POM ALEXANDER</t>
  </si>
  <si>
    <t>killa</t>
  </si>
  <si>
    <t>cafe tabby</t>
  </si>
  <si>
    <t>2019-11-11</t>
  </si>
  <si>
    <t>INTI</t>
  </si>
  <si>
    <t>2017-10-09</t>
  </si>
  <si>
    <t>CAIS LEON</t>
  </si>
  <si>
    <t>2018-06-24</t>
  </si>
  <si>
    <t>16159983-2</t>
  </si>
  <si>
    <t>TABBY CAFÉ BLANCO</t>
  </si>
  <si>
    <t>2019-11-10</t>
  </si>
  <si>
    <t>17397386-1</t>
  </si>
  <si>
    <t>2021-05-28</t>
  </si>
  <si>
    <t>11915712-9</t>
  </si>
  <si>
    <t>SIMONA</t>
  </si>
  <si>
    <t>2021-05-06</t>
  </si>
  <si>
    <t>19608834-2</t>
  </si>
  <si>
    <t>CARLOTA</t>
  </si>
  <si>
    <t xml:space="preserve">PLOMO , BLANCO AMARILLO </t>
  </si>
  <si>
    <t>17201719-3</t>
  </si>
  <si>
    <t>PEDRO</t>
  </si>
  <si>
    <t>15294106-4</t>
  </si>
  <si>
    <t>Evelyn</t>
  </si>
  <si>
    <t>2015-05-15</t>
  </si>
  <si>
    <t>21076658-8</t>
  </si>
  <si>
    <t>15548507-8</t>
  </si>
  <si>
    <t>2018-03-15</t>
  </si>
  <si>
    <t>KEISY</t>
  </si>
  <si>
    <t>2020-01-15</t>
  </si>
  <si>
    <t>11591841-9</t>
  </si>
  <si>
    <t>MOZART ARMANDO</t>
  </si>
  <si>
    <t>San Bernardo</t>
  </si>
  <si>
    <t>BLANCO CAFE NEGRO</t>
  </si>
  <si>
    <t>2016-03-31</t>
  </si>
  <si>
    <t>12749567-K</t>
  </si>
  <si>
    <t>GARRY</t>
  </si>
  <si>
    <t>9944995-0</t>
  </si>
  <si>
    <t>20315725-8</t>
  </si>
  <si>
    <t>CELESTE</t>
  </si>
  <si>
    <t>Cleo</t>
  </si>
  <si>
    <t>16465020-0</t>
  </si>
  <si>
    <t>MELANIA</t>
  </si>
  <si>
    <t>16978228-8</t>
  </si>
  <si>
    <t>2016-07-24</t>
  </si>
  <si>
    <t>MAXINE</t>
  </si>
  <si>
    <t>19167137-6</t>
  </si>
  <si>
    <t>SAMI</t>
  </si>
  <si>
    <t>TABBY GRIS</t>
  </si>
  <si>
    <t>9704521-6</t>
  </si>
  <si>
    <t>bob</t>
  </si>
  <si>
    <t>café</t>
  </si>
  <si>
    <t>2021-05-20</t>
  </si>
  <si>
    <t>15884274-2</t>
  </si>
  <si>
    <t>blanco negro gris</t>
  </si>
  <si>
    <t>2020-08-07</t>
  </si>
  <si>
    <t>10162153-7</t>
  </si>
  <si>
    <t>Blanquita</t>
  </si>
  <si>
    <t>2021-05-15</t>
  </si>
  <si>
    <t>18211646-7</t>
  </si>
  <si>
    <t>Cade</t>
  </si>
  <si>
    <t>2018-02-01</t>
  </si>
  <si>
    <t>18287758-1</t>
  </si>
  <si>
    <t>fanny</t>
  </si>
  <si>
    <t>2020-07-10</t>
  </si>
  <si>
    <t>15758710-2</t>
  </si>
  <si>
    <t>10546018-k</t>
  </si>
  <si>
    <t>Jacinta</t>
  </si>
  <si>
    <t>2021-06-12</t>
  </si>
  <si>
    <t>NN CAFÉ</t>
  </si>
  <si>
    <t>18191502-1</t>
  </si>
  <si>
    <t>CHANEL</t>
  </si>
  <si>
    <t>21432358-3</t>
  </si>
  <si>
    <t>2020-09-05</t>
  </si>
  <si>
    <t>16566256-3</t>
  </si>
  <si>
    <t>UNO</t>
  </si>
  <si>
    <t>2021-06-10</t>
  </si>
  <si>
    <t>DOS</t>
  </si>
  <si>
    <t>TRES</t>
  </si>
  <si>
    <t>CUATRO</t>
  </si>
  <si>
    <t>CINCO</t>
  </si>
  <si>
    <t>SEIS</t>
  </si>
  <si>
    <t>NASUS</t>
  </si>
  <si>
    <t>2016-07-01</t>
  </si>
  <si>
    <t>13520503-6</t>
  </si>
  <si>
    <t>MATILDA</t>
  </si>
  <si>
    <t>2019-11-15</t>
  </si>
  <si>
    <t>Puntito</t>
  </si>
  <si>
    <t>2019-02-01</t>
  </si>
  <si>
    <t>11305611-8</t>
  </si>
  <si>
    <t>20525012-3</t>
  </si>
  <si>
    <t>11323923-9</t>
  </si>
  <si>
    <t>2020-07-16</t>
  </si>
  <si>
    <t>BARRY</t>
  </si>
  <si>
    <t>2006-06-01</t>
  </si>
  <si>
    <t>Guasón</t>
  </si>
  <si>
    <t>9297655-6</t>
  </si>
  <si>
    <t>BUFITA</t>
  </si>
  <si>
    <t>GRIS AZULADO</t>
  </si>
  <si>
    <t>2021-06-07</t>
  </si>
  <si>
    <t>21278741-8</t>
  </si>
  <si>
    <t>MARINA</t>
  </si>
  <si>
    <t>12432507-2</t>
  </si>
  <si>
    <t>2018-02-02</t>
  </si>
  <si>
    <t>20346253-0</t>
  </si>
  <si>
    <t>LOKI</t>
  </si>
  <si>
    <t>17877165-5</t>
  </si>
  <si>
    <t>16872197-8</t>
  </si>
  <si>
    <t>Pastor Australiano</t>
  </si>
  <si>
    <t>7142205-4</t>
  </si>
  <si>
    <t>2021-03-28</t>
  </si>
  <si>
    <t>Kiara</t>
  </si>
  <si>
    <t>2007-02-03</t>
  </si>
  <si>
    <t>21954595-9</t>
  </si>
  <si>
    <t>ARTEMIS</t>
  </si>
  <si>
    <t>15293682-6</t>
  </si>
  <si>
    <t>MICHA</t>
  </si>
  <si>
    <t>Pepa</t>
  </si>
  <si>
    <t>SILVER</t>
  </si>
  <si>
    <t>16048732-1</t>
  </si>
  <si>
    <t>pituco</t>
  </si>
  <si>
    <t>oso</t>
  </si>
  <si>
    <t>20924780-1</t>
  </si>
  <si>
    <t>PILY</t>
  </si>
  <si>
    <t>19934119-7</t>
  </si>
  <si>
    <t>TOKI</t>
  </si>
  <si>
    <t>2016-09-12</t>
  </si>
  <si>
    <t>10427235-5</t>
  </si>
  <si>
    <t>Doky</t>
  </si>
  <si>
    <t>18174473-1</t>
  </si>
  <si>
    <t>15549028-4</t>
  </si>
  <si>
    <t>2012-07-05</t>
  </si>
  <si>
    <t>12310692-K</t>
  </si>
  <si>
    <t>CAFÉ ATIGRADO</t>
  </si>
  <si>
    <t>2012-03-01</t>
  </si>
  <si>
    <t>YOWY</t>
  </si>
  <si>
    <t>2017-01-11</t>
  </si>
  <si>
    <t>Negrito</t>
  </si>
  <si>
    <t>21294978-7</t>
  </si>
  <si>
    <t>2021-05-13</t>
  </si>
  <si>
    <t>Leonidas</t>
  </si>
  <si>
    <t>Negro cafe</t>
  </si>
  <si>
    <t>2013-10-09</t>
  </si>
  <si>
    <t>17864877-2</t>
  </si>
  <si>
    <t>taby gris</t>
  </si>
  <si>
    <t>2012-08-01</t>
  </si>
  <si>
    <t>18889121-7</t>
  </si>
  <si>
    <t>16806099-8</t>
  </si>
  <si>
    <t>LIPI</t>
  </si>
  <si>
    <t>LLANCA</t>
  </si>
  <si>
    <t>16048926-K</t>
  </si>
  <si>
    <t>2018-08-12</t>
  </si>
  <si>
    <t>Carlota</t>
  </si>
  <si>
    <t>16564403-4</t>
  </si>
  <si>
    <t>Boby</t>
  </si>
  <si>
    <t>14159015-4</t>
  </si>
  <si>
    <t>GALAXIA</t>
  </si>
  <si>
    <t>20346407-k</t>
  </si>
  <si>
    <t>2020-08-10</t>
  </si>
  <si>
    <t>2020-04-25</t>
  </si>
  <si>
    <t>13117182-k</t>
  </si>
  <si>
    <t>Rosita</t>
  </si>
  <si>
    <t>18843527-0</t>
  </si>
  <si>
    <t>kelly</t>
  </si>
  <si>
    <t>oro</t>
  </si>
  <si>
    <t>2020-01-19</t>
  </si>
  <si>
    <t>Yoyi</t>
  </si>
  <si>
    <t>2016-03-18</t>
  </si>
  <si>
    <t>21588441-4</t>
  </si>
  <si>
    <t>15894519-3</t>
  </si>
  <si>
    <t>Doli bien</t>
  </si>
  <si>
    <t>2021-06-01</t>
  </si>
  <si>
    <t>Pelusa</t>
  </si>
  <si>
    <t>2017-12-25</t>
  </si>
  <si>
    <t>irina</t>
  </si>
  <si>
    <t>2021-07-16</t>
  </si>
  <si>
    <t>Isabella</t>
  </si>
  <si>
    <t>cafpe negro</t>
  </si>
  <si>
    <t>15183103-6</t>
  </si>
  <si>
    <t>benito</t>
  </si>
  <si>
    <t>2008-03-01</t>
  </si>
  <si>
    <t>25341270-4</t>
  </si>
  <si>
    <t>13730383-3</t>
  </si>
  <si>
    <t>GRINGO GRANDE</t>
  </si>
  <si>
    <t>2020-01-22</t>
  </si>
  <si>
    <t>18886573-9</t>
  </si>
  <si>
    <t>2013-02-01</t>
  </si>
  <si>
    <t>22074218-0</t>
  </si>
  <si>
    <t>Gringo</t>
  </si>
  <si>
    <t>12994117-0</t>
  </si>
  <si>
    <t>2021-05-21</t>
  </si>
  <si>
    <t>11306458-7</t>
  </si>
  <si>
    <t>cafe negro</t>
  </si>
  <si>
    <t>18174469-3</t>
  </si>
  <si>
    <t>Pantufla</t>
  </si>
  <si>
    <t>21768080-8</t>
  </si>
  <si>
    <t>Blanco</t>
  </si>
  <si>
    <t>20731683-0</t>
  </si>
  <si>
    <t>14081233-1</t>
  </si>
  <si>
    <t>KIA</t>
  </si>
  <si>
    <t>2021-06-25</t>
  </si>
  <si>
    <t>12741962-0</t>
  </si>
  <si>
    <t>Jorge</t>
  </si>
  <si>
    <t>2018-09-27</t>
  </si>
  <si>
    <t>18133353-7</t>
  </si>
  <si>
    <t>Bambi</t>
  </si>
  <si>
    <t>2019-04-26</t>
  </si>
  <si>
    <t>10169509-3</t>
  </si>
  <si>
    <t>Maya</t>
  </si>
  <si>
    <t>Café negro</t>
  </si>
  <si>
    <t>Café blanco</t>
  </si>
  <si>
    <t>18045340-7</t>
  </si>
  <si>
    <t xml:space="preserve">ROLLY </t>
  </si>
  <si>
    <t>19094359-3</t>
  </si>
  <si>
    <t>Cadie</t>
  </si>
  <si>
    <t>2017-02-12</t>
  </si>
  <si>
    <t>22360484-6</t>
  </si>
  <si>
    <t>2014-08-30</t>
  </si>
  <si>
    <t>21781350-6</t>
  </si>
  <si>
    <t>Gaston</t>
  </si>
  <si>
    <t>blanco cafe plomo</t>
  </si>
  <si>
    <t>10820182-7</t>
  </si>
  <si>
    <t>Kira</t>
  </si>
  <si>
    <t>ATOM</t>
  </si>
  <si>
    <t>2017-08-31</t>
  </si>
  <si>
    <t>17512183-8</t>
  </si>
  <si>
    <t>Indra</t>
  </si>
  <si>
    <t>Shiva</t>
  </si>
  <si>
    <t>6950951-7</t>
  </si>
  <si>
    <t>lucas</t>
  </si>
  <si>
    <t>Pepita</t>
  </si>
  <si>
    <t>2021-07-15</t>
  </si>
  <si>
    <t>15269813-5</t>
  </si>
  <si>
    <t>Rocky</t>
  </si>
  <si>
    <t>2010-09-01</t>
  </si>
  <si>
    <t>Estrella</t>
  </si>
  <si>
    <t>2019-09-23</t>
  </si>
  <si>
    <t>19554244-9</t>
  </si>
  <si>
    <t>SNOW</t>
  </si>
  <si>
    <t>2020-05-19</t>
  </si>
  <si>
    <t>16266401-8</t>
  </si>
  <si>
    <t xml:space="preserve">estrella </t>
  </si>
  <si>
    <t>gris cafe</t>
  </si>
  <si>
    <t>misifus</t>
  </si>
  <si>
    <t xml:space="preserve">ramona </t>
  </si>
  <si>
    <t>20306826-3</t>
  </si>
  <si>
    <t>Kiba</t>
  </si>
  <si>
    <t>taby azul</t>
  </si>
  <si>
    <t>2018-08-01</t>
  </si>
  <si>
    <t>15293802-0</t>
  </si>
  <si>
    <t>luna</t>
  </si>
  <si>
    <t>18095047-8</t>
  </si>
  <si>
    <t>leona</t>
  </si>
  <si>
    <t>tabby café</t>
  </si>
  <si>
    <t>2018-03-01</t>
  </si>
  <si>
    <t>17962917-8</t>
  </si>
  <si>
    <t>Gastón</t>
  </si>
  <si>
    <t>2020-12-19</t>
  </si>
  <si>
    <t>8226058-7</t>
  </si>
  <si>
    <t>sansa</t>
  </si>
  <si>
    <t>2018-10-25</t>
  </si>
  <si>
    <t>13847523-9</t>
  </si>
  <si>
    <t>henry</t>
  </si>
  <si>
    <t>gris blanco negro</t>
  </si>
  <si>
    <t>19645201-k</t>
  </si>
  <si>
    <t>Americana</t>
  </si>
  <si>
    <t>11592233-5</t>
  </si>
  <si>
    <t>Rucio</t>
  </si>
  <si>
    <t>Akira</t>
  </si>
  <si>
    <t>2020-07-01</t>
  </si>
  <si>
    <t>18458484-0</t>
  </si>
  <si>
    <t>16806819-0</t>
  </si>
  <si>
    <t>lilibeth</t>
  </si>
  <si>
    <t>2021-07-01</t>
  </si>
  <si>
    <t>7610622-3</t>
  </si>
  <si>
    <t>Lucas</t>
  </si>
  <si>
    <t>14281116-2</t>
  </si>
  <si>
    <t>Cayita</t>
  </si>
  <si>
    <t>JUNGKUKA</t>
  </si>
  <si>
    <t>2021-07-26</t>
  </si>
  <si>
    <t>17360176-k</t>
  </si>
  <si>
    <t>Lulu</t>
  </si>
  <si>
    <t>18289042-1</t>
  </si>
  <si>
    <t>MICO</t>
  </si>
  <si>
    <t>2021-08-02</t>
  </si>
  <si>
    <t>2008-09-01</t>
  </si>
  <si>
    <t>17946846-8</t>
  </si>
  <si>
    <t>emma</t>
  </si>
  <si>
    <t>tabby azul</t>
  </si>
  <si>
    <t>2018-01-12</t>
  </si>
  <si>
    <t>15293568-4</t>
  </si>
  <si>
    <t>NIKITA</t>
  </si>
  <si>
    <t>2014-09-01</t>
  </si>
  <si>
    <t>19249246-7</t>
  </si>
  <si>
    <t>NELLY</t>
  </si>
  <si>
    <t>violeta</t>
  </si>
  <si>
    <t>tabby rojo azul</t>
  </si>
  <si>
    <t>16464661-0</t>
  </si>
  <si>
    <t>16372666-1</t>
  </si>
  <si>
    <t>Erinaceidae</t>
  </si>
  <si>
    <t>Erizo de Tierra</t>
  </si>
  <si>
    <t>PIMIENTA</t>
  </si>
  <si>
    <t>2006-02-18</t>
  </si>
  <si>
    <t>14130612-k</t>
  </si>
  <si>
    <t>Jack</t>
  </si>
  <si>
    <t>gris</t>
  </si>
  <si>
    <t>2019-10-09</t>
  </si>
  <si>
    <t>13117429-2</t>
  </si>
  <si>
    <t>RUFFO</t>
  </si>
  <si>
    <t xml:space="preserve">CREMA , NEGRO </t>
  </si>
  <si>
    <t>2020-03-18</t>
  </si>
  <si>
    <t>Maite</t>
  </si>
  <si>
    <t>Cricetinos</t>
  </si>
  <si>
    <t>Hamster Dorado</t>
  </si>
  <si>
    <t>amarillo café</t>
  </si>
  <si>
    <t>10628325-7</t>
  </si>
  <si>
    <t>boni</t>
  </si>
  <si>
    <t>2019-04-19</t>
  </si>
  <si>
    <t>20556573-6</t>
  </si>
  <si>
    <t xml:space="preserve">KIRA </t>
  </si>
  <si>
    <t>16160092-K</t>
  </si>
  <si>
    <t>perlita</t>
  </si>
  <si>
    <t>2021-07-24</t>
  </si>
  <si>
    <t>17924520-5</t>
  </si>
  <si>
    <t>benny</t>
  </si>
  <si>
    <t>blanco negro café</t>
  </si>
  <si>
    <t>17324234-4</t>
  </si>
  <si>
    <t>10786983-2</t>
  </si>
  <si>
    <t>TOBBY</t>
  </si>
  <si>
    <t>2019-08-05</t>
  </si>
  <si>
    <t>PITUCA</t>
  </si>
  <si>
    <t>Perro de la Montaña de los pirineos</t>
  </si>
  <si>
    <t>19554642-8</t>
  </si>
  <si>
    <t>13116889-6</t>
  </si>
  <si>
    <t>FANNY</t>
  </si>
  <si>
    <t>maira</t>
  </si>
  <si>
    <t>2021-08-13</t>
  </si>
  <si>
    <t>18290007-9</t>
  </si>
  <si>
    <t xml:space="preserve">payaso </t>
  </si>
  <si>
    <t>12746226-7</t>
  </si>
  <si>
    <t>2019-10-10</t>
  </si>
  <si>
    <t>14041283-k</t>
  </si>
  <si>
    <t>GRINGO</t>
  </si>
  <si>
    <t>Zafira</t>
  </si>
  <si>
    <t>BLANCO GRIS AMARILLO</t>
  </si>
  <si>
    <t>2019-09-25</t>
  </si>
  <si>
    <t>10396824-0</t>
  </si>
  <si>
    <t>POLA</t>
  </si>
  <si>
    <t>2009-02-01</t>
  </si>
  <si>
    <t>16871128-k</t>
  </si>
  <si>
    <t>Chocolo</t>
  </si>
  <si>
    <t>2009-07-01</t>
  </si>
  <si>
    <t>12746465-0</t>
  </si>
  <si>
    <t>gringuito</t>
  </si>
  <si>
    <t>amarilo</t>
  </si>
  <si>
    <t>16049610-k</t>
  </si>
  <si>
    <t>BARTOLO</t>
  </si>
  <si>
    <t>AMARILLO BLANCO</t>
  </si>
  <si>
    <t>Tea</t>
  </si>
  <si>
    <t>tortie tricolor</t>
  </si>
  <si>
    <t>19250118-0</t>
  </si>
  <si>
    <t>Samantha</t>
  </si>
  <si>
    <t>2021-08-10</t>
  </si>
  <si>
    <t>18888754-6</t>
  </si>
  <si>
    <t>TARA</t>
  </si>
  <si>
    <t>2021-05-10</t>
  </si>
  <si>
    <t>BLANCO NEGRO ROJO</t>
  </si>
  <si>
    <t>18889066-0</t>
  </si>
  <si>
    <t>KENAI</t>
  </si>
  <si>
    <t>2021-08-23</t>
  </si>
  <si>
    <t>16724575-7</t>
  </si>
  <si>
    <t xml:space="preserve">CHARLES </t>
  </si>
  <si>
    <t>MOCCA</t>
  </si>
  <si>
    <t>15292936-6</t>
  </si>
  <si>
    <t>2021-08-12</t>
  </si>
  <si>
    <t>17963696-4</t>
  </si>
  <si>
    <t>DIONE</t>
  </si>
  <si>
    <t>TABY AZUL</t>
  </si>
  <si>
    <t>2019-11-14</t>
  </si>
  <si>
    <t>16460496-9</t>
  </si>
  <si>
    <t>Basset Hound</t>
  </si>
  <si>
    <t>2012-12-18</t>
  </si>
  <si>
    <t>POMPOSO</t>
  </si>
  <si>
    <t>15360539-4</t>
  </si>
  <si>
    <t>TONY STARK</t>
  </si>
  <si>
    <t>19938656-5</t>
  </si>
  <si>
    <t>miel</t>
  </si>
  <si>
    <t>2021-08-30</t>
  </si>
  <si>
    <t>10287799-3</t>
  </si>
  <si>
    <t xml:space="preserve">isabela </t>
  </si>
  <si>
    <t>12339440-2</t>
  </si>
  <si>
    <t>GASPARIN</t>
  </si>
  <si>
    <t>2021-08-25</t>
  </si>
  <si>
    <t>22806400-9</t>
  </si>
  <si>
    <t>2021-08-01</t>
  </si>
  <si>
    <t>12338062-2</t>
  </si>
  <si>
    <t>TABITA</t>
  </si>
  <si>
    <t>2010-03-25</t>
  </si>
  <si>
    <t>19248338-7</t>
  </si>
  <si>
    <t>Minina</t>
  </si>
  <si>
    <t>cafe taby</t>
  </si>
  <si>
    <t>2018-07-19</t>
  </si>
  <si>
    <t>Tomasa</t>
  </si>
  <si>
    <t>25467430-3</t>
  </si>
  <si>
    <t>GABO</t>
  </si>
  <si>
    <t>2021-08-20</t>
  </si>
  <si>
    <t>13846885-2</t>
  </si>
  <si>
    <t>Tyson</t>
  </si>
  <si>
    <t>CREMA BLANCO</t>
  </si>
  <si>
    <t>12432371-1</t>
  </si>
  <si>
    <t>CANDY ESTER</t>
  </si>
  <si>
    <t>2013-06-24</t>
  </si>
  <si>
    <t>TOTO</t>
  </si>
  <si>
    <t>2021-08-28</t>
  </si>
  <si>
    <t>Kuki</t>
  </si>
  <si>
    <t>Yin</t>
  </si>
  <si>
    <t>17069824-k</t>
  </si>
  <si>
    <t>Gaspar</t>
  </si>
  <si>
    <t>azul blanco</t>
  </si>
  <si>
    <t>11324412-7</t>
  </si>
  <si>
    <t>chili</t>
  </si>
  <si>
    <t>18173744-1</t>
  </si>
  <si>
    <t>Atenea</t>
  </si>
  <si>
    <t>2021-09-20</t>
  </si>
  <si>
    <t>10346203-7</t>
  </si>
  <si>
    <t>Lulú</t>
  </si>
  <si>
    <t>torty rojo negro</t>
  </si>
  <si>
    <t>Frida</t>
  </si>
  <si>
    <t>tabby rojo</t>
  </si>
  <si>
    <t>14082477-1</t>
  </si>
  <si>
    <t>Toby</t>
  </si>
  <si>
    <t>19755390-1</t>
  </si>
  <si>
    <t>2018-02-28</t>
  </si>
  <si>
    <t>13734548-k</t>
  </si>
  <si>
    <t>SELENA</t>
  </si>
  <si>
    <t>2021-09-10</t>
  </si>
  <si>
    <t>16464891-5</t>
  </si>
  <si>
    <t>JOSEFINA</t>
  </si>
  <si>
    <t>20731691-1</t>
  </si>
  <si>
    <t>MIO</t>
  </si>
  <si>
    <t>2015-12-07</t>
  </si>
  <si>
    <t>SASUKE</t>
  </si>
  <si>
    <t>18887304-9</t>
  </si>
  <si>
    <t>temporal</t>
  </si>
  <si>
    <t>2021-04-21</t>
  </si>
  <si>
    <t>20840664-7</t>
  </si>
  <si>
    <t>Loky</t>
  </si>
  <si>
    <t>2021-09-02</t>
  </si>
  <si>
    <t>13587850-2</t>
  </si>
  <si>
    <t>Zoe</t>
  </si>
  <si>
    <t>18288737-4</t>
  </si>
  <si>
    <t>ROBERTO</t>
  </si>
  <si>
    <t>17864252-9</t>
  </si>
  <si>
    <t>Plomita</t>
  </si>
  <si>
    <t>17964201-8</t>
  </si>
  <si>
    <t>tuffy</t>
  </si>
  <si>
    <t>19954556-6</t>
  </si>
  <si>
    <t>2021-07-23</t>
  </si>
  <si>
    <t>concha de tortuga</t>
  </si>
  <si>
    <t>2021-10-01</t>
  </si>
  <si>
    <t>19335663-k</t>
  </si>
  <si>
    <t>Rex</t>
  </si>
  <si>
    <t>2021-08-24</t>
  </si>
  <si>
    <t>13320581-0</t>
  </si>
  <si>
    <t>LINGO</t>
  </si>
  <si>
    <t>14082232-9</t>
  </si>
  <si>
    <t>Hayley</t>
  </si>
  <si>
    <t>negro rojo (carey)</t>
  </si>
  <si>
    <t>16806305-9</t>
  </si>
  <si>
    <t>milu</t>
  </si>
  <si>
    <t>2020-12-04</t>
  </si>
  <si>
    <t>18289254-8</t>
  </si>
  <si>
    <t>samuel</t>
  </si>
  <si>
    <t>2020-10-17</t>
  </si>
  <si>
    <t>2021-09-01</t>
  </si>
  <si>
    <t>16872082-3</t>
  </si>
  <si>
    <t>Rayita</t>
  </si>
  <si>
    <t>taby</t>
  </si>
  <si>
    <t>17549606-8</t>
  </si>
  <si>
    <t>Ragnar</t>
  </si>
  <si>
    <t>2020-09-13</t>
  </si>
  <si>
    <t>16805570-6</t>
  </si>
  <si>
    <t>12150663-7</t>
  </si>
  <si>
    <t>ATENEA</t>
  </si>
  <si>
    <t>2020-08-29</t>
  </si>
  <si>
    <t>16870794-0</t>
  </si>
  <si>
    <t>blanco rojo</t>
  </si>
  <si>
    <t>2021-04-17</t>
  </si>
  <si>
    <t>18889078-4</t>
  </si>
  <si>
    <t>2020-02-12</t>
  </si>
  <si>
    <t>9598871-7</t>
  </si>
  <si>
    <t>SIMON</t>
  </si>
  <si>
    <t>12041820-3</t>
  </si>
  <si>
    <t>16159595-0</t>
  </si>
  <si>
    <t>Mancha Almendra</t>
  </si>
  <si>
    <t>tabby cafe</t>
  </si>
  <si>
    <t>2016-11-15</t>
  </si>
  <si>
    <t>Filu</t>
  </si>
  <si>
    <t>2018-06-14</t>
  </si>
  <si>
    <t>20641606-8</t>
  </si>
  <si>
    <t>Bicho</t>
  </si>
  <si>
    <t>19555317-3</t>
  </si>
  <si>
    <t xml:space="preserve">RAMSES </t>
  </si>
  <si>
    <t>19248127-9</t>
  </si>
  <si>
    <t>LUCCA</t>
  </si>
  <si>
    <t>2021-09-06</t>
  </si>
  <si>
    <t>LUCY</t>
  </si>
  <si>
    <t>13847298-1</t>
  </si>
  <si>
    <t>SARABY</t>
  </si>
  <si>
    <t>18289311-0</t>
  </si>
  <si>
    <t>Gretel</t>
  </si>
  <si>
    <t>Rojo</t>
  </si>
  <si>
    <t>2021-10-17</t>
  </si>
  <si>
    <t>16587933-3</t>
  </si>
  <si>
    <t>JEFF</t>
  </si>
  <si>
    <t>2016-10-27</t>
  </si>
  <si>
    <t>16806406-3</t>
  </si>
  <si>
    <t>16160492-5</t>
  </si>
  <si>
    <t>10266974-6</t>
  </si>
  <si>
    <t>2021-09-30</t>
  </si>
  <si>
    <t>TEDDY</t>
  </si>
  <si>
    <t>BEIGE</t>
  </si>
  <si>
    <t>2021-09-15</t>
  </si>
  <si>
    <t>18886601-8</t>
  </si>
  <si>
    <t>Chiquilin</t>
  </si>
  <si>
    <t>13810265-3</t>
  </si>
  <si>
    <t>Capitan</t>
  </si>
  <si>
    <t>NEGRA</t>
  </si>
  <si>
    <t>18843511-4</t>
  </si>
  <si>
    <t>2021-10-05</t>
  </si>
  <si>
    <t>11138364-2</t>
  </si>
  <si>
    <t>13549234-5</t>
  </si>
  <si>
    <t>LILA</t>
  </si>
  <si>
    <t>16319660-3</t>
  </si>
  <si>
    <t>Amador</t>
  </si>
  <si>
    <t>9248174-3</t>
  </si>
  <si>
    <t>Liban</t>
  </si>
  <si>
    <t>2018-05-18</t>
  </si>
  <si>
    <t>estervc61@hotmail.com</t>
  </si>
  <si>
    <t>17694505-2</t>
  </si>
  <si>
    <t>Cata</t>
  </si>
  <si>
    <t>2015-06-05</t>
  </si>
  <si>
    <t>11918117-8</t>
  </si>
  <si>
    <t>2011-11-15</t>
  </si>
  <si>
    <t>15443348-1</t>
  </si>
  <si>
    <t>15883362-K</t>
  </si>
  <si>
    <t>CHIQUITA</t>
  </si>
  <si>
    <t>15548504-3</t>
  </si>
  <si>
    <t>sasha</t>
  </si>
  <si>
    <t>crema negro</t>
  </si>
  <si>
    <t>20641494-4</t>
  </si>
  <si>
    <t>2021-09-27</t>
  </si>
  <si>
    <t>17811375-5</t>
  </si>
  <si>
    <t>Leticia</t>
  </si>
  <si>
    <t>cafe gris</t>
  </si>
  <si>
    <t>20313889-k</t>
  </si>
  <si>
    <t>KITA ANDREA</t>
  </si>
  <si>
    <t>19973419-9</t>
  </si>
  <si>
    <t>Voli</t>
  </si>
  <si>
    <t>2019-03-15</t>
  </si>
  <si>
    <t>20346239-5</t>
  </si>
  <si>
    <t>Mateo</t>
  </si>
  <si>
    <t>16214578-9</t>
  </si>
  <si>
    <t>ArenitA</t>
  </si>
  <si>
    <t>Cafe</t>
  </si>
  <si>
    <t>Motomoto</t>
  </si>
  <si>
    <t>negro con cafe</t>
  </si>
  <si>
    <t>2010-12-01</t>
  </si>
  <si>
    <t>17395203-1</t>
  </si>
  <si>
    <t>LUCKY</t>
  </si>
  <si>
    <t>Azul blanco (bicolor)</t>
  </si>
  <si>
    <t>15415143-5</t>
  </si>
  <si>
    <t>LUNA CLARITA</t>
  </si>
  <si>
    <t>10051505-9</t>
  </si>
  <si>
    <t>Rocky (kuko)</t>
  </si>
  <si>
    <t>17692726-7</t>
  </si>
  <si>
    <t>Floky</t>
  </si>
  <si>
    <t>blanco café</t>
  </si>
  <si>
    <t>2021-10-20</t>
  </si>
  <si>
    <t>13319653-6</t>
  </si>
  <si>
    <t>Carlanga</t>
  </si>
  <si>
    <t>2021-10-02</t>
  </si>
  <si>
    <t>Dorita</t>
  </si>
  <si>
    <t>20332801-K</t>
  </si>
  <si>
    <t>Edward</t>
  </si>
  <si>
    <t>2016-10-01</t>
  </si>
  <si>
    <t>12958214-6</t>
  </si>
  <si>
    <t>TIKA</t>
  </si>
  <si>
    <t>15880508-1</t>
  </si>
  <si>
    <t>Bobby</t>
  </si>
  <si>
    <t>2012-12-01</t>
  </si>
  <si>
    <t>16159561-6</t>
  </si>
  <si>
    <t>Narciso</t>
  </si>
  <si>
    <t>11591598-3</t>
  </si>
  <si>
    <t>Taby café</t>
  </si>
  <si>
    <t>13160140-9</t>
  </si>
  <si>
    <t>Duque</t>
  </si>
  <si>
    <t>Oro</t>
  </si>
  <si>
    <t>2019-09-05</t>
  </si>
  <si>
    <t>AURORA</t>
  </si>
  <si>
    <t>2020-12-13</t>
  </si>
  <si>
    <t>12748218-7</t>
  </si>
  <si>
    <t>2019-12-13</t>
  </si>
  <si>
    <t>17634712-0</t>
  </si>
  <si>
    <t>SHASKI</t>
  </si>
  <si>
    <t>2014-04-24</t>
  </si>
  <si>
    <t>YANGO</t>
  </si>
  <si>
    <t>2021-10-19</t>
  </si>
  <si>
    <t>23049858-k</t>
  </si>
  <si>
    <t>Touri</t>
  </si>
  <si>
    <t>Gris negro</t>
  </si>
  <si>
    <t>13117149-8</t>
  </si>
  <si>
    <t>Pastor de los Pirineos de pelo largo</t>
  </si>
  <si>
    <t>2020-07-18</t>
  </si>
  <si>
    <t>19248534-7</t>
  </si>
  <si>
    <t>MALEN</t>
  </si>
  <si>
    <t>Fila Brasilero</t>
  </si>
  <si>
    <t>2015-12-01</t>
  </si>
  <si>
    <t>Sombra</t>
  </si>
  <si>
    <t>2021-10-03</t>
  </si>
  <si>
    <t>12921749-9</t>
  </si>
  <si>
    <t>RICHARD PARKER</t>
  </si>
  <si>
    <t>2015-03-31</t>
  </si>
  <si>
    <t>COVY</t>
  </si>
  <si>
    <t>10288313-6</t>
  </si>
  <si>
    <t>VIOLETA</t>
  </si>
  <si>
    <t>2013-12-01</t>
  </si>
  <si>
    <t>13816125-0</t>
  </si>
  <si>
    <t>NUPY</t>
  </si>
  <si>
    <t>BICOLOR NEGRO</t>
  </si>
  <si>
    <t>16805661-3</t>
  </si>
  <si>
    <t>Ivy</t>
  </si>
  <si>
    <t>2021-10-10</t>
  </si>
  <si>
    <t>Camila</t>
  </si>
  <si>
    <t>2012-12-24</t>
  </si>
  <si>
    <t>18955016-2</t>
  </si>
  <si>
    <t>2021-10-27</t>
  </si>
  <si>
    <t>13399448-3</t>
  </si>
  <si>
    <t>Maximiliano</t>
  </si>
  <si>
    <t>20314778-3</t>
  </si>
  <si>
    <t>2021-10-28</t>
  </si>
  <si>
    <t>20316116-6</t>
  </si>
  <si>
    <t>2020-05-15</t>
  </si>
  <si>
    <t>16875224-5</t>
  </si>
  <si>
    <t>Wanda</t>
  </si>
  <si>
    <t>Omicron</t>
  </si>
  <si>
    <t>2021-10-15</t>
  </si>
  <si>
    <t>Delta</t>
  </si>
  <si>
    <t>Binga</t>
  </si>
  <si>
    <t>2019-08-22</t>
  </si>
  <si>
    <t>Molly</t>
  </si>
  <si>
    <t>2021-11-11</t>
  </si>
  <si>
    <t>NIEVE</t>
  </si>
  <si>
    <t>SHIRO</t>
  </si>
  <si>
    <t>22026799-7</t>
  </si>
  <si>
    <t>MOLLY JUANITA</t>
  </si>
  <si>
    <t>16200881-1</t>
  </si>
  <si>
    <t>ELI</t>
  </si>
  <si>
    <t>20494313-3</t>
  </si>
  <si>
    <t>Rey</t>
  </si>
  <si>
    <t>19938797-9</t>
  </si>
  <si>
    <t>20293964-3</t>
  </si>
  <si>
    <t>MAQUI</t>
  </si>
  <si>
    <t>2021-10-26</t>
  </si>
  <si>
    <t>16038620-7</t>
  </si>
  <si>
    <t>tom</t>
  </si>
  <si>
    <t>BINGO</t>
  </si>
  <si>
    <t>2021-10-30</t>
  </si>
  <si>
    <t>13847091-1</t>
  </si>
  <si>
    <t>LUCIA</t>
  </si>
  <si>
    <t>2020-07-21</t>
  </si>
  <si>
    <t>12431322-8</t>
  </si>
  <si>
    <t>ROKO</t>
  </si>
  <si>
    <t>18885398-6</t>
  </si>
  <si>
    <t>NN1</t>
  </si>
  <si>
    <t>2021-10-06</t>
  </si>
  <si>
    <t>NN2</t>
  </si>
  <si>
    <t>TRINI</t>
  </si>
  <si>
    <t>2016-03-12</t>
  </si>
  <si>
    <t>15549791-2</t>
  </si>
  <si>
    <t>PEQUEÑA</t>
  </si>
  <si>
    <t>2021-11-15</t>
  </si>
  <si>
    <t>18895602-5</t>
  </si>
  <si>
    <t>18753947-1</t>
  </si>
  <si>
    <t>CHICHIWAWA</t>
  </si>
  <si>
    <t>13519653-3</t>
  </si>
  <si>
    <t>THEO</t>
  </si>
  <si>
    <t>2021-11-04</t>
  </si>
  <si>
    <t>6308877-3</t>
  </si>
  <si>
    <t>2021-11-14</t>
  </si>
  <si>
    <t>11425525-4</t>
  </si>
  <si>
    <t>DEXTER</t>
  </si>
  <si>
    <t>2016-11-21</t>
  </si>
  <si>
    <t>SAKI</t>
  </si>
  <si>
    <t>15884548-2</t>
  </si>
  <si>
    <t>Nachita</t>
  </si>
  <si>
    <t>blanco crema</t>
  </si>
  <si>
    <t>2021-11-17</t>
  </si>
  <si>
    <t>14343613-6</t>
  </si>
  <si>
    <t>Emmy</t>
  </si>
  <si>
    <t>2013-10-01</t>
  </si>
  <si>
    <t>18289802-3</t>
  </si>
  <si>
    <t>Crispy</t>
  </si>
  <si>
    <t>Crema</t>
  </si>
  <si>
    <t>17207411-1</t>
  </si>
  <si>
    <t>Pedrito</t>
  </si>
  <si>
    <t>2021-12-04</t>
  </si>
  <si>
    <t>15884018-9</t>
  </si>
  <si>
    <t>CASANDRA</t>
  </si>
  <si>
    <t>9457654-7</t>
  </si>
  <si>
    <t>JHONY</t>
  </si>
  <si>
    <t>21218042-4</t>
  </si>
  <si>
    <t>2021-12-01</t>
  </si>
  <si>
    <t>Almendra</t>
  </si>
  <si>
    <t>blanco gris</t>
  </si>
  <si>
    <t>loki</t>
  </si>
  <si>
    <t>2013-10-24</t>
  </si>
  <si>
    <t>12748410-4</t>
  </si>
  <si>
    <t>Fiona</t>
  </si>
  <si>
    <t>Pitufina</t>
  </si>
  <si>
    <t>2012-04-06</t>
  </si>
  <si>
    <t>18297635-0</t>
  </si>
  <si>
    <t>Miel</t>
  </si>
  <si>
    <t>2019-11-05</t>
  </si>
  <si>
    <t>16929709-6</t>
  </si>
  <si>
    <t>GINGER</t>
  </si>
  <si>
    <t>21777567-1</t>
  </si>
  <si>
    <t>MUSHU</t>
  </si>
  <si>
    <t>CAFE GRIS BLANCO</t>
  </si>
  <si>
    <t>2020-02-03</t>
  </si>
  <si>
    <t>10568197-6</t>
  </si>
  <si>
    <t>2015-02-26</t>
  </si>
  <si>
    <t>16805169-7</t>
  </si>
  <si>
    <t>18133585-8</t>
  </si>
  <si>
    <t>Noah</t>
  </si>
  <si>
    <t>Negro Café</t>
  </si>
  <si>
    <t>2021-11-05</t>
  </si>
  <si>
    <t>negro café blanco</t>
  </si>
  <si>
    <t>Chiqui</t>
  </si>
  <si>
    <t>2021-11-21</t>
  </si>
  <si>
    <t>BUDDY</t>
  </si>
  <si>
    <t>Samoyedo</t>
  </si>
  <si>
    <t>2016-10-14</t>
  </si>
  <si>
    <t>MAYA</t>
  </si>
  <si>
    <t>2021-11-28</t>
  </si>
  <si>
    <t>Almito</t>
  </si>
  <si>
    <t>2021-01-24</t>
  </si>
  <si>
    <t>17377968-2</t>
  </si>
  <si>
    <t>NINA</t>
  </si>
  <si>
    <t>15530855-9</t>
  </si>
  <si>
    <t>Nina</t>
  </si>
  <si>
    <t>azul blanco crema</t>
  </si>
  <si>
    <t>21433854-8</t>
  </si>
  <si>
    <t>Rayisoo</t>
  </si>
  <si>
    <t>plomo rayas??</t>
  </si>
  <si>
    <t>9314504-6</t>
  </si>
  <si>
    <t>Bellota</t>
  </si>
  <si>
    <t>2013-03-03</t>
  </si>
  <si>
    <t>16599032-3</t>
  </si>
  <si>
    <t>8722550-k</t>
  </si>
  <si>
    <t>BLANCO GRIS ROJO</t>
  </si>
  <si>
    <t>2020-09-30</t>
  </si>
  <si>
    <t>19406184-6</t>
  </si>
  <si>
    <t>NERA</t>
  </si>
  <si>
    <t>2018-06-01</t>
  </si>
  <si>
    <t>LALI</t>
  </si>
  <si>
    <t>18283601-k</t>
  </si>
  <si>
    <t xml:space="preserve">NEGRO </t>
  </si>
  <si>
    <t>2015-04-05</t>
  </si>
  <si>
    <t>18289599-7</t>
  </si>
  <si>
    <t>Renato</t>
  </si>
  <si>
    <t>rojo</t>
  </si>
  <si>
    <t>2015-04-04</t>
  </si>
  <si>
    <t>15294037-8</t>
  </si>
  <si>
    <t>Ozzy</t>
  </si>
  <si>
    <t>plomo negro blanco</t>
  </si>
  <si>
    <t>2020-02-28</t>
  </si>
  <si>
    <t>SANSA</t>
  </si>
  <si>
    <t>Tricolor azul rojo blanco</t>
  </si>
  <si>
    <t>17531384-2</t>
  </si>
  <si>
    <t>Margo</t>
  </si>
  <si>
    <t>2018-02-25</t>
  </si>
  <si>
    <t>OTO</t>
  </si>
  <si>
    <t>21783353-1</t>
  </si>
  <si>
    <t>PALOMO</t>
  </si>
  <si>
    <t>18369641-6</t>
  </si>
  <si>
    <t>OBITO</t>
  </si>
  <si>
    <t>4911876-7</t>
  </si>
  <si>
    <t>Deisy</t>
  </si>
  <si>
    <t>18888477-6</t>
  </si>
  <si>
    <t>14229934-8</t>
  </si>
  <si>
    <t>Minino</t>
  </si>
  <si>
    <t>11923703-3</t>
  </si>
  <si>
    <t>Rocco</t>
  </si>
  <si>
    <t>15547847-0</t>
  </si>
  <si>
    <t>Leia</t>
  </si>
  <si>
    <t>Amarillo-blanco</t>
  </si>
  <si>
    <t>2021-01-03</t>
  </si>
  <si>
    <t>19461316-4</t>
  </si>
  <si>
    <t>Liam</t>
  </si>
  <si>
    <t>Naranjo-Blanco</t>
  </si>
  <si>
    <t>Iris</t>
  </si>
  <si>
    <t>blanco-negro</t>
  </si>
  <si>
    <t>2017-06-01</t>
  </si>
  <si>
    <t>Boster</t>
  </si>
  <si>
    <t>2010-06-01</t>
  </si>
  <si>
    <t>11325482-3</t>
  </si>
  <si>
    <t>CAFE BLANCO NEGRO</t>
  </si>
  <si>
    <t>22357159-k</t>
  </si>
  <si>
    <t>Silca</t>
  </si>
  <si>
    <t>2007-03-13</t>
  </si>
  <si>
    <t>21317058-9</t>
  </si>
  <si>
    <t>Kuka</t>
  </si>
  <si>
    <t>15294153-6</t>
  </si>
  <si>
    <t>YACO</t>
  </si>
  <si>
    <t>19001463-0</t>
  </si>
  <si>
    <t>Rusio</t>
  </si>
  <si>
    <t>2016-11-01</t>
  </si>
  <si>
    <t>21152879-6</t>
  </si>
  <si>
    <t>Lia</t>
  </si>
  <si>
    <t xml:space="preserve">azul </t>
  </si>
  <si>
    <t>19249621-7</t>
  </si>
  <si>
    <t>Draco</t>
  </si>
  <si>
    <t>Cafe oscuro</t>
  </si>
  <si>
    <t>2014-02-14</t>
  </si>
  <si>
    <t>20315413-5</t>
  </si>
  <si>
    <t>2011-04-05</t>
  </si>
  <si>
    <t>2021-12-15</t>
  </si>
  <si>
    <t>Maggy</t>
  </si>
  <si>
    <t>gris crema</t>
  </si>
  <si>
    <t>2019-02-15</t>
  </si>
  <si>
    <t>2021-05-25</t>
  </si>
  <si>
    <t>Martin</t>
  </si>
  <si>
    <t>Negro- blanco</t>
  </si>
  <si>
    <t>22198242-8</t>
  </si>
  <si>
    <t>Melissa</t>
  </si>
  <si>
    <t>blanco-pardo</t>
  </si>
  <si>
    <t>20016436-9</t>
  </si>
  <si>
    <t>Copito</t>
  </si>
  <si>
    <t xml:space="preserve">Negro con Blanco </t>
  </si>
  <si>
    <t>Zacarach</t>
  </si>
  <si>
    <t>Negro-blanco</t>
  </si>
  <si>
    <t>20642038-3</t>
  </si>
  <si>
    <t>Luh</t>
  </si>
  <si>
    <t>14081129-7</t>
  </si>
  <si>
    <t>Yukki</t>
  </si>
  <si>
    <t>2022-01-04</t>
  </si>
  <si>
    <t>16319628-k</t>
  </si>
  <si>
    <t>Romeo</t>
  </si>
  <si>
    <t>Bichón Maltes</t>
  </si>
  <si>
    <t>16857345-6</t>
  </si>
  <si>
    <t>Opie</t>
  </si>
  <si>
    <t>2020-09-25</t>
  </si>
  <si>
    <t>raizer</t>
  </si>
  <si>
    <t>gris , blanco</t>
  </si>
  <si>
    <t>2013-08-06</t>
  </si>
  <si>
    <t>18522315-9</t>
  </si>
  <si>
    <t>doki</t>
  </si>
  <si>
    <t>PEPA</t>
  </si>
  <si>
    <t>NEGRO BLANCO NARANJO</t>
  </si>
  <si>
    <t>Quitol</t>
  </si>
  <si>
    <t>15895753-1</t>
  </si>
  <si>
    <t>Princesa</t>
  </si>
  <si>
    <t>19555771-3</t>
  </si>
  <si>
    <t>Fifi</t>
  </si>
  <si>
    <t>2021-02-03</t>
  </si>
  <si>
    <t>18887113-5</t>
  </si>
  <si>
    <t>Trufa</t>
  </si>
  <si>
    <t>negro-amarillo</t>
  </si>
  <si>
    <t>13587428-0</t>
  </si>
  <si>
    <t>2021-02-12</t>
  </si>
  <si>
    <t>19350925-8</t>
  </si>
  <si>
    <t>Oliver</t>
  </si>
  <si>
    <t>2022-01-01</t>
  </si>
  <si>
    <t>Pola</t>
  </si>
  <si>
    <t>2021-12-23</t>
  </si>
  <si>
    <t>4111158-5</t>
  </si>
  <si>
    <t>2006-12-02</t>
  </si>
  <si>
    <t>NORI</t>
  </si>
  <si>
    <t>2018-02-23</t>
  </si>
  <si>
    <t>10672801-1</t>
  </si>
  <si>
    <t>Aquiles</t>
  </si>
  <si>
    <t>2022-01-16</t>
  </si>
  <si>
    <t>16160066-0</t>
  </si>
  <si>
    <t>Rocko</t>
  </si>
  <si>
    <t>Negro fuego</t>
  </si>
  <si>
    <t>2021-07-30</t>
  </si>
  <si>
    <t>11081804-1</t>
  </si>
  <si>
    <t>Lucky</t>
  </si>
  <si>
    <t>blanco naranjo</t>
  </si>
  <si>
    <t>16246027-7</t>
  </si>
  <si>
    <t>AKARI</t>
  </si>
  <si>
    <t>BLANCO GRIS CAFE</t>
  </si>
  <si>
    <t>13609453-k</t>
  </si>
  <si>
    <t>Sultán</t>
  </si>
  <si>
    <t>2021-02-25</t>
  </si>
  <si>
    <t>4988562-8</t>
  </si>
  <si>
    <t>Clotilde</t>
  </si>
  <si>
    <t>2014-02-01</t>
  </si>
  <si>
    <t>Pele</t>
  </si>
  <si>
    <t>2016-02-14</t>
  </si>
  <si>
    <t>20315277-9</t>
  </si>
  <si>
    <t>Romanito</t>
  </si>
  <si>
    <t>7325000-5</t>
  </si>
  <si>
    <t>Fanny</t>
  </si>
  <si>
    <t>12275446-4</t>
  </si>
  <si>
    <t>LUKAY</t>
  </si>
  <si>
    <t>2022-01-10</t>
  </si>
  <si>
    <t>20556526-4</t>
  </si>
  <si>
    <t>20214256-7</t>
  </si>
  <si>
    <t>Nara</t>
  </si>
  <si>
    <t>19556541-4</t>
  </si>
  <si>
    <t>POPEYE</t>
  </si>
  <si>
    <t>2018-11-08</t>
  </si>
  <si>
    <t>16092487-k</t>
  </si>
  <si>
    <t>Paris Almendra</t>
  </si>
  <si>
    <t>Cafe Negro</t>
  </si>
  <si>
    <t>2017-03-16</t>
  </si>
  <si>
    <t>Canela Lobita</t>
  </si>
  <si>
    <t>2014-02-26</t>
  </si>
  <si>
    <t>10792120-6</t>
  </si>
  <si>
    <t>MICKY</t>
  </si>
  <si>
    <t>14369868-8</t>
  </si>
  <si>
    <t>2022-01-20</t>
  </si>
  <si>
    <t>13103465-2</t>
  </si>
  <si>
    <t>23917816-2</t>
  </si>
  <si>
    <t>SEBASTIAN</t>
  </si>
  <si>
    <t>2021-12-03</t>
  </si>
  <si>
    <t>Haru</t>
  </si>
  <si>
    <t>Oryctolagus cuniculus</t>
  </si>
  <si>
    <t>Enana</t>
  </si>
  <si>
    <t>2021-05-05</t>
  </si>
  <si>
    <t xml:space="preserve">Consulta por GI. Queda con probióticos y analgésicos </t>
  </si>
  <si>
    <t>ALEJANDRO</t>
  </si>
  <si>
    <t>Denki</t>
  </si>
  <si>
    <t>blanco, café</t>
  </si>
  <si>
    <t xml:space="preserve">control de desparasitacióm. </t>
  </si>
  <si>
    <t>18888132-7</t>
  </si>
  <si>
    <t>ESTRELLITA</t>
  </si>
  <si>
    <t>Tuli</t>
  </si>
  <si>
    <t>2010-10-01</t>
  </si>
  <si>
    <t>Beto</t>
  </si>
  <si>
    <t>2020-06-11</t>
  </si>
  <si>
    <t>21608090-4</t>
  </si>
  <si>
    <t>Akani</t>
  </si>
  <si>
    <t>Blanco cafe</t>
  </si>
  <si>
    <t>10628825-9</t>
  </si>
  <si>
    <t>2012-10-04</t>
  </si>
  <si>
    <t>18886260-8</t>
  </si>
  <si>
    <t xml:space="preserve">EREN </t>
  </si>
  <si>
    <t>24932467-1</t>
  </si>
  <si>
    <t>Calico</t>
  </si>
  <si>
    <t>2017-06-04</t>
  </si>
  <si>
    <t>17359855-6</t>
  </si>
  <si>
    <t>Wilson</t>
  </si>
  <si>
    <t>2016-10-31</t>
  </si>
  <si>
    <t>21139090-5</t>
  </si>
  <si>
    <t>gris blanco</t>
  </si>
  <si>
    <t>15351055-5</t>
  </si>
  <si>
    <t>Sussy</t>
  </si>
  <si>
    <t>2010-03-01</t>
  </si>
  <si>
    <t>18288499-5</t>
  </si>
  <si>
    <t>LUPI</t>
  </si>
  <si>
    <t>Cocker Spaniel Americano</t>
  </si>
  <si>
    <t>YARA</t>
  </si>
  <si>
    <t>2021-11-10</t>
  </si>
  <si>
    <t>18570124-7</t>
  </si>
  <si>
    <t>Tuki</t>
  </si>
  <si>
    <t>2013-04-24</t>
  </si>
  <si>
    <t>13919967-7</t>
  </si>
  <si>
    <t>Salem</t>
  </si>
  <si>
    <t>2022-01-08</t>
  </si>
  <si>
    <t>18174491-k</t>
  </si>
  <si>
    <t>Alex</t>
  </si>
  <si>
    <t>Silver fawn</t>
  </si>
  <si>
    <t>2019-03-07</t>
  </si>
  <si>
    <t>19554834-k</t>
  </si>
  <si>
    <t>BAHUAL</t>
  </si>
  <si>
    <t>17770766-k</t>
  </si>
  <si>
    <t>Pastelita</t>
  </si>
  <si>
    <t>Mia</t>
  </si>
  <si>
    <t>'romana'</t>
  </si>
  <si>
    <t>20641946-6</t>
  </si>
  <si>
    <t>HERCULES</t>
  </si>
  <si>
    <t>17693011-K</t>
  </si>
  <si>
    <t>2021-12-30</t>
  </si>
  <si>
    <t>7122875-4</t>
  </si>
  <si>
    <t>Canela</t>
  </si>
  <si>
    <t>2019-01-12</t>
  </si>
  <si>
    <t>MATEO</t>
  </si>
  <si>
    <t>17323112-1</t>
  </si>
  <si>
    <t>Odin</t>
  </si>
  <si>
    <t>2021-12-26</t>
  </si>
  <si>
    <t>10741627-7</t>
  </si>
  <si>
    <t>Luz</t>
  </si>
  <si>
    <t>Celeste</t>
  </si>
  <si>
    <t>2022-01-14</t>
  </si>
  <si>
    <t>Orion</t>
  </si>
  <si>
    <t>18125968-k</t>
  </si>
  <si>
    <t>Channel</t>
  </si>
  <si>
    <t>Cafe negro</t>
  </si>
  <si>
    <t>20102340-8</t>
  </si>
  <si>
    <t>Gunther</t>
  </si>
  <si>
    <t>2021-12-12</t>
  </si>
  <si>
    <t>2022-04-12</t>
  </si>
  <si>
    <t>Pinina</t>
  </si>
  <si>
    <t>2019-01-27</t>
  </si>
  <si>
    <t>22246164-2</t>
  </si>
  <si>
    <t>Chimuelo</t>
  </si>
  <si>
    <t>26477532-9</t>
  </si>
  <si>
    <t>Nerón</t>
  </si>
  <si>
    <t>18592239-1</t>
  </si>
  <si>
    <t>2022-01-23</t>
  </si>
  <si>
    <t>Furia</t>
  </si>
  <si>
    <t>2022-01-21</t>
  </si>
  <si>
    <t>18304365-k</t>
  </si>
  <si>
    <t>Flopy</t>
  </si>
  <si>
    <t>2015-09-01</t>
  </si>
  <si>
    <t>6658765-7</t>
  </si>
  <si>
    <t>Fili</t>
  </si>
  <si>
    <t>2012-09-27</t>
  </si>
  <si>
    <t>2011-09-27</t>
  </si>
  <si>
    <t>8191559-8</t>
  </si>
  <si>
    <t>Black</t>
  </si>
  <si>
    <t>Border Collie</t>
  </si>
  <si>
    <t>2017-03-17</t>
  </si>
  <si>
    <t>Susy</t>
  </si>
  <si>
    <t>blanco rojo negro</t>
  </si>
  <si>
    <t>2019-05-10</t>
  </si>
  <si>
    <t>17360612-5</t>
  </si>
  <si>
    <t>Kity</t>
  </si>
  <si>
    <t>11589207-k</t>
  </si>
  <si>
    <t>2021-11-16</t>
  </si>
  <si>
    <t>16971009-0</t>
  </si>
  <si>
    <t>Umi</t>
  </si>
  <si>
    <t>azuk blanco</t>
  </si>
  <si>
    <t>2022-02-02</t>
  </si>
  <si>
    <t>Pulguita</t>
  </si>
  <si>
    <t xml:space="preserve">Susi </t>
  </si>
  <si>
    <t xml:space="preserve">Tricolor </t>
  </si>
  <si>
    <t>15548797-6</t>
  </si>
  <si>
    <t>REINA</t>
  </si>
  <si>
    <t>2019-12-06</t>
  </si>
  <si>
    <t>14223003-8</t>
  </si>
  <si>
    <t>11425086-4</t>
  </si>
  <si>
    <t xml:space="preserve">Neke </t>
  </si>
  <si>
    <t>17694156-1</t>
  </si>
  <si>
    <t xml:space="preserve"> CREMA BLANCO</t>
  </si>
  <si>
    <t>Tsuky</t>
  </si>
  <si>
    <t xml:space="preserve">rojo </t>
  </si>
  <si>
    <t>13521418-3</t>
  </si>
  <si>
    <t>2015-10-24</t>
  </si>
  <si>
    <t>17043037-9</t>
  </si>
  <si>
    <t>ALMA</t>
  </si>
  <si>
    <t>2017-04-01</t>
  </si>
  <si>
    <t>ACTUALIZAR</t>
  </si>
  <si>
    <t>2019-10-05</t>
  </si>
  <si>
    <t>13432982-3</t>
  </si>
  <si>
    <t>2018-06-26</t>
  </si>
  <si>
    <t>17891609-2</t>
  </si>
  <si>
    <t>2019-12-07</t>
  </si>
  <si>
    <t>19466414-1</t>
  </si>
  <si>
    <t>ANTONELLA</t>
  </si>
  <si>
    <t>2017-12-15</t>
  </si>
  <si>
    <t>20973692-6</t>
  </si>
  <si>
    <t>Anvorgueso</t>
  </si>
  <si>
    <t>Atigrado</t>
  </si>
  <si>
    <t>17964366-9</t>
  </si>
  <si>
    <t>2016-01-31</t>
  </si>
  <si>
    <t>19631204-8</t>
  </si>
  <si>
    <t>AMARO</t>
  </si>
  <si>
    <t>2019-04-01</t>
  </si>
  <si>
    <t>18775610-3</t>
  </si>
  <si>
    <t>ADOLFO</t>
  </si>
  <si>
    <t>2019-11-18</t>
  </si>
  <si>
    <t>ARTURO</t>
  </si>
  <si>
    <t>2010-07-01</t>
  </si>
  <si>
    <t>ASGAR</t>
  </si>
  <si>
    <t xml:space="preserve">BLANCO </t>
  </si>
  <si>
    <t>16563101-3</t>
  </si>
  <si>
    <t>ARUNY</t>
  </si>
  <si>
    <t>2019-04-28</t>
  </si>
  <si>
    <t>13609372-K</t>
  </si>
  <si>
    <t>AMANDA</t>
  </si>
  <si>
    <t>AYUN</t>
  </si>
  <si>
    <t>REGISTRAR COLOR</t>
  </si>
  <si>
    <t>2020-09-20</t>
  </si>
  <si>
    <t>Artemis</t>
  </si>
  <si>
    <t>2019-08-10</t>
  </si>
  <si>
    <t>2022-04-10</t>
  </si>
  <si>
    <t>2022-06-08</t>
  </si>
  <si>
    <t>2019-09-10</t>
  </si>
  <si>
    <t>BINKY</t>
  </si>
  <si>
    <t>2015-12-16</t>
  </si>
  <si>
    <t>13342227-7</t>
  </si>
  <si>
    <t>Cafe gris blanco</t>
  </si>
  <si>
    <t>12432021-6</t>
  </si>
  <si>
    <t>16463941-K</t>
  </si>
  <si>
    <t>2018-03-02</t>
  </si>
  <si>
    <t xml:space="preserve">Dominga </t>
  </si>
  <si>
    <t>Schnauzer Mediano</t>
  </si>
  <si>
    <t>2017-12-31</t>
  </si>
  <si>
    <t>BAMBY</t>
  </si>
  <si>
    <t>2020-04-18</t>
  </si>
  <si>
    <t>20533552-8</t>
  </si>
  <si>
    <t>BAILEY</t>
  </si>
  <si>
    <t>21536548-4</t>
  </si>
  <si>
    <t>2022-02-15</t>
  </si>
  <si>
    <t>Gatita</t>
  </si>
  <si>
    <t>2022-03-04</t>
  </si>
  <si>
    <t>17660095-0</t>
  </si>
  <si>
    <t>Negra</t>
  </si>
  <si>
    <t>2019-09-18</t>
  </si>
  <si>
    <t>19563146-8</t>
  </si>
  <si>
    <t>14083471-8</t>
  </si>
  <si>
    <t>BRAULIO</t>
  </si>
  <si>
    <t>2020-02-14</t>
  </si>
  <si>
    <t>20371693-1</t>
  </si>
  <si>
    <t>BRUNA</t>
  </si>
  <si>
    <t>CREMA BLANCO NEGRO</t>
  </si>
  <si>
    <t>16161227-8</t>
  </si>
  <si>
    <t>21197616-0</t>
  </si>
  <si>
    <t>Rambo</t>
  </si>
  <si>
    <t>16238905-k</t>
  </si>
  <si>
    <t>Leia Canelita Issidora</t>
  </si>
  <si>
    <t>18886337-k</t>
  </si>
  <si>
    <t>Muchacho</t>
  </si>
  <si>
    <t>2021-09-29</t>
  </si>
  <si>
    <t>16160942-0</t>
  </si>
  <si>
    <t>Kiyen</t>
  </si>
  <si>
    <t>BRENDA</t>
  </si>
  <si>
    <t>2017-07-18</t>
  </si>
  <si>
    <t>9965035-4</t>
  </si>
  <si>
    <t>BALTAZAR</t>
  </si>
  <si>
    <t>18308898-K</t>
  </si>
  <si>
    <t>16765171-2</t>
  </si>
  <si>
    <t>Dálmata</t>
  </si>
  <si>
    <t>2020-01-27</t>
  </si>
  <si>
    <t>16872544-2</t>
  </si>
  <si>
    <t>BLACK</t>
  </si>
  <si>
    <t>13519793-9</t>
  </si>
  <si>
    <t>BUCKY</t>
  </si>
  <si>
    <t>2019-07-31</t>
  </si>
  <si>
    <t>Marshall</t>
  </si>
  <si>
    <t>20018166-2</t>
  </si>
  <si>
    <t>9636219-6</t>
  </si>
  <si>
    <t>15228527-2</t>
  </si>
  <si>
    <t>CHIMUELO</t>
  </si>
  <si>
    <t>2020-06-06</t>
  </si>
  <si>
    <t>17963799-5</t>
  </si>
  <si>
    <t>Bluey</t>
  </si>
  <si>
    <t>Skye</t>
  </si>
  <si>
    <t>2022-02-10</t>
  </si>
  <si>
    <t>24970446-6</t>
  </si>
  <si>
    <t>CARMINA</t>
  </si>
  <si>
    <t>2017-06-06</t>
  </si>
  <si>
    <t>10209704-1</t>
  </si>
  <si>
    <t>CHERRY</t>
  </si>
  <si>
    <t>2018-12-20</t>
  </si>
  <si>
    <t>18133139-9</t>
  </si>
  <si>
    <t>Cabeza de León</t>
  </si>
  <si>
    <t>CHOLA</t>
  </si>
  <si>
    <t>18132074-5</t>
  </si>
  <si>
    <t>COTO</t>
  </si>
  <si>
    <t>18289839-2</t>
  </si>
  <si>
    <t>COPO</t>
  </si>
  <si>
    <t>19204368-9</t>
  </si>
  <si>
    <t>CHIO</t>
  </si>
  <si>
    <t>18721569-2</t>
  </si>
  <si>
    <t>CHISPITA</t>
  </si>
  <si>
    <t>14382959-6</t>
  </si>
  <si>
    <t>20968151-k</t>
  </si>
  <si>
    <t>Ainhoa</t>
  </si>
  <si>
    <t>2022-02-20</t>
  </si>
  <si>
    <t>19248537-1</t>
  </si>
  <si>
    <t>León</t>
  </si>
  <si>
    <t>18132425-2</t>
  </si>
  <si>
    <t>GRIS BLANCO CREMA</t>
  </si>
  <si>
    <t>2019-06-08</t>
  </si>
  <si>
    <t>19556165-6</t>
  </si>
  <si>
    <t>CHUI</t>
  </si>
  <si>
    <t>2018-06-12</t>
  </si>
  <si>
    <t>CHOCOLO</t>
  </si>
  <si>
    <t>20732154-0</t>
  </si>
  <si>
    <t>CLEOPATRA</t>
  </si>
  <si>
    <t>NEGRO GRIS BLANCO</t>
  </si>
  <si>
    <t>2019-10-19</t>
  </si>
  <si>
    <t>5877872-9</t>
  </si>
  <si>
    <t>CANITO</t>
  </si>
  <si>
    <t>2016-08-22</t>
  </si>
  <si>
    <t>8928885-1</t>
  </si>
  <si>
    <t>15294283-4</t>
  </si>
  <si>
    <t>19938213-6</t>
  </si>
  <si>
    <t>CUCHI</t>
  </si>
  <si>
    <t>10048099-9</t>
  </si>
  <si>
    <t>CHARLY</t>
  </si>
  <si>
    <t>2005-11-15</t>
  </si>
  <si>
    <t>18132002-8</t>
  </si>
  <si>
    <t>Chuquito</t>
  </si>
  <si>
    <t>Azul blanco tabby</t>
  </si>
  <si>
    <t>Max</t>
  </si>
  <si>
    <t>21026033-1</t>
  </si>
  <si>
    <t>Sami</t>
  </si>
  <si>
    <t>2019-12-19</t>
  </si>
  <si>
    <t>19249580-6</t>
  </si>
  <si>
    <t>17201335-K</t>
  </si>
  <si>
    <t>MIKU</t>
  </si>
  <si>
    <t>17066993-2</t>
  </si>
  <si>
    <t>MIKKEL</t>
  </si>
  <si>
    <t>2019-10-14</t>
  </si>
  <si>
    <t>16872391-1</t>
  </si>
  <si>
    <t>Shimy</t>
  </si>
  <si>
    <t>2020-03-25</t>
  </si>
  <si>
    <t>16465239-4</t>
  </si>
  <si>
    <t>Simba</t>
  </si>
  <si>
    <t>2019-07-23</t>
  </si>
  <si>
    <t>7056829-2</t>
  </si>
  <si>
    <t>Dayci</t>
  </si>
  <si>
    <t>2022-03-15</t>
  </si>
  <si>
    <t>2022-03-06</t>
  </si>
  <si>
    <t>8785807-3</t>
  </si>
  <si>
    <t>Scooby</t>
  </si>
  <si>
    <t>2020-07-13</t>
  </si>
  <si>
    <t>17863237-k</t>
  </si>
  <si>
    <t>Sofia</t>
  </si>
  <si>
    <t>2017-10-04</t>
  </si>
  <si>
    <t>cocobongo</t>
  </si>
  <si>
    <t>15902557-8</t>
  </si>
  <si>
    <t>MANCHA</t>
  </si>
  <si>
    <t>17963636-0</t>
  </si>
  <si>
    <t>MIGUELITO</t>
  </si>
  <si>
    <t>12749149-6</t>
  </si>
  <si>
    <t>2019-01-21</t>
  </si>
  <si>
    <t>Snoopy</t>
  </si>
  <si>
    <t>15884468-0</t>
  </si>
  <si>
    <t>Sansón</t>
  </si>
  <si>
    <t>2016-04-04</t>
  </si>
  <si>
    <t>16465549-0</t>
  </si>
  <si>
    <t>Sparki</t>
  </si>
  <si>
    <t>6304484-9</t>
  </si>
  <si>
    <t>Sultan</t>
  </si>
  <si>
    <t>15814427-1</t>
  </si>
  <si>
    <t>Sally</t>
  </si>
  <si>
    <t>14281167-7</t>
  </si>
  <si>
    <t>Suyai</t>
  </si>
  <si>
    <t>2020-04-03</t>
  </si>
  <si>
    <t>10442417-1</t>
  </si>
  <si>
    <t>10150042-k</t>
  </si>
  <si>
    <t>Sasha</t>
  </si>
  <si>
    <t>CUCHO</t>
  </si>
  <si>
    <t>2017-09-17</t>
  </si>
  <si>
    <t>17200859-3</t>
  </si>
  <si>
    <t>Scky</t>
  </si>
  <si>
    <t>2019-05-04</t>
  </si>
  <si>
    <t>20958583-9</t>
  </si>
  <si>
    <t>Shiran</t>
  </si>
  <si>
    <t>2020-03-27</t>
  </si>
  <si>
    <t>16586339-9</t>
  </si>
  <si>
    <t>Sofy</t>
  </si>
  <si>
    <t>15759950-k</t>
  </si>
  <si>
    <t>2019-09-11</t>
  </si>
  <si>
    <t>Simón</t>
  </si>
  <si>
    <t>2022-02-06</t>
  </si>
  <si>
    <t>12744430-7</t>
  </si>
  <si>
    <t>Simona</t>
  </si>
  <si>
    <t>16963597-8</t>
  </si>
  <si>
    <t>2009-04-10</t>
  </si>
  <si>
    <t>21393686-7</t>
  </si>
  <si>
    <t>ANAHIZ</t>
  </si>
  <si>
    <t>Felix</t>
  </si>
  <si>
    <t>2019-01-25</t>
  </si>
  <si>
    <t>18776035-6</t>
  </si>
  <si>
    <t>ALVIN</t>
  </si>
  <si>
    <t>Británico de Pelo Corto</t>
  </si>
  <si>
    <t>20536392-0</t>
  </si>
  <si>
    <t>Sopaipilla</t>
  </si>
  <si>
    <t>2019-03-10</t>
  </si>
  <si>
    <t>21562472-2</t>
  </si>
  <si>
    <t>2019-12-08</t>
  </si>
  <si>
    <t>18815199-k</t>
  </si>
  <si>
    <t>negro blanco crema</t>
  </si>
  <si>
    <t>2019-09-27</t>
  </si>
  <si>
    <t>20315810-6</t>
  </si>
  <si>
    <t>12200500-3</t>
  </si>
  <si>
    <t>Pelu</t>
  </si>
  <si>
    <t>2021-12-07</t>
  </si>
  <si>
    <t>19938824-k</t>
  </si>
  <si>
    <t>Tom Precioso</t>
  </si>
  <si>
    <t>2019-02-18</t>
  </si>
  <si>
    <t>Tomás</t>
  </si>
  <si>
    <t>12747820-1</t>
  </si>
  <si>
    <t>Tom</t>
  </si>
  <si>
    <t>18775738-k</t>
  </si>
  <si>
    <t>Tomy</t>
  </si>
  <si>
    <t>2019-09-09</t>
  </si>
  <si>
    <t>11920653-7</t>
  </si>
  <si>
    <t>2020-01-17</t>
  </si>
  <si>
    <t>15755580-4</t>
  </si>
  <si>
    <t>22122701-8</t>
  </si>
  <si>
    <t>Trinidad</t>
  </si>
  <si>
    <t>16805707-5</t>
  </si>
  <si>
    <t>2020-01-13</t>
  </si>
  <si>
    <t>Titan</t>
  </si>
  <si>
    <t>2012-03-12</t>
  </si>
  <si>
    <t>18097718-k</t>
  </si>
  <si>
    <t>2022-03-10</t>
  </si>
  <si>
    <t>14080833-4</t>
  </si>
  <si>
    <t>2019-09-19</t>
  </si>
  <si>
    <t>13971162-9</t>
  </si>
  <si>
    <t>Teo</t>
  </si>
  <si>
    <t>21006363-3</t>
  </si>
  <si>
    <t>2017-07-07</t>
  </si>
  <si>
    <t>19248224-0</t>
  </si>
  <si>
    <t>Terry</t>
  </si>
  <si>
    <t>2012-09-02</t>
  </si>
  <si>
    <t>9522525-K</t>
  </si>
  <si>
    <t>Poly</t>
  </si>
  <si>
    <t>2008-02-01</t>
  </si>
  <si>
    <t>9132336-2</t>
  </si>
  <si>
    <t>2017-02-01</t>
  </si>
  <si>
    <t>6172766-3</t>
  </si>
  <si>
    <t>Negro Cafe Blanco</t>
  </si>
  <si>
    <t>2020-05-20</t>
  </si>
  <si>
    <t>13846650-7</t>
  </si>
  <si>
    <t>Theo</t>
  </si>
  <si>
    <t>8097984-3</t>
  </si>
  <si>
    <t>Tigger</t>
  </si>
  <si>
    <t>2020-01-20</t>
  </si>
  <si>
    <t>15234311-6</t>
  </si>
  <si>
    <t>Trini</t>
  </si>
  <si>
    <t>15294267-2</t>
  </si>
  <si>
    <t>Tiger</t>
  </si>
  <si>
    <t>Theodoro</t>
  </si>
  <si>
    <t>2019-02-02</t>
  </si>
  <si>
    <t>15262088-8</t>
  </si>
  <si>
    <t>Tiberio</t>
  </si>
  <si>
    <t>2019-01-30</t>
  </si>
  <si>
    <t>20016790-2</t>
  </si>
  <si>
    <t>15502320-1</t>
  </si>
  <si>
    <t>Thor</t>
  </si>
  <si>
    <t>2019-05-26</t>
  </si>
  <si>
    <t>15384822-K</t>
  </si>
  <si>
    <t>Forest</t>
  </si>
  <si>
    <t>18776454-8</t>
  </si>
  <si>
    <t>Kitty</t>
  </si>
  <si>
    <t>cafe negro blanco</t>
  </si>
  <si>
    <t>16464492-8</t>
  </si>
  <si>
    <t>Roky</t>
  </si>
  <si>
    <t>20135146-4</t>
  </si>
  <si>
    <t>CHIQUITITO</t>
  </si>
  <si>
    <t>2015-12-24</t>
  </si>
  <si>
    <t>15548578-7</t>
  </si>
  <si>
    <t>2016-10-06</t>
  </si>
  <si>
    <t>12337268-9</t>
  </si>
  <si>
    <t>CATITO</t>
  </si>
  <si>
    <t>18424233-8</t>
  </si>
  <si>
    <t>Timy</t>
  </si>
  <si>
    <t>12993628-2</t>
  </si>
  <si>
    <t>Tin</t>
  </si>
  <si>
    <t>20773300-8</t>
  </si>
  <si>
    <t>Tity</t>
  </si>
  <si>
    <t>2020-03-04</t>
  </si>
  <si>
    <t>13521498-1</t>
  </si>
  <si>
    <t>Terry/Niño</t>
  </si>
  <si>
    <t>Café Negro</t>
  </si>
  <si>
    <t>2020-03-26</t>
  </si>
  <si>
    <t>19313501-3</t>
  </si>
  <si>
    <t>2020-06-28</t>
  </si>
  <si>
    <t>14598159-k</t>
  </si>
  <si>
    <t>BECCA</t>
  </si>
  <si>
    <t>CREMA GRIS</t>
  </si>
  <si>
    <t>DINO</t>
  </si>
  <si>
    <t>2017-12-02</t>
  </si>
  <si>
    <t>18590615-9</t>
  </si>
  <si>
    <t>Tiffany</t>
  </si>
  <si>
    <t>blanco amarillo</t>
  </si>
  <si>
    <t>2019-02-14</t>
  </si>
  <si>
    <t>6688520-8</t>
  </si>
  <si>
    <t>2016-09-01</t>
  </si>
  <si>
    <t>DROOPY</t>
  </si>
  <si>
    <t>12994482-k</t>
  </si>
  <si>
    <t>2019-02-17</t>
  </si>
  <si>
    <t>17693479-4</t>
  </si>
  <si>
    <t>FIFI</t>
  </si>
  <si>
    <t>BLANCA NEGRO CAFE</t>
  </si>
  <si>
    <t>20314670-1</t>
  </si>
  <si>
    <t>2019-12-27</t>
  </si>
  <si>
    <t>19248945-8</t>
  </si>
  <si>
    <t>ELIOT</t>
  </si>
  <si>
    <t>15261499-3</t>
  </si>
  <si>
    <t>EMA</t>
  </si>
  <si>
    <t>ECLIPSE</t>
  </si>
  <si>
    <t>14082853-K</t>
  </si>
  <si>
    <t>ANACLETO</t>
  </si>
  <si>
    <t>GRIS CAFE</t>
  </si>
  <si>
    <t>2017-08-01</t>
  </si>
  <si>
    <t>19898657-7</t>
  </si>
  <si>
    <t>2019-10-04</t>
  </si>
  <si>
    <t>15548041-6</t>
  </si>
  <si>
    <t>Terranova</t>
  </si>
  <si>
    <t>2019-10-29</t>
  </si>
  <si>
    <t>20134881-1</t>
  </si>
  <si>
    <t>FRANZ</t>
  </si>
  <si>
    <t>2015-01-10</t>
  </si>
  <si>
    <t>21036251-7</t>
  </si>
  <si>
    <t>2016-04-01</t>
  </si>
  <si>
    <t>2019-12-15</t>
  </si>
  <si>
    <t>2013-06-02</t>
  </si>
  <si>
    <t>FOSTER</t>
  </si>
  <si>
    <t>2015-11-11</t>
  </si>
  <si>
    <t>16159493-8</t>
  </si>
  <si>
    <t xml:space="preserve">Tomantina </t>
  </si>
  <si>
    <t>Negro Blanco</t>
  </si>
  <si>
    <t>15884342-0</t>
  </si>
  <si>
    <t>Wissin</t>
  </si>
  <si>
    <t>2019-11-03</t>
  </si>
  <si>
    <t>16805018-6</t>
  </si>
  <si>
    <t>FULY</t>
  </si>
  <si>
    <t>2020-03-22</t>
  </si>
  <si>
    <t>8240920-3</t>
  </si>
  <si>
    <t>FIRULAIS BODOQUE</t>
  </si>
  <si>
    <t>2018-02-04</t>
  </si>
  <si>
    <t>19553835-2</t>
  </si>
  <si>
    <t>Woody</t>
  </si>
  <si>
    <t>2019-06-17</t>
  </si>
  <si>
    <t>11920150-0</t>
  </si>
  <si>
    <t>Vagabundo</t>
  </si>
  <si>
    <t>2013-01-10</t>
  </si>
  <si>
    <t>17100185-4</t>
  </si>
  <si>
    <t>Valfar</t>
  </si>
  <si>
    <t>Naranjo</t>
  </si>
  <si>
    <t>18888059-2</t>
  </si>
  <si>
    <t>Gemma</t>
  </si>
  <si>
    <t xml:space="preserve">Telma </t>
  </si>
  <si>
    <t>17594613-6</t>
  </si>
  <si>
    <t>Moncho</t>
  </si>
  <si>
    <t>2015-04-10</t>
  </si>
  <si>
    <t>16358338-0</t>
  </si>
  <si>
    <t>FLOCKY</t>
  </si>
  <si>
    <t>13609431-9</t>
  </si>
  <si>
    <t>FELIX</t>
  </si>
  <si>
    <t>14280530-8</t>
  </si>
  <si>
    <t>FRANK</t>
  </si>
  <si>
    <t>CARLINO</t>
  </si>
  <si>
    <t>18129568-6</t>
  </si>
  <si>
    <t>2017-01-31</t>
  </si>
  <si>
    <t>rojo blanco negro</t>
  </si>
  <si>
    <t>2019-05-01</t>
  </si>
  <si>
    <t>15384822-k</t>
  </si>
  <si>
    <t>Rosa</t>
  </si>
  <si>
    <t>Blanco Rojo</t>
  </si>
  <si>
    <t>2020-05-02</t>
  </si>
  <si>
    <t>18888140-8</t>
  </si>
  <si>
    <t>Café</t>
  </si>
  <si>
    <t>2017-03-05</t>
  </si>
  <si>
    <t>8309074-k</t>
  </si>
  <si>
    <t>Gretchen</t>
  </si>
  <si>
    <t>Grinch</t>
  </si>
  <si>
    <t>2009-03-01</t>
  </si>
  <si>
    <t>22212660-6</t>
  </si>
  <si>
    <t>Gringa</t>
  </si>
  <si>
    <t>Rojo Blanco</t>
  </si>
  <si>
    <t>2019-09-24</t>
  </si>
  <si>
    <t>20314232-3</t>
  </si>
  <si>
    <t>Gala</t>
  </si>
  <si>
    <t>Binky</t>
  </si>
  <si>
    <t>20601618-3</t>
  </si>
  <si>
    <t>Alaska</t>
  </si>
  <si>
    <t>negro crema</t>
  </si>
  <si>
    <t>2021-03-07</t>
  </si>
  <si>
    <t>16806883-2</t>
  </si>
  <si>
    <t>Gaston Ignacio</t>
  </si>
  <si>
    <t xml:space="preserve">Gaspar </t>
  </si>
  <si>
    <t>2015-08-01</t>
  </si>
  <si>
    <t>Gloria Bonita</t>
  </si>
  <si>
    <t>13521267-9</t>
  </si>
  <si>
    <t>Gris Blanco</t>
  </si>
  <si>
    <t>9346532-6</t>
  </si>
  <si>
    <t>Garfield</t>
  </si>
  <si>
    <t>2008-07-27</t>
  </si>
  <si>
    <t>12255814-2</t>
  </si>
  <si>
    <t>Gapi</t>
  </si>
  <si>
    <t>Amarillo</t>
  </si>
  <si>
    <t>MIA FIORELLA</t>
  </si>
  <si>
    <t>2020-04-10</t>
  </si>
  <si>
    <t>16271203-9</t>
  </si>
  <si>
    <t>MOTITA</t>
  </si>
  <si>
    <t>2020-03-13</t>
  </si>
  <si>
    <t>16804991-9</t>
  </si>
  <si>
    <t>MANCHAITA</t>
  </si>
  <si>
    <t>10052627-1</t>
  </si>
  <si>
    <t>Homero</t>
  </si>
  <si>
    <t>2020-01-12</t>
  </si>
  <si>
    <t>21349959-9</t>
  </si>
  <si>
    <t>2019-10-24</t>
  </si>
  <si>
    <t>Huinca</t>
  </si>
  <si>
    <t>2019-04-23</t>
  </si>
  <si>
    <t>19625221-5</t>
  </si>
  <si>
    <t>Saoko</t>
  </si>
  <si>
    <t>18888240-4</t>
  </si>
  <si>
    <t>Gris</t>
  </si>
  <si>
    <t>20345574-7</t>
  </si>
  <si>
    <t>Panda</t>
  </si>
  <si>
    <t>19153410-7</t>
  </si>
  <si>
    <t>MEDUSA</t>
  </si>
  <si>
    <t>21294199-9</t>
  </si>
  <si>
    <t>Pituca</t>
  </si>
  <si>
    <t xml:space="preserve">Negro </t>
  </si>
  <si>
    <t>2021-09-05</t>
  </si>
  <si>
    <t>21432591-8</t>
  </si>
  <si>
    <t>MIMO</t>
  </si>
  <si>
    <t>Negra gris</t>
  </si>
  <si>
    <t>2022-03-07</t>
  </si>
  <si>
    <t>Milagros</t>
  </si>
  <si>
    <t>Rojo Blanco Gris</t>
  </si>
  <si>
    <t>15294717-8</t>
  </si>
  <si>
    <t>Gris Negro</t>
  </si>
  <si>
    <t>16464697-1</t>
  </si>
  <si>
    <t>Hachy</t>
  </si>
  <si>
    <t>Blanco Negro</t>
  </si>
  <si>
    <t>14282212-1</t>
  </si>
  <si>
    <t>2022-01-13</t>
  </si>
  <si>
    <t>Carbonella</t>
  </si>
  <si>
    <t>2011-05-01</t>
  </si>
  <si>
    <t>18887193-3</t>
  </si>
  <si>
    <t>11591450-2</t>
  </si>
  <si>
    <t>Balto</t>
  </si>
  <si>
    <t>Negro Cafe</t>
  </si>
  <si>
    <t>2014-05-10</t>
  </si>
  <si>
    <t>Benito</t>
  </si>
  <si>
    <t>2020-03-23</t>
  </si>
  <si>
    <t>18887408-8</t>
  </si>
  <si>
    <t>Kisha</t>
  </si>
  <si>
    <t>Gris Blanco Cafe</t>
  </si>
  <si>
    <t>2022-02-07</t>
  </si>
  <si>
    <t>18591226-4</t>
  </si>
  <si>
    <t>Negro Blanco Rojo</t>
  </si>
  <si>
    <t>Yessy</t>
  </si>
  <si>
    <t>Blanco Negro Cafe</t>
  </si>
  <si>
    <t>2020-05-21</t>
  </si>
  <si>
    <t>Yony</t>
  </si>
  <si>
    <t>2017-04-04</t>
  </si>
  <si>
    <t>15759411-7</t>
  </si>
  <si>
    <t>Rojo Blanco Cafe</t>
  </si>
  <si>
    <t>2020-01-26</t>
  </si>
  <si>
    <t>19624157-4</t>
  </si>
  <si>
    <t>Lana</t>
  </si>
  <si>
    <t>2015-05-09</t>
  </si>
  <si>
    <t>11129803-3</t>
  </si>
  <si>
    <t>2018-05-09</t>
  </si>
  <si>
    <t>13818343-2</t>
  </si>
  <si>
    <t>Blue</t>
  </si>
  <si>
    <t>2022-02-01</t>
  </si>
  <si>
    <t>Rafael</t>
  </si>
  <si>
    <t>10583955-3</t>
  </si>
  <si>
    <t>Hush</t>
  </si>
  <si>
    <t>2019-06-07</t>
  </si>
  <si>
    <t>18592132-8</t>
  </si>
  <si>
    <t>Ivar</t>
  </si>
  <si>
    <t>Cafe Gris Negro</t>
  </si>
  <si>
    <t>Tzuky</t>
  </si>
  <si>
    <t xml:space="preserve">Blanco Cafe </t>
  </si>
  <si>
    <t>2019-11-02</t>
  </si>
  <si>
    <t>16606114-8</t>
  </si>
  <si>
    <t>MOKA</t>
  </si>
  <si>
    <t>25690820-4</t>
  </si>
  <si>
    <t>MOMO</t>
  </si>
  <si>
    <t>MILDRED</t>
  </si>
  <si>
    <t>17511530-7</t>
  </si>
  <si>
    <t>MU</t>
  </si>
  <si>
    <t>2015-06-15</t>
  </si>
  <si>
    <t>16564676-2</t>
  </si>
  <si>
    <t>2015-11-02</t>
  </si>
  <si>
    <t>7559043-1</t>
  </si>
  <si>
    <t>Zether</t>
  </si>
  <si>
    <t>2019-09-08</t>
  </si>
  <si>
    <t>13847706-1</t>
  </si>
  <si>
    <t>16871733-4</t>
  </si>
  <si>
    <t>Zanahoria</t>
  </si>
  <si>
    <t>Conejo Doméstico</t>
  </si>
  <si>
    <t>2017-02-02</t>
  </si>
  <si>
    <t>13447148-4</t>
  </si>
  <si>
    <t>Joy</t>
  </si>
  <si>
    <t>Colosal</t>
  </si>
  <si>
    <t>2021-12-28</t>
  </si>
  <si>
    <t>Sheima</t>
  </si>
  <si>
    <t>2022-02-05</t>
  </si>
  <si>
    <t>MAMA PANCHA</t>
  </si>
  <si>
    <t>9165946-8</t>
  </si>
  <si>
    <t>Negro Gris</t>
  </si>
  <si>
    <t>2019-10-30</t>
  </si>
  <si>
    <t>Jessie</t>
  </si>
  <si>
    <t>Gris Cafe Negro</t>
  </si>
  <si>
    <t>18503776-2</t>
  </si>
  <si>
    <t xml:space="preserve">Julieta </t>
  </si>
  <si>
    <t>2018-10-17</t>
  </si>
  <si>
    <t>Vito</t>
  </si>
  <si>
    <t>Julieta</t>
  </si>
  <si>
    <t>Gris Cafe Blanco</t>
  </si>
  <si>
    <t>2019-04-02</t>
  </si>
  <si>
    <t>21935195-k</t>
  </si>
  <si>
    <t>2019-02-19</t>
  </si>
  <si>
    <t>NICHI</t>
  </si>
  <si>
    <t>2019-12-12</t>
  </si>
  <si>
    <t>22681716-6</t>
  </si>
  <si>
    <t>2022-01-27</t>
  </si>
  <si>
    <t>16828567-1</t>
  </si>
  <si>
    <t>Pillina</t>
  </si>
  <si>
    <t>Quelonios</t>
  </si>
  <si>
    <t>Tortuga de oreja roja</t>
  </si>
  <si>
    <t>Verde</t>
  </si>
  <si>
    <t>1996-05-11</t>
  </si>
  <si>
    <t>22199064-1</t>
  </si>
  <si>
    <t>Kuro</t>
  </si>
  <si>
    <t>11704632-k</t>
  </si>
  <si>
    <t>Kobe</t>
  </si>
  <si>
    <t>2020-05-18</t>
  </si>
  <si>
    <t>9812138-2</t>
  </si>
  <si>
    <t>Columbo</t>
  </si>
  <si>
    <t>2022-03-20</t>
  </si>
  <si>
    <t>16587611-3</t>
  </si>
  <si>
    <t>Kali</t>
  </si>
  <si>
    <t>2019-10-02</t>
  </si>
  <si>
    <t>Blanco Gris Café</t>
  </si>
  <si>
    <t>2020-02-21</t>
  </si>
  <si>
    <t>11704290-1</t>
  </si>
  <si>
    <t>2014-05-16</t>
  </si>
  <si>
    <t>20989762-8</t>
  </si>
  <si>
    <t>Kiro</t>
  </si>
  <si>
    <t>2020-06-08</t>
  </si>
  <si>
    <t>19555456-0</t>
  </si>
  <si>
    <t>Jasper</t>
  </si>
  <si>
    <t>2022-03-17</t>
  </si>
  <si>
    <t>15339849-6</t>
  </si>
  <si>
    <t>2017-09-03</t>
  </si>
  <si>
    <t>2017-09-07</t>
  </si>
  <si>
    <t>15271771-7</t>
  </si>
  <si>
    <t>Tini</t>
  </si>
  <si>
    <t>16159494-6</t>
  </si>
  <si>
    <t>THEA</t>
  </si>
  <si>
    <t>KHALEESI</t>
  </si>
  <si>
    <t>NEGRO ROJO BLANCO</t>
  </si>
  <si>
    <t>TILIN</t>
  </si>
  <si>
    <t>13400117-8</t>
  </si>
  <si>
    <t>Eva Lucía</t>
  </si>
  <si>
    <t>GRIS ROJO</t>
  </si>
  <si>
    <t>2021-12-19</t>
  </si>
  <si>
    <t>Gaspar Antonio</t>
  </si>
  <si>
    <t>Negro Crema Gris</t>
  </si>
  <si>
    <t>2015-05-01</t>
  </si>
  <si>
    <t>16048739-9</t>
  </si>
  <si>
    <t>Blanco Cafe</t>
  </si>
  <si>
    <t>2009-10-28</t>
  </si>
  <si>
    <t>12016187-3</t>
  </si>
  <si>
    <t>Blanco Crema</t>
  </si>
  <si>
    <t>2013-09-18</t>
  </si>
  <si>
    <t>15293213-8</t>
  </si>
  <si>
    <t>Kimbo</t>
  </si>
  <si>
    <t>2020-02-04</t>
  </si>
  <si>
    <t>19625387-4</t>
  </si>
  <si>
    <t>Dorito</t>
  </si>
  <si>
    <t>Negro Crema</t>
  </si>
  <si>
    <t>21649370-2</t>
  </si>
  <si>
    <t>Nita</t>
  </si>
  <si>
    <t>2022-04-01</t>
  </si>
  <si>
    <t>Tommy</t>
  </si>
  <si>
    <t>Tabby azul</t>
  </si>
  <si>
    <t>17652561-4</t>
  </si>
  <si>
    <t>Peter</t>
  </si>
  <si>
    <t>Suki</t>
  </si>
  <si>
    <t>Cheester</t>
  </si>
  <si>
    <t>Crema Blanco</t>
  </si>
  <si>
    <t>2022-03-24</t>
  </si>
  <si>
    <t>13320287-0</t>
  </si>
  <si>
    <t xml:space="preserve">Cafe Blanco Cafe </t>
  </si>
  <si>
    <t>17068174-6</t>
  </si>
  <si>
    <t>2019-08-09</t>
  </si>
  <si>
    <t>19625023-9</t>
  </si>
  <si>
    <t>NANITA</t>
  </si>
  <si>
    <t>NEBRITA</t>
  </si>
  <si>
    <t>17360424-6</t>
  </si>
  <si>
    <t>2016-08-01</t>
  </si>
  <si>
    <t>19248952-0</t>
  </si>
  <si>
    <t>MIKI</t>
  </si>
  <si>
    <t>NEGRO BLANCO AMARILLO</t>
  </si>
  <si>
    <t>13320991-3</t>
  </si>
  <si>
    <t>ÑOMI</t>
  </si>
  <si>
    <t>2017-11-27</t>
  </si>
  <si>
    <t>20135009-3</t>
  </si>
  <si>
    <t>NINI</t>
  </si>
  <si>
    <t>12748128-8</t>
  </si>
  <si>
    <t>10283044-k</t>
  </si>
  <si>
    <t>NARUMI</t>
  </si>
  <si>
    <t>2020-04-24</t>
  </si>
  <si>
    <t>Mangöw</t>
  </si>
  <si>
    <t>Amarillo Blanco</t>
  </si>
  <si>
    <t>2021-12-10</t>
  </si>
  <si>
    <t>simón</t>
  </si>
  <si>
    <t>23057252-6</t>
  </si>
  <si>
    <t>18731263-9</t>
  </si>
  <si>
    <t>Clio</t>
  </si>
  <si>
    <t>2019-09-28</t>
  </si>
  <si>
    <t>Negro Blanco Cafe</t>
  </si>
  <si>
    <t>10016177-k</t>
  </si>
  <si>
    <t xml:space="preserve">Rio </t>
  </si>
  <si>
    <t>Celeste Gris Blanco</t>
  </si>
  <si>
    <t>2021-07-28</t>
  </si>
  <si>
    <t>Teicy</t>
  </si>
  <si>
    <t>Verde Amarillo Gris</t>
  </si>
  <si>
    <t>Kakaroto</t>
  </si>
  <si>
    <t>2020-03-16</t>
  </si>
  <si>
    <t>Pancho</t>
  </si>
  <si>
    <t>2019-05-28</t>
  </si>
  <si>
    <t>16636003-k</t>
  </si>
  <si>
    <t>NUT</t>
  </si>
  <si>
    <t>6307071-8</t>
  </si>
  <si>
    <t>Kimba</t>
  </si>
  <si>
    <t>NUBE</t>
  </si>
  <si>
    <t>13444396-0</t>
  </si>
  <si>
    <t>Koyu</t>
  </si>
  <si>
    <t>2014-03-03</t>
  </si>
  <si>
    <t>20601822-4</t>
  </si>
  <si>
    <t>Arys</t>
  </si>
  <si>
    <t>2015-10-26</t>
  </si>
  <si>
    <t>13943675-K</t>
  </si>
  <si>
    <t>2015-09-02</t>
  </si>
  <si>
    <t>6492985-2</t>
  </si>
  <si>
    <t>Ringo</t>
  </si>
  <si>
    <t>2008-06-02</t>
  </si>
  <si>
    <t>11324774-6</t>
  </si>
  <si>
    <t>21208109-4</t>
  </si>
  <si>
    <t>Cavia porcellus (cobayos)</t>
  </si>
  <si>
    <t>CUMIAI</t>
  </si>
  <si>
    <t>17693354-2</t>
  </si>
  <si>
    <t>2016-04-03</t>
  </si>
  <si>
    <t>15656573-3</t>
  </si>
  <si>
    <t>2014-06-05</t>
  </si>
  <si>
    <t>20601449-0</t>
  </si>
  <si>
    <t>Scott</t>
  </si>
  <si>
    <t>2017-09-27</t>
  </si>
  <si>
    <t>20778431-1</t>
  </si>
  <si>
    <t>2020-05-16</t>
  </si>
  <si>
    <t>18590183-1</t>
  </si>
  <si>
    <t>6337871-2</t>
  </si>
  <si>
    <t>2022-04-08</t>
  </si>
  <si>
    <t>9756298-9</t>
  </si>
  <si>
    <t>MILENCA</t>
  </si>
  <si>
    <t>2001-01-01</t>
  </si>
  <si>
    <t>17201795-9</t>
  </si>
  <si>
    <t>2020-10-18</t>
  </si>
  <si>
    <t>14471669-8</t>
  </si>
  <si>
    <t>Blanco gris</t>
  </si>
  <si>
    <t>18288728-5</t>
  </si>
  <si>
    <t>Pepe</t>
  </si>
  <si>
    <t>2022-03-08</t>
  </si>
  <si>
    <t>12747264-5</t>
  </si>
  <si>
    <t>2018-12-10</t>
  </si>
  <si>
    <t>15548879-4</t>
  </si>
  <si>
    <t>MONITO</t>
  </si>
  <si>
    <t>17360069-0</t>
  </si>
  <si>
    <t>Uno</t>
  </si>
  <si>
    <t>Panchi</t>
  </si>
  <si>
    <t>2009-06-09</t>
  </si>
  <si>
    <t>2022-04-17</t>
  </si>
  <si>
    <t>Sophia</t>
  </si>
  <si>
    <t>Cafe Blanco</t>
  </si>
  <si>
    <t>2009-06-10</t>
  </si>
  <si>
    <t>17360675-3</t>
  </si>
  <si>
    <t xml:space="preserve">Negra </t>
  </si>
  <si>
    <t>2022-03-11</t>
  </si>
  <si>
    <t>13319676-5</t>
  </si>
  <si>
    <t>Nerin</t>
  </si>
  <si>
    <t>19753172-k</t>
  </si>
  <si>
    <t>20314323-0</t>
  </si>
  <si>
    <t>2009-06-14</t>
  </si>
  <si>
    <t>8144223-1</t>
  </si>
  <si>
    <t>GABITO</t>
  </si>
  <si>
    <t>9630212-6</t>
  </si>
  <si>
    <t>GRIS BLANCO AMARILLO</t>
  </si>
  <si>
    <t>20016517-9</t>
  </si>
  <si>
    <t>Perezoso</t>
  </si>
  <si>
    <t>2021-12-20</t>
  </si>
  <si>
    <t>Loquillo</t>
  </si>
  <si>
    <t>21136938-8</t>
  </si>
  <si>
    <t>Mantecado</t>
  </si>
  <si>
    <t>17359055-5</t>
  </si>
  <si>
    <t>Staffordshire Terrier Americano</t>
  </si>
  <si>
    <t>13058972-3</t>
  </si>
  <si>
    <t>ESFINGE</t>
  </si>
  <si>
    <t>7555021-9</t>
  </si>
  <si>
    <t>Kuri</t>
  </si>
  <si>
    <t>20016187-4</t>
  </si>
  <si>
    <t>Keisy</t>
  </si>
  <si>
    <t>2019-12-16</t>
  </si>
  <si>
    <t>Dos</t>
  </si>
  <si>
    <t>17067303-4</t>
  </si>
  <si>
    <t>Barbara</t>
  </si>
  <si>
    <t>Blaco cafe negro</t>
  </si>
  <si>
    <t>2017-06-18</t>
  </si>
  <si>
    <t>19554488-3</t>
  </si>
  <si>
    <t>13266301-7</t>
  </si>
  <si>
    <t>Claudia</t>
  </si>
  <si>
    <t>Hamster Chino</t>
  </si>
  <si>
    <t>2020-06-18</t>
  </si>
  <si>
    <t>19181785-0</t>
  </si>
  <si>
    <t>Ari</t>
  </si>
  <si>
    <t>2021-12-05</t>
  </si>
  <si>
    <t>15294243-5</t>
  </si>
  <si>
    <t>Pamela</t>
  </si>
  <si>
    <t xml:space="preserve">Verde </t>
  </si>
  <si>
    <t>2008-06-18</t>
  </si>
  <si>
    <t>16439991-5</t>
  </si>
  <si>
    <t>Blanco Cafe Negro</t>
  </si>
  <si>
    <t>10772313-7</t>
  </si>
  <si>
    <t>Gorda</t>
  </si>
  <si>
    <t>2010-06-20</t>
  </si>
  <si>
    <t>11542445-9</t>
  </si>
  <si>
    <t>Tiara</t>
  </si>
  <si>
    <t>2022-03-25</t>
  </si>
  <si>
    <t>16792120-5</t>
  </si>
  <si>
    <t>Sayén</t>
  </si>
  <si>
    <t>Silver</t>
  </si>
  <si>
    <t>Lourdes</t>
  </si>
  <si>
    <t>14157244-K</t>
  </si>
  <si>
    <t>Crema Negro</t>
  </si>
  <si>
    <t>2022-04-04</t>
  </si>
  <si>
    <t>VAGO</t>
  </si>
  <si>
    <t>10146302-8</t>
  </si>
  <si>
    <t>2018-08-09</t>
  </si>
  <si>
    <t>11324483-6</t>
  </si>
  <si>
    <t>NELO</t>
  </si>
  <si>
    <t>15293590-0</t>
  </si>
  <si>
    <t>2019-09-15</t>
  </si>
  <si>
    <t>17693109-4</t>
  </si>
  <si>
    <t>Muñeca</t>
  </si>
  <si>
    <t>2021-04-24</t>
  </si>
  <si>
    <t>Platón</t>
  </si>
  <si>
    <t>Gris Blanco Negro</t>
  </si>
  <si>
    <t>15884215-7</t>
  </si>
  <si>
    <t>Lupo</t>
  </si>
  <si>
    <t>2014-04-04</t>
  </si>
  <si>
    <t>15781950-k</t>
  </si>
  <si>
    <t>ORION</t>
  </si>
  <si>
    <t>Romano</t>
  </si>
  <si>
    <t>Rojo Negro</t>
  </si>
  <si>
    <t>2009-11-15</t>
  </si>
  <si>
    <t>4472956-3</t>
  </si>
  <si>
    <t>2007-06-29</t>
  </si>
  <si>
    <t>Ruffo</t>
  </si>
  <si>
    <t>Rojo Crema</t>
  </si>
  <si>
    <t>Pipo</t>
  </si>
  <si>
    <t>2013-12-13</t>
  </si>
  <si>
    <t>2011-02-14</t>
  </si>
  <si>
    <t>20641939-3</t>
  </si>
  <si>
    <t>Bonti Gomez</t>
  </si>
  <si>
    <t>2022-04-19</t>
  </si>
  <si>
    <t>13609605-2</t>
  </si>
  <si>
    <t>2010-01-02</t>
  </si>
  <si>
    <t>Chitara</t>
  </si>
  <si>
    <t>2022-03-01</t>
  </si>
  <si>
    <t>14226841-8</t>
  </si>
  <si>
    <t>Roko</t>
  </si>
  <si>
    <t>2022-03-03</t>
  </si>
  <si>
    <t>Pailita</t>
  </si>
  <si>
    <t>13320319-2</t>
  </si>
  <si>
    <t>Mussi</t>
  </si>
  <si>
    <t>2012-06-05</t>
  </si>
  <si>
    <t>21827103-0</t>
  </si>
  <si>
    <t>Blanca</t>
  </si>
  <si>
    <t>Castaña</t>
  </si>
  <si>
    <t>2017-04-05</t>
  </si>
  <si>
    <t>20345890-8</t>
  </si>
  <si>
    <t xml:space="preserve">Blanco </t>
  </si>
  <si>
    <t xml:space="preserve">Luna </t>
  </si>
  <si>
    <t>19555994-5</t>
  </si>
  <si>
    <t>Budy</t>
  </si>
  <si>
    <t>2022-03-26</t>
  </si>
  <si>
    <t>21569906-4</t>
  </si>
  <si>
    <t xml:space="preserve">Lio </t>
  </si>
  <si>
    <t>2022-04-29</t>
  </si>
  <si>
    <t>GATUBELA</t>
  </si>
  <si>
    <t>BLANCO NEGRO CREMA</t>
  </si>
  <si>
    <t xml:space="preserve">Maya </t>
  </si>
  <si>
    <t>2022-04-21</t>
  </si>
  <si>
    <t>17963603-4</t>
  </si>
  <si>
    <t>Piri</t>
  </si>
  <si>
    <t>2018-08-05</t>
  </si>
  <si>
    <t>Kumiai</t>
  </si>
  <si>
    <t>2020-09-08</t>
  </si>
  <si>
    <t>15292643-k</t>
  </si>
  <si>
    <t>PASCUAL</t>
  </si>
  <si>
    <t>Pelin</t>
  </si>
  <si>
    <t>Rojo Negro Blanco</t>
  </si>
  <si>
    <t>19938043-5</t>
  </si>
  <si>
    <t>Clara</t>
  </si>
  <si>
    <t xml:space="preserve">Gris </t>
  </si>
  <si>
    <t>2018-10-15</t>
  </si>
  <si>
    <t>17863120-9</t>
  </si>
  <si>
    <t>Leon</t>
  </si>
  <si>
    <t>2022-05-17</t>
  </si>
  <si>
    <t>THEO 2</t>
  </si>
  <si>
    <t>16159458-k</t>
  </si>
  <si>
    <t>YUPI</t>
  </si>
  <si>
    <t>22081955-8</t>
  </si>
  <si>
    <t>ACTUALIZAR INFORMACION</t>
  </si>
  <si>
    <t>11703844-0</t>
  </si>
  <si>
    <t>Hades</t>
  </si>
  <si>
    <t>14037117-3</t>
  </si>
  <si>
    <t>2022-05-02</t>
  </si>
  <si>
    <t>15530433-2</t>
  </si>
  <si>
    <t>2022-01-30</t>
  </si>
  <si>
    <t>Luke</t>
  </si>
  <si>
    <t>taby café negro</t>
  </si>
  <si>
    <t>Bruce</t>
  </si>
  <si>
    <t>2021-12-02</t>
  </si>
  <si>
    <t>19554217-1</t>
  </si>
  <si>
    <t>Oreo</t>
  </si>
  <si>
    <t>12139619-k</t>
  </si>
  <si>
    <t>Cindy</t>
  </si>
  <si>
    <t>2016-07-20</t>
  </si>
  <si>
    <t>19223856-0</t>
  </si>
  <si>
    <t>Bulldog</t>
  </si>
  <si>
    <t>18173761-1</t>
  </si>
  <si>
    <t>Blanca Gris Cafe</t>
  </si>
  <si>
    <t>PAULINO</t>
  </si>
  <si>
    <t>13137720-7</t>
  </si>
  <si>
    <t>Moka</t>
  </si>
  <si>
    <t>17329137-k</t>
  </si>
  <si>
    <t>Mango</t>
  </si>
  <si>
    <t>10387154-9</t>
  </si>
  <si>
    <t>PIPO</t>
  </si>
  <si>
    <t>PANCRACIA</t>
  </si>
  <si>
    <t>14082396-1</t>
  </si>
  <si>
    <t>Tobby</t>
  </si>
  <si>
    <t>17358862-3</t>
  </si>
  <si>
    <t>PERLIÑA</t>
  </si>
  <si>
    <t>12993378-k</t>
  </si>
  <si>
    <t>momo</t>
  </si>
  <si>
    <t>2016-07-23</t>
  </si>
  <si>
    <t>19249625-k</t>
  </si>
  <si>
    <t>Mushu</t>
  </si>
  <si>
    <t>2022-04-23</t>
  </si>
  <si>
    <t>19938644-1</t>
  </si>
  <si>
    <t>Botas</t>
  </si>
  <si>
    <t>2020-07-23</t>
  </si>
  <si>
    <t>18289388-9</t>
  </si>
  <si>
    <t>Lola</t>
  </si>
  <si>
    <t>Titi</t>
  </si>
  <si>
    <t>Gris Cafe</t>
  </si>
  <si>
    <t>KIKA</t>
  </si>
  <si>
    <t>2022-01-19</t>
  </si>
  <si>
    <t>MIMA</t>
  </si>
  <si>
    <t>Azul blanco taby listado</t>
  </si>
  <si>
    <t>20315338-4</t>
  </si>
  <si>
    <t>Michi</t>
  </si>
  <si>
    <t>azul rojo blanco tricolor</t>
  </si>
  <si>
    <t>2022-04-28</t>
  </si>
  <si>
    <t>9545531-k</t>
  </si>
  <si>
    <t>Mosty</t>
  </si>
  <si>
    <t>19386863-0</t>
  </si>
  <si>
    <t>2016-07-29</t>
  </si>
  <si>
    <t>Teodora</t>
  </si>
  <si>
    <t>20508977-2</t>
  </si>
  <si>
    <t>Cachito</t>
  </si>
  <si>
    <t>Jerry</t>
  </si>
  <si>
    <t>15262167-1</t>
  </si>
  <si>
    <t>Michu</t>
  </si>
  <si>
    <t>2019-08-19</t>
  </si>
  <si>
    <t>18622905-3</t>
  </si>
  <si>
    <t>Bruci</t>
  </si>
  <si>
    <t>16160968-4</t>
  </si>
  <si>
    <t>Looky</t>
  </si>
  <si>
    <t>2013-02-23</t>
  </si>
  <si>
    <t>WENDY</t>
  </si>
  <si>
    <t>20842489-0</t>
  </si>
  <si>
    <t>Estrellita</t>
  </si>
  <si>
    <t>2022-06-03</t>
  </si>
  <si>
    <t>19555835-3</t>
  </si>
  <si>
    <t>2022-04-03</t>
  </si>
  <si>
    <t>24049818-9</t>
  </si>
  <si>
    <t>Cosquilla</t>
  </si>
  <si>
    <t>GRIS NEGRO CAFE</t>
  </si>
  <si>
    <t>9649145-k</t>
  </si>
  <si>
    <t>2019-07-04</t>
  </si>
  <si>
    <t>15546041-5</t>
  </si>
  <si>
    <t>Chico Jinchuriki</t>
  </si>
  <si>
    <t xml:space="preserve">Negro Blanco </t>
  </si>
  <si>
    <t>18287896-0</t>
  </si>
  <si>
    <t>Yeiko</t>
  </si>
  <si>
    <t>10548242-6</t>
  </si>
  <si>
    <t>Tomi</t>
  </si>
  <si>
    <t>2022-05-12</t>
  </si>
  <si>
    <t>18786644-8</t>
  </si>
  <si>
    <t>20180372-1</t>
  </si>
  <si>
    <t>Billy</t>
  </si>
  <si>
    <t>Amarillo Rojo Blanco</t>
  </si>
  <si>
    <t>2021-10-16</t>
  </si>
  <si>
    <t>19633248-0</t>
  </si>
  <si>
    <t>20315266-3</t>
  </si>
  <si>
    <t>18885215-7</t>
  </si>
  <si>
    <t>Bruno</t>
  </si>
  <si>
    <t>19350555-4</t>
  </si>
  <si>
    <t>Ares</t>
  </si>
  <si>
    <t>14082520-4</t>
  </si>
  <si>
    <t>PEPITA</t>
  </si>
  <si>
    <t>20346596-3</t>
  </si>
  <si>
    <t>Pulgui Castaño</t>
  </si>
  <si>
    <t>18987383-2</t>
  </si>
  <si>
    <t>11426354-0</t>
  </si>
  <si>
    <t>Pablito</t>
  </si>
  <si>
    <t>9466670-8</t>
  </si>
  <si>
    <t>Risa</t>
  </si>
  <si>
    <t>2011-08-05</t>
  </si>
  <si>
    <t>GRIS BLANCO ROJO</t>
  </si>
  <si>
    <t>9106031-0</t>
  </si>
  <si>
    <t>PULGA</t>
  </si>
  <si>
    <t>NEGRO CREMA</t>
  </si>
  <si>
    <t>2018-11-19</t>
  </si>
  <si>
    <t>2021-06-08</t>
  </si>
  <si>
    <t>20705652-9</t>
  </si>
  <si>
    <t>2021-08-15</t>
  </si>
  <si>
    <t>12995087-0</t>
  </si>
  <si>
    <t>Rayito</t>
  </si>
  <si>
    <t>19624540-5</t>
  </si>
  <si>
    <t>2022-06-11</t>
  </si>
  <si>
    <t>6626153-0</t>
  </si>
  <si>
    <t>Aurora</t>
  </si>
  <si>
    <t>16357881-6</t>
  </si>
  <si>
    <t>Conejo Angora</t>
  </si>
  <si>
    <t>Plateado</t>
  </si>
  <si>
    <t>2022-06-01</t>
  </si>
  <si>
    <t>Cherry</t>
  </si>
  <si>
    <t>VERDE AMARILLO</t>
  </si>
  <si>
    <t>10529851-k</t>
  </si>
  <si>
    <t>KURAMA</t>
  </si>
  <si>
    <t>16359877-9</t>
  </si>
  <si>
    <t>15662692-9</t>
  </si>
  <si>
    <t>Peppa</t>
  </si>
  <si>
    <t>2015-02-03</t>
  </si>
  <si>
    <t>15513615-4</t>
  </si>
  <si>
    <t>Simon</t>
  </si>
  <si>
    <t>Apricot</t>
  </si>
  <si>
    <t xml:space="preserve">Miki </t>
  </si>
  <si>
    <t>Blanco Gris</t>
  </si>
  <si>
    <t>Cuchu</t>
  </si>
  <si>
    <t>Romané</t>
  </si>
  <si>
    <t>gris negro</t>
  </si>
  <si>
    <t>11323841-0</t>
  </si>
  <si>
    <t>Antu</t>
  </si>
  <si>
    <t>Blanquito</t>
  </si>
  <si>
    <t>17863651-0</t>
  </si>
  <si>
    <t>Gris blanco</t>
  </si>
  <si>
    <t>2017-08-08</t>
  </si>
  <si>
    <t>13943675-k</t>
  </si>
  <si>
    <t>2022-04-20</t>
  </si>
  <si>
    <t>2019-11-04</t>
  </si>
  <si>
    <t>Maxi</t>
  </si>
  <si>
    <t>Prinsipe</t>
  </si>
  <si>
    <t>12390742-6</t>
  </si>
  <si>
    <t>Canito</t>
  </si>
  <si>
    <t>2022-07-02</t>
  </si>
  <si>
    <t>bebe</t>
  </si>
  <si>
    <t>9815682-8</t>
  </si>
  <si>
    <t xml:space="preserve">Camila </t>
  </si>
  <si>
    <t>TIQUININA</t>
  </si>
  <si>
    <t>21862121-k</t>
  </si>
  <si>
    <t>FLOPY</t>
  </si>
  <si>
    <t>Toto</t>
  </si>
  <si>
    <t>17963230-6</t>
  </si>
  <si>
    <t>Cutu</t>
  </si>
  <si>
    <t>17693160-4</t>
  </si>
  <si>
    <t>Honey</t>
  </si>
  <si>
    <t>Blanco Café</t>
  </si>
  <si>
    <t>2022-03-30</t>
  </si>
  <si>
    <t>Chamba</t>
  </si>
  <si>
    <t>26513966-3</t>
  </si>
  <si>
    <t>Madie</t>
  </si>
  <si>
    <t xml:space="preserve">Negro Crema </t>
  </si>
  <si>
    <t>17653651-9</t>
  </si>
  <si>
    <t>Willump</t>
  </si>
  <si>
    <t>20052882-4</t>
  </si>
  <si>
    <t>13593575-1</t>
  </si>
  <si>
    <t>Panchita</t>
  </si>
  <si>
    <t>18591234-5</t>
  </si>
  <si>
    <t>RULO</t>
  </si>
  <si>
    <t>21710368-1</t>
  </si>
  <si>
    <t>LUIGGI</t>
  </si>
  <si>
    <t>Nadia</t>
  </si>
  <si>
    <t>2015-09-06</t>
  </si>
  <si>
    <t>15314437-0</t>
  </si>
  <si>
    <t>samba</t>
  </si>
  <si>
    <t>TOMASA</t>
  </si>
  <si>
    <t>2015-05-04</t>
  </si>
  <si>
    <t>2021-08-18</t>
  </si>
  <si>
    <t>25585741-k</t>
  </si>
  <si>
    <t>Random</t>
  </si>
  <si>
    <t>2017-10-18</t>
  </si>
  <si>
    <t>Crema cafe</t>
  </si>
  <si>
    <t>2022-06-18</t>
  </si>
  <si>
    <t>9190685-6</t>
  </si>
  <si>
    <t>Killua</t>
  </si>
  <si>
    <t>17360331-2</t>
  </si>
  <si>
    <t>Lali</t>
  </si>
  <si>
    <t>18744899-9</t>
  </si>
  <si>
    <t>19554094-2</t>
  </si>
  <si>
    <t>2022-07-20</t>
  </si>
  <si>
    <t>Gatalina</t>
  </si>
  <si>
    <t>negro blanco rojo</t>
  </si>
  <si>
    <t>20315235-3</t>
  </si>
  <si>
    <t>Kaido</t>
  </si>
  <si>
    <t>2022-07-27</t>
  </si>
  <si>
    <t>18555023-0</t>
  </si>
  <si>
    <t>18397552-8</t>
  </si>
  <si>
    <t>Pablo</t>
  </si>
  <si>
    <t>2017-09-09</t>
  </si>
  <si>
    <t>7422624-8</t>
  </si>
  <si>
    <t>Loki</t>
  </si>
  <si>
    <t>10746708-4</t>
  </si>
  <si>
    <t>Toddy</t>
  </si>
  <si>
    <t>2022-06-21</t>
  </si>
  <si>
    <t>gris blanco tabby</t>
  </si>
  <si>
    <t>19249533-4</t>
  </si>
  <si>
    <t>Cafe gris</t>
  </si>
  <si>
    <t>2021-05-16</t>
  </si>
  <si>
    <t>16170483-0</t>
  </si>
  <si>
    <t>Dragón</t>
  </si>
  <si>
    <t>2014-07-27</t>
  </si>
  <si>
    <t>5220118-7</t>
  </si>
  <si>
    <t>Kayser</t>
  </si>
  <si>
    <t>2021-09-21</t>
  </si>
  <si>
    <t>21386225-1</t>
  </si>
  <si>
    <t>16322232-9</t>
  </si>
  <si>
    <t>Richard Parker</t>
  </si>
  <si>
    <t>Spike</t>
  </si>
  <si>
    <t>2021-09-22</t>
  </si>
  <si>
    <t>15261435-7</t>
  </si>
  <si>
    <t>Aluen</t>
  </si>
  <si>
    <t>16805632-k</t>
  </si>
  <si>
    <t xml:space="preserve">Nerón </t>
  </si>
  <si>
    <t>2022-06-30</t>
  </si>
  <si>
    <t>Jared</t>
  </si>
  <si>
    <t>2014-06-30</t>
  </si>
  <si>
    <t>18796305-2</t>
  </si>
  <si>
    <t>2019-12-04</t>
  </si>
  <si>
    <t>Lisa</t>
  </si>
  <si>
    <t>2021-03-19</t>
  </si>
  <si>
    <t>18592082-8</t>
  </si>
  <si>
    <t>2015-10-05</t>
  </si>
  <si>
    <t>13160227-8</t>
  </si>
  <si>
    <t>RANDY</t>
  </si>
  <si>
    <t>2015-06-13</t>
  </si>
  <si>
    <t>17739591-9</t>
  </si>
  <si>
    <t>ROLY</t>
  </si>
  <si>
    <t>16343954-9</t>
  </si>
  <si>
    <t>RAMEN</t>
  </si>
  <si>
    <t>AKILES</t>
  </si>
  <si>
    <t>2022-08-19</t>
  </si>
  <si>
    <t>Campana</t>
  </si>
  <si>
    <t>2015-01-08</t>
  </si>
  <si>
    <t>13609615-k</t>
  </si>
  <si>
    <t>2022-08-10</t>
  </si>
  <si>
    <t>19465232-1</t>
  </si>
  <si>
    <t>2022-05-05</t>
  </si>
  <si>
    <t>11324798-3</t>
  </si>
  <si>
    <t>Copo</t>
  </si>
  <si>
    <t>2022-09-01</t>
  </si>
  <si>
    <t>18591757-6</t>
  </si>
  <si>
    <t>Pompon</t>
  </si>
  <si>
    <t>Dante</t>
  </si>
  <si>
    <t>2022-08-13</t>
  </si>
  <si>
    <t>10653651-1</t>
  </si>
  <si>
    <t>Guantes</t>
  </si>
  <si>
    <t>20047081-8</t>
  </si>
  <si>
    <t>Leo</t>
  </si>
  <si>
    <t>14081194-7</t>
  </si>
  <si>
    <t>Tripas</t>
  </si>
  <si>
    <t>2021-12-14</t>
  </si>
  <si>
    <t>21513391-5</t>
  </si>
  <si>
    <t>Keto</t>
  </si>
  <si>
    <t>18887377-4</t>
  </si>
  <si>
    <t>Hachi</t>
  </si>
  <si>
    <t>2022-08-03</t>
  </si>
  <si>
    <t>10293718-K</t>
  </si>
  <si>
    <t>Fidel</t>
  </si>
  <si>
    <t>20963419-8</t>
  </si>
  <si>
    <t>Baltazar</t>
  </si>
  <si>
    <t>Cafe Claro</t>
  </si>
  <si>
    <t>Hera</t>
  </si>
  <si>
    <t>Cafe  con manchas</t>
  </si>
  <si>
    <t>Adele</t>
  </si>
  <si>
    <t>26416840-6</t>
  </si>
  <si>
    <t>18775562-k</t>
  </si>
  <si>
    <t>20345654-9</t>
  </si>
  <si>
    <t>Drake</t>
  </si>
  <si>
    <t xml:space="preserve">Cafe negro </t>
  </si>
  <si>
    <t>2015-02-08</t>
  </si>
  <si>
    <t>15759122-3</t>
  </si>
  <si>
    <t>Reco</t>
  </si>
  <si>
    <t>2022-05-08</t>
  </si>
  <si>
    <t>18828552-k</t>
  </si>
  <si>
    <t>Canelita</t>
  </si>
  <si>
    <t>15552394-8</t>
  </si>
  <si>
    <t>Mia Zoe</t>
  </si>
  <si>
    <t>2020-08-27</t>
  </si>
  <si>
    <t>2017-10-24</t>
  </si>
  <si>
    <t>Ron</t>
  </si>
  <si>
    <t xml:space="preserve">Crema </t>
  </si>
  <si>
    <t>Panchito</t>
  </si>
  <si>
    <t>2018-10-24</t>
  </si>
  <si>
    <t>Mascara</t>
  </si>
  <si>
    <t>2014-10-24</t>
  </si>
  <si>
    <t>21293105-5</t>
  </si>
  <si>
    <t>Tigre</t>
  </si>
  <si>
    <t>tabby azul (negro café)</t>
  </si>
  <si>
    <t>2022-03-22</t>
  </si>
  <si>
    <t>Mili</t>
  </si>
  <si>
    <t>rojo negro blanco</t>
  </si>
  <si>
    <t>19942060-7</t>
  </si>
  <si>
    <t xml:space="preserve">Blanco Negro </t>
  </si>
  <si>
    <t>2022-09-12</t>
  </si>
  <si>
    <t>cloe</t>
  </si>
  <si>
    <t>carey</t>
  </si>
  <si>
    <t>16137592-6</t>
  </si>
  <si>
    <t>Monty</t>
  </si>
  <si>
    <t>2022-08-15</t>
  </si>
  <si>
    <t>Darla</t>
  </si>
  <si>
    <t>Mochi</t>
  </si>
  <si>
    <t>2022-09-06</t>
  </si>
  <si>
    <t>18776549-8</t>
  </si>
  <si>
    <t>Cali</t>
  </si>
  <si>
    <t xml:space="preserve">calico </t>
  </si>
  <si>
    <t>Crema Cafe</t>
  </si>
  <si>
    <t>2005-11-09</t>
  </si>
  <si>
    <t>15883806-0</t>
  </si>
  <si>
    <t>Buzz</t>
  </si>
  <si>
    <t>20134631-2</t>
  </si>
  <si>
    <t>Khai</t>
  </si>
  <si>
    <t>oro blanco</t>
  </si>
  <si>
    <t>11063854-k</t>
  </si>
  <si>
    <t>Pacita</t>
  </si>
  <si>
    <t>11315566-3</t>
  </si>
  <si>
    <t>brownie</t>
  </si>
  <si>
    <t>Kyen</t>
  </si>
  <si>
    <t>2008-11-11</t>
  </si>
  <si>
    <t>13587806-5</t>
  </si>
  <si>
    <t>Matilda</t>
  </si>
  <si>
    <t>2022-07-01</t>
  </si>
  <si>
    <t>21218844-1</t>
  </si>
  <si>
    <t>Syra</t>
  </si>
  <si>
    <t>2020-12-25</t>
  </si>
  <si>
    <t>2022-09-16</t>
  </si>
  <si>
    <t>13609436-k</t>
  </si>
  <si>
    <t>2017-11-16</t>
  </si>
  <si>
    <t>21063884-9</t>
  </si>
  <si>
    <t>2022-08-17</t>
  </si>
  <si>
    <t>16564420-4</t>
  </si>
  <si>
    <t>Tooby</t>
  </si>
  <si>
    <t>2022-10-17</t>
  </si>
  <si>
    <t>15299775-2</t>
  </si>
  <si>
    <t>21888021-5</t>
  </si>
  <si>
    <t>2022-07-19</t>
  </si>
  <si>
    <t>14518894-6</t>
  </si>
  <si>
    <t>2019-11-17</t>
  </si>
  <si>
    <t>18623778-1</t>
  </si>
  <si>
    <t>Kalem</t>
  </si>
  <si>
    <t>Zelda</t>
  </si>
  <si>
    <t>blanca azul</t>
  </si>
  <si>
    <t>Mancha</t>
  </si>
  <si>
    <t>2022-09-17</t>
  </si>
  <si>
    <t>15261766-6</t>
  </si>
  <si>
    <t>Mio</t>
  </si>
  <si>
    <t>19250027-3</t>
  </si>
  <si>
    <t>2022-08-26</t>
  </si>
  <si>
    <t>20556565-5</t>
  </si>
  <si>
    <t>2022-10-29</t>
  </si>
  <si>
    <t>13846904-2</t>
  </si>
  <si>
    <t>Tita</t>
  </si>
  <si>
    <t>Blanco negro rojo</t>
  </si>
  <si>
    <t>2014-11-30</t>
  </si>
  <si>
    <t>Orejon</t>
  </si>
  <si>
    <t>2018-05-29</t>
  </si>
  <si>
    <t>2022-10-10</t>
  </si>
  <si>
    <t>Manchas</t>
  </si>
  <si>
    <t>12748158-k</t>
  </si>
  <si>
    <t>2017-04-24</t>
  </si>
  <si>
    <t>15262584-7</t>
  </si>
  <si>
    <t>Tigris</t>
  </si>
  <si>
    <t>2022-08-14</t>
  </si>
  <si>
    <t>Gati</t>
  </si>
  <si>
    <t>2022-09-22</t>
  </si>
  <si>
    <t>6124191-4</t>
  </si>
  <si>
    <t>Kika</t>
  </si>
  <si>
    <t>2022-08-01</t>
  </si>
  <si>
    <t xml:space="preserve">Kira </t>
  </si>
  <si>
    <t>2022-06-14</t>
  </si>
  <si>
    <t>20160315-3</t>
  </si>
  <si>
    <t>Psyquis</t>
  </si>
  <si>
    <t>2022-10-06</t>
  </si>
  <si>
    <t>16564515-4</t>
  </si>
  <si>
    <t>Kan</t>
  </si>
  <si>
    <t>2017-10-15</t>
  </si>
  <si>
    <t>11425083-k</t>
  </si>
  <si>
    <t>Charly</t>
  </si>
  <si>
    <t>2022-09-07</t>
  </si>
  <si>
    <t>Azul</t>
  </si>
  <si>
    <t>2022-11-23</t>
  </si>
  <si>
    <t>20625554-4</t>
  </si>
  <si>
    <t>Chaplin</t>
  </si>
  <si>
    <t>Samira</t>
  </si>
  <si>
    <t>12748739-1</t>
  </si>
  <si>
    <t>Loly</t>
  </si>
  <si>
    <t>2022-10-25</t>
  </si>
  <si>
    <t>Bruma</t>
  </si>
  <si>
    <t>15159293-7</t>
  </si>
  <si>
    <t xml:space="preserve">Kira Antonia </t>
  </si>
  <si>
    <t>2022-11-02</t>
  </si>
  <si>
    <t>19555041-7</t>
  </si>
  <si>
    <t>Maddie</t>
  </si>
  <si>
    <t>2022-10-07</t>
  </si>
  <si>
    <t>20235269-3</t>
  </si>
  <si>
    <t>Wakamochi</t>
  </si>
  <si>
    <t>2022-07-15</t>
  </si>
  <si>
    <t>18173474-4</t>
  </si>
  <si>
    <t>2022-01-15</t>
  </si>
  <si>
    <t>Amanda</t>
  </si>
  <si>
    <t>2014-12-15</t>
  </si>
  <si>
    <t>10779999-0</t>
  </si>
  <si>
    <t>Sol</t>
  </si>
  <si>
    <t xml:space="preserve">blanco </t>
  </si>
  <si>
    <t>17963690-5</t>
  </si>
  <si>
    <t>Ernesto</t>
  </si>
  <si>
    <t>2018-12-17</t>
  </si>
  <si>
    <t>2022-09-28</t>
  </si>
  <si>
    <t>Lily</t>
  </si>
  <si>
    <t>2018-12-18</t>
  </si>
  <si>
    <t>10020390-1</t>
  </si>
  <si>
    <t>coco</t>
  </si>
  <si>
    <t>conejo nn</t>
  </si>
  <si>
    <t>2022-12-14</t>
  </si>
  <si>
    <t>13520091-3</t>
  </si>
  <si>
    <t>Yogi</t>
  </si>
  <si>
    <t>2014-12-18</t>
  </si>
  <si>
    <t>8620741-9</t>
  </si>
  <si>
    <t>2013-12-18</t>
  </si>
  <si>
    <t>Cosku</t>
  </si>
  <si>
    <t>12310692-k</t>
  </si>
  <si>
    <t>Dakota</t>
  </si>
  <si>
    <t>2016-06-19</t>
  </si>
  <si>
    <t>Serenito</t>
  </si>
  <si>
    <t>12974384-0</t>
  </si>
  <si>
    <t>2021-12-21</t>
  </si>
  <si>
    <t>2018-12-21</t>
  </si>
  <si>
    <t>26187454-7</t>
  </si>
  <si>
    <t>Toy</t>
  </si>
  <si>
    <t>2022-11-21</t>
  </si>
  <si>
    <t>16805915-9</t>
  </si>
  <si>
    <t>2022-07-21</t>
  </si>
  <si>
    <t>Lupita</t>
  </si>
  <si>
    <t>2022-10-23</t>
  </si>
  <si>
    <t>18571869-7</t>
  </si>
  <si>
    <t>filo</t>
  </si>
  <si>
    <t>2022-01-26</t>
  </si>
  <si>
    <t>2019-08-30</t>
  </si>
  <si>
    <t>cafe blanco</t>
  </si>
  <si>
    <t>19351114-7</t>
  </si>
  <si>
    <t>Torfin</t>
  </si>
  <si>
    <t>Balu</t>
  </si>
  <si>
    <t>2022-11-26</t>
  </si>
  <si>
    <t>15292813-0</t>
  </si>
  <si>
    <t>2022-11-08</t>
  </si>
  <si>
    <t>20207253-4</t>
  </si>
  <si>
    <t>Barri</t>
  </si>
  <si>
    <t>21026255-5</t>
  </si>
  <si>
    <t>2021-11-13</t>
  </si>
  <si>
    <t>Renata</t>
  </si>
  <si>
    <t>2021-12-31</t>
  </si>
  <si>
    <t>16805205-7</t>
  </si>
  <si>
    <t>Bambu</t>
  </si>
  <si>
    <t>2022-08-28</t>
  </si>
  <si>
    <t>20314297-8</t>
  </si>
  <si>
    <t>Chispita</t>
  </si>
  <si>
    <t>2018-12-29</t>
  </si>
  <si>
    <t>2022-10-30</t>
  </si>
  <si>
    <t>21036787-k</t>
  </si>
  <si>
    <t>copo</t>
  </si>
  <si>
    <t>15883845-1</t>
  </si>
  <si>
    <t>Floki</t>
  </si>
  <si>
    <t>2022-10-22</t>
  </si>
  <si>
    <t>19624699-1</t>
  </si>
  <si>
    <t>Rosario</t>
  </si>
  <si>
    <t>Cafe Gris Blanco</t>
  </si>
  <si>
    <t>17067706-4</t>
  </si>
  <si>
    <t>Aika</t>
  </si>
  <si>
    <t>20151079-1</t>
  </si>
  <si>
    <t xml:space="preserve">Cornelio </t>
  </si>
  <si>
    <t>2010-12-15</t>
  </si>
  <si>
    <t>18591713-4</t>
  </si>
  <si>
    <t>Venus</t>
  </si>
  <si>
    <t>2022-11-16</t>
  </si>
  <si>
    <t>14083340-1</t>
  </si>
  <si>
    <t>15723451-k</t>
  </si>
  <si>
    <t>Schnauzer Miniatura</t>
  </si>
  <si>
    <t>20314409-1</t>
  </si>
  <si>
    <t>2022-06-24</t>
  </si>
  <si>
    <t>16320208-5</t>
  </si>
  <si>
    <t xml:space="preserve">Amarillo </t>
  </si>
  <si>
    <t>2022-10-05</t>
  </si>
  <si>
    <t>21831390-6</t>
  </si>
  <si>
    <t>Felicia</t>
  </si>
  <si>
    <t>2022-10-26</t>
  </si>
  <si>
    <t>Hulk</t>
  </si>
  <si>
    <t>2022-10-24</t>
  </si>
  <si>
    <t>21003681-4</t>
  </si>
  <si>
    <t xml:space="preserve">plomo </t>
  </si>
  <si>
    <t>2022-11-18</t>
  </si>
  <si>
    <t>14284854-6</t>
  </si>
  <si>
    <t>Pelos</t>
  </si>
  <si>
    <t>odin</t>
  </si>
  <si>
    <t>2022-11-09</t>
  </si>
  <si>
    <t>12430706-6</t>
  </si>
  <si>
    <t>Tory</t>
  </si>
  <si>
    <t>11483779-2</t>
  </si>
  <si>
    <t>Kaly</t>
  </si>
  <si>
    <t>Carei</t>
  </si>
  <si>
    <t>2022-11-10</t>
  </si>
  <si>
    <t>Winry</t>
  </si>
  <si>
    <t>2022-11-01</t>
  </si>
  <si>
    <t>memphis</t>
  </si>
  <si>
    <t>Diana</t>
  </si>
  <si>
    <t>2022-06-10</t>
  </si>
  <si>
    <t>15531223-8</t>
  </si>
  <si>
    <t>Queen</t>
  </si>
  <si>
    <t>2022-11-28</t>
  </si>
  <si>
    <t>22577656-3</t>
  </si>
  <si>
    <t>Raul</t>
  </si>
  <si>
    <t>2022-12-01</t>
  </si>
  <si>
    <t>19016675-9</t>
  </si>
  <si>
    <t>2018-01-13</t>
  </si>
  <si>
    <t>14237102-2</t>
  </si>
  <si>
    <t>2018-05-10</t>
  </si>
  <si>
    <t>20949818-9</t>
  </si>
  <si>
    <t>Kiri</t>
  </si>
  <si>
    <t>20601443-1</t>
  </si>
  <si>
    <t>negrita crema</t>
  </si>
  <si>
    <t>negrita blanca</t>
  </si>
  <si>
    <t>15281856-4</t>
  </si>
  <si>
    <t>15478478-0</t>
  </si>
  <si>
    <t>18287766-2</t>
  </si>
  <si>
    <t>Agata</t>
  </si>
  <si>
    <t>2013-09-01</t>
  </si>
  <si>
    <t>Cafe Negro Gris</t>
  </si>
  <si>
    <t>18132829-0</t>
  </si>
  <si>
    <t>2022-11-25</t>
  </si>
  <si>
    <t>13160527-7</t>
  </si>
  <si>
    <t>Cloe</t>
  </si>
  <si>
    <t>19554284-8</t>
  </si>
  <si>
    <t>Agustín</t>
  </si>
  <si>
    <t>José Tomás</t>
  </si>
  <si>
    <t>2018-07-28</t>
  </si>
  <si>
    <t>Charlie</t>
  </si>
  <si>
    <t>Maki</t>
  </si>
  <si>
    <t>2022-11-14</t>
  </si>
  <si>
    <t>15759684-5</t>
  </si>
  <si>
    <t>Osa</t>
  </si>
  <si>
    <t>20135261-4</t>
  </si>
  <si>
    <t>Enki</t>
  </si>
  <si>
    <t xml:space="preserve">  </t>
  </si>
  <si>
    <t>2022-10-01</t>
  </si>
  <si>
    <t>20313991-8</t>
  </si>
  <si>
    <t>Mamí</t>
  </si>
  <si>
    <t xml:space="preserve">tabby </t>
  </si>
  <si>
    <t>Pucca</t>
  </si>
  <si>
    <t>11325407-6</t>
  </si>
  <si>
    <t>Mimi</t>
  </si>
  <si>
    <t>2013-07-13</t>
  </si>
  <si>
    <t>22343288-3</t>
  </si>
  <si>
    <t>Apolo</t>
  </si>
  <si>
    <t>negro blanco cafe</t>
  </si>
  <si>
    <t>2022-11-15</t>
  </si>
  <si>
    <t>21957517-3</t>
  </si>
  <si>
    <t>2006-10-07</t>
  </si>
  <si>
    <t>11114795-7</t>
  </si>
  <si>
    <t>Monona</t>
  </si>
  <si>
    <t>2022-11-29</t>
  </si>
  <si>
    <t>16048618-k</t>
  </si>
  <si>
    <t>Vaqui</t>
  </si>
  <si>
    <t>2021-10-14</t>
  </si>
  <si>
    <t>15530225-9</t>
  </si>
  <si>
    <t>Facundo</t>
  </si>
  <si>
    <t>2022-12-24</t>
  </si>
  <si>
    <t>17692898-0</t>
  </si>
  <si>
    <t>beige</t>
  </si>
  <si>
    <t>2021-08-21</t>
  </si>
  <si>
    <t>15547152-2</t>
  </si>
  <si>
    <t>Marly</t>
  </si>
  <si>
    <t>2022-11-07</t>
  </si>
  <si>
    <t>18591011-3</t>
  </si>
  <si>
    <t>Coffee</t>
  </si>
  <si>
    <t>beige negro</t>
  </si>
  <si>
    <t>2022-11-12</t>
  </si>
  <si>
    <t>Zeus</t>
  </si>
  <si>
    <t>18887948-9</t>
  </si>
  <si>
    <t>blanco cafe</t>
  </si>
  <si>
    <t>16263340-6</t>
  </si>
  <si>
    <t>café blanco negro</t>
  </si>
  <si>
    <t>2022-12-13</t>
  </si>
  <si>
    <t>2022-11-13</t>
  </si>
  <si>
    <t>13817443-3</t>
  </si>
  <si>
    <t>2019-03-05</t>
  </si>
  <si>
    <t>7453831-2</t>
  </si>
  <si>
    <t>19248997-0</t>
  </si>
  <si>
    <t>Curama</t>
  </si>
  <si>
    <t>11411223-2</t>
  </si>
  <si>
    <t>Perlusa (rayito)</t>
  </si>
  <si>
    <t>blanco beige</t>
  </si>
  <si>
    <t>15265368-9</t>
  </si>
  <si>
    <t>Farcas</t>
  </si>
  <si>
    <t>17436362-5</t>
  </si>
  <si>
    <t>18775904-8</t>
  </si>
  <si>
    <t>Blass</t>
  </si>
  <si>
    <t>13191883-6</t>
  </si>
  <si>
    <t>2022-12-20</t>
  </si>
  <si>
    <t>7326058-2</t>
  </si>
  <si>
    <t>Luigui</t>
  </si>
  <si>
    <t>Jack Russell terrier</t>
  </si>
  <si>
    <t>2021-12-17</t>
  </si>
  <si>
    <t>11703231-0</t>
  </si>
  <si>
    <t>17832297-4</t>
  </si>
  <si>
    <t>13609176-k</t>
  </si>
  <si>
    <t>Mara</t>
  </si>
  <si>
    <t>2022-10-08</t>
  </si>
  <si>
    <t>Yeti</t>
  </si>
  <si>
    <t>Corbata</t>
  </si>
  <si>
    <t>15548439-k</t>
  </si>
  <si>
    <t>Domka</t>
  </si>
  <si>
    <t>2013-09-03</t>
  </si>
  <si>
    <t>15261603-1</t>
  </si>
  <si>
    <t>Emma</t>
  </si>
  <si>
    <t>2022-10-14</t>
  </si>
  <si>
    <t>Like</t>
  </si>
  <si>
    <t>2022-11-19</t>
  </si>
  <si>
    <t>Lolita</t>
  </si>
  <si>
    <t>2009-02-14</t>
  </si>
  <si>
    <t>11705245-1</t>
  </si>
  <si>
    <t>nehuen</t>
  </si>
  <si>
    <t>2015-03-18</t>
  </si>
  <si>
    <t>Duffi</t>
  </si>
  <si>
    <t>2012-02-15</t>
  </si>
  <si>
    <t>17324201-8</t>
  </si>
  <si>
    <t>negro amarillo</t>
  </si>
  <si>
    <t>2015-02-15</t>
  </si>
  <si>
    <t>20278332-5</t>
  </si>
  <si>
    <t>2019-01-17</t>
  </si>
  <si>
    <t>Mac</t>
  </si>
  <si>
    <t>2022-12-15</t>
  </si>
  <si>
    <t>16806024-6</t>
  </si>
  <si>
    <t>Cala</t>
  </si>
  <si>
    <t>16160515-8</t>
  </si>
  <si>
    <t>Mila</t>
  </si>
  <si>
    <t>2022-12-16</t>
  </si>
  <si>
    <t>10357103-0</t>
  </si>
  <si>
    <t>12200103-2</t>
  </si>
  <si>
    <t>blanco negro cafe</t>
  </si>
  <si>
    <t>2022-10-16</t>
  </si>
  <si>
    <t>17280229-k</t>
  </si>
  <si>
    <t>Anya</t>
  </si>
  <si>
    <t>2022-10-20</t>
  </si>
  <si>
    <t>14281857-4</t>
  </si>
  <si>
    <t>platinado</t>
  </si>
  <si>
    <t>16397560-2</t>
  </si>
  <si>
    <t>Otto</t>
  </si>
  <si>
    <t>5336761-5</t>
  </si>
  <si>
    <t>Firulais</t>
  </si>
  <si>
    <t>18134406-7</t>
  </si>
  <si>
    <t>Guardián</t>
  </si>
  <si>
    <t>19168265-3</t>
  </si>
  <si>
    <t>Donka</t>
  </si>
  <si>
    <t>2009-02-20</t>
  </si>
  <si>
    <t>13587513-9</t>
  </si>
  <si>
    <t>Kratos</t>
  </si>
  <si>
    <t>13609517-k</t>
  </si>
  <si>
    <t>Doka</t>
  </si>
  <si>
    <t>2022-12-21</t>
  </si>
  <si>
    <t>Laika</t>
  </si>
  <si>
    <t>11364926-7</t>
  </si>
  <si>
    <t>2014-10-22</t>
  </si>
  <si>
    <t>13847120-9</t>
  </si>
  <si>
    <t>Koda</t>
  </si>
  <si>
    <t>12994090-5</t>
  </si>
  <si>
    <t>Sin nombre</t>
  </si>
  <si>
    <t>cafe plateado</t>
  </si>
  <si>
    <t>2022-02-23</t>
  </si>
  <si>
    <t>12994579-6</t>
  </si>
  <si>
    <t>Negro blanco</t>
  </si>
  <si>
    <t>2014-02-23</t>
  </si>
  <si>
    <t>16806350-4</t>
  </si>
  <si>
    <t>Seth</t>
  </si>
  <si>
    <t>2023-02-09</t>
  </si>
  <si>
    <t>15294238-9</t>
  </si>
  <si>
    <t>Perlita</t>
  </si>
  <si>
    <t>Gatito</t>
  </si>
  <si>
    <t>2022-12-27</t>
  </si>
  <si>
    <t>Regalon</t>
  </si>
  <si>
    <t>13514419-3</t>
  </si>
  <si>
    <t>Luno</t>
  </si>
  <si>
    <t>14227770-0</t>
  </si>
  <si>
    <t>Lupe</t>
  </si>
  <si>
    <t>19554718-1</t>
  </si>
  <si>
    <t>Gunner</t>
  </si>
  <si>
    <t>15293672-9</t>
  </si>
  <si>
    <t>2022-12-02</t>
  </si>
  <si>
    <t>2026-06-02</t>
  </si>
  <si>
    <t>17067195-3</t>
  </si>
  <si>
    <t>2015-08-02</t>
  </si>
  <si>
    <t>2020-02-02</t>
  </si>
  <si>
    <t>17694164-2</t>
  </si>
  <si>
    <t>negro blanco café</t>
  </si>
  <si>
    <t>19938256-k</t>
  </si>
  <si>
    <t>Sirius</t>
  </si>
  <si>
    <t>2022-12-19</t>
  </si>
  <si>
    <t>15287718-8</t>
  </si>
  <si>
    <t>Harko</t>
  </si>
  <si>
    <t>18590087-8</t>
  </si>
  <si>
    <t>Kennai</t>
  </si>
  <si>
    <t>2016-01-30</t>
  </si>
  <si>
    <t>11919900-k</t>
  </si>
  <si>
    <t>Braco de Ariege</t>
  </si>
  <si>
    <t>2013-03-07</t>
  </si>
  <si>
    <t>11704251-0</t>
  </si>
  <si>
    <t>Llovizna</t>
  </si>
  <si>
    <t>2007-03-07</t>
  </si>
  <si>
    <t>17067319-0</t>
  </si>
  <si>
    <t>Oso</t>
  </si>
  <si>
    <t>2023-01-23</t>
  </si>
  <si>
    <t>15549154-k</t>
  </si>
  <si>
    <t>romano</t>
  </si>
  <si>
    <t>2023-01-08</t>
  </si>
  <si>
    <t>2023-01-20</t>
  </si>
  <si>
    <t>Raya</t>
  </si>
  <si>
    <t>2022-05-01</t>
  </si>
  <si>
    <t>18332487-k</t>
  </si>
  <si>
    <t>Harry</t>
  </si>
  <si>
    <t>2023-01-01</t>
  </si>
  <si>
    <t>Diego</t>
  </si>
  <si>
    <t>21117318-1</t>
  </si>
  <si>
    <t>2022-09-10</t>
  </si>
  <si>
    <t>16805265-0</t>
  </si>
  <si>
    <t>Peludin</t>
  </si>
  <si>
    <t>Blacky</t>
  </si>
  <si>
    <t>Kenay</t>
  </si>
  <si>
    <t>2023-01-21</t>
  </si>
  <si>
    <t>Goofy</t>
  </si>
  <si>
    <t>2012-02-07</t>
  </si>
  <si>
    <t>Michina</t>
  </si>
  <si>
    <t>2017-03-10</t>
  </si>
  <si>
    <t xml:space="preserve">Hana </t>
  </si>
  <si>
    <t xml:space="preserve">Picha </t>
  </si>
  <si>
    <t>2021-05-11</t>
  </si>
  <si>
    <t>8147935-6</t>
  </si>
  <si>
    <t>18948437-2</t>
  </si>
  <si>
    <t>2022-10-18</t>
  </si>
  <si>
    <t>Rola</t>
  </si>
  <si>
    <t>2021-03-16</t>
  </si>
  <si>
    <t>19548167-9</t>
  </si>
  <si>
    <t>Milka</t>
  </si>
  <si>
    <t>Fedor</t>
  </si>
  <si>
    <t>2023-02-05</t>
  </si>
  <si>
    <t>Polito</t>
  </si>
  <si>
    <t>6421396-2</t>
  </si>
  <si>
    <t>Pachuco</t>
  </si>
  <si>
    <t xml:space="preserve">negro </t>
  </si>
  <si>
    <t>2010-08-12</t>
  </si>
  <si>
    <t>2023-02-11</t>
  </si>
  <si>
    <t>Rubí</t>
  </si>
  <si>
    <t>2023-01-10</t>
  </si>
  <si>
    <t>negro blanco marrón</t>
  </si>
  <si>
    <t>2023-01-16</t>
  </si>
  <si>
    <t>18288739-0</t>
  </si>
  <si>
    <t>Peca</t>
  </si>
  <si>
    <t>Ahijado</t>
  </si>
  <si>
    <t>19248804-4</t>
  </si>
  <si>
    <t>rubio</t>
  </si>
  <si>
    <t>2013-08-15</t>
  </si>
  <si>
    <t>17068096-0</t>
  </si>
  <si>
    <t>Doki</t>
  </si>
  <si>
    <t xml:space="preserve">blanco con negro </t>
  </si>
  <si>
    <t>17359542-5</t>
  </si>
  <si>
    <t>Lio</t>
  </si>
  <si>
    <t>2023-02-10</t>
  </si>
  <si>
    <t>Gatitos</t>
  </si>
  <si>
    <t>negro blanco plomo</t>
  </si>
  <si>
    <t>2023-03-08</t>
  </si>
  <si>
    <t>Rhea</t>
  </si>
  <si>
    <t>café negro blanco</t>
  </si>
  <si>
    <t>2023-01-29</t>
  </si>
  <si>
    <t>9861092-8</t>
  </si>
  <si>
    <t>2017-02-14</t>
  </si>
  <si>
    <t>Lilibeth</t>
  </si>
  <si>
    <t>17343959-8</t>
  </si>
  <si>
    <t>2010-08-14</t>
  </si>
  <si>
    <t>18591777-0</t>
  </si>
  <si>
    <t>Otto Rey</t>
  </si>
  <si>
    <t>cafecito</t>
  </si>
  <si>
    <t>15708321-k</t>
  </si>
  <si>
    <t>Rocket</t>
  </si>
  <si>
    <t>2020-06-17</t>
  </si>
  <si>
    <t>10442429-5</t>
  </si>
  <si>
    <t xml:space="preserve">Lulú </t>
  </si>
  <si>
    <t xml:space="preserve">jaspeado </t>
  </si>
  <si>
    <t>18592322-3</t>
  </si>
  <si>
    <t>2023-01-31</t>
  </si>
  <si>
    <t>12045787-k</t>
  </si>
  <si>
    <t>2016-03-05</t>
  </si>
  <si>
    <t>18886710-3</t>
  </si>
  <si>
    <t>Roca</t>
  </si>
  <si>
    <t>Heimerdinger</t>
  </si>
  <si>
    <t>Persa</t>
  </si>
  <si>
    <t>2023-01-15</t>
  </si>
  <si>
    <t>18775608-1</t>
  </si>
  <si>
    <t xml:space="preserve">Molly </t>
  </si>
  <si>
    <t>Chimy</t>
  </si>
  <si>
    <t>blanco negro rojo</t>
  </si>
  <si>
    <t>2022-01-06</t>
  </si>
  <si>
    <t>Mandi</t>
  </si>
  <si>
    <t>2023-02-12</t>
  </si>
  <si>
    <t>21532337-4</t>
  </si>
  <si>
    <t>Misifus</t>
  </si>
  <si>
    <t>2017-04-10</t>
  </si>
  <si>
    <t>17614240-5</t>
  </si>
  <si>
    <t xml:space="preserve">Ramón </t>
  </si>
  <si>
    <t>naranjo atigrado</t>
  </si>
  <si>
    <t>18134111-4</t>
  </si>
  <si>
    <t xml:space="preserve">Atún </t>
  </si>
  <si>
    <t>23191863-9</t>
  </si>
  <si>
    <t>2022-08-11</t>
  </si>
  <si>
    <t>11704217-0</t>
  </si>
  <si>
    <t>Dipper</t>
  </si>
  <si>
    <t>10636405-2</t>
  </si>
  <si>
    <t>lemon</t>
  </si>
  <si>
    <t xml:space="preserve">León </t>
  </si>
  <si>
    <t>15548326-1</t>
  </si>
  <si>
    <t>2023-02-14</t>
  </si>
  <si>
    <t>2023-01-26</t>
  </si>
  <si>
    <t>12015488-5</t>
  </si>
  <si>
    <t>Susi</t>
  </si>
  <si>
    <t>2023-02-28</t>
  </si>
  <si>
    <t>15293542-0</t>
  </si>
  <si>
    <t>2016-09-13</t>
  </si>
  <si>
    <t>20556553-1</t>
  </si>
  <si>
    <t>Dollinco</t>
  </si>
  <si>
    <t>Naranja</t>
  </si>
  <si>
    <t>13400195-k</t>
  </si>
  <si>
    <t>Mini</t>
  </si>
  <si>
    <t>grises</t>
  </si>
  <si>
    <t>2023-01-07</t>
  </si>
  <si>
    <t xml:space="preserve">Zeus </t>
  </si>
  <si>
    <t>2023-01-06</t>
  </si>
  <si>
    <t>15381857-6</t>
  </si>
  <si>
    <t>Milimili</t>
  </si>
  <si>
    <t>21792628-9</t>
  </si>
  <si>
    <t>Eva</t>
  </si>
  <si>
    <t>2015-03-06</t>
  </si>
  <si>
    <t>19938715-4</t>
  </si>
  <si>
    <t>Ambar</t>
  </si>
  <si>
    <t>2023-01-18</t>
  </si>
  <si>
    <t>16929735-5</t>
  </si>
  <si>
    <t>Roy</t>
  </si>
  <si>
    <t>Beige claro</t>
  </si>
  <si>
    <t>2022-10-04</t>
  </si>
  <si>
    <t>13515320-6</t>
  </si>
  <si>
    <t>2021-05-07</t>
  </si>
  <si>
    <t>21755789-5</t>
  </si>
  <si>
    <t>Hashi</t>
  </si>
  <si>
    <t>amarillo rojo</t>
  </si>
  <si>
    <t>19624974-5</t>
  </si>
  <si>
    <t>Smile</t>
  </si>
  <si>
    <t>atigrada</t>
  </si>
  <si>
    <t>2023-01-09</t>
  </si>
  <si>
    <t>chiquita</t>
  </si>
  <si>
    <t>blanco amarillo gris</t>
  </si>
  <si>
    <t>2023-01-04</t>
  </si>
  <si>
    <t>Rocky Alberto</t>
  </si>
  <si>
    <t>17692909-k</t>
  </si>
  <si>
    <t>gris atigrado</t>
  </si>
  <si>
    <t>11738386-5</t>
  </si>
  <si>
    <t>2015-07-09</t>
  </si>
  <si>
    <t>19350719-0</t>
  </si>
  <si>
    <t>2006-03-23</t>
  </si>
  <si>
    <t>8934232-5</t>
  </si>
  <si>
    <t>Mota</t>
  </si>
  <si>
    <t>2021-06-09</t>
  </si>
  <si>
    <t>Felicarpio</t>
  </si>
  <si>
    <t>Everest</t>
  </si>
  <si>
    <t>11130238-3</t>
  </si>
  <si>
    <t>kiro</t>
  </si>
  <si>
    <t>2017-02-25</t>
  </si>
  <si>
    <t>14009009-3</t>
  </si>
  <si>
    <t>Natasha</t>
  </si>
  <si>
    <t>Gusgus</t>
  </si>
  <si>
    <t>2022-10-15</t>
  </si>
  <si>
    <t>Hela</t>
  </si>
  <si>
    <t>2023-01-05</t>
  </si>
  <si>
    <t>Lilo</t>
  </si>
  <si>
    <t>19004875-6</t>
  </si>
  <si>
    <t>Tiana</t>
  </si>
  <si>
    <t>café claro</t>
  </si>
  <si>
    <t>Sara</t>
  </si>
  <si>
    <t>Boston</t>
  </si>
  <si>
    <t>Jelly</t>
  </si>
  <si>
    <t>17693474-3</t>
  </si>
  <si>
    <t>Love</t>
  </si>
  <si>
    <t>2023-03-15</t>
  </si>
  <si>
    <t>taby azul blanco</t>
  </si>
  <si>
    <t xml:space="preserve">Lua </t>
  </si>
  <si>
    <t>2023-03-27</t>
  </si>
  <si>
    <t>12114227-9</t>
  </si>
  <si>
    <t>2022-12-10</t>
  </si>
  <si>
    <t>5023411-8</t>
  </si>
  <si>
    <t>18514100-4</t>
  </si>
  <si>
    <t>Perrin</t>
  </si>
  <si>
    <t>2023-03-04</t>
  </si>
  <si>
    <t>azul crema blanco</t>
  </si>
  <si>
    <t>2022-12-28</t>
  </si>
  <si>
    <t>Maria Jesus</t>
  </si>
  <si>
    <t>2016-08-11</t>
  </si>
  <si>
    <t>Chispina</t>
  </si>
  <si>
    <t>gris con negro</t>
  </si>
  <si>
    <t>2023-03-05</t>
  </si>
  <si>
    <t>neci</t>
  </si>
  <si>
    <t>luffy</t>
  </si>
  <si>
    <t>18550617-7</t>
  </si>
  <si>
    <t>2021-09-08</t>
  </si>
  <si>
    <t>Toki</t>
  </si>
  <si>
    <t>2018-07-18</t>
  </si>
  <si>
    <t>19937902-k</t>
  </si>
  <si>
    <t>16604805-2</t>
  </si>
  <si>
    <t>19033804-5</t>
  </si>
  <si>
    <t>Brandy</t>
  </si>
  <si>
    <t>2018-06-10</t>
  </si>
  <si>
    <t>17513221-k</t>
  </si>
  <si>
    <t>Pitu</t>
  </si>
  <si>
    <t>2023-03-11</t>
  </si>
  <si>
    <t>18775723-1</t>
  </si>
  <si>
    <t>simba</t>
  </si>
  <si>
    <t>17360777-6</t>
  </si>
  <si>
    <t>Cachorra</t>
  </si>
  <si>
    <t>11325325-8</t>
  </si>
  <si>
    <t>Osiris</t>
  </si>
  <si>
    <t xml:space="preserve">naranjo </t>
  </si>
  <si>
    <t>2022-08-07</t>
  </si>
  <si>
    <t>21101440-7</t>
  </si>
  <si>
    <t xml:space="preserve">Nia </t>
  </si>
  <si>
    <t>2012-08-08</t>
  </si>
  <si>
    <t>Nube</t>
  </si>
  <si>
    <t>2023-03-02</t>
  </si>
  <si>
    <t>17360619-2</t>
  </si>
  <si>
    <t xml:space="preserve">Dilan </t>
  </si>
  <si>
    <t>rojo naranjo</t>
  </si>
  <si>
    <t>18134419-9</t>
  </si>
  <si>
    <t>Min Min</t>
  </si>
  <si>
    <t>café crema</t>
  </si>
  <si>
    <t>2023-02-24</t>
  </si>
  <si>
    <t>18132451-1</t>
  </si>
  <si>
    <t>2023-02-18</t>
  </si>
  <si>
    <t xml:space="preserve">Odin </t>
  </si>
  <si>
    <t>Gris atigrado</t>
  </si>
  <si>
    <t>2019-02-08</t>
  </si>
  <si>
    <t>Coraje</t>
  </si>
  <si>
    <t xml:space="preserve">Pipo </t>
  </si>
  <si>
    <t>21.500 pendiente</t>
  </si>
  <si>
    <t>Dalton</t>
  </si>
  <si>
    <t>Manchita</t>
  </si>
  <si>
    <t>Tormenta</t>
  </si>
  <si>
    <t>25338487-5</t>
  </si>
  <si>
    <t>Maluma</t>
  </si>
  <si>
    <t>12074118-7</t>
  </si>
  <si>
    <t>Luzbell</t>
  </si>
  <si>
    <t>15293519-6</t>
  </si>
  <si>
    <t>2023-03-23</t>
  </si>
  <si>
    <t xml:space="preserve">Bartolo </t>
  </si>
  <si>
    <t>negrito</t>
  </si>
  <si>
    <t>2009-05-08</t>
  </si>
  <si>
    <t>16464538-k</t>
  </si>
  <si>
    <t>Prince</t>
  </si>
  <si>
    <t xml:space="preserve">blanca gris </t>
  </si>
  <si>
    <t>2020-07-09</t>
  </si>
  <si>
    <t>19181609-9</t>
  </si>
  <si>
    <t xml:space="preserve">Michi </t>
  </si>
  <si>
    <t xml:space="preserve">café </t>
  </si>
  <si>
    <t>17066749-2</t>
  </si>
  <si>
    <t xml:space="preserve">Chavo </t>
  </si>
  <si>
    <t xml:space="preserve">blanco negro </t>
  </si>
  <si>
    <t>2022-05-09</t>
  </si>
  <si>
    <t>18289993-3</t>
  </si>
  <si>
    <t>2022-12-12</t>
  </si>
  <si>
    <t>15903841-6</t>
  </si>
  <si>
    <t>Gatito manchita</t>
  </si>
  <si>
    <t>2023-03-30</t>
  </si>
  <si>
    <t>gatita carey</t>
  </si>
  <si>
    <t>canoso grande</t>
  </si>
  <si>
    <t>negro canas</t>
  </si>
  <si>
    <t>canoso pequeño</t>
  </si>
  <si>
    <t>pelos blancos lomo</t>
  </si>
  <si>
    <t>chardonnay</t>
  </si>
  <si>
    <t>tricolor azul blanco rojo</t>
  </si>
  <si>
    <t>10314354-3</t>
  </si>
  <si>
    <t>Micha</t>
  </si>
  <si>
    <t>2022-09-30</t>
  </si>
  <si>
    <t>18852177-0</t>
  </si>
  <si>
    <t>Mandarino</t>
  </si>
  <si>
    <t>naranjo</t>
  </si>
  <si>
    <t>13378525-6</t>
  </si>
  <si>
    <t>Rocco Ignacio</t>
  </si>
  <si>
    <t>7380153-2</t>
  </si>
  <si>
    <t xml:space="preserve">Jack </t>
  </si>
  <si>
    <t xml:space="preserve">rubio atigrado </t>
  </si>
  <si>
    <t>2023-03-09</t>
  </si>
  <si>
    <t>20840582-9</t>
  </si>
  <si>
    <t>14281288-6</t>
  </si>
  <si>
    <t>Daddy</t>
  </si>
  <si>
    <t xml:space="preserve">Blanco con negro </t>
  </si>
  <si>
    <t>2016-07-10</t>
  </si>
  <si>
    <t>18474814-2</t>
  </si>
  <si>
    <t>Dua</t>
  </si>
  <si>
    <t>Orejas Caidas</t>
  </si>
  <si>
    <t>Gon Alexander</t>
  </si>
  <si>
    <t>26187708-2</t>
  </si>
  <si>
    <t>21414218-k</t>
  </si>
  <si>
    <t>Perry</t>
  </si>
  <si>
    <t>2013-03-05</t>
  </si>
  <si>
    <t>Sammy</t>
  </si>
  <si>
    <t>19555958-9</t>
  </si>
  <si>
    <t>Robin</t>
  </si>
  <si>
    <t>2023-02-21</t>
  </si>
  <si>
    <t>16571250-1</t>
  </si>
  <si>
    <t>2022-01-12</t>
  </si>
  <si>
    <t>21277104-k</t>
  </si>
  <si>
    <t>Giorno</t>
  </si>
  <si>
    <t>2022-05-13</t>
  </si>
  <si>
    <t>18133268-9</t>
  </si>
  <si>
    <t>21645217-8</t>
  </si>
  <si>
    <t>rubia blanco</t>
  </si>
  <si>
    <t>19836384-7</t>
  </si>
  <si>
    <t>2023-02-20</t>
  </si>
  <si>
    <t>20881472-9</t>
  </si>
  <si>
    <t>Piti</t>
  </si>
  <si>
    <t>2015-01-20</t>
  </si>
  <si>
    <t>Anyel</t>
  </si>
  <si>
    <t>2022-10-03</t>
  </si>
  <si>
    <t>2023-03-12</t>
  </si>
  <si>
    <t>13159017-2</t>
  </si>
  <si>
    <t>buda</t>
  </si>
  <si>
    <t>Shanti</t>
  </si>
  <si>
    <t>16464528-2</t>
  </si>
  <si>
    <t>Lavanda</t>
  </si>
  <si>
    <t>2023-03-16</t>
  </si>
  <si>
    <t>13119138-3</t>
  </si>
  <si>
    <t>Zamanta</t>
  </si>
  <si>
    <t>2023-05-03</t>
  </si>
  <si>
    <t>Pug 2</t>
  </si>
  <si>
    <t>Florencia</t>
  </si>
  <si>
    <t>2023-05-07</t>
  </si>
  <si>
    <t>Dominga</t>
  </si>
  <si>
    <t>17068406-0</t>
  </si>
  <si>
    <t>Gary</t>
  </si>
  <si>
    <t>2018-05-12</t>
  </si>
  <si>
    <t>21158413-0</t>
  </si>
  <si>
    <t>Misha</t>
  </si>
  <si>
    <t>tricolor rojo negro blanco</t>
  </si>
  <si>
    <t>8979320-3</t>
  </si>
  <si>
    <t>Morocha</t>
  </si>
  <si>
    <t>2023-04-01</t>
  </si>
  <si>
    <t>16925766-3</t>
  </si>
  <si>
    <t>17751630-9</t>
  </si>
  <si>
    <t>jelly</t>
  </si>
  <si>
    <t>tricolor calico</t>
  </si>
  <si>
    <t>12991917-5</t>
  </si>
  <si>
    <t>2023-02-01</t>
  </si>
  <si>
    <t>15397672-4</t>
  </si>
  <si>
    <t>shak</t>
  </si>
  <si>
    <t>Gamora</t>
  </si>
  <si>
    <t>2017-11-10</t>
  </si>
  <si>
    <t>10465719-2</t>
  </si>
  <si>
    <t>pleya</t>
  </si>
  <si>
    <t xml:space="preserve">tricolor </t>
  </si>
  <si>
    <t>2023-01-22</t>
  </si>
  <si>
    <t>2015-06-24</t>
  </si>
  <si>
    <t>16564660-6</t>
  </si>
  <si>
    <t>20780143-7</t>
  </si>
  <si>
    <t>Aiko</t>
  </si>
  <si>
    <t>15952959-2</t>
  </si>
  <si>
    <t>Guante</t>
  </si>
  <si>
    <t>Shackira</t>
  </si>
  <si>
    <t>blanco cafe naranjo</t>
  </si>
  <si>
    <t>17091779-0</t>
  </si>
  <si>
    <t>Milla</t>
  </si>
  <si>
    <t>2021-10-29</t>
  </si>
  <si>
    <t>20135324-6</t>
  </si>
  <si>
    <t>Ginger</t>
  </si>
  <si>
    <t>2022-11-05</t>
  </si>
  <si>
    <t>15294403-9</t>
  </si>
  <si>
    <t>2022-12-31</t>
  </si>
  <si>
    <t>8429407-1</t>
  </si>
  <si>
    <t>19555492-7</t>
  </si>
  <si>
    <t>Aria</t>
  </si>
  <si>
    <t>gris rayas negras</t>
  </si>
  <si>
    <t>2023-02-02</t>
  </si>
  <si>
    <t>12146442-k</t>
  </si>
  <si>
    <t>Isabel</t>
  </si>
  <si>
    <t>Margarita</t>
  </si>
  <si>
    <t xml:space="preserve">blanco gris </t>
  </si>
  <si>
    <t>10327188-6</t>
  </si>
  <si>
    <t>Solcito</t>
  </si>
  <si>
    <t>19624019-5</t>
  </si>
  <si>
    <t>Neo</t>
  </si>
  <si>
    <t>15266879-1</t>
  </si>
  <si>
    <t>blanco naranjo negro</t>
  </si>
  <si>
    <t>17693545-6</t>
  </si>
  <si>
    <t>Nieve</t>
  </si>
  <si>
    <t>19249522-9</t>
  </si>
  <si>
    <t>Sanji</t>
  </si>
  <si>
    <t>18134354-0</t>
  </si>
  <si>
    <t>Anastasia</t>
  </si>
  <si>
    <t>negro gris</t>
  </si>
  <si>
    <t>20134393-3</t>
  </si>
  <si>
    <t>Timi</t>
  </si>
  <si>
    <t>tabby cafe negro</t>
  </si>
  <si>
    <t>11986200-0</t>
  </si>
  <si>
    <t>Raponchi</t>
  </si>
  <si>
    <t>2019-06-19</t>
  </si>
  <si>
    <t>12431285-k</t>
  </si>
  <si>
    <t>Akiles</t>
  </si>
  <si>
    <t>2023-05-10</t>
  </si>
  <si>
    <t>21506368-2</t>
  </si>
  <si>
    <t>Chiquitita</t>
  </si>
  <si>
    <t>tabby azul blanco</t>
  </si>
  <si>
    <t>15007812-1</t>
  </si>
  <si>
    <t>Biorng</t>
  </si>
  <si>
    <t>20642177-0</t>
  </si>
  <si>
    <t>2023-05-01</t>
  </si>
  <si>
    <t>Eda</t>
  </si>
  <si>
    <t>20601806-2</t>
  </si>
  <si>
    <t>Samy</t>
  </si>
  <si>
    <t>21022879-9</t>
  </si>
  <si>
    <t>Peco</t>
  </si>
  <si>
    <t>Pequinés</t>
  </si>
  <si>
    <t>2023-05-04</t>
  </si>
  <si>
    <t>15302782-k</t>
  </si>
  <si>
    <t>Nero</t>
  </si>
  <si>
    <t>2023-04-16</t>
  </si>
  <si>
    <t>21606448-8</t>
  </si>
  <si>
    <t>Aamira</t>
  </si>
  <si>
    <t>2023-05-06</t>
  </si>
  <si>
    <t>2017-01-18</t>
  </si>
  <si>
    <t>Poropo</t>
  </si>
  <si>
    <t>2021-11-25</t>
  </si>
  <si>
    <t>kika</t>
  </si>
  <si>
    <t>2023-03-10</t>
  </si>
  <si>
    <t>16464414-6</t>
  </si>
  <si>
    <t>David</t>
  </si>
  <si>
    <t>2016-07-07</t>
  </si>
  <si>
    <t>19132992-9</t>
  </si>
  <si>
    <t>Sienna</t>
  </si>
  <si>
    <t>2023-05-31</t>
  </si>
  <si>
    <t>13 de Octubre 2023
Sextuple: Nobivac 02131790A
Rabia: Rabisin serie F42073, N° certificado 0265567</t>
  </si>
  <si>
    <t>Antiparasitario interno externo
Nexgard Spectra BAA1813/23</t>
  </si>
  <si>
    <t>2024-10-22</t>
  </si>
  <si>
    <t>Luna 2</t>
  </si>
  <si>
    <t>18776552-8</t>
  </si>
  <si>
    <t>Freya</t>
  </si>
  <si>
    <t>10798646-4</t>
  </si>
  <si>
    <t>Flopi</t>
  </si>
  <si>
    <t>15263042-5</t>
  </si>
  <si>
    <t>Shakira</t>
  </si>
  <si>
    <t>Eros</t>
  </si>
  <si>
    <t>2023-04-24</t>
  </si>
  <si>
    <t>18591826-2</t>
  </si>
  <si>
    <t>Arlo</t>
  </si>
  <si>
    <t>Crema Gris</t>
  </si>
  <si>
    <t>2023-04-21</t>
  </si>
  <si>
    <t>2011-06-13</t>
  </si>
  <si>
    <t>21618360-6</t>
  </si>
  <si>
    <t>2023-05-12</t>
  </si>
  <si>
    <t>20780795-8</t>
  </si>
  <si>
    <t>Lua</t>
  </si>
  <si>
    <t>17826037-5</t>
  </si>
  <si>
    <t>Horus</t>
  </si>
  <si>
    <t>15884717-5</t>
  </si>
  <si>
    <t>hade</t>
  </si>
  <si>
    <t>2022-10-12</t>
  </si>
  <si>
    <t>16049555-3</t>
  </si>
  <si>
    <t>2023-05-18</t>
  </si>
  <si>
    <t>galu</t>
  </si>
  <si>
    <t>café gris</t>
  </si>
  <si>
    <t>15891498-0</t>
  </si>
  <si>
    <t>2023-04-20</t>
  </si>
  <si>
    <t>15549298-8</t>
  </si>
  <si>
    <t>12116860-k</t>
  </si>
  <si>
    <t>Lila</t>
  </si>
  <si>
    <t>2012-07-19</t>
  </si>
  <si>
    <t>Amarilla</t>
  </si>
  <si>
    <t>2020-06-22</t>
  </si>
  <si>
    <t>Kenai</t>
  </si>
  <si>
    <t>2022-06-22</t>
  </si>
  <si>
    <t>11591457-k</t>
  </si>
  <si>
    <t>Pantera</t>
  </si>
  <si>
    <t>17360049-6</t>
  </si>
  <si>
    <t>Félix</t>
  </si>
  <si>
    <t>Aarona</t>
  </si>
  <si>
    <t>blanco azul</t>
  </si>
  <si>
    <t>20153582-4</t>
  </si>
  <si>
    <t>2022-09-29</t>
  </si>
  <si>
    <t>15292838-6</t>
  </si>
  <si>
    <t>Tick</t>
  </si>
  <si>
    <t>2023-03-01</t>
  </si>
  <si>
    <t>vecina</t>
  </si>
  <si>
    <t>17695471-k</t>
  </si>
  <si>
    <t>2009-01-02</t>
  </si>
  <si>
    <t>21339828-8</t>
  </si>
  <si>
    <t>mei</t>
  </si>
  <si>
    <t>11707199-5</t>
  </si>
  <si>
    <t>miku</t>
  </si>
  <si>
    <t>2022-08-20</t>
  </si>
  <si>
    <t>7157553-5</t>
  </si>
  <si>
    <t>mora</t>
  </si>
  <si>
    <t>20016603-5</t>
  </si>
  <si>
    <t>Blanco negro</t>
  </si>
  <si>
    <t>2023-06-02</t>
  </si>
  <si>
    <t>Isis</t>
  </si>
  <si>
    <t>Lucy</t>
  </si>
  <si>
    <t>Selva</t>
  </si>
  <si>
    <t>15882961-4</t>
  </si>
  <si>
    <t>Maximus</t>
  </si>
  <si>
    <t>2017-09-16</t>
  </si>
  <si>
    <t>15301272-5</t>
  </si>
  <si>
    <t>2021-05-24</t>
  </si>
  <si>
    <t>17694315-7</t>
  </si>
  <si>
    <t>Napoleon</t>
  </si>
  <si>
    <t>12761634-5</t>
  </si>
  <si>
    <t>Boss</t>
  </si>
  <si>
    <t>2023-06-24</t>
  </si>
  <si>
    <t>15620651-2</t>
  </si>
  <si>
    <t>Pichuinco</t>
  </si>
  <si>
    <t>Dali</t>
  </si>
  <si>
    <t>9536709-7</t>
  </si>
  <si>
    <t>Dana</t>
  </si>
  <si>
    <t>blanco con negro</t>
  </si>
  <si>
    <t>2019-08-12</t>
  </si>
  <si>
    <t>15884168-1</t>
  </si>
  <si>
    <t>14580163-k</t>
  </si>
  <si>
    <t>2023-05-14</t>
  </si>
  <si>
    <t>Ámbar</t>
  </si>
  <si>
    <t>2012-11-19</t>
  </si>
  <si>
    <t>20119769-4</t>
  </si>
  <si>
    <t>sussy</t>
  </si>
  <si>
    <t>17068051-0</t>
  </si>
  <si>
    <t>CHITO</t>
  </si>
  <si>
    <t>18782202-5</t>
  </si>
  <si>
    <t>SUAVE</t>
  </si>
  <si>
    <t>19437614-6</t>
  </si>
  <si>
    <t>Fisalis</t>
  </si>
  <si>
    <t>Jin</t>
  </si>
  <si>
    <t>2023-08-08</t>
  </si>
  <si>
    <t>Mori</t>
  </si>
  <si>
    <t>Kai</t>
  </si>
  <si>
    <t xml:space="preserve">Kim </t>
  </si>
  <si>
    <t>Eliette</t>
  </si>
  <si>
    <t>tabby azul blanco negro</t>
  </si>
  <si>
    <t>11591540-1</t>
  </si>
  <si>
    <t>12247535-2</t>
  </si>
  <si>
    <t>Antiguo Pastor Inglés</t>
  </si>
  <si>
    <t>2016-02-07</t>
  </si>
  <si>
    <t>17693108-6</t>
  </si>
  <si>
    <t>Guayo</t>
  </si>
  <si>
    <t>14467353-0</t>
  </si>
  <si>
    <t>2010-07-05</t>
  </si>
  <si>
    <t>2023-06-26</t>
  </si>
  <si>
    <t>20315657-k</t>
  </si>
  <si>
    <t>2023-03-25</t>
  </si>
  <si>
    <t>10473035-3</t>
  </si>
  <si>
    <t>Marina de Los Alpes</t>
  </si>
  <si>
    <t xml:space="preserve">Blanco Azul </t>
  </si>
  <si>
    <t>20017689-8</t>
  </si>
  <si>
    <t>21644721-2</t>
  </si>
  <si>
    <t>13068635-4</t>
  </si>
  <si>
    <t>2023-05-24</t>
  </si>
  <si>
    <t>21165344-2</t>
  </si>
  <si>
    <t>blanca</t>
  </si>
  <si>
    <t>2022-09-04</t>
  </si>
  <si>
    <t>Chica</t>
  </si>
  <si>
    <t>2022-12-22</t>
  </si>
  <si>
    <t>Lilen</t>
  </si>
  <si>
    <t>Nezoku</t>
  </si>
  <si>
    <t>Flaca</t>
  </si>
  <si>
    <t>12994789-6</t>
  </si>
  <si>
    <t>2019-06-15</t>
  </si>
  <si>
    <t>Pinche</t>
  </si>
  <si>
    <t>Cleopatra</t>
  </si>
  <si>
    <t>18776047-k</t>
  </si>
  <si>
    <t>Queso</t>
  </si>
  <si>
    <t>2019-03-12</t>
  </si>
  <si>
    <t>17361177-3</t>
  </si>
  <si>
    <t>Arya</t>
  </si>
  <si>
    <t>2023-02-04</t>
  </si>
  <si>
    <t>Mora Chita</t>
  </si>
  <si>
    <t>14291497-2</t>
  </si>
  <si>
    <t>Ken</t>
  </si>
  <si>
    <t>2023-05-13</t>
  </si>
  <si>
    <t>17982104-4</t>
  </si>
  <si>
    <t>Señor plomito</t>
  </si>
  <si>
    <t>2023-07-31</t>
  </si>
  <si>
    <t>11591632-7</t>
  </si>
  <si>
    <t>Clementina</t>
  </si>
  <si>
    <t>2023-07-16</t>
  </si>
  <si>
    <t>20919745-6</t>
  </si>
  <si>
    <t>Poropa</t>
  </si>
  <si>
    <t>2022-01-07</t>
  </si>
  <si>
    <t>12747728-0</t>
  </si>
  <si>
    <t>drupp</t>
  </si>
  <si>
    <t>10065078-9</t>
  </si>
  <si>
    <t>18133389-8</t>
  </si>
  <si>
    <t>2023-08-03</t>
  </si>
  <si>
    <t>16160058-k</t>
  </si>
  <si>
    <t>Lía</t>
  </si>
  <si>
    <t>tabby azul rojo blanco</t>
  </si>
  <si>
    <t>2023-04-08</t>
  </si>
  <si>
    <t>Tara</t>
  </si>
  <si>
    <t>2007-09-20</t>
  </si>
  <si>
    <t>19555745-4</t>
  </si>
  <si>
    <t>16806237-0</t>
  </si>
  <si>
    <t>Rayo</t>
  </si>
  <si>
    <t>2017-04-13</t>
  </si>
  <si>
    <t>18467353-3</t>
  </si>
  <si>
    <t>Buky</t>
  </si>
  <si>
    <t>13320884-4</t>
  </si>
  <si>
    <t>Pinky</t>
  </si>
  <si>
    <t>15294124-2</t>
  </si>
  <si>
    <t>2018-10-04</t>
  </si>
  <si>
    <t>Serena</t>
  </si>
  <si>
    <t>19659264-4</t>
  </si>
  <si>
    <t>Sakura</t>
  </si>
  <si>
    <t>2023-07-10</t>
  </si>
  <si>
    <t>10914895-4</t>
  </si>
  <si>
    <t>Laurita</t>
  </si>
  <si>
    <t>16319632-8</t>
  </si>
  <si>
    <t>2023-06-16</t>
  </si>
  <si>
    <t>21353549-8</t>
  </si>
  <si>
    <t>Tete</t>
  </si>
  <si>
    <t>2023-03-29</t>
  </si>
  <si>
    <t>20738224-8</t>
  </si>
  <si>
    <t>26/05/23 quantum cat HCP 02061362B ref. 26/05/24
30/09/24 Nobivac Rabia serie A707A01 cert. 7330587 ref. 30/09/24
18-12-2023 Nobivac quantum cat felv serie 02081365A ref 08-01-2023</t>
  </si>
  <si>
    <t>Interno: Drontal Cat serie KV03LUV ref. 11/01/23
Externo: Power S 677 ref. 11/01/23</t>
  </si>
  <si>
    <t>2023-12-18</t>
  </si>
  <si>
    <t>11425824-5</t>
  </si>
  <si>
    <t>Chun</t>
  </si>
  <si>
    <t>hunter</t>
  </si>
  <si>
    <t>café atigrado</t>
  </si>
  <si>
    <t>2021-09-28</t>
  </si>
  <si>
    <t>Linda</t>
  </si>
  <si>
    <t>café negro atigrado</t>
  </si>
  <si>
    <t>cholito</t>
  </si>
  <si>
    <t>2013-06-23</t>
  </si>
  <si>
    <t>2020-10-04</t>
  </si>
  <si>
    <t>18886374-4</t>
  </si>
  <si>
    <t>comandante</t>
  </si>
  <si>
    <t>2016-10-04</t>
  </si>
  <si>
    <t>18589825-3</t>
  </si>
  <si>
    <t>2023-02-15</t>
  </si>
  <si>
    <t>21049459-6</t>
  </si>
  <si>
    <t>kimchi</t>
  </si>
  <si>
    <t>2023-01-19</t>
  </si>
  <si>
    <t>8305584-7</t>
  </si>
  <si>
    <t>Soso</t>
  </si>
  <si>
    <t>2023-04-10</t>
  </si>
  <si>
    <t>18170502-7</t>
  </si>
  <si>
    <t>Mawllin</t>
  </si>
  <si>
    <t>carey blue</t>
  </si>
  <si>
    <t>16806344-k</t>
  </si>
  <si>
    <t>gris  naranjo negro</t>
  </si>
  <si>
    <t>20706365-7</t>
  </si>
  <si>
    <t>Gris cafe naranjo</t>
  </si>
  <si>
    <t>2022-09-20</t>
  </si>
  <si>
    <t>Yumi</t>
  </si>
  <si>
    <t>2022-04-02</t>
  </si>
  <si>
    <t>18078946-4</t>
  </si>
  <si>
    <t>Butcher</t>
  </si>
  <si>
    <t>2023-06-28</t>
  </si>
  <si>
    <t>Tito</t>
  </si>
  <si>
    <t>café tabby</t>
  </si>
  <si>
    <t>21085089-9</t>
  </si>
  <si>
    <t>Chester</t>
  </si>
  <si>
    <t>Coby</t>
  </si>
  <si>
    <t>2023-08-01</t>
  </si>
  <si>
    <t>17251002-7</t>
  </si>
  <si>
    <t>pantufla</t>
  </si>
  <si>
    <t>blano negro</t>
  </si>
  <si>
    <t>20641699-8</t>
  </si>
  <si>
    <t>Jhin</t>
  </si>
  <si>
    <t>21335109-5</t>
  </si>
  <si>
    <t>2023-09-17</t>
  </si>
  <si>
    <t>tabby café negro</t>
  </si>
  <si>
    <t>2023-05-05</t>
  </si>
  <si>
    <t>Rony</t>
  </si>
  <si>
    <t>2023-08-04</t>
  </si>
  <si>
    <t>thor</t>
  </si>
  <si>
    <t>18887972-1</t>
  </si>
  <si>
    <t>2018-12-03</t>
  </si>
  <si>
    <t>17964096-1</t>
  </si>
  <si>
    <t>caramelo</t>
  </si>
  <si>
    <t>2022-09-19</t>
  </si>
  <si>
    <t>Nonita</t>
  </si>
  <si>
    <t>2023-08-14</t>
  </si>
  <si>
    <t>18888935-2</t>
  </si>
  <si>
    <t>Mona</t>
  </si>
  <si>
    <t>Carey</t>
  </si>
  <si>
    <t>Cleopatas</t>
  </si>
  <si>
    <t>Carey blue</t>
  </si>
  <si>
    <t>19653205-6</t>
  </si>
  <si>
    <t>Gris cafe negro</t>
  </si>
  <si>
    <t>8806523-9</t>
  </si>
  <si>
    <t>PETRUSHKA</t>
  </si>
  <si>
    <t>2023-07-13</t>
  </si>
  <si>
    <t>16465698-5</t>
  </si>
  <si>
    <t>Logan</t>
  </si>
  <si>
    <t>8873254-5</t>
  </si>
  <si>
    <t>Ugly Duck</t>
  </si>
  <si>
    <t>Latrel</t>
  </si>
  <si>
    <t>café, blanco</t>
  </si>
  <si>
    <t>17201784-3</t>
  </si>
  <si>
    <t>2021-01-28</t>
  </si>
  <si>
    <t>20901453-K</t>
  </si>
  <si>
    <t>14384600-8</t>
  </si>
  <si>
    <t>13942162-0</t>
  </si>
  <si>
    <t>Leonardo</t>
  </si>
  <si>
    <t>13321117-9</t>
  </si>
  <si>
    <t>Amin</t>
  </si>
  <si>
    <t>17359559-k</t>
  </si>
  <si>
    <t>2021-09-18</t>
  </si>
  <si>
    <t>15548632-5</t>
  </si>
  <si>
    <t>2015-02-28</t>
  </si>
  <si>
    <t>17514894-9</t>
  </si>
  <si>
    <t>18239198-0</t>
  </si>
  <si>
    <t>2019-02-25</t>
  </si>
  <si>
    <t>23333485-5</t>
  </si>
  <si>
    <t>2023-09-18</t>
  </si>
  <si>
    <t>20314718-k</t>
  </si>
  <si>
    <t>Roron</t>
  </si>
  <si>
    <t>mango</t>
  </si>
  <si>
    <t>2023-09-15</t>
  </si>
  <si>
    <t>12904368-7</t>
  </si>
  <si>
    <t>Cafe gris negro</t>
  </si>
  <si>
    <t>2013-06-22</t>
  </si>
  <si>
    <t>10632888-9</t>
  </si>
  <si>
    <t>Maeve</t>
  </si>
  <si>
    <t>20314218-8</t>
  </si>
  <si>
    <t>'romano'</t>
  </si>
  <si>
    <t>2021-11-02</t>
  </si>
  <si>
    <t>18837675-4</t>
  </si>
  <si>
    <t>amarilla</t>
  </si>
  <si>
    <t>2012-10-23</t>
  </si>
  <si>
    <t>15294320-2</t>
  </si>
  <si>
    <t>19555083-2</t>
  </si>
  <si>
    <t>cafe blanco atigrado</t>
  </si>
  <si>
    <t>Chispa</t>
  </si>
  <si>
    <t>21698794-2</t>
  </si>
  <si>
    <t>2020-03-11</t>
  </si>
  <si>
    <t>13520565-6</t>
  </si>
  <si>
    <t>Jisi</t>
  </si>
  <si>
    <t>2015-11-10</t>
  </si>
  <si>
    <t>2023-09-12</t>
  </si>
  <si>
    <t>Felpudo</t>
  </si>
  <si>
    <t>Choper</t>
  </si>
  <si>
    <t>2023-05-21</t>
  </si>
  <si>
    <t>20652678-5</t>
  </si>
  <si>
    <t>Schwann</t>
  </si>
  <si>
    <t>azul tabby</t>
  </si>
  <si>
    <t>2023-10-08</t>
  </si>
  <si>
    <t>16806005-k</t>
  </si>
  <si>
    <t>Cotita</t>
  </si>
  <si>
    <t>2020-11-11</t>
  </si>
  <si>
    <t>14499416-7</t>
  </si>
  <si>
    <t>Mai Mai</t>
  </si>
  <si>
    <t>2021-12-24</t>
  </si>
  <si>
    <t>5877764-1</t>
  </si>
  <si>
    <t>fany</t>
  </si>
  <si>
    <t>amarillo crema</t>
  </si>
  <si>
    <t>18589944-6</t>
  </si>
  <si>
    <t>Stevie</t>
  </si>
  <si>
    <t>naranjo blanco</t>
  </si>
  <si>
    <t>2023-10-03</t>
  </si>
  <si>
    <t>2023-09-28</t>
  </si>
  <si>
    <t>2023-11-13</t>
  </si>
  <si>
    <t>Cercan</t>
  </si>
  <si>
    <t>18174068-k</t>
  </si>
  <si>
    <t>azul negro</t>
  </si>
  <si>
    <t>2017-06-15</t>
  </si>
  <si>
    <t>19248274-7</t>
  </si>
  <si>
    <t>Summer</t>
  </si>
  <si>
    <t>15566049-k</t>
  </si>
  <si>
    <t>Joe</t>
  </si>
  <si>
    <t>2023-08-06</t>
  </si>
  <si>
    <t>2021-02-14</t>
  </si>
  <si>
    <t>Champion</t>
  </si>
  <si>
    <t>2013-11-15</t>
  </si>
  <si>
    <t>20046488-5</t>
  </si>
  <si>
    <t>Ducky</t>
  </si>
  <si>
    <t>Bebé</t>
  </si>
  <si>
    <t>2023-09-13</t>
  </si>
  <si>
    <t>2023-08-21</t>
  </si>
  <si>
    <t>Namy</t>
  </si>
  <si>
    <t>2023-09-21</t>
  </si>
  <si>
    <t>7824054-7</t>
  </si>
  <si>
    <t>Lili</t>
  </si>
  <si>
    <t>2012-11-21</t>
  </si>
  <si>
    <t>7710538-7</t>
  </si>
  <si>
    <t>2023-09-01</t>
  </si>
  <si>
    <t>Dorian</t>
  </si>
  <si>
    <t>2023-09-29</t>
  </si>
  <si>
    <t>Jovanka</t>
  </si>
  <si>
    <t>Ahome</t>
  </si>
  <si>
    <t>tricolor tabby</t>
  </si>
  <si>
    <t>2023-10-09</t>
  </si>
  <si>
    <t>Kyba</t>
  </si>
  <si>
    <t>Luffy</t>
  </si>
  <si>
    <t>5820401-3</t>
  </si>
  <si>
    <t>11703552-2</t>
  </si>
  <si>
    <t>Salem Thor</t>
  </si>
  <si>
    <t>2023-10-10</t>
  </si>
  <si>
    <t>18134110-6</t>
  </si>
  <si>
    <t>casimira</t>
  </si>
  <si>
    <t>8032969-5</t>
  </si>
  <si>
    <t>13757775-5</t>
  </si>
  <si>
    <t>Teddy</t>
  </si>
  <si>
    <t>2015-05-24</t>
  </si>
  <si>
    <t>15261738-0</t>
  </si>
  <si>
    <t>2023-10-13</t>
  </si>
  <si>
    <t>15549210-4</t>
  </si>
  <si>
    <t>Laucha</t>
  </si>
  <si>
    <t>Tremebunda</t>
  </si>
  <si>
    <t>17311133-9</t>
  </si>
  <si>
    <t>Reineta</t>
  </si>
  <si>
    <t>tabby ojo azul</t>
  </si>
  <si>
    <t>2008-11-01</t>
  </si>
  <si>
    <t>15547785-7</t>
  </si>
  <si>
    <t>Canelo</t>
  </si>
  <si>
    <t>2023-09-30</t>
  </si>
  <si>
    <t>19249210-6</t>
  </si>
  <si>
    <t>azul blanco tabby</t>
  </si>
  <si>
    <t>12000117-5</t>
  </si>
  <si>
    <t>2010-05-10</t>
  </si>
  <si>
    <t>Alen</t>
  </si>
  <si>
    <t>2008-12-01</t>
  </si>
  <si>
    <t>10442254-3</t>
  </si>
  <si>
    <t>Puma</t>
  </si>
  <si>
    <t>Suricata</t>
  </si>
  <si>
    <t>2023-10-11</t>
  </si>
  <si>
    <t>20314082-7</t>
  </si>
  <si>
    <t>Eli</t>
  </si>
  <si>
    <t>11592199-1</t>
  </si>
  <si>
    <t>canela</t>
  </si>
  <si>
    <t>2023-09-06</t>
  </si>
  <si>
    <t>17359742-8</t>
  </si>
  <si>
    <t>Salvador</t>
  </si>
  <si>
    <t>2023-11-03</t>
  </si>
  <si>
    <t>Djoko</t>
  </si>
  <si>
    <t>2023-10-18</t>
  </si>
  <si>
    <t>Michifuchi</t>
  </si>
  <si>
    <t>Fin</t>
  </si>
  <si>
    <t>2023-10-23</t>
  </si>
  <si>
    <t>20803610-6</t>
  </si>
  <si>
    <t>Yuli</t>
  </si>
  <si>
    <t>2023-07-01</t>
  </si>
  <si>
    <t>13093453-6</t>
  </si>
  <si>
    <t>Óscar</t>
  </si>
  <si>
    <t>15298615-7</t>
  </si>
  <si>
    <t>2021-07-13</t>
  </si>
  <si>
    <t>2023-11-01</t>
  </si>
  <si>
    <t>11702786-4</t>
  </si>
  <si>
    <t>Manchis</t>
  </si>
  <si>
    <t>Sarabi</t>
  </si>
  <si>
    <t>19938669-7</t>
  </si>
  <si>
    <t>17996860-6</t>
  </si>
  <si>
    <t>Ares Chocolo</t>
  </si>
  <si>
    <t>2023-11-02</t>
  </si>
  <si>
    <t>azul amarillo carey</t>
  </si>
  <si>
    <t>2023-10-21</t>
  </si>
  <si>
    <t>Schopito</t>
  </si>
  <si>
    <t>2016-01-06</t>
  </si>
  <si>
    <t>10181972-8</t>
  </si>
  <si>
    <t>Rojito</t>
  </si>
  <si>
    <t>2016-06-10</t>
  </si>
  <si>
    <t>20767706-k</t>
  </si>
  <si>
    <t xml:space="preserve">Gris negro </t>
  </si>
  <si>
    <t>21464615-3</t>
  </si>
  <si>
    <t>café negro tabby</t>
  </si>
  <si>
    <t>12991768-7</t>
  </si>
  <si>
    <t>Rocky alberto</t>
  </si>
  <si>
    <t>2023-07-08</t>
  </si>
  <si>
    <t>27264171-4</t>
  </si>
  <si>
    <t>Bartolomeo</t>
  </si>
  <si>
    <t>2021-05-14</t>
  </si>
  <si>
    <t>19554428-K</t>
  </si>
  <si>
    <t>19248947-4</t>
  </si>
  <si>
    <t>cafe atigrado</t>
  </si>
  <si>
    <t>2023-10-26</t>
  </si>
  <si>
    <t>2023-08-16</t>
  </si>
  <si>
    <t>20805332-9</t>
  </si>
  <si>
    <t>Sabrina</t>
  </si>
  <si>
    <t>21738976-3</t>
  </si>
  <si>
    <t>Churu</t>
  </si>
  <si>
    <t>gris negro blanco</t>
  </si>
  <si>
    <t>2020-02-20</t>
  </si>
  <si>
    <t>arya</t>
  </si>
  <si>
    <t>20180200-8</t>
  </si>
  <si>
    <t>20316005-4</t>
  </si>
  <si>
    <t>Kiki</t>
  </si>
  <si>
    <t>azul blanco naranjo</t>
  </si>
  <si>
    <t>20134499-9</t>
  </si>
  <si>
    <t>12485670-1</t>
  </si>
  <si>
    <t>2016-04-20</t>
  </si>
  <si>
    <t>15883216-K</t>
  </si>
  <si>
    <t>Gris Balnco</t>
  </si>
  <si>
    <t>15513264-7</t>
  </si>
  <si>
    <t>2023-08-23</t>
  </si>
  <si>
    <t>2010-12-16</t>
  </si>
  <si>
    <t>16587848-5</t>
  </si>
  <si>
    <t>Haku</t>
  </si>
  <si>
    <t>2017-02-20</t>
  </si>
  <si>
    <t>18437531-1</t>
  </si>
  <si>
    <t>Naranho Blanco</t>
  </si>
  <si>
    <t>18289898-8</t>
  </si>
  <si>
    <t>Popoca Inés</t>
  </si>
  <si>
    <t>2016-08-05</t>
  </si>
  <si>
    <t>18289343-9</t>
  </si>
  <si>
    <t>Jade</t>
  </si>
  <si>
    <t>12993912-5</t>
  </si>
  <si>
    <t>Eliott</t>
  </si>
  <si>
    <t>Bee</t>
  </si>
  <si>
    <t>Blanco azul rojo</t>
  </si>
  <si>
    <t>16320099-6</t>
  </si>
  <si>
    <t>saturno</t>
  </si>
  <si>
    <t>Atom</t>
  </si>
  <si>
    <t>2022-02-13</t>
  </si>
  <si>
    <t>16806015-7</t>
  </si>
  <si>
    <t>Blanco amarillo</t>
  </si>
  <si>
    <t>20016395-8</t>
  </si>
  <si>
    <t>zoe</t>
  </si>
  <si>
    <t>Pistacho</t>
  </si>
  <si>
    <t>Cucha</t>
  </si>
  <si>
    <t>11590788-3</t>
  </si>
  <si>
    <t>Pancracio</t>
  </si>
  <si>
    <t>2012-07-17</t>
  </si>
  <si>
    <t>13521079-k</t>
  </si>
  <si>
    <t>2023-11-17</t>
  </si>
  <si>
    <t>Rudolf</t>
  </si>
  <si>
    <t>2023-08-18</t>
  </si>
  <si>
    <t>21095896-7</t>
  </si>
  <si>
    <t>2023-10-01</t>
  </si>
  <si>
    <t>El costra</t>
  </si>
  <si>
    <t>18288634-3</t>
  </si>
  <si>
    <t>mimo</t>
  </si>
  <si>
    <t>18134179-3</t>
  </si>
  <si>
    <t>Lucio</t>
  </si>
  <si>
    <t>19017400-k</t>
  </si>
  <si>
    <t>Dobermann</t>
  </si>
  <si>
    <t xml:space="preserve">Negro café </t>
  </si>
  <si>
    <t>2023-11-20</t>
  </si>
  <si>
    <t>10372205-5</t>
  </si>
  <si>
    <t>Napoleón</t>
  </si>
  <si>
    <t>2019-12-20</t>
  </si>
  <si>
    <t>19941678-2</t>
  </si>
  <si>
    <t>Parche</t>
  </si>
  <si>
    <t>celeste</t>
  </si>
  <si>
    <t>CAREY</t>
  </si>
  <si>
    <t>2023-05-25</t>
  </si>
  <si>
    <t>22077814-2</t>
  </si>
  <si>
    <t>Dori</t>
  </si>
  <si>
    <t>20730952-4</t>
  </si>
  <si>
    <t>Angus</t>
  </si>
  <si>
    <t>2023-12-01</t>
  </si>
  <si>
    <t>22447372-9</t>
  </si>
  <si>
    <t>14081168-8</t>
  </si>
  <si>
    <t>17068062-6</t>
  </si>
  <si>
    <t>Petunia</t>
  </si>
  <si>
    <t>Negro café</t>
  </si>
  <si>
    <t>2016-02-01</t>
  </si>
  <si>
    <t>13498382-5</t>
  </si>
  <si>
    <t>Morita</t>
  </si>
  <si>
    <t>2017-12-12</t>
  </si>
  <si>
    <t>12746535-5</t>
  </si>
  <si>
    <t>Kreta</t>
  </si>
  <si>
    <t>2024-01-01</t>
  </si>
  <si>
    <t>Nami Kirara</t>
  </si>
  <si>
    <t>Tricolor</t>
  </si>
  <si>
    <t>2024-01-20</t>
  </si>
  <si>
    <t>Ñarqui</t>
  </si>
  <si>
    <t>2019-09-22</t>
  </si>
  <si>
    <t>Shae</t>
  </si>
  <si>
    <t>2018-12-15</t>
  </si>
  <si>
    <t>16354466-0</t>
  </si>
  <si>
    <t>Ru</t>
  </si>
  <si>
    <t>2018-02-18</t>
  </si>
  <si>
    <t>Reina</t>
  </si>
  <si>
    <t>2023-11-30</t>
  </si>
  <si>
    <t>9317087-3</t>
  </si>
  <si>
    <t>Minnie</t>
  </si>
  <si>
    <t>21158803-9</t>
  </si>
  <si>
    <t>2024-03-15</t>
  </si>
  <si>
    <t>Pudú</t>
  </si>
  <si>
    <t>Valentin</t>
  </si>
  <si>
    <t>16168522-4</t>
  </si>
  <si>
    <t>2011-06-01</t>
  </si>
  <si>
    <t>2024-04-10</t>
  </si>
  <si>
    <t>Miti Miti</t>
  </si>
  <si>
    <t>9210458-3</t>
  </si>
  <si>
    <t>Amatista</t>
  </si>
  <si>
    <t>2008-10-01</t>
  </si>
  <si>
    <t>Cholito</t>
  </si>
  <si>
    <t>2024-06-12</t>
  </si>
  <si>
    <t>beto</t>
  </si>
  <si>
    <t>Rengard</t>
  </si>
  <si>
    <t>Blanco crema</t>
  </si>
  <si>
    <t>Naomi</t>
  </si>
  <si>
    <t>Calico tortie</t>
  </si>
  <si>
    <t>Rojo blanco</t>
  </si>
  <si>
    <t>Pituco</t>
  </si>
  <si>
    <t xml:space="preserve">Negro café blanco </t>
  </si>
  <si>
    <t>17919159-8</t>
  </si>
  <si>
    <t>2014-05-03</t>
  </si>
  <si>
    <t>2024-01-28</t>
  </si>
  <si>
    <t>2024-08-15</t>
  </si>
  <si>
    <t>nombre_especie</t>
  </si>
  <si>
    <t>nombre_comun</t>
  </si>
  <si>
    <t>id_especie</t>
  </si>
  <si>
    <t>Perro</t>
  </si>
  <si>
    <t>Gato</t>
  </si>
  <si>
    <t>Erizo</t>
  </si>
  <si>
    <t>Hamster</t>
  </si>
  <si>
    <t>Conejo</t>
  </si>
  <si>
    <t>Tortuga</t>
  </si>
  <si>
    <t>Cuy</t>
  </si>
  <si>
    <t>id_raza</t>
  </si>
  <si>
    <t>nombre</t>
  </si>
  <si>
    <t>especie-raza</t>
  </si>
  <si>
    <t>AUX</t>
  </si>
  <si>
    <t>ID_ESPECIE</t>
  </si>
  <si>
    <t>ESPECIE_RAZA</t>
  </si>
  <si>
    <t>ID_RAZA</t>
  </si>
  <si>
    <t>SEXO_SIGLA</t>
  </si>
  <si>
    <t>Rut</t>
  </si>
  <si>
    <t>Nombres</t>
  </si>
  <si>
    <t>ApPaterno</t>
  </si>
  <si>
    <t>ApMaterno</t>
  </si>
  <si>
    <t>Calle</t>
  </si>
  <si>
    <t>Numero</t>
  </si>
  <si>
    <t>Region</t>
  </si>
  <si>
    <t>Comuna</t>
  </si>
  <si>
    <t>Telefono</t>
  </si>
  <si>
    <t>Telefono2</t>
  </si>
  <si>
    <t>Celular</t>
  </si>
  <si>
    <t>Celular2</t>
  </si>
  <si>
    <t>Email</t>
  </si>
  <si>
    <t>Observaciones</t>
  </si>
  <si>
    <t>RazonSocial</t>
  </si>
  <si>
    <t>Giro</t>
  </si>
  <si>
    <t>Contacto</t>
  </si>
  <si>
    <t>JANA</t>
  </si>
  <si>
    <t>ARRIAGADA</t>
  </si>
  <si>
    <t>RIEDEMANN</t>
  </si>
  <si>
    <t>CONDOMINIO RIVERAS DE MIRAFLORES</t>
  </si>
  <si>
    <t>PARCELA 47</t>
  </si>
  <si>
    <t>Región de Los Ríos</t>
  </si>
  <si>
    <t>VALDIVIA</t>
  </si>
  <si>
    <t>978769097</t>
  </si>
  <si>
    <t>JANAVALDIVIA@YAHOO.COM</t>
  </si>
  <si>
    <t>Marcela</t>
  </si>
  <si>
    <t>Salazar</t>
  </si>
  <si>
    <t>Figueroa</t>
  </si>
  <si>
    <t>Rio Imperial</t>
  </si>
  <si>
    <t>4048</t>
  </si>
  <si>
    <t>977672542</t>
  </si>
  <si>
    <t>Jessica</t>
  </si>
  <si>
    <t>Villablanca</t>
  </si>
  <si>
    <t>Ugalde</t>
  </si>
  <si>
    <t>los pelues</t>
  </si>
  <si>
    <t>059</t>
  </si>
  <si>
    <t>95433056</t>
  </si>
  <si>
    <t>CAROLINA</t>
  </si>
  <si>
    <t>ARAYA</t>
  </si>
  <si>
    <t>PARRA</t>
  </si>
  <si>
    <t>LAS VIVUÑAS</t>
  </si>
  <si>
    <t>1680</t>
  </si>
  <si>
    <t>991342485</t>
  </si>
  <si>
    <t>Amands</t>
  </si>
  <si>
    <t>Busto</t>
  </si>
  <si>
    <t>Ferreira</t>
  </si>
  <si>
    <t>Av raul Saex</t>
  </si>
  <si>
    <t>1701</t>
  </si>
  <si>
    <t>Luciano</t>
  </si>
  <si>
    <t>Gatica</t>
  </si>
  <si>
    <t>Soto</t>
  </si>
  <si>
    <t>Pasaje 5º</t>
  </si>
  <si>
    <t>3145</t>
  </si>
  <si>
    <t>959770229</t>
  </si>
  <si>
    <t>Claudio</t>
  </si>
  <si>
    <t>Villegas</t>
  </si>
  <si>
    <t>Pérez</t>
  </si>
  <si>
    <t>Puerto natales</t>
  </si>
  <si>
    <t>378</t>
  </si>
  <si>
    <t>982379815</t>
  </si>
  <si>
    <t>CARLOS</t>
  </si>
  <si>
    <t>PALACIOS</t>
  </si>
  <si>
    <t>CUEVAS</t>
  </si>
  <si>
    <t>LOS PEUCOS</t>
  </si>
  <si>
    <t>1835</t>
  </si>
  <si>
    <t>952767013</t>
  </si>
  <si>
    <t>Miriam</t>
  </si>
  <si>
    <t>Colimilla</t>
  </si>
  <si>
    <t>Pichun</t>
  </si>
  <si>
    <t>Doctor Dabbe</t>
  </si>
  <si>
    <t>046</t>
  </si>
  <si>
    <t>955173723</t>
  </si>
  <si>
    <t>miriam.luzcp64@gmail.com</t>
  </si>
  <si>
    <t>Marta</t>
  </si>
  <si>
    <t>Lopez</t>
  </si>
  <si>
    <t>Gonzalez</t>
  </si>
  <si>
    <t>Altos guacamayo pasaje mapu</t>
  </si>
  <si>
    <t>636</t>
  </si>
  <si>
    <t>94292246</t>
  </si>
  <si>
    <t>Alicia</t>
  </si>
  <si>
    <t>Rivera</t>
  </si>
  <si>
    <t>Raamon Soto Mayor</t>
  </si>
  <si>
    <t>172</t>
  </si>
  <si>
    <t>985399058</t>
  </si>
  <si>
    <t>Elizabeth</t>
  </si>
  <si>
    <t>Nova</t>
  </si>
  <si>
    <t>Guajardo</t>
  </si>
  <si>
    <t>Calle Rodolfo Beckdorf 1785</t>
  </si>
  <si>
    <t>1785</t>
  </si>
  <si>
    <t>968447004</t>
  </si>
  <si>
    <t>Benita</t>
  </si>
  <si>
    <t>Arauco</t>
  </si>
  <si>
    <t>Chupin</t>
  </si>
  <si>
    <t>Los naranjos</t>
  </si>
  <si>
    <t>613</t>
  </si>
  <si>
    <t>940536454</t>
  </si>
  <si>
    <t>SILVIA</t>
  </si>
  <si>
    <t>CHEUQUIAN</t>
  </si>
  <si>
    <t>CAMAN</t>
  </si>
  <si>
    <t>LAS AGUILAS</t>
  </si>
  <si>
    <t>547</t>
  </si>
  <si>
    <t>989561532</t>
  </si>
  <si>
    <t>ALFREDO</t>
  </si>
  <si>
    <t>ACEVEDO</t>
  </si>
  <si>
    <t>SANCHEZ</t>
  </si>
  <si>
    <t>INT. JOSÉ ANTONIO DE LA CAVADERA</t>
  </si>
  <si>
    <t>4478</t>
  </si>
  <si>
    <t>978253724 (Isabel)</t>
  </si>
  <si>
    <t>984339080</t>
  </si>
  <si>
    <t>wenceslao.acevedos@gmail.com</t>
  </si>
  <si>
    <t>JUANA</t>
  </si>
  <si>
    <t>HERMOSILLA</t>
  </si>
  <si>
    <t>BAEZ</t>
  </si>
  <si>
    <t>LOS JILGUEROS</t>
  </si>
  <si>
    <t>663</t>
  </si>
  <si>
    <t>994752655</t>
  </si>
  <si>
    <t>Angélica</t>
  </si>
  <si>
    <t>Sanchez</t>
  </si>
  <si>
    <t>Perez</t>
  </si>
  <si>
    <t>pasaje Carboneros</t>
  </si>
  <si>
    <t>876</t>
  </si>
  <si>
    <t>RIO BUENO</t>
  </si>
  <si>
    <t>964249430</t>
  </si>
  <si>
    <t>ABELARDO</t>
  </si>
  <si>
    <t>MIRANDA</t>
  </si>
  <si>
    <t>RUIZ</t>
  </si>
  <si>
    <t>SAN ANTONIO S/N PELCHUQUIN</t>
  </si>
  <si>
    <t>0000</t>
  </si>
  <si>
    <t>MARIQUINA</t>
  </si>
  <si>
    <t>99643712</t>
  </si>
  <si>
    <t>abelardo4.miranda@gmail.com</t>
  </si>
  <si>
    <t>Rodrigo</t>
  </si>
  <si>
    <t>VASQUEZ</t>
  </si>
  <si>
    <t>Peña</t>
  </si>
  <si>
    <t>LUIS DAMANN ASENJO</t>
  </si>
  <si>
    <t>832</t>
  </si>
  <si>
    <t>86617446</t>
  </si>
  <si>
    <t>GUIDO</t>
  </si>
  <si>
    <t>CACERES</t>
  </si>
  <si>
    <t>CERDA</t>
  </si>
  <si>
    <t>ALONSO VILLANUEVA</t>
  </si>
  <si>
    <t>461</t>
  </si>
  <si>
    <t>978581734</t>
  </si>
  <si>
    <t>gcacerescerda@gmail.com</t>
  </si>
  <si>
    <t>Ana Maria</t>
  </si>
  <si>
    <t>Huile</t>
  </si>
  <si>
    <t>Carrasco</t>
  </si>
  <si>
    <t>Luis Damman</t>
  </si>
  <si>
    <t>2194</t>
  </si>
  <si>
    <t>967619650</t>
  </si>
  <si>
    <t>Yasna</t>
  </si>
  <si>
    <t>Becerra</t>
  </si>
  <si>
    <t>Marcelo Serra Soyer .</t>
  </si>
  <si>
    <t>701</t>
  </si>
  <si>
    <t>956184337</t>
  </si>
  <si>
    <t>yasnabecerrag@gmail.com</t>
  </si>
  <si>
    <t>JOSE LUIS</t>
  </si>
  <si>
    <t>GUZMAN</t>
  </si>
  <si>
    <t>SOTO</t>
  </si>
  <si>
    <t>FELIX GARCIA</t>
  </si>
  <si>
    <t>968</t>
  </si>
  <si>
    <t>78685517</t>
  </si>
  <si>
    <t>Eliana</t>
  </si>
  <si>
    <t>Reyes</t>
  </si>
  <si>
    <t>Bello</t>
  </si>
  <si>
    <t>José Ignacio Valdés</t>
  </si>
  <si>
    <t>410</t>
  </si>
  <si>
    <t>965288803</t>
  </si>
  <si>
    <t>María</t>
  </si>
  <si>
    <t>Malpu</t>
  </si>
  <si>
    <t>Imigo</t>
  </si>
  <si>
    <t>luis damann</t>
  </si>
  <si>
    <t>2062</t>
  </si>
  <si>
    <t>988115092</t>
  </si>
  <si>
    <t>Sandra</t>
  </si>
  <si>
    <t>Galilea</t>
  </si>
  <si>
    <t>Hermosilla</t>
  </si>
  <si>
    <t>Domeyko</t>
  </si>
  <si>
    <t>303</t>
  </si>
  <si>
    <t>966786953</t>
  </si>
  <si>
    <t>sandragalilea@gmail.com</t>
  </si>
  <si>
    <t>Roa</t>
  </si>
  <si>
    <t>Henriquez</t>
  </si>
  <si>
    <t>Ricardo Olea</t>
  </si>
  <si>
    <t>932</t>
  </si>
  <si>
    <t>977344044</t>
  </si>
  <si>
    <t>coke_6668@hotmail.com</t>
  </si>
  <si>
    <t>ALDA</t>
  </si>
  <si>
    <t>PEREZ</t>
  </si>
  <si>
    <t>NUEVA 2</t>
  </si>
  <si>
    <t>3082</t>
  </si>
  <si>
    <t>968013416</t>
  </si>
  <si>
    <t>CARRILLO</t>
  </si>
  <si>
    <t>GUARDA</t>
  </si>
  <si>
    <t>AV, RAUL SAEZ</t>
  </si>
  <si>
    <t>1705</t>
  </si>
  <si>
    <t>66332890</t>
  </si>
  <si>
    <t>Verónica</t>
  </si>
  <si>
    <t>Quezada</t>
  </si>
  <si>
    <t>Fontanilla</t>
  </si>
  <si>
    <t>Gaspar de ahumada</t>
  </si>
  <si>
    <t>065</t>
  </si>
  <si>
    <t>91214160</t>
  </si>
  <si>
    <t>Veronica Cecilia</t>
  </si>
  <si>
    <t>Rosales</t>
  </si>
  <si>
    <t>Vio</t>
  </si>
  <si>
    <t>venezuela</t>
  </si>
  <si>
    <t>1003</t>
  </si>
  <si>
    <t>89181510</t>
  </si>
  <si>
    <t>veronicaceciliavio@gmail.com</t>
  </si>
  <si>
    <t>Patricia Alejandra</t>
  </si>
  <si>
    <t>Monsalve</t>
  </si>
  <si>
    <t>Las gaviotas</t>
  </si>
  <si>
    <t>poste 5</t>
  </si>
  <si>
    <t>989773945</t>
  </si>
  <si>
    <t>BERTA ANDREA</t>
  </si>
  <si>
    <t>JARAMILLO</t>
  </si>
  <si>
    <t>LEIVA</t>
  </si>
  <si>
    <t>LOS KENAS</t>
  </si>
  <si>
    <t>1852</t>
  </si>
  <si>
    <t>998440204</t>
  </si>
  <si>
    <t>Valesca</t>
  </si>
  <si>
    <t>Navarrete</t>
  </si>
  <si>
    <t>Velasquez</t>
  </si>
  <si>
    <t>los quenas</t>
  </si>
  <si>
    <t>1840</t>
  </si>
  <si>
    <t>89240453</t>
  </si>
  <si>
    <t>García</t>
  </si>
  <si>
    <t>Santana</t>
  </si>
  <si>
    <t>Itahue</t>
  </si>
  <si>
    <t>406</t>
  </si>
  <si>
    <t>990307740</t>
  </si>
  <si>
    <t>cor_entertrise@hotmail.com</t>
  </si>
  <si>
    <t>Oscar</t>
  </si>
  <si>
    <t>Herrera</t>
  </si>
  <si>
    <t>Río Calle calle</t>
  </si>
  <si>
    <t>4088</t>
  </si>
  <si>
    <t>988479203</t>
  </si>
  <si>
    <t>GLORIA RUTH</t>
  </si>
  <si>
    <t>VELASQUEZ</t>
  </si>
  <si>
    <t>NAVARRETE</t>
  </si>
  <si>
    <t>PASAJE LAS AGUILAS</t>
  </si>
  <si>
    <t>591</t>
  </si>
  <si>
    <t>964458487</t>
  </si>
  <si>
    <t>GV227062@GMAIL.COM</t>
  </si>
  <si>
    <t>ALEJANDRINA</t>
  </si>
  <si>
    <t>MONTAÑA</t>
  </si>
  <si>
    <t>LOS ROMEROS</t>
  </si>
  <si>
    <t>986452773</t>
  </si>
  <si>
    <t>AIDES</t>
  </si>
  <si>
    <t>SALGADO</t>
  </si>
  <si>
    <t>RIOS</t>
  </si>
  <si>
    <t>LOS NARANJOS</t>
  </si>
  <si>
    <t>966</t>
  </si>
  <si>
    <t>986162534</t>
  </si>
  <si>
    <t>MIGUELMSALGADO@OUTLOOK.COM</t>
  </si>
  <si>
    <t>YESSICA</t>
  </si>
  <si>
    <t>JARPA</t>
  </si>
  <si>
    <t>VOLCÁN PUNTIAGUDO</t>
  </si>
  <si>
    <t>4662</t>
  </si>
  <si>
    <t>994034125</t>
  </si>
  <si>
    <t>Veronica</t>
  </si>
  <si>
    <t>Guarda</t>
  </si>
  <si>
    <t>Mautz</t>
  </si>
  <si>
    <t>Las Mulatas</t>
  </si>
  <si>
    <t>128</t>
  </si>
  <si>
    <t>68338026</t>
  </si>
  <si>
    <t>ISRAEL</t>
  </si>
  <si>
    <t>MARTINEZ</t>
  </si>
  <si>
    <t>AGUIRRE PINTO</t>
  </si>
  <si>
    <t>554</t>
  </si>
  <si>
    <t>927037077</t>
  </si>
  <si>
    <t>979097855</t>
  </si>
  <si>
    <t>JOSÉ RODRIGO</t>
  </si>
  <si>
    <t>GONZALEZ</t>
  </si>
  <si>
    <t>DE LA FUENTE</t>
  </si>
  <si>
    <t>SCHNEIDER CALLEJÓN SILVA</t>
  </si>
  <si>
    <t>3460</t>
  </si>
  <si>
    <t>995129577</t>
  </si>
  <si>
    <t>JRGONZALEZDLFUENTES@GMAIL.COM</t>
  </si>
  <si>
    <t>Dino</t>
  </si>
  <si>
    <t>Vasquez</t>
  </si>
  <si>
    <t>Las Gaviotas</t>
  </si>
  <si>
    <t>19</t>
  </si>
  <si>
    <t>944499408</t>
  </si>
  <si>
    <t>YERTY</t>
  </si>
  <si>
    <t>OLIVA</t>
  </si>
  <si>
    <t>LAS NUTRIAS</t>
  </si>
  <si>
    <t>736</t>
  </si>
  <si>
    <t>994948317</t>
  </si>
  <si>
    <t>ANA</t>
  </si>
  <si>
    <t>ARAVENA</t>
  </si>
  <si>
    <t>PACHECO</t>
  </si>
  <si>
    <t>LOS PETRELES</t>
  </si>
  <si>
    <t>444</t>
  </si>
  <si>
    <t>974507888</t>
  </si>
  <si>
    <t>ANITARAVENA@GMAIL.COM</t>
  </si>
  <si>
    <t>Maria Helena</t>
  </si>
  <si>
    <t>Flores</t>
  </si>
  <si>
    <t>Carvajal</t>
  </si>
  <si>
    <t>ruta T 424</t>
  </si>
  <si>
    <t>871</t>
  </si>
  <si>
    <t>968790077</t>
  </si>
  <si>
    <t>Marianet</t>
  </si>
  <si>
    <t>Quiroga</t>
  </si>
  <si>
    <t>Castro</t>
  </si>
  <si>
    <t>Jaime de La Guarda</t>
  </si>
  <si>
    <t>4547</t>
  </si>
  <si>
    <t>4730800</t>
  </si>
  <si>
    <t>Ignacio</t>
  </si>
  <si>
    <t>Alarcon</t>
  </si>
  <si>
    <t>Los Chincolos</t>
  </si>
  <si>
    <t>1654</t>
  </si>
  <si>
    <t>991795027</t>
  </si>
  <si>
    <t>Magaly</t>
  </si>
  <si>
    <t>Barrios</t>
  </si>
  <si>
    <t>Diaz</t>
  </si>
  <si>
    <t>Las mulatas</t>
  </si>
  <si>
    <t>109</t>
  </si>
  <si>
    <t>974307515</t>
  </si>
  <si>
    <t>Berta Miguelina</t>
  </si>
  <si>
    <t>Parada</t>
  </si>
  <si>
    <t>Martinez</t>
  </si>
  <si>
    <t>Pasaje las torcasas</t>
  </si>
  <si>
    <t>961</t>
  </si>
  <si>
    <t>974533839</t>
  </si>
  <si>
    <t>bertap1966@gmail.com</t>
  </si>
  <si>
    <t>Kathy Valeska</t>
  </si>
  <si>
    <t>Saavedra</t>
  </si>
  <si>
    <t>255</t>
  </si>
  <si>
    <t>977098091</t>
  </si>
  <si>
    <t>Nancy Del Carmen</t>
  </si>
  <si>
    <t>Epuante</t>
  </si>
  <si>
    <t>CORAL</t>
  </si>
  <si>
    <t>2238</t>
  </si>
  <si>
    <t>956291745</t>
  </si>
  <si>
    <t>Guisela</t>
  </si>
  <si>
    <t>Catalan</t>
  </si>
  <si>
    <t>Jaramillo</t>
  </si>
  <si>
    <t>Villa Brisas de Canaan Pasaje rubi</t>
  </si>
  <si>
    <t>2192</t>
  </si>
  <si>
    <t>96137037</t>
  </si>
  <si>
    <t>guiselarosanacatalanjaramillo@gmail.com</t>
  </si>
  <si>
    <t>Monica</t>
  </si>
  <si>
    <t>Ibañez</t>
  </si>
  <si>
    <t>Saldías</t>
  </si>
  <si>
    <t>Jorge Bustos</t>
  </si>
  <si>
    <t>4044</t>
  </si>
  <si>
    <t>966808240</t>
  </si>
  <si>
    <t>monica2111@live.cl</t>
  </si>
  <si>
    <t>Rosa Miriam</t>
  </si>
  <si>
    <t>Ovalle</t>
  </si>
  <si>
    <t>Los Eucaliptus</t>
  </si>
  <si>
    <t>384</t>
  </si>
  <si>
    <t>984372065</t>
  </si>
  <si>
    <t>Maria</t>
  </si>
  <si>
    <t>Barrientos</t>
  </si>
  <si>
    <t>Cabrera</t>
  </si>
  <si>
    <t>Ampliación Villa lo alcalde</t>
  </si>
  <si>
    <t>956000713</t>
  </si>
  <si>
    <t>valentina.andrade017@gmail.com</t>
  </si>
  <si>
    <t>Gerdys</t>
  </si>
  <si>
    <t>Inostroza</t>
  </si>
  <si>
    <t>Oyarzun</t>
  </si>
  <si>
    <t>av. raul saez</t>
  </si>
  <si>
    <t>1873</t>
  </si>
  <si>
    <t>921991816</t>
  </si>
  <si>
    <t>Patricio</t>
  </si>
  <si>
    <t>Lagos</t>
  </si>
  <si>
    <t>Albornoz</t>
  </si>
  <si>
    <t>895</t>
  </si>
  <si>
    <t>935193652</t>
  </si>
  <si>
    <t>ELIZABETH</t>
  </si>
  <si>
    <t>MUÑOZ</t>
  </si>
  <si>
    <t>VALENZUELA</t>
  </si>
  <si>
    <t>VILLA EL NOGAL, PASAJE NOGAL 1</t>
  </si>
  <si>
    <t>1935</t>
  </si>
  <si>
    <t>997773219</t>
  </si>
  <si>
    <t>ANDRES</t>
  </si>
  <si>
    <t>PANTOJA</t>
  </si>
  <si>
    <t>URIBE</t>
  </si>
  <si>
    <t>PEDRO PRADO</t>
  </si>
  <si>
    <t>529</t>
  </si>
  <si>
    <t>941987751</t>
  </si>
  <si>
    <t>ANDRES.PANTOJA@OUTLOOK.ES</t>
  </si>
  <si>
    <t>ALEX</t>
  </si>
  <si>
    <t>MEDINA</t>
  </si>
  <si>
    <t>BUSTAMANTE</t>
  </si>
  <si>
    <t>Las Verbenas 150 Pb Ines De Suarez</t>
  </si>
  <si>
    <t>150</t>
  </si>
  <si>
    <t>Ramos</t>
  </si>
  <si>
    <t>Rodriguez</t>
  </si>
  <si>
    <t>Santa Martina</t>
  </si>
  <si>
    <t>3734</t>
  </si>
  <si>
    <t>975834545</t>
  </si>
  <si>
    <t>lilo.ramro@gmail.com</t>
  </si>
  <si>
    <t>LOBOS</t>
  </si>
  <si>
    <t>MORALES</t>
  </si>
  <si>
    <t>LOS TORDOS</t>
  </si>
  <si>
    <t>1874</t>
  </si>
  <si>
    <t>978938000</t>
  </si>
  <si>
    <t>Marcelo Alejandro</t>
  </si>
  <si>
    <t>CIRCUNVALACIÓN NUEVA REGION</t>
  </si>
  <si>
    <t>513</t>
  </si>
  <si>
    <t>977880970</t>
  </si>
  <si>
    <t>marcelolo.2.166@gmail.com</t>
  </si>
  <si>
    <t>Ana</t>
  </si>
  <si>
    <t>Leal</t>
  </si>
  <si>
    <t>Muñoz</t>
  </si>
  <si>
    <t>Santiago Dervis Ojeda</t>
  </si>
  <si>
    <t>486</t>
  </si>
  <si>
    <t>96175088</t>
  </si>
  <si>
    <t>Viviana Del Carmen</t>
  </si>
  <si>
    <t>Delgado</t>
  </si>
  <si>
    <t>Angulo</t>
  </si>
  <si>
    <t>federico weisse</t>
  </si>
  <si>
    <t>319</t>
  </si>
  <si>
    <t>90929292</t>
  </si>
  <si>
    <t>delgadovivia065@gmail.com</t>
  </si>
  <si>
    <t>ELSA</t>
  </si>
  <si>
    <t>FUENTES</t>
  </si>
  <si>
    <t>PINO</t>
  </si>
  <si>
    <t>SANTA INES</t>
  </si>
  <si>
    <t>3594</t>
  </si>
  <si>
    <t>950660315</t>
  </si>
  <si>
    <t>ELSAFUENTES65@GMAIL.COM</t>
  </si>
  <si>
    <t>Luisa</t>
  </si>
  <si>
    <t>Díaz</t>
  </si>
  <si>
    <t>eladio rojas 3</t>
  </si>
  <si>
    <t>4051</t>
  </si>
  <si>
    <t>98048206</t>
  </si>
  <si>
    <t>SANDRA</t>
  </si>
  <si>
    <t>TORRES</t>
  </si>
  <si>
    <t>PASAJE LOS CHERCANES</t>
  </si>
  <si>
    <t>1760</t>
  </si>
  <si>
    <t>990771133</t>
  </si>
  <si>
    <t>Jacqueline</t>
  </si>
  <si>
    <t>Los Tordos</t>
  </si>
  <si>
    <t>1850</t>
  </si>
  <si>
    <t>93595382</t>
  </si>
  <si>
    <t>jacquelineguarda76@gmail.com</t>
  </si>
  <si>
    <t>Soila Isabel</t>
  </si>
  <si>
    <t>Ruiz</t>
  </si>
  <si>
    <t>Poveda</t>
  </si>
  <si>
    <t>Los hualles</t>
  </si>
  <si>
    <t>2101</t>
  </si>
  <si>
    <t>973709397</t>
  </si>
  <si>
    <t>INEZ</t>
  </si>
  <si>
    <t>CONCHA</t>
  </si>
  <si>
    <t>RAUL SAEZ</t>
  </si>
  <si>
    <t>954548571</t>
  </si>
  <si>
    <t>JOGE</t>
  </si>
  <si>
    <t>NAVARRO</t>
  </si>
  <si>
    <t>PASAJE LOS PETRELES</t>
  </si>
  <si>
    <t>495</t>
  </si>
  <si>
    <t>985975148</t>
  </si>
  <si>
    <t>MARIELA</t>
  </si>
  <si>
    <t>SOLIS</t>
  </si>
  <si>
    <t>ALARCÓN</t>
  </si>
  <si>
    <t>FUNDO CUTIPAI</t>
  </si>
  <si>
    <t>33120791</t>
  </si>
  <si>
    <t>NANCY</t>
  </si>
  <si>
    <t>POBLETE</t>
  </si>
  <si>
    <t>BRISAS DE GUACAMAYO LOS TEYUES</t>
  </si>
  <si>
    <t>351</t>
  </si>
  <si>
    <t>977039376</t>
  </si>
  <si>
    <t>Arriagada</t>
  </si>
  <si>
    <t>Troncoso</t>
  </si>
  <si>
    <t>Las Vicuñas</t>
  </si>
  <si>
    <t>1670</t>
  </si>
  <si>
    <t>955344287</t>
  </si>
  <si>
    <t>RUTH</t>
  </si>
  <si>
    <t>VERA</t>
  </si>
  <si>
    <t>ALVAREZ</t>
  </si>
  <si>
    <t>AV. CIRCUNVALACIÓN NUEVA REGIÓN</t>
  </si>
  <si>
    <t>823</t>
  </si>
  <si>
    <t>967779273</t>
  </si>
  <si>
    <t>RUTHVERAALVAREZ@HOTMAIL.COM</t>
  </si>
  <si>
    <t>Mario</t>
  </si>
  <si>
    <t>Moreira</t>
  </si>
  <si>
    <t>Sandoval</t>
  </si>
  <si>
    <t>Guacamayo</t>
  </si>
  <si>
    <t>973980256</t>
  </si>
  <si>
    <t>AGUILAR</t>
  </si>
  <si>
    <t>LOA MANUTARA</t>
  </si>
  <si>
    <t>1862</t>
  </si>
  <si>
    <t>087527606</t>
  </si>
  <si>
    <t>ARNOLDO FABIAN</t>
  </si>
  <si>
    <t>CIFUENTES</t>
  </si>
  <si>
    <t>GUTIERREZ</t>
  </si>
  <si>
    <t>741</t>
  </si>
  <si>
    <t>962050427</t>
  </si>
  <si>
    <t>DIAZ</t>
  </si>
  <si>
    <t>los charcanes</t>
  </si>
  <si>
    <t>1763</t>
  </si>
  <si>
    <t>98848306</t>
  </si>
  <si>
    <t>Hernan</t>
  </si>
  <si>
    <t>Ramirez</t>
  </si>
  <si>
    <t>Nahuelpan</t>
  </si>
  <si>
    <t>1877</t>
  </si>
  <si>
    <t>85500836</t>
  </si>
  <si>
    <t>Marcelo</t>
  </si>
  <si>
    <t>Cañas</t>
  </si>
  <si>
    <t>Huequeman</t>
  </si>
  <si>
    <t>Pedro montoya</t>
  </si>
  <si>
    <t>430</t>
  </si>
  <si>
    <t>949166640</t>
  </si>
  <si>
    <t>marcelocanas8@gmail.com</t>
  </si>
  <si>
    <t>René</t>
  </si>
  <si>
    <t>Biava</t>
  </si>
  <si>
    <t>Molina</t>
  </si>
  <si>
    <t>Antonio Fernandez 1</t>
  </si>
  <si>
    <t>3081</t>
  </si>
  <si>
    <t>953613254</t>
  </si>
  <si>
    <t>biavarene7@gmail.com</t>
  </si>
  <si>
    <t>RAQUEL</t>
  </si>
  <si>
    <t>ROMERO</t>
  </si>
  <si>
    <t>SANTA LAURA</t>
  </si>
  <si>
    <t>716</t>
  </si>
  <si>
    <t>979337465</t>
  </si>
  <si>
    <t>GLORIAALVAREZ1968@HOTMAIL.COM</t>
  </si>
  <si>
    <t>David Eduardo</t>
  </si>
  <si>
    <t>Vera</t>
  </si>
  <si>
    <t>inten</t>
  </si>
  <si>
    <t>942</t>
  </si>
  <si>
    <t>944643603</t>
  </si>
  <si>
    <t>davideduardo4@gmail.com</t>
  </si>
  <si>
    <t>VICTOR</t>
  </si>
  <si>
    <t>CALUPI</t>
  </si>
  <si>
    <t>PASMIÑO</t>
  </si>
  <si>
    <t>LOS HUALOS</t>
  </si>
  <si>
    <t>2019</t>
  </si>
  <si>
    <t>967783012</t>
  </si>
  <si>
    <t>Ivonne</t>
  </si>
  <si>
    <t>Sepúlveda</t>
  </si>
  <si>
    <t>Schulz</t>
  </si>
  <si>
    <t>General lagos</t>
  </si>
  <si>
    <t>987675452</t>
  </si>
  <si>
    <t>josefrida68@gmail.com</t>
  </si>
  <si>
    <t>Brandt</t>
  </si>
  <si>
    <t>Parque llancahue</t>
  </si>
  <si>
    <t>408</t>
  </si>
  <si>
    <t>950279077</t>
  </si>
  <si>
    <t>margaritasavo@gmail.com</t>
  </si>
  <si>
    <t>Claudia Palma</t>
  </si>
  <si>
    <t>Palma</t>
  </si>
  <si>
    <t>Arcos</t>
  </si>
  <si>
    <t>Avenida Lynch PSJE 21</t>
  </si>
  <si>
    <t>825</t>
  </si>
  <si>
    <t>976567219</t>
  </si>
  <si>
    <t>claudia.palma.fedor@gmail.com</t>
  </si>
  <si>
    <t>Candia</t>
  </si>
  <si>
    <t>Saravia</t>
  </si>
  <si>
    <t>Manuel Rodriguez</t>
  </si>
  <si>
    <t>715</t>
  </si>
  <si>
    <t>987492650</t>
  </si>
  <si>
    <t>Mauricio</t>
  </si>
  <si>
    <t>Gral Montecinos</t>
  </si>
  <si>
    <t>2990</t>
  </si>
  <si>
    <t>84896047</t>
  </si>
  <si>
    <t>Jimena</t>
  </si>
  <si>
    <t>Fuentealba</t>
  </si>
  <si>
    <t>La Estancia Federico Weise</t>
  </si>
  <si>
    <t>487</t>
  </si>
  <si>
    <t>985694732</t>
  </si>
  <si>
    <t>PATRICIA</t>
  </si>
  <si>
    <t>HERNANDEZ</t>
  </si>
  <si>
    <t>GUERRERO</t>
  </si>
  <si>
    <t>LAS TENCAS</t>
  </si>
  <si>
    <t>1870</t>
  </si>
  <si>
    <t>982634257</t>
  </si>
  <si>
    <t>MARIA ANGELICA</t>
  </si>
  <si>
    <t>MARAGAÑO</t>
  </si>
  <si>
    <t>DOMINGUEZ</t>
  </si>
  <si>
    <t>963313691</t>
  </si>
  <si>
    <t>MARCOS</t>
  </si>
  <si>
    <t>CARCAMO</t>
  </si>
  <si>
    <t>LOS TUAOS</t>
  </si>
  <si>
    <t>367</t>
  </si>
  <si>
    <t>959100367</t>
  </si>
  <si>
    <t>Mary</t>
  </si>
  <si>
    <t>Lorca</t>
  </si>
  <si>
    <t>circunvalacion sur</t>
  </si>
  <si>
    <t>14</t>
  </si>
  <si>
    <t>973197723</t>
  </si>
  <si>
    <t>marylorcaa@gmail.com</t>
  </si>
  <si>
    <t>Monica Jaqueline</t>
  </si>
  <si>
    <t>Mella</t>
  </si>
  <si>
    <t>las palmas</t>
  </si>
  <si>
    <t>2073</t>
  </si>
  <si>
    <t>972986482</t>
  </si>
  <si>
    <t>ALMONACID</t>
  </si>
  <si>
    <t>NIETO</t>
  </si>
  <si>
    <t>LOS CHUCAOS</t>
  </si>
  <si>
    <t>536</t>
  </si>
  <si>
    <t>973590500</t>
  </si>
  <si>
    <t>SABEPY@GMAIL.COM</t>
  </si>
  <si>
    <t>Rubén</t>
  </si>
  <si>
    <t>Cárcamo</t>
  </si>
  <si>
    <t>Luis Damann</t>
  </si>
  <si>
    <t>2219</t>
  </si>
  <si>
    <t>971709337</t>
  </si>
  <si>
    <t>rubencarcamo2018@gmail.com</t>
  </si>
  <si>
    <t>Daniela</t>
  </si>
  <si>
    <t>Pacheco</t>
  </si>
  <si>
    <t>Cárdenas</t>
  </si>
  <si>
    <t>Luis daman</t>
  </si>
  <si>
    <t>936</t>
  </si>
  <si>
    <t>985157712</t>
  </si>
  <si>
    <t>ERMINIA</t>
  </si>
  <si>
    <t>CONTRERAS</t>
  </si>
  <si>
    <t>ARANCIBIA</t>
  </si>
  <si>
    <t>AUCAMAN</t>
  </si>
  <si>
    <t>018</t>
  </si>
  <si>
    <t>72139761</t>
  </si>
  <si>
    <t>Gustavo Ricardo</t>
  </si>
  <si>
    <t>Burdiles</t>
  </si>
  <si>
    <t>curiñanco</t>
  </si>
  <si>
    <t>sn</t>
  </si>
  <si>
    <t>959531782</t>
  </si>
  <si>
    <t>guzvasbur@hotmail.com</t>
  </si>
  <si>
    <t>HUGO FERNANDO</t>
  </si>
  <si>
    <t>REYES</t>
  </si>
  <si>
    <t>BRISAS DE CANAAN PASAJE CORAL</t>
  </si>
  <si>
    <t>2193</t>
  </si>
  <si>
    <t>88533540</t>
  </si>
  <si>
    <t>Roxana</t>
  </si>
  <si>
    <t>Avenida Lynch, Pje 21</t>
  </si>
  <si>
    <t>740</t>
  </si>
  <si>
    <t>974861635</t>
  </si>
  <si>
    <t>roxanahenriquezmolina@gmail.com</t>
  </si>
  <si>
    <t>VIVIANA DEL CARMEN</t>
  </si>
  <si>
    <t>VERGARA</t>
  </si>
  <si>
    <t>VILLANUEVA</t>
  </si>
  <si>
    <t>667</t>
  </si>
  <si>
    <t>JOSE</t>
  </si>
  <si>
    <t>BAHAMONDES</t>
  </si>
  <si>
    <t>VALDOVINO</t>
  </si>
  <si>
    <t>TARAPACA</t>
  </si>
  <si>
    <t>755</t>
  </si>
  <si>
    <t>949333578</t>
  </si>
  <si>
    <t>FERNANDOBAHAMONDES696@GMAIL.COM</t>
  </si>
  <si>
    <t>MARGARITA</t>
  </si>
  <si>
    <t>SALDIVIA</t>
  </si>
  <si>
    <t>ZAMBRANO</t>
  </si>
  <si>
    <t>pasaje 3</t>
  </si>
  <si>
    <t>158</t>
  </si>
  <si>
    <t>977650372</t>
  </si>
  <si>
    <t>Ulloa</t>
  </si>
  <si>
    <t>022</t>
  </si>
  <si>
    <t>8902391</t>
  </si>
  <si>
    <t>Avenida Raul Saes</t>
  </si>
  <si>
    <t>2060</t>
  </si>
  <si>
    <t>63294922</t>
  </si>
  <si>
    <t>HERMINDA</t>
  </si>
  <si>
    <t>QUILAPAN</t>
  </si>
  <si>
    <t>LIENLAF</t>
  </si>
  <si>
    <t>429</t>
  </si>
  <si>
    <t>966940903</t>
  </si>
  <si>
    <t>MARCELA</t>
  </si>
  <si>
    <t>URRUTIA</t>
  </si>
  <si>
    <t>LO QUENAS</t>
  </si>
  <si>
    <t>1856</t>
  </si>
  <si>
    <t>931329346</t>
  </si>
  <si>
    <t>Ricardo</t>
  </si>
  <si>
    <t>Uribe</t>
  </si>
  <si>
    <t>Jorquera</t>
  </si>
  <si>
    <t>Rio cayumapu</t>
  </si>
  <si>
    <t>3289</t>
  </si>
  <si>
    <t>996825399</t>
  </si>
  <si>
    <t>Juan Raul</t>
  </si>
  <si>
    <t>Epuyao</t>
  </si>
  <si>
    <t>Narciso carballo</t>
  </si>
  <si>
    <t>4261</t>
  </si>
  <si>
    <t>987637623</t>
  </si>
  <si>
    <t>Nancy</t>
  </si>
  <si>
    <t>Gallardo</t>
  </si>
  <si>
    <t>Guzman</t>
  </si>
  <si>
    <t>onolino landa 1</t>
  </si>
  <si>
    <t>4040</t>
  </si>
  <si>
    <t>959863446</t>
  </si>
  <si>
    <t>scartlethcortescatyta29@gmail.com</t>
  </si>
  <si>
    <t>Lucila Del Carmen</t>
  </si>
  <si>
    <t>Marcos</t>
  </si>
  <si>
    <t>Volcán puyehue</t>
  </si>
  <si>
    <t>3680</t>
  </si>
  <si>
    <t>966991358</t>
  </si>
  <si>
    <t>lucilamarcos.m@gmail.com</t>
  </si>
  <si>
    <t>Herminia Del Carmen</t>
  </si>
  <si>
    <t>Briones</t>
  </si>
  <si>
    <t>Pje Los Yales</t>
  </si>
  <si>
    <t>316</t>
  </si>
  <si>
    <t>967355229</t>
  </si>
  <si>
    <t>herminia.b47@gmail.com</t>
  </si>
  <si>
    <t>Villagran</t>
  </si>
  <si>
    <t>california</t>
  </si>
  <si>
    <t>0291</t>
  </si>
  <si>
    <t>959763987</t>
  </si>
  <si>
    <t>CARLA</t>
  </si>
  <si>
    <t>CABRERA</t>
  </si>
  <si>
    <t>LAGOS</t>
  </si>
  <si>
    <t>LOA ROMEROS</t>
  </si>
  <si>
    <t>537</t>
  </si>
  <si>
    <t>956803897</t>
  </si>
  <si>
    <t>Elgueta</t>
  </si>
  <si>
    <t>Muñoz Hermosilla</t>
  </si>
  <si>
    <t>938732519</t>
  </si>
  <si>
    <t>Las Queñoas</t>
  </si>
  <si>
    <t>312</t>
  </si>
  <si>
    <t>968190532</t>
  </si>
  <si>
    <t>CARMEN GLORIA</t>
  </si>
  <si>
    <t>FERNANDEZ</t>
  </si>
  <si>
    <t>AGUIRRE</t>
  </si>
  <si>
    <t>MILLACURA</t>
  </si>
  <si>
    <t>892</t>
  </si>
  <si>
    <t>996859276</t>
  </si>
  <si>
    <t>Nora Ivonne</t>
  </si>
  <si>
    <t>ignacio de la carrera pasaje 9</t>
  </si>
  <si>
    <t>5358</t>
  </si>
  <si>
    <t>966060826</t>
  </si>
  <si>
    <t>nora.palmasantana@gmail.com</t>
  </si>
  <si>
    <t>Rivas</t>
  </si>
  <si>
    <t>Ingeniero Raúl saez</t>
  </si>
  <si>
    <t>175</t>
  </si>
  <si>
    <t>956440996</t>
  </si>
  <si>
    <t>evelindamartinez098@gmail.com</t>
  </si>
  <si>
    <t>Marcela Dalia</t>
  </si>
  <si>
    <t>Teral</t>
  </si>
  <si>
    <t>De La Rosa</t>
  </si>
  <si>
    <t>Parque ojos del caburgua</t>
  </si>
  <si>
    <t>542</t>
  </si>
  <si>
    <t>977697851</t>
  </si>
  <si>
    <t>ROSA</t>
  </si>
  <si>
    <t>SANDOVAL</t>
  </si>
  <si>
    <t>GARRIDO</t>
  </si>
  <si>
    <t>LAS VICUÑAS</t>
  </si>
  <si>
    <t>1671</t>
  </si>
  <si>
    <t>998163401</t>
  </si>
  <si>
    <t>Carolina</t>
  </si>
  <si>
    <t>Olivares</t>
  </si>
  <si>
    <t>Cuevas</t>
  </si>
  <si>
    <t>Pasaje los pimpollos</t>
  </si>
  <si>
    <t>1160</t>
  </si>
  <si>
    <t>985301331</t>
  </si>
  <si>
    <t>darc2008@gmail.com</t>
  </si>
  <si>
    <t>Morales</t>
  </si>
  <si>
    <t>Antiago</t>
  </si>
  <si>
    <t>Los hualles parcela</t>
  </si>
  <si>
    <t>15</t>
  </si>
  <si>
    <t>945337616</t>
  </si>
  <si>
    <t>claudiamorales@uach.cl</t>
  </si>
  <si>
    <t>Karim</t>
  </si>
  <si>
    <t>Carlos Keler</t>
  </si>
  <si>
    <t>808</t>
  </si>
  <si>
    <t>952213981</t>
  </si>
  <si>
    <t>karimsotoperez@gmail.com</t>
  </si>
  <si>
    <t>Avello</t>
  </si>
  <si>
    <t>Pelantaro</t>
  </si>
  <si>
    <t>122</t>
  </si>
  <si>
    <t>998878318</t>
  </si>
  <si>
    <t>Susana</t>
  </si>
  <si>
    <t>Garrido</t>
  </si>
  <si>
    <t>Manuel Rojas</t>
  </si>
  <si>
    <t>443</t>
  </si>
  <si>
    <t>956838883</t>
  </si>
  <si>
    <t>Cristina Alejandra</t>
  </si>
  <si>
    <t>Cancino</t>
  </si>
  <si>
    <t>Vejar</t>
  </si>
  <si>
    <t>Cuncumen</t>
  </si>
  <si>
    <t>982415584</t>
  </si>
  <si>
    <t>cristicancino@hotmail.com</t>
  </si>
  <si>
    <t>Jorge Antonio</t>
  </si>
  <si>
    <t>Cid</t>
  </si>
  <si>
    <t>Avilez</t>
  </si>
  <si>
    <t>las vizcachas</t>
  </si>
  <si>
    <t>1647</t>
  </si>
  <si>
    <t>961435046</t>
  </si>
  <si>
    <t>jcidavilez@gmail.com</t>
  </si>
  <si>
    <t>Miguel</t>
  </si>
  <si>
    <t>Navarro</t>
  </si>
  <si>
    <t>Villalobos</t>
  </si>
  <si>
    <t>997</t>
  </si>
  <si>
    <t>81354577</t>
  </si>
  <si>
    <t>XIMENA</t>
  </si>
  <si>
    <t>JARA</t>
  </si>
  <si>
    <t>PASAJE ROMERO</t>
  </si>
  <si>
    <t>567</t>
  </si>
  <si>
    <t>946346523</t>
  </si>
  <si>
    <t>Fernandez</t>
  </si>
  <si>
    <t>Opazo</t>
  </si>
  <si>
    <t>LOS BELLOTOS</t>
  </si>
  <si>
    <t>2074</t>
  </si>
  <si>
    <t>978941493</t>
  </si>
  <si>
    <t>Cayuñir</t>
  </si>
  <si>
    <t>Paillalef</t>
  </si>
  <si>
    <t>Mancera</t>
  </si>
  <si>
    <t>816</t>
  </si>
  <si>
    <t>979387816</t>
  </si>
  <si>
    <t>ccristinajara@gmail.com</t>
  </si>
  <si>
    <t>EVELING</t>
  </si>
  <si>
    <t>DÍAZ</t>
  </si>
  <si>
    <t>976131741</t>
  </si>
  <si>
    <t>EVELINGDIAZ7@GMAIL.COM</t>
  </si>
  <si>
    <t>Marisol Del Carmen</t>
  </si>
  <si>
    <t>Abarzua</t>
  </si>
  <si>
    <t>Pasaje Las Kenas</t>
  </si>
  <si>
    <t>1849</t>
  </si>
  <si>
    <t>969042652</t>
  </si>
  <si>
    <t>Patricia Adela</t>
  </si>
  <si>
    <t>Palacios</t>
  </si>
  <si>
    <t>Los Peucos</t>
  </si>
  <si>
    <t>77338363</t>
  </si>
  <si>
    <t>Oscar Fredy</t>
  </si>
  <si>
    <t>Guiñez</t>
  </si>
  <si>
    <t>josè victorino lastarria</t>
  </si>
  <si>
    <t>2155</t>
  </si>
  <si>
    <t>930958811</t>
  </si>
  <si>
    <t>oscar.guinez47@gmail.com</t>
  </si>
  <si>
    <t>Janette</t>
  </si>
  <si>
    <t>Llanos</t>
  </si>
  <si>
    <t>Mejías</t>
  </si>
  <si>
    <t>Llanquipan</t>
  </si>
  <si>
    <t>224</t>
  </si>
  <si>
    <t>981209384</t>
  </si>
  <si>
    <t>jnttllanos@gmail.com</t>
  </si>
  <si>
    <t>Loreto</t>
  </si>
  <si>
    <t>Paredes</t>
  </si>
  <si>
    <t>Antoni borque solar</t>
  </si>
  <si>
    <t>227</t>
  </si>
  <si>
    <t>972032164</t>
  </si>
  <si>
    <t>Aristi</t>
  </si>
  <si>
    <t>Isla mota</t>
  </si>
  <si>
    <t>2436</t>
  </si>
  <si>
    <t>975880176</t>
  </si>
  <si>
    <t>Javier Eduardo</t>
  </si>
  <si>
    <t>Cadiz</t>
  </si>
  <si>
    <t>Klenner</t>
  </si>
  <si>
    <t>Las Tencas</t>
  </si>
  <si>
    <t>931280062</t>
  </si>
  <si>
    <t>CECILIA</t>
  </si>
  <si>
    <t>ORTEGA</t>
  </si>
  <si>
    <t>SCHMIDT</t>
  </si>
  <si>
    <t>GALILEO</t>
  </si>
  <si>
    <t>776</t>
  </si>
  <si>
    <t>98703742</t>
  </si>
  <si>
    <t>Soledad</t>
  </si>
  <si>
    <t>Dequelon</t>
  </si>
  <si>
    <t>Punucapa alto, parcela 1</t>
  </si>
  <si>
    <t>00</t>
  </si>
  <si>
    <t>987699364</t>
  </si>
  <si>
    <t>Otilia</t>
  </si>
  <si>
    <t>Rebolledo</t>
  </si>
  <si>
    <t>Burgos</t>
  </si>
  <si>
    <t>los jilgueros</t>
  </si>
  <si>
    <t>962969085</t>
  </si>
  <si>
    <t>otilia.rebolledo@gmail.com</t>
  </si>
  <si>
    <t>Domingo</t>
  </si>
  <si>
    <t>MELLADO</t>
  </si>
  <si>
    <t>OLIVERA</t>
  </si>
  <si>
    <t>san gabriel</t>
  </si>
  <si>
    <t>601</t>
  </si>
  <si>
    <t>238010</t>
  </si>
  <si>
    <t>miriamellado@gmail.com</t>
  </si>
  <si>
    <t>Natalia</t>
  </si>
  <si>
    <t>Pezoa</t>
  </si>
  <si>
    <t>Los manutaras</t>
  </si>
  <si>
    <t>1822</t>
  </si>
  <si>
    <t>958582325</t>
  </si>
  <si>
    <t>Macarena Asunción</t>
  </si>
  <si>
    <t>Lersundi</t>
  </si>
  <si>
    <t>Alfredo Vial Solar</t>
  </si>
  <si>
    <t>960</t>
  </si>
  <si>
    <t>413136359</t>
  </si>
  <si>
    <t>997082199</t>
  </si>
  <si>
    <t>maquita960@gmail.com</t>
  </si>
  <si>
    <t>Isolina Del Carmen</t>
  </si>
  <si>
    <t>Fuentes</t>
  </si>
  <si>
    <t>las aguilas</t>
  </si>
  <si>
    <t>976710106</t>
  </si>
  <si>
    <t>Duarte</t>
  </si>
  <si>
    <t>Neipan</t>
  </si>
  <si>
    <t>Brisas de Canaan Pje. Rubi</t>
  </si>
  <si>
    <t>2188</t>
  </si>
  <si>
    <t>941337876</t>
  </si>
  <si>
    <t>Evando</t>
  </si>
  <si>
    <t>Chavarria</t>
  </si>
  <si>
    <t>A</t>
  </si>
  <si>
    <t>Errazuriz</t>
  </si>
  <si>
    <t>3411</t>
  </si>
  <si>
    <t>967761861</t>
  </si>
  <si>
    <t>LUIS DAMANN</t>
  </si>
  <si>
    <t>1631</t>
  </si>
  <si>
    <t>95912925</t>
  </si>
  <si>
    <t>Carmen</t>
  </si>
  <si>
    <t>Carrillo</t>
  </si>
  <si>
    <t>Av. ingeniero raúl saez</t>
  </si>
  <si>
    <t>92863961</t>
  </si>
  <si>
    <t>carcarriguar@gmail.com</t>
  </si>
  <si>
    <t>SUSANA VICTORIA</t>
  </si>
  <si>
    <t>MONSALVE</t>
  </si>
  <si>
    <t>MATAMALA</t>
  </si>
  <si>
    <t>PASAJE LAS AVUTARDAS</t>
  </si>
  <si>
    <t>629</t>
  </si>
  <si>
    <t>962560478</t>
  </si>
  <si>
    <t>SUSI_VICTORIA@HOTMAIL.COM</t>
  </si>
  <si>
    <t>Sobarzo</t>
  </si>
  <si>
    <t>Alberto Manzano</t>
  </si>
  <si>
    <t>866</t>
  </si>
  <si>
    <t>79029960</t>
  </si>
  <si>
    <t>Jaime</t>
  </si>
  <si>
    <t>Vidal</t>
  </si>
  <si>
    <t>Bobenrieth</t>
  </si>
  <si>
    <t>quinchilca</t>
  </si>
  <si>
    <t>365</t>
  </si>
  <si>
    <t>953074605</t>
  </si>
  <si>
    <t>Alejandro</t>
  </si>
  <si>
    <t>Valdes</t>
  </si>
  <si>
    <t>Av. Nueva Región</t>
  </si>
  <si>
    <t>739</t>
  </si>
  <si>
    <t>Gladys</t>
  </si>
  <si>
    <t>Calfulaf</t>
  </si>
  <si>
    <t>Gomez</t>
  </si>
  <si>
    <t>467</t>
  </si>
  <si>
    <t>963183373</t>
  </si>
  <si>
    <t>gladyscalfulaf@gmail.com</t>
  </si>
  <si>
    <t>CRISTIAN</t>
  </si>
  <si>
    <t>MONBERG</t>
  </si>
  <si>
    <t>YANCA</t>
  </si>
  <si>
    <t>2138</t>
  </si>
  <si>
    <t>966767282</t>
  </si>
  <si>
    <t>CASTILLO</t>
  </si>
  <si>
    <t>REBOLLEDO</t>
  </si>
  <si>
    <t>PASAJE 36 LONCOPAN</t>
  </si>
  <si>
    <t>942435528</t>
  </si>
  <si>
    <t>VERÓNICA DEL CARMEN</t>
  </si>
  <si>
    <t>CASTRO</t>
  </si>
  <si>
    <t>WEBER</t>
  </si>
  <si>
    <t>NOGAL 2</t>
  </si>
  <si>
    <t>VICTORIA</t>
  </si>
  <si>
    <t>VIDAL</t>
  </si>
  <si>
    <t>ELADIO ROJAS 1</t>
  </si>
  <si>
    <t>4042</t>
  </si>
  <si>
    <t>978565737</t>
  </si>
  <si>
    <t>VICKYLORE1223@GMAIL.COM</t>
  </si>
  <si>
    <t>Ilda</t>
  </si>
  <si>
    <t>Illanes</t>
  </si>
  <si>
    <t>Torres</t>
  </si>
  <si>
    <t>Canaan Salida Sur</t>
  </si>
  <si>
    <t>977432227</t>
  </si>
  <si>
    <t>Ilda.it0229@hotmail.com</t>
  </si>
  <si>
    <t>JEANETTE</t>
  </si>
  <si>
    <t>CORTÉS</t>
  </si>
  <si>
    <t>2183</t>
  </si>
  <si>
    <t>954825679</t>
  </si>
  <si>
    <t>JEANNETTE_2006@LIVE.CL</t>
  </si>
  <si>
    <t>LEYLA</t>
  </si>
  <si>
    <t>OJEDA</t>
  </si>
  <si>
    <t>LAGO SARMIENTO</t>
  </si>
  <si>
    <t>571</t>
  </si>
  <si>
    <t>998020120</t>
  </si>
  <si>
    <t>Aguilera</t>
  </si>
  <si>
    <t>Feder</t>
  </si>
  <si>
    <t>379</t>
  </si>
  <si>
    <t>993861683</t>
  </si>
  <si>
    <t>mariagladys1963@gmail.com</t>
  </si>
  <si>
    <t>Ñanco</t>
  </si>
  <si>
    <t>Melinao</t>
  </si>
  <si>
    <t>Av. Circunvalacion Sur</t>
  </si>
  <si>
    <t>2601</t>
  </si>
  <si>
    <t>921708243</t>
  </si>
  <si>
    <t>AZOCAR</t>
  </si>
  <si>
    <t>LASTARRIAS</t>
  </si>
  <si>
    <t>2555</t>
  </si>
  <si>
    <t>930958810</t>
  </si>
  <si>
    <t>JUAN CARLOS</t>
  </si>
  <si>
    <t>ABURTO</t>
  </si>
  <si>
    <t>771</t>
  </si>
  <si>
    <t>935956310</t>
  </si>
  <si>
    <t>MIRZA</t>
  </si>
  <si>
    <t>AVILA</t>
  </si>
  <si>
    <t>AVENIDA CIRCULVALACION NUEVA REGION</t>
  </si>
  <si>
    <t>341</t>
  </si>
  <si>
    <t>994298581</t>
  </si>
  <si>
    <t>MARISOL</t>
  </si>
  <si>
    <t>CANO</t>
  </si>
  <si>
    <t>CHAIPUL</t>
  </si>
  <si>
    <t>CIRCUNVALACION NUEVA REGION</t>
  </si>
  <si>
    <t>363</t>
  </si>
  <si>
    <t>962785844</t>
  </si>
  <si>
    <t>SUSAN</t>
  </si>
  <si>
    <t>BARRERA</t>
  </si>
  <si>
    <t>MONTERO</t>
  </si>
  <si>
    <t>LOA AGUILUCHOS</t>
  </si>
  <si>
    <t>4481</t>
  </si>
  <si>
    <t>933875503</t>
  </si>
  <si>
    <t>VIVIANA CONSUELO</t>
  </si>
  <si>
    <t>VARGAS</t>
  </si>
  <si>
    <t>MORA</t>
  </si>
  <si>
    <t>PASAJE LOS CHAÑARES</t>
  </si>
  <si>
    <t>380</t>
  </si>
  <si>
    <t>967973439</t>
  </si>
  <si>
    <t>VIVIANACONSUELOVARGASMORA@GMAIL.COM</t>
  </si>
  <si>
    <t>Gutierrez</t>
  </si>
  <si>
    <t>Rojas</t>
  </si>
  <si>
    <t>Pedro Ruiz Manriquez</t>
  </si>
  <si>
    <t>23</t>
  </si>
  <si>
    <t>993321629</t>
  </si>
  <si>
    <t>Vania</t>
  </si>
  <si>
    <t>Pineda</t>
  </si>
  <si>
    <t>Los Traros</t>
  </si>
  <si>
    <t>1868</t>
  </si>
  <si>
    <t>961939702</t>
  </si>
  <si>
    <t>JUAN</t>
  </si>
  <si>
    <t>CID</t>
  </si>
  <si>
    <t>2107</t>
  </si>
  <si>
    <t>979262473</t>
  </si>
  <si>
    <t>FABPAB12@GMAIL.COM</t>
  </si>
  <si>
    <t>Acevedo</t>
  </si>
  <si>
    <t>Las Loicas</t>
  </si>
  <si>
    <t>998967458</t>
  </si>
  <si>
    <t>Maria Pilar</t>
  </si>
  <si>
    <t>Salgado</t>
  </si>
  <si>
    <t>Orellana</t>
  </si>
  <si>
    <t>Los robles</t>
  </si>
  <si>
    <t>2</t>
  </si>
  <si>
    <t>967537224</t>
  </si>
  <si>
    <t>MARCIA</t>
  </si>
  <si>
    <t>OCARES</t>
  </si>
  <si>
    <t>AV. CIRCUNVALACION</t>
  </si>
  <si>
    <t>2549</t>
  </si>
  <si>
    <t>968768061</t>
  </si>
  <si>
    <t>marlore74@hotmail.com</t>
  </si>
  <si>
    <t>GEORGINA</t>
  </si>
  <si>
    <t>QUINTANA</t>
  </si>
  <si>
    <t>RUTA T424</t>
  </si>
  <si>
    <t>917</t>
  </si>
  <si>
    <t>961024330</t>
  </si>
  <si>
    <t>GEORGINA.1974.LAGOS@GMAIL.COM</t>
  </si>
  <si>
    <t>Laura</t>
  </si>
  <si>
    <t>Los Bellotos</t>
  </si>
  <si>
    <t>2145</t>
  </si>
  <si>
    <t>73830183</t>
  </si>
  <si>
    <t>2198</t>
  </si>
  <si>
    <t>966334559</t>
  </si>
  <si>
    <t>Heidi Renate</t>
  </si>
  <si>
    <t>Gutberlet</t>
  </si>
  <si>
    <t>Escauriaza</t>
  </si>
  <si>
    <t>Las Totoras</t>
  </si>
  <si>
    <t>4517</t>
  </si>
  <si>
    <t>986783759</t>
  </si>
  <si>
    <t>Heidi.gutberlet@gmail.com</t>
  </si>
  <si>
    <t>PALMA</t>
  </si>
  <si>
    <t>LOS CHAÑARES</t>
  </si>
  <si>
    <t>464</t>
  </si>
  <si>
    <t>957695080</t>
  </si>
  <si>
    <t>Angela</t>
  </si>
  <si>
    <t>Lincope</t>
  </si>
  <si>
    <t>Beneficencia</t>
  </si>
  <si>
    <t>431</t>
  </si>
  <si>
    <t>974387788</t>
  </si>
  <si>
    <t>angelasandovallinco@gmail.com</t>
  </si>
  <si>
    <t>Claudia Elizabeth</t>
  </si>
  <si>
    <t>De La Fuente</t>
  </si>
  <si>
    <t>Los Chucaos</t>
  </si>
  <si>
    <t>624</t>
  </si>
  <si>
    <t>945078865</t>
  </si>
  <si>
    <t>Cristina</t>
  </si>
  <si>
    <t>Los chucaos 600</t>
  </si>
  <si>
    <t>600</t>
  </si>
  <si>
    <t>Avilés</t>
  </si>
  <si>
    <t>Guillermo Michaelis</t>
  </si>
  <si>
    <t>17</t>
  </si>
  <si>
    <t>988928873</t>
  </si>
  <si>
    <t>barbara.1605@hotmail.com</t>
  </si>
  <si>
    <t>Hector</t>
  </si>
  <si>
    <t>Cifuentes</t>
  </si>
  <si>
    <t>Pasaje Chañares</t>
  </si>
  <si>
    <t>953077659</t>
  </si>
  <si>
    <t>Cristian</t>
  </si>
  <si>
    <t>Bolggor</t>
  </si>
  <si>
    <t>Angachilla KM7</t>
  </si>
  <si>
    <t>7</t>
  </si>
  <si>
    <t>98694864</t>
  </si>
  <si>
    <t>Luis</t>
  </si>
  <si>
    <t>Jeldres</t>
  </si>
  <si>
    <t>Belmar</t>
  </si>
  <si>
    <t>Oncol</t>
  </si>
  <si>
    <t>84</t>
  </si>
  <si>
    <t>975637073</t>
  </si>
  <si>
    <t>jeldres1038@gmail.com</t>
  </si>
  <si>
    <t>Arango</t>
  </si>
  <si>
    <t>Jorge bustos</t>
  </si>
  <si>
    <t>4030</t>
  </si>
  <si>
    <t>76943752</t>
  </si>
  <si>
    <t>MONICA</t>
  </si>
  <si>
    <t>ECHEPARREBORDE</t>
  </si>
  <si>
    <t>RECABAL</t>
  </si>
  <si>
    <t>LAS HUALAS</t>
  </si>
  <si>
    <t>1804</t>
  </si>
  <si>
    <t>950441342</t>
  </si>
  <si>
    <t>KATHERINE</t>
  </si>
  <si>
    <t>MATZNER</t>
  </si>
  <si>
    <t>PASAJE 9</t>
  </si>
  <si>
    <t>1492</t>
  </si>
  <si>
    <t>94407383</t>
  </si>
  <si>
    <t>Zurita</t>
  </si>
  <si>
    <t>Los carpinteros</t>
  </si>
  <si>
    <t>1653</t>
  </si>
  <si>
    <t>94709886</t>
  </si>
  <si>
    <t>JORGE</t>
  </si>
  <si>
    <t>MATURANA</t>
  </si>
  <si>
    <t>ORTIZ</t>
  </si>
  <si>
    <t>PUCHUNCAVI</t>
  </si>
  <si>
    <t>478</t>
  </si>
  <si>
    <t>73764986</t>
  </si>
  <si>
    <t>JORGE.MATURANA@GMAIL.COM</t>
  </si>
  <si>
    <t>Helmuth</t>
  </si>
  <si>
    <t>Solis</t>
  </si>
  <si>
    <t>Pasaje Infanta Elena 2</t>
  </si>
  <si>
    <t>3523</t>
  </si>
  <si>
    <t>974887215</t>
  </si>
  <si>
    <t>NATALIA</t>
  </si>
  <si>
    <t>AV LOS LINGUES SN</t>
  </si>
  <si>
    <t>SN</t>
  </si>
  <si>
    <t>974846211</t>
  </si>
  <si>
    <t>NATVALDIVIA2013@GMAIL.COM</t>
  </si>
  <si>
    <t>FABIOLA</t>
  </si>
  <si>
    <t>BULNES</t>
  </si>
  <si>
    <t>JUAN FCO ADRIASOLA</t>
  </si>
  <si>
    <t>4275</t>
  </si>
  <si>
    <t>963082382</t>
  </si>
  <si>
    <t>CLAUDIA</t>
  </si>
  <si>
    <t>MACHUCA</t>
  </si>
  <si>
    <t>BRAULIO DE LEON</t>
  </si>
  <si>
    <t>5048</t>
  </si>
  <si>
    <t>946165634</t>
  </si>
  <si>
    <t>Chavez</t>
  </si>
  <si>
    <t>Tello</t>
  </si>
  <si>
    <t>Luis Damann Asenjo</t>
  </si>
  <si>
    <t>1740</t>
  </si>
  <si>
    <t>953712297</t>
  </si>
  <si>
    <t>Juan</t>
  </si>
  <si>
    <t>Jara</t>
  </si>
  <si>
    <t>Yañez</t>
  </si>
  <si>
    <t>Federico Weise</t>
  </si>
  <si>
    <t>361</t>
  </si>
  <si>
    <t>9614114097</t>
  </si>
  <si>
    <t>Norma Del Carmen</t>
  </si>
  <si>
    <t>Huala</t>
  </si>
  <si>
    <t>Los peucos</t>
  </si>
  <si>
    <t>1883</t>
  </si>
  <si>
    <t>223244143</t>
  </si>
  <si>
    <t>Andrea</t>
  </si>
  <si>
    <t>Urriaga</t>
  </si>
  <si>
    <t>Mendoza</t>
  </si>
  <si>
    <t>Avenida Ingeniero Raul Saez</t>
  </si>
  <si>
    <t>1761</t>
  </si>
  <si>
    <t>988829436</t>
  </si>
  <si>
    <t>Carola Andrea</t>
  </si>
  <si>
    <t>Astete</t>
  </si>
  <si>
    <t>Agua Marina</t>
  </si>
  <si>
    <t>2176</t>
  </si>
  <si>
    <t>57419131</t>
  </si>
  <si>
    <t>MIRIAN</t>
  </si>
  <si>
    <t>OLOVERA</t>
  </si>
  <si>
    <t>LAS LOICAS</t>
  </si>
  <si>
    <t>974780085</t>
  </si>
  <si>
    <t>Claudio Alberto</t>
  </si>
  <si>
    <t>Paillapan</t>
  </si>
  <si>
    <t>Guillermo Subiabre</t>
  </si>
  <si>
    <t>2761</t>
  </si>
  <si>
    <t>955330470</t>
  </si>
  <si>
    <t>llallo76@gmail.com</t>
  </si>
  <si>
    <t>Garate</t>
  </si>
  <si>
    <t>Perez Rosales</t>
  </si>
  <si>
    <t>1651</t>
  </si>
  <si>
    <t>993464425</t>
  </si>
  <si>
    <t>v.munozgarate@gmail.com</t>
  </si>
  <si>
    <t>Moreno</t>
  </si>
  <si>
    <t>los romeros</t>
  </si>
  <si>
    <t>572</t>
  </si>
  <si>
    <t>957528944</t>
  </si>
  <si>
    <t>mariomotohonda125@gmail.com</t>
  </si>
  <si>
    <t>IRIGOYEN</t>
  </si>
  <si>
    <t>680</t>
  </si>
  <si>
    <t>990037714</t>
  </si>
  <si>
    <t>INSPECTORIA9@GMAIL.COM</t>
  </si>
  <si>
    <t>CESAR ANTONIO</t>
  </si>
  <si>
    <t>HENRIQUEZ</t>
  </si>
  <si>
    <t>GENERAL YAÑEZ</t>
  </si>
  <si>
    <t>260</t>
  </si>
  <si>
    <t>966607534</t>
  </si>
  <si>
    <t>Olga</t>
  </si>
  <si>
    <t>Meli</t>
  </si>
  <si>
    <t>Los petreles</t>
  </si>
  <si>
    <t>93163990</t>
  </si>
  <si>
    <t>omeli76@hotmail.com</t>
  </si>
  <si>
    <t>Aguirre</t>
  </si>
  <si>
    <t>Pasaje las Palmas</t>
  </si>
  <si>
    <t>2045</t>
  </si>
  <si>
    <t>989995249</t>
  </si>
  <si>
    <t>barby.jessenia@gmail.com</t>
  </si>
  <si>
    <t>Risco</t>
  </si>
  <si>
    <t>Bustos</t>
  </si>
  <si>
    <t>Puchuncavi</t>
  </si>
  <si>
    <t>491</t>
  </si>
  <si>
    <t>95692460</t>
  </si>
  <si>
    <t>risco407@hotmail.com</t>
  </si>
  <si>
    <t>Clara Alicia</t>
  </si>
  <si>
    <t>Cruz</t>
  </si>
  <si>
    <t>Jaque</t>
  </si>
  <si>
    <t>669</t>
  </si>
  <si>
    <t>946668178</t>
  </si>
  <si>
    <t>cruzjaqueclara@gmail.com</t>
  </si>
  <si>
    <t>BERNARDA DEL PILAR</t>
  </si>
  <si>
    <t>CARO</t>
  </si>
  <si>
    <t>UYARTE</t>
  </si>
  <si>
    <t>PASAJE LOS CEDRONES</t>
  </si>
  <si>
    <t>2036</t>
  </si>
  <si>
    <t>965532372</t>
  </si>
  <si>
    <t>Alejandra</t>
  </si>
  <si>
    <t>Huarme</t>
  </si>
  <si>
    <t>Los Litres</t>
  </si>
  <si>
    <t>2001</t>
  </si>
  <si>
    <t>96762015</t>
  </si>
  <si>
    <t>Pedro</t>
  </si>
  <si>
    <t>Ibarra</t>
  </si>
  <si>
    <t>Álvarez</t>
  </si>
  <si>
    <t>Austria</t>
  </si>
  <si>
    <t>2252</t>
  </si>
  <si>
    <t>974589700</t>
  </si>
  <si>
    <t>pedro.ibarra1976@gmail.com</t>
  </si>
  <si>
    <t>ARANEDA</t>
  </si>
  <si>
    <t>HUIDIF</t>
  </si>
  <si>
    <t>990167202</t>
  </si>
  <si>
    <t>claumunosa@gmail.com</t>
  </si>
  <si>
    <t>YESTER</t>
  </si>
  <si>
    <t>GFELL</t>
  </si>
  <si>
    <t>PASAJE RENCO</t>
  </si>
  <si>
    <t>216</t>
  </si>
  <si>
    <t>974328764</t>
  </si>
  <si>
    <t>YESTERGONZALESG@GMAIL.COM</t>
  </si>
  <si>
    <t>SCHWARZENBERG</t>
  </si>
  <si>
    <t>KUNSTMANN</t>
  </si>
  <si>
    <t>BALMACEDA</t>
  </si>
  <si>
    <t>3580</t>
  </si>
  <si>
    <t>987763622</t>
  </si>
  <si>
    <t>ANDREA CECILIA</t>
  </si>
  <si>
    <t>SCHEEL</t>
  </si>
  <si>
    <t>PAREDES</t>
  </si>
  <si>
    <t>LAS MULATAS</t>
  </si>
  <si>
    <t>853</t>
  </si>
  <si>
    <t>99509084</t>
  </si>
  <si>
    <t>ANDREASCHEEL72@GMAIL.COM</t>
  </si>
  <si>
    <t>ULLOA</t>
  </si>
  <si>
    <t>HEINSOHN</t>
  </si>
  <si>
    <t>RENGO</t>
  </si>
  <si>
    <t>127</t>
  </si>
  <si>
    <t>994527345</t>
  </si>
  <si>
    <t>Uberlinda</t>
  </si>
  <si>
    <t>Flandez</t>
  </si>
  <si>
    <t>Los Naranjos</t>
  </si>
  <si>
    <t>661</t>
  </si>
  <si>
    <t>946252715</t>
  </si>
  <si>
    <t>MARCELO</t>
  </si>
  <si>
    <t>OETTINGER</t>
  </si>
  <si>
    <t>FAUNDEZ</t>
  </si>
  <si>
    <t>ALTOS DE CAYUMAPU, PARCELA 3, CASA 1</t>
  </si>
  <si>
    <t>1</t>
  </si>
  <si>
    <t>964945141</t>
  </si>
  <si>
    <t>995842320</t>
  </si>
  <si>
    <t>Bernado OHIggins</t>
  </si>
  <si>
    <t>368</t>
  </si>
  <si>
    <t>PAILLACO</t>
  </si>
  <si>
    <t>957116680</t>
  </si>
  <si>
    <t>Bestagno</t>
  </si>
  <si>
    <t>Arabia Saudita</t>
  </si>
  <si>
    <t>237</t>
  </si>
  <si>
    <t>930520769</t>
  </si>
  <si>
    <t>creando2010@gmail.com</t>
  </si>
  <si>
    <t>Karen Del Carmen</t>
  </si>
  <si>
    <t>Jofre</t>
  </si>
  <si>
    <t>av luis damann asenjo</t>
  </si>
  <si>
    <t>913</t>
  </si>
  <si>
    <t>98714551</t>
  </si>
  <si>
    <t>kjofre@yahoo.es</t>
  </si>
  <si>
    <t>Marilyn</t>
  </si>
  <si>
    <t>Rosas</t>
  </si>
  <si>
    <t>Pasaje cora</t>
  </si>
  <si>
    <t>2195</t>
  </si>
  <si>
    <t>974599652</t>
  </si>
  <si>
    <t>Castillo</t>
  </si>
  <si>
    <t>Ceballos</t>
  </si>
  <si>
    <t>Santa rita</t>
  </si>
  <si>
    <t>944</t>
  </si>
  <si>
    <t>983603489</t>
  </si>
  <si>
    <t>acastilloceballos@gmail.com</t>
  </si>
  <si>
    <t>HERIBA</t>
  </si>
  <si>
    <t>CERNA</t>
  </si>
  <si>
    <t>VILLEGAS</t>
  </si>
  <si>
    <t>1733</t>
  </si>
  <si>
    <t>632205416</t>
  </si>
  <si>
    <t>DANIEL ALEJANDRO</t>
  </si>
  <si>
    <t>TRECANAO</t>
  </si>
  <si>
    <t>RODRIGUEZ</t>
  </si>
  <si>
    <t>PEDRO RUIZ MANRIQUE</t>
  </si>
  <si>
    <t>30 INTERIO</t>
  </si>
  <si>
    <t>996593979</t>
  </si>
  <si>
    <t>ALEDARTRECANAO@GMAIL.COM</t>
  </si>
  <si>
    <t>Edgardo</t>
  </si>
  <si>
    <t>Valdés</t>
  </si>
  <si>
    <t>FEDERICO WEISSE</t>
  </si>
  <si>
    <t>343</t>
  </si>
  <si>
    <t>944783494</t>
  </si>
  <si>
    <t>edgarop2707@gmail.com</t>
  </si>
  <si>
    <t>Armijo</t>
  </si>
  <si>
    <t>Tejada</t>
  </si>
  <si>
    <t>Pasaje zafiro</t>
  </si>
  <si>
    <t>992236535</t>
  </si>
  <si>
    <t>Zapata</t>
  </si>
  <si>
    <t>Ceron</t>
  </si>
  <si>
    <t>Topacios</t>
  </si>
  <si>
    <t>171</t>
  </si>
  <si>
    <t>998831797</t>
  </si>
  <si>
    <t>vichozapataa@gmail.com</t>
  </si>
  <si>
    <t>Fabiola</t>
  </si>
  <si>
    <t>Ojeda</t>
  </si>
  <si>
    <t>Araya</t>
  </si>
  <si>
    <t>Trecaman</t>
  </si>
  <si>
    <t>045</t>
  </si>
  <si>
    <t>962396813</t>
  </si>
  <si>
    <t>Arslette</t>
  </si>
  <si>
    <t>las quiñoas</t>
  </si>
  <si>
    <t>250</t>
  </si>
  <si>
    <t>974922668</t>
  </si>
  <si>
    <t>rmartinezaydee@gmail.com</t>
  </si>
  <si>
    <t>Toledo</t>
  </si>
  <si>
    <t>Pasaje Tunez</t>
  </si>
  <si>
    <t>338</t>
  </si>
  <si>
    <t>989135746</t>
  </si>
  <si>
    <t>p_toledoreyes@yahoo.com</t>
  </si>
  <si>
    <t>Pasaje 9</t>
  </si>
  <si>
    <t>5383</t>
  </si>
  <si>
    <t>81932432</t>
  </si>
  <si>
    <t>roxanacarrasco3005@gmail.com</t>
  </si>
  <si>
    <t>MAGDALENA</t>
  </si>
  <si>
    <t>MAYORGA</t>
  </si>
  <si>
    <t>LOA PEUMOS</t>
  </si>
  <si>
    <t>390</t>
  </si>
  <si>
    <t>984382948</t>
  </si>
  <si>
    <t>SUSANA</t>
  </si>
  <si>
    <t>GUAJARDO</t>
  </si>
  <si>
    <t>CIRCUNVALACIÓN</t>
  </si>
  <si>
    <t>393</t>
  </si>
  <si>
    <t>2222034</t>
  </si>
  <si>
    <t>Cristian Elías</t>
  </si>
  <si>
    <t>Silva</t>
  </si>
  <si>
    <t>Diocares</t>
  </si>
  <si>
    <t>Circunvalación nueva región</t>
  </si>
  <si>
    <t>987472665</t>
  </si>
  <si>
    <t>cristiansilvadiocares77@gmail.com</t>
  </si>
  <si>
    <t>ROSAMARIE</t>
  </si>
  <si>
    <t>PASAJE LEMANKO</t>
  </si>
  <si>
    <t>2110</t>
  </si>
  <si>
    <t>959023940</t>
  </si>
  <si>
    <t>MIGUEL ANGEL</t>
  </si>
  <si>
    <t>GOMEZ</t>
  </si>
  <si>
    <t>578</t>
  </si>
  <si>
    <t>940327043</t>
  </si>
  <si>
    <t>JENCATAMI77@GMAIL.COM</t>
  </si>
  <si>
    <t>Pje El Roble</t>
  </si>
  <si>
    <t>989709167</t>
  </si>
  <si>
    <t>PATRICIO</t>
  </si>
  <si>
    <t>MANCILLA</t>
  </si>
  <si>
    <t>YANEQUEN</t>
  </si>
  <si>
    <t>196</t>
  </si>
  <si>
    <t>99814391</t>
  </si>
  <si>
    <t>Juan Rodrigo</t>
  </si>
  <si>
    <t>Mercader</t>
  </si>
  <si>
    <t>Lastrada pasaje 6</t>
  </si>
  <si>
    <t>564</t>
  </si>
  <si>
    <t>977676813</t>
  </si>
  <si>
    <t>Vega</t>
  </si>
  <si>
    <t>Las Chinchillas</t>
  </si>
  <si>
    <t>1668</t>
  </si>
  <si>
    <t>974305089</t>
  </si>
  <si>
    <t>Claudia Carolina</t>
  </si>
  <si>
    <t>Barra</t>
  </si>
  <si>
    <t>Pasale los kenas</t>
  </si>
  <si>
    <t>973034684</t>
  </si>
  <si>
    <t>claudiacarolinabarra@gmail.com</t>
  </si>
  <si>
    <t>PILAR</t>
  </si>
  <si>
    <t>HERRERA</t>
  </si>
  <si>
    <t>HUEREMAN</t>
  </si>
  <si>
    <t>LAS CHINCHILLAS</t>
  </si>
  <si>
    <t>1621</t>
  </si>
  <si>
    <t>949396879</t>
  </si>
  <si>
    <t>Belen</t>
  </si>
  <si>
    <t>Jardin urbano etapa 2</t>
  </si>
  <si>
    <t>A 21</t>
  </si>
  <si>
    <t>99884903</t>
  </si>
  <si>
    <t>belengonzalezs1626@gmail.com</t>
  </si>
  <si>
    <t>Marisol</t>
  </si>
  <si>
    <t>Coronado</t>
  </si>
  <si>
    <t>Parcela las vertientes interior</t>
  </si>
  <si>
    <t>980</t>
  </si>
  <si>
    <t>954536783</t>
  </si>
  <si>
    <t>ORELLANA</t>
  </si>
  <si>
    <t>CARDENAS</t>
  </si>
  <si>
    <t>LOS CURUROS</t>
  </si>
  <si>
    <t>1725</t>
  </si>
  <si>
    <t>heidymanicure@gmail.com</t>
  </si>
  <si>
    <t>Alfredo Andres</t>
  </si>
  <si>
    <t>Olave</t>
  </si>
  <si>
    <t>Schwarzemberg</t>
  </si>
  <si>
    <t>4513</t>
  </si>
  <si>
    <t>956099057</t>
  </si>
  <si>
    <t>Silvana Aravena</t>
  </si>
  <si>
    <t>Aravena</t>
  </si>
  <si>
    <t>Raul Saez</t>
  </si>
  <si>
    <t>2025</t>
  </si>
  <si>
    <t>68443299</t>
  </si>
  <si>
    <t>Susan</t>
  </si>
  <si>
    <t>Levin</t>
  </si>
  <si>
    <t>Los tuaos</t>
  </si>
  <si>
    <t>386</t>
  </si>
  <si>
    <t>962861171</t>
  </si>
  <si>
    <t>Susanlevin@live.cl</t>
  </si>
  <si>
    <t>Lleefel</t>
  </si>
  <si>
    <t>juan riesco</t>
  </si>
  <si>
    <t>985</t>
  </si>
  <si>
    <t>966234243</t>
  </si>
  <si>
    <t>analuisavald@yahoo.es</t>
  </si>
  <si>
    <t>Chanks</t>
  </si>
  <si>
    <t>Corvi 2 5 oriente</t>
  </si>
  <si>
    <t>99194553</t>
  </si>
  <si>
    <t>IVAN</t>
  </si>
  <si>
    <t>NEMPU</t>
  </si>
  <si>
    <t>AV. LINCH</t>
  </si>
  <si>
    <t>870</t>
  </si>
  <si>
    <t>984074124</t>
  </si>
  <si>
    <t>SOLANGE</t>
  </si>
  <si>
    <t>RIFFO</t>
  </si>
  <si>
    <t>ZOTT</t>
  </si>
  <si>
    <t>1825</t>
  </si>
  <si>
    <t>974959356</t>
  </si>
  <si>
    <t>MARIANELA</t>
  </si>
  <si>
    <t>MATUS</t>
  </si>
  <si>
    <t>RIQUELME</t>
  </si>
  <si>
    <t>EL NOGAL 2</t>
  </si>
  <si>
    <t>1964</t>
  </si>
  <si>
    <t>931781010</t>
  </si>
  <si>
    <t>JAVIER</t>
  </si>
  <si>
    <t>PERALTA</t>
  </si>
  <si>
    <t>CARTER</t>
  </si>
  <si>
    <t>p</t>
  </si>
  <si>
    <t>3026</t>
  </si>
  <si>
    <t>javier.peraltacarter@gmail.com</t>
  </si>
  <si>
    <t>Viviana</t>
  </si>
  <si>
    <t>Aburto</t>
  </si>
  <si>
    <t>Monasterio</t>
  </si>
  <si>
    <t>441</t>
  </si>
  <si>
    <t>947897258</t>
  </si>
  <si>
    <t>VERONICA</t>
  </si>
  <si>
    <t>PADURO</t>
  </si>
  <si>
    <t>PASAJE ALIWENCO</t>
  </si>
  <si>
    <t>78197760</t>
  </si>
  <si>
    <t>Carlos</t>
  </si>
  <si>
    <t>ramon tapia</t>
  </si>
  <si>
    <t>2925</t>
  </si>
  <si>
    <t>977747369</t>
  </si>
  <si>
    <t>ALVARADO</t>
  </si>
  <si>
    <t>ROJAS</t>
  </si>
  <si>
    <t>LA ESTANCIA PASAJE LOS TRAROS</t>
  </si>
  <si>
    <t>1869</t>
  </si>
  <si>
    <t>44609720</t>
  </si>
  <si>
    <t>MAKA.ALVARADO.R@GMAIL.COM</t>
  </si>
  <si>
    <t>Ana Karina</t>
  </si>
  <si>
    <t>Pasaje Sayen</t>
  </si>
  <si>
    <t>043</t>
  </si>
  <si>
    <t>961606209</t>
  </si>
  <si>
    <t>la_kari34@hotmail.com</t>
  </si>
  <si>
    <t>Libette Ivonne</t>
  </si>
  <si>
    <t>Beltran</t>
  </si>
  <si>
    <t>Adriazola</t>
  </si>
  <si>
    <t>Mahuiza 2 Las Nutrias</t>
  </si>
  <si>
    <t>767</t>
  </si>
  <si>
    <t>942439937</t>
  </si>
  <si>
    <t>IBAÑEZ</t>
  </si>
  <si>
    <t>668</t>
  </si>
  <si>
    <t>984374091</t>
  </si>
  <si>
    <t>Nancy Pamela</t>
  </si>
  <si>
    <t>Los peumos</t>
  </si>
  <si>
    <t>52655057</t>
  </si>
  <si>
    <t>Banatha@gmail.com</t>
  </si>
  <si>
    <t>ALEJANDRA</t>
  </si>
  <si>
    <t>TURRA</t>
  </si>
  <si>
    <t>LOPEZ</t>
  </si>
  <si>
    <t>PASAJE METRENCO</t>
  </si>
  <si>
    <t>076</t>
  </si>
  <si>
    <t>971800751</t>
  </si>
  <si>
    <t>988948004</t>
  </si>
  <si>
    <t>MUNIZAGA</t>
  </si>
  <si>
    <t>YAVAR</t>
  </si>
  <si>
    <t>PAIHUEN</t>
  </si>
  <si>
    <t>3024</t>
  </si>
  <si>
    <t>984741734</t>
  </si>
  <si>
    <t>JACQUELINE</t>
  </si>
  <si>
    <t>YANKA</t>
  </si>
  <si>
    <t>2100</t>
  </si>
  <si>
    <t>933855327</t>
  </si>
  <si>
    <t>YAKELILAHAY@GMAIL.COM</t>
  </si>
  <si>
    <t>Richard Alex</t>
  </si>
  <si>
    <t>Miranda</t>
  </si>
  <si>
    <t>949871785</t>
  </si>
  <si>
    <t>Richardtuky@gmail.com</t>
  </si>
  <si>
    <t>PAOLA</t>
  </si>
  <si>
    <t>FUENTEALBA</t>
  </si>
  <si>
    <t>936220408</t>
  </si>
  <si>
    <t>PAOLADELCARMENSANCHEZ377@GMAIL.COM</t>
  </si>
  <si>
    <t>Sanhueza</t>
  </si>
  <si>
    <t>el arenal</t>
  </si>
  <si>
    <t>sin número</t>
  </si>
  <si>
    <t>972731156</t>
  </si>
  <si>
    <t>evelyntorress@hotmail.com</t>
  </si>
  <si>
    <t>ESTER NOEMI</t>
  </si>
  <si>
    <t>MALDONADO</t>
  </si>
  <si>
    <t>FILGUEIRA</t>
  </si>
  <si>
    <t>CONDE DEL CASTELLAR</t>
  </si>
  <si>
    <t>1230</t>
  </si>
  <si>
    <t>990936830</t>
  </si>
  <si>
    <t>ESTER26@GMAIL.COM</t>
  </si>
  <si>
    <t>Alvarado</t>
  </si>
  <si>
    <t>Rios</t>
  </si>
  <si>
    <t>San pedro uno</t>
  </si>
  <si>
    <t>738</t>
  </si>
  <si>
    <t>965291310</t>
  </si>
  <si>
    <t>Leonardo Ricardo</t>
  </si>
  <si>
    <t>Montecinos</t>
  </si>
  <si>
    <t>Las kenas</t>
  </si>
  <si>
    <t>1931</t>
  </si>
  <si>
    <t>932969547</t>
  </si>
  <si>
    <t>lrleomontecinos1979@gmail.com</t>
  </si>
  <si>
    <t>CUMIAN</t>
  </si>
  <si>
    <t>LUIS AGUIRRE PINTO</t>
  </si>
  <si>
    <t>744</t>
  </si>
  <si>
    <t>941296533</t>
  </si>
  <si>
    <t>Alexis</t>
  </si>
  <si>
    <t>Hidalgo</t>
  </si>
  <si>
    <t>Pasaje Ambar</t>
  </si>
  <si>
    <t>2233</t>
  </si>
  <si>
    <t>959038404</t>
  </si>
  <si>
    <t>Calfulef</t>
  </si>
  <si>
    <t>484</t>
  </si>
  <si>
    <t>950160330</t>
  </si>
  <si>
    <t>Andrade</t>
  </si>
  <si>
    <t>1730</t>
  </si>
  <si>
    <t>974937091</t>
  </si>
  <si>
    <t>alejandra.andrade.t@gmail.com</t>
  </si>
  <si>
    <t>Luis Jorge</t>
  </si>
  <si>
    <t>Yuhasz</t>
  </si>
  <si>
    <t>Guerra</t>
  </si>
  <si>
    <t>Las vicuñas</t>
  </si>
  <si>
    <t>1650</t>
  </si>
  <si>
    <t>941867998</t>
  </si>
  <si>
    <t>ljyuhaszguerra@gmail.com</t>
  </si>
  <si>
    <t>ESCOBAR</t>
  </si>
  <si>
    <t>AGUILERA</t>
  </si>
  <si>
    <t>VELERO AUSTRALIA</t>
  </si>
  <si>
    <t>450</t>
  </si>
  <si>
    <t>99342632</t>
  </si>
  <si>
    <t>VIVIANA</t>
  </si>
  <si>
    <t>BARRALES</t>
  </si>
  <si>
    <t>ACUÑA</t>
  </si>
  <si>
    <t>PASAJE LOS MANUTARA</t>
  </si>
  <si>
    <t>1838</t>
  </si>
  <si>
    <t>991799453</t>
  </si>
  <si>
    <t>Cecilia</t>
  </si>
  <si>
    <t>Sobarso</t>
  </si>
  <si>
    <t>711</t>
  </si>
  <si>
    <t>87412271</t>
  </si>
  <si>
    <t>cecilia.sobarso@gmail.com</t>
  </si>
  <si>
    <t>CarolinaAndrea</t>
  </si>
  <si>
    <t>Tiznado</t>
  </si>
  <si>
    <t>Dr. Raúl León</t>
  </si>
  <si>
    <t>263</t>
  </si>
  <si>
    <t>998170290</t>
  </si>
  <si>
    <t>carolinatiznado@gmail.com</t>
  </si>
  <si>
    <t>Sergio</t>
  </si>
  <si>
    <t>sin numero</t>
  </si>
  <si>
    <t>975525962</t>
  </si>
  <si>
    <t>sergiosoto2201368@gmail.com</t>
  </si>
  <si>
    <t>Loaiza</t>
  </si>
  <si>
    <t>Los Coaties</t>
  </si>
  <si>
    <t>1649</t>
  </si>
  <si>
    <t>972125859</t>
  </si>
  <si>
    <t>SILVIA ELIZABETH</t>
  </si>
  <si>
    <t>OYARZO</t>
  </si>
  <si>
    <t>CALL LOS ÑANDÚES</t>
  </si>
  <si>
    <t>502</t>
  </si>
  <si>
    <t>964033601</t>
  </si>
  <si>
    <t>SILVIAOYARZO.0803@GMAIL.COM</t>
  </si>
  <si>
    <t>Guinette</t>
  </si>
  <si>
    <t>ANDRADE</t>
  </si>
  <si>
    <t>LOS ABETOS</t>
  </si>
  <si>
    <t>2024</t>
  </si>
  <si>
    <t>978299775</t>
  </si>
  <si>
    <t>NOEMIPINEDA999@GMAIL.COM</t>
  </si>
  <si>
    <t>KATHERINE EDITA</t>
  </si>
  <si>
    <t>ZAPATA</t>
  </si>
  <si>
    <t>BRAVO</t>
  </si>
  <si>
    <t>ARICA</t>
  </si>
  <si>
    <t>2470</t>
  </si>
  <si>
    <t>995681624</t>
  </si>
  <si>
    <t>CATHITTA@GMAIL.COM</t>
  </si>
  <si>
    <t>PAMELA</t>
  </si>
  <si>
    <t>GALLEGOS</t>
  </si>
  <si>
    <t>ALTOS DE MAHUIZA LAS MARMOSAS</t>
  </si>
  <si>
    <t>1672</t>
  </si>
  <si>
    <t>978088159</t>
  </si>
  <si>
    <t>Legal</t>
  </si>
  <si>
    <t>Moris</t>
  </si>
  <si>
    <t>Los huairavillos</t>
  </si>
  <si>
    <t>4474</t>
  </si>
  <si>
    <t>959324991</t>
  </si>
  <si>
    <t>LABRIN</t>
  </si>
  <si>
    <t>PASAJE PANITAO</t>
  </si>
  <si>
    <t>457</t>
  </si>
  <si>
    <t>995724676</t>
  </si>
  <si>
    <t>Claudia Inés</t>
  </si>
  <si>
    <t>Fonseca</t>
  </si>
  <si>
    <t>Los Quiques</t>
  </si>
  <si>
    <t>1776</t>
  </si>
  <si>
    <t>998654357</t>
  </si>
  <si>
    <t>Claudia.soto.fonseca@gmail.com</t>
  </si>
  <si>
    <t>VIVIANA ESTER</t>
  </si>
  <si>
    <t>HUEQUEMAN</t>
  </si>
  <si>
    <t>PASAJE LAS KENAS</t>
  </si>
  <si>
    <t>1837</t>
  </si>
  <si>
    <t>940627240</t>
  </si>
  <si>
    <t>DANIELA1543MEDINA@GMAIL.COM</t>
  </si>
  <si>
    <t>ALICIA</t>
  </si>
  <si>
    <t>SALAZ</t>
  </si>
  <si>
    <t>PJE LOS CHAÑARES</t>
  </si>
  <si>
    <t>233</t>
  </si>
  <si>
    <t>958468723</t>
  </si>
  <si>
    <t>Los traros</t>
  </si>
  <si>
    <t>976978078</t>
  </si>
  <si>
    <t>ale.rojas.toledo@gmail.com</t>
  </si>
  <si>
    <t>Mónica</t>
  </si>
  <si>
    <t>Aros</t>
  </si>
  <si>
    <t>Pereira</t>
  </si>
  <si>
    <t>Luis Aguirre Pinto</t>
  </si>
  <si>
    <t>664</t>
  </si>
  <si>
    <t>935577904</t>
  </si>
  <si>
    <t>CECILIA ALEJANDRA</t>
  </si>
  <si>
    <t>RAMIREZ</t>
  </si>
  <si>
    <t>FEDERICO WIESE</t>
  </si>
  <si>
    <t>331</t>
  </si>
  <si>
    <t>973744645</t>
  </si>
  <si>
    <t>CECILIAMIRANDARAMIREZ1978@GMAIL.COM</t>
  </si>
  <si>
    <t>MOLINA</t>
  </si>
  <si>
    <t>Pasaje Los Traros</t>
  </si>
  <si>
    <t>1851</t>
  </si>
  <si>
    <t>968617413</t>
  </si>
  <si>
    <t>Cofre</t>
  </si>
  <si>
    <t>baltazar mejías</t>
  </si>
  <si>
    <t>460</t>
  </si>
  <si>
    <t>988244331</t>
  </si>
  <si>
    <t>mauricio_rojas80@hotmail.com</t>
  </si>
  <si>
    <t>RODRIGO</t>
  </si>
  <si>
    <t>VENADOS NORTE</t>
  </si>
  <si>
    <t>979498280</t>
  </si>
  <si>
    <t>RIQUELME8280@GMAIL.COM</t>
  </si>
  <si>
    <t>1751</t>
  </si>
  <si>
    <t>979561405</t>
  </si>
  <si>
    <t>Monica Ximena</t>
  </si>
  <si>
    <t>Aguila</t>
  </si>
  <si>
    <t>Las Quenas</t>
  </si>
  <si>
    <t>1855</t>
  </si>
  <si>
    <t>73130836</t>
  </si>
  <si>
    <t>IVONNE</t>
  </si>
  <si>
    <t>LOA MANUTARAS</t>
  </si>
  <si>
    <t>1853</t>
  </si>
  <si>
    <t>961231443</t>
  </si>
  <si>
    <t>Karin</t>
  </si>
  <si>
    <t>Portiño</t>
  </si>
  <si>
    <t>Camino Angachilla</t>
  </si>
  <si>
    <t>1340</t>
  </si>
  <si>
    <t>983012500</t>
  </si>
  <si>
    <t>Antonio fernando 1</t>
  </si>
  <si>
    <t>3075</t>
  </si>
  <si>
    <t>90628045</t>
  </si>
  <si>
    <t>DODERO</t>
  </si>
  <si>
    <t>974224819</t>
  </si>
  <si>
    <t>Ingrid Soledad</t>
  </si>
  <si>
    <t>ABELLO</t>
  </si>
  <si>
    <t>2090</t>
  </si>
  <si>
    <t>940552318</t>
  </si>
  <si>
    <t>IAVILAABELLO@GMAIL.COM</t>
  </si>
  <si>
    <t>López</t>
  </si>
  <si>
    <t>Romero</t>
  </si>
  <si>
    <t>Ruben Darío</t>
  </si>
  <si>
    <t>279</t>
  </si>
  <si>
    <t>993037725</t>
  </si>
  <si>
    <t>LEANDRA</t>
  </si>
  <si>
    <t>SANTANA</t>
  </si>
  <si>
    <t>ARAUCO</t>
  </si>
  <si>
    <t>824</t>
  </si>
  <si>
    <t>945540728</t>
  </si>
  <si>
    <t>leandra.santana@minicentro.cl</t>
  </si>
  <si>
    <t>Menschel</t>
  </si>
  <si>
    <t>luisa recabarren de marin</t>
  </si>
  <si>
    <t>92992743</t>
  </si>
  <si>
    <t>070</t>
  </si>
  <si>
    <t>992326600</t>
  </si>
  <si>
    <t>MILLAN</t>
  </si>
  <si>
    <t>PASAJE LOS TRICAHUES</t>
  </si>
  <si>
    <t>385</t>
  </si>
  <si>
    <t>978928603</t>
  </si>
  <si>
    <t>Anita</t>
  </si>
  <si>
    <t>Moraga</t>
  </si>
  <si>
    <t>Calle agua marina</t>
  </si>
  <si>
    <t>2236</t>
  </si>
  <si>
    <t>981332357</t>
  </si>
  <si>
    <t>Contreras</t>
  </si>
  <si>
    <t>1857</t>
  </si>
  <si>
    <t>996304095</t>
  </si>
  <si>
    <t>acontrerasvaldes@gmail.com</t>
  </si>
  <si>
    <t>Evelyn Grace</t>
  </si>
  <si>
    <t>Callejón di biaggio</t>
  </si>
  <si>
    <t>322</t>
  </si>
  <si>
    <t>987340348</t>
  </si>
  <si>
    <t>trabajograceb3b3@gmail.com</t>
  </si>
  <si>
    <t>Felipe</t>
  </si>
  <si>
    <t>Farias</t>
  </si>
  <si>
    <t>998889948</t>
  </si>
  <si>
    <t>felipe.jorquera.farias@gmail.com</t>
  </si>
  <si>
    <t>JOSE EDUARDO</t>
  </si>
  <si>
    <t>PESO</t>
  </si>
  <si>
    <t>861</t>
  </si>
  <si>
    <t>958051564</t>
  </si>
  <si>
    <t>AGUILARPESO1978@HOTMAIL.COM</t>
  </si>
  <si>
    <t>Jose Ruben</t>
  </si>
  <si>
    <t>Angel Muñoz</t>
  </si>
  <si>
    <t>551</t>
  </si>
  <si>
    <t>9773330841</t>
  </si>
  <si>
    <t>ppmirandaconstruccion@gmail.com</t>
  </si>
  <si>
    <t>Cerda</t>
  </si>
  <si>
    <t>Morgado</t>
  </si>
  <si>
    <t>Las águilas</t>
  </si>
  <si>
    <t>514</t>
  </si>
  <si>
    <t>954056569</t>
  </si>
  <si>
    <t>SORAYA</t>
  </si>
  <si>
    <t>BARRIA</t>
  </si>
  <si>
    <t>LOA CARRERAS</t>
  </si>
  <si>
    <t>141</t>
  </si>
  <si>
    <t>936303894</t>
  </si>
  <si>
    <t>SOLEDAD</t>
  </si>
  <si>
    <t>CHACON</t>
  </si>
  <si>
    <t>489</t>
  </si>
  <si>
    <t>983423100</t>
  </si>
  <si>
    <t>SOLEDADCHACON@GMAIL.COM</t>
  </si>
  <si>
    <t>HUGO</t>
  </si>
  <si>
    <t>PNOY</t>
  </si>
  <si>
    <t>LOS QUIRQUINCHOS</t>
  </si>
  <si>
    <t>1713</t>
  </si>
  <si>
    <t>9963416112</t>
  </si>
  <si>
    <t>LORETTO MACARENA</t>
  </si>
  <si>
    <t>GALDAMES</t>
  </si>
  <si>
    <t>CAMINO A ANGACHILLA KM 8</t>
  </si>
  <si>
    <t>995921484</t>
  </si>
  <si>
    <t>LORETTO.GALDAMES.R@GMAIL.COM</t>
  </si>
  <si>
    <t>Clemilda Ibeth</t>
  </si>
  <si>
    <t>Cartes</t>
  </si>
  <si>
    <t>Llancafil</t>
  </si>
  <si>
    <t>635</t>
  </si>
  <si>
    <t>76755332</t>
  </si>
  <si>
    <t>Matamala</t>
  </si>
  <si>
    <t>Malverde</t>
  </si>
  <si>
    <t>753</t>
  </si>
  <si>
    <t>942109400</t>
  </si>
  <si>
    <t>Ochoa</t>
  </si>
  <si>
    <t>Carlos antonio duce</t>
  </si>
  <si>
    <t>897</t>
  </si>
  <si>
    <t>956999655</t>
  </si>
  <si>
    <t>Jova</t>
  </si>
  <si>
    <t>Esparsa</t>
  </si>
  <si>
    <t>Antillanca</t>
  </si>
  <si>
    <t>Volcan Corcobado</t>
  </si>
  <si>
    <t>4727</t>
  </si>
  <si>
    <t>74362668</t>
  </si>
  <si>
    <t>MARIA</t>
  </si>
  <si>
    <t>Raul Baso Gonzalez</t>
  </si>
  <si>
    <t>516</t>
  </si>
  <si>
    <t>966268294</t>
  </si>
  <si>
    <t>PATRICIA PAMELA</t>
  </si>
  <si>
    <t>DELGADO</t>
  </si>
  <si>
    <t>HUILLICHES</t>
  </si>
  <si>
    <t>46</t>
  </si>
  <si>
    <t>949747054</t>
  </si>
  <si>
    <t>Alberto</t>
  </si>
  <si>
    <t>Calle cuncumen</t>
  </si>
  <si>
    <t>979473627</t>
  </si>
  <si>
    <t>albertofuentealba.santana@gmail.com</t>
  </si>
  <si>
    <t>HECTOR</t>
  </si>
  <si>
    <t>OYARZUN</t>
  </si>
  <si>
    <t>PATIÑO</t>
  </si>
  <si>
    <t>POSTE 9</t>
  </si>
  <si>
    <t>976409006</t>
  </si>
  <si>
    <t>Hernandez</t>
  </si>
  <si>
    <t>Las mulatas Pje. 1</t>
  </si>
  <si>
    <t>983245490</t>
  </si>
  <si>
    <t>carolitahernandezjara@gmail.com</t>
  </si>
  <si>
    <t>Marisel Andrea</t>
  </si>
  <si>
    <t>circunvalación nueva región</t>
  </si>
  <si>
    <t>345</t>
  </si>
  <si>
    <t>959766918</t>
  </si>
  <si>
    <t>mariselgutierrezgutierrez@gmail.com</t>
  </si>
  <si>
    <t>BARRIENTOS</t>
  </si>
  <si>
    <t>CANALES</t>
  </si>
  <si>
    <t>956503683</t>
  </si>
  <si>
    <t>TERESA JUANITA</t>
  </si>
  <si>
    <t>GALLARDO</t>
  </si>
  <si>
    <t>MARTÍN</t>
  </si>
  <si>
    <t>LOS ÑANDUES</t>
  </si>
  <si>
    <t>942006990</t>
  </si>
  <si>
    <t>TERESA.GALLARDO@UACH.CL</t>
  </si>
  <si>
    <t>DORIS</t>
  </si>
  <si>
    <t>ZUÑIGA</t>
  </si>
  <si>
    <t>BERMEO</t>
  </si>
  <si>
    <t>YAÑEZ ZABALA</t>
  </si>
  <si>
    <t>2839</t>
  </si>
  <si>
    <t>956016253</t>
  </si>
  <si>
    <t>HERMINDA MAGDALENA</t>
  </si>
  <si>
    <t>BARRA</t>
  </si>
  <si>
    <t>REGIDOR HERNAN GUTIERREZ CLENER</t>
  </si>
  <si>
    <t>5344</t>
  </si>
  <si>
    <t>976915795</t>
  </si>
  <si>
    <t>HERMINDAMAGDA@GMAIL.COM</t>
  </si>
  <si>
    <t>VALLEJOS</t>
  </si>
  <si>
    <t>452</t>
  </si>
  <si>
    <t>954446027</t>
  </si>
  <si>
    <t>JORGE.EDG@HOTMAIL.ES</t>
  </si>
  <si>
    <t>Ingrid</t>
  </si>
  <si>
    <t>Las Tarucas</t>
  </si>
  <si>
    <t>1767</t>
  </si>
  <si>
    <t>975720304</t>
  </si>
  <si>
    <t>ingriduach@hotmail.com</t>
  </si>
  <si>
    <t>ALTOS GUACAMAYO PASAJE LEMUNCO</t>
  </si>
  <si>
    <t>2128</t>
  </si>
  <si>
    <t>98400184</t>
  </si>
  <si>
    <t>JOSE V LAS TARRIA PASAJE 10</t>
  </si>
  <si>
    <t>325</t>
  </si>
  <si>
    <t>958073981</t>
  </si>
  <si>
    <t>LOS VENADOS SUR</t>
  </si>
  <si>
    <t>724</t>
  </si>
  <si>
    <t>959416266</t>
  </si>
  <si>
    <t>WALESKA</t>
  </si>
  <si>
    <t>NAHUELPAN</t>
  </si>
  <si>
    <t>CABALLERO</t>
  </si>
  <si>
    <t>524</t>
  </si>
  <si>
    <t>989221140</t>
  </si>
  <si>
    <t>Bachmann</t>
  </si>
  <si>
    <t>Valle de la Luna</t>
  </si>
  <si>
    <t>1482</t>
  </si>
  <si>
    <t>marcela.uribe.b@gmail.com</t>
  </si>
  <si>
    <t>PAZ</t>
  </si>
  <si>
    <t>TRIVIÑO</t>
  </si>
  <si>
    <t>BERNAL</t>
  </si>
  <si>
    <t>LOS CARPINTEROS</t>
  </si>
  <si>
    <t>605</t>
  </si>
  <si>
    <t>984410123</t>
  </si>
  <si>
    <t>NADIA</t>
  </si>
  <si>
    <t>CODERN</t>
  </si>
  <si>
    <t>BAQUEDANO</t>
  </si>
  <si>
    <t>463</t>
  </si>
  <si>
    <t>998729137</t>
  </si>
  <si>
    <t>Paula</t>
  </si>
  <si>
    <t>Araneda</t>
  </si>
  <si>
    <t>Gregorio Henriquez</t>
  </si>
  <si>
    <t>742</t>
  </si>
  <si>
    <t>94599795</t>
  </si>
  <si>
    <t>Miralles</t>
  </si>
  <si>
    <t>Puerto las mulatas, pasaje 2</t>
  </si>
  <si>
    <t>78</t>
  </si>
  <si>
    <t>920597241</t>
  </si>
  <si>
    <t>salazar12n.s@gmail.com</t>
  </si>
  <si>
    <t>Barría</t>
  </si>
  <si>
    <t>Mancilla</t>
  </si>
  <si>
    <t>Anibal Pinto</t>
  </si>
  <si>
    <t>1904</t>
  </si>
  <si>
    <t>963039536</t>
  </si>
  <si>
    <t>dra.barria@gmail.com</t>
  </si>
  <si>
    <t>Lorena</t>
  </si>
  <si>
    <t>Suarez</t>
  </si>
  <si>
    <t>Santa flor</t>
  </si>
  <si>
    <t>733 B</t>
  </si>
  <si>
    <t>956175609</t>
  </si>
  <si>
    <t>lorenahange1966@gmail.com</t>
  </si>
  <si>
    <t>Remolcoy</t>
  </si>
  <si>
    <t>2098</t>
  </si>
  <si>
    <t>949327618</t>
  </si>
  <si>
    <t>matrixcarrillo82@gmail.com</t>
  </si>
  <si>
    <t>MARIA DEL PILAR</t>
  </si>
  <si>
    <t>CARVAJAL</t>
  </si>
  <si>
    <t>ASTABURUAGA</t>
  </si>
  <si>
    <t>LOS ABEDULES</t>
  </si>
  <si>
    <t>532</t>
  </si>
  <si>
    <t>995998792</t>
  </si>
  <si>
    <t>AV NUEVA CIRCUNVALACIÓN</t>
  </si>
  <si>
    <t>99976400</t>
  </si>
  <si>
    <t>TAMARAVIDALMOLINA@GMAIL.COM</t>
  </si>
  <si>
    <t>Celia</t>
  </si>
  <si>
    <t>Sepulveda</t>
  </si>
  <si>
    <t>Alvarez</t>
  </si>
  <si>
    <t>los naranjos</t>
  </si>
  <si>
    <t>97878860</t>
  </si>
  <si>
    <t>celia.44sepulveda@gmail.com</t>
  </si>
  <si>
    <t>YASNA</t>
  </si>
  <si>
    <t>INOSTROZA</t>
  </si>
  <si>
    <t>MATOS</t>
  </si>
  <si>
    <t>ALTOS DE MAHUIZA PASAJE LAS LLAMAS</t>
  </si>
  <si>
    <t>978053375</t>
  </si>
  <si>
    <t>JSIM_121268@hotmail.com</t>
  </si>
  <si>
    <t>Las tencas</t>
  </si>
  <si>
    <t>1882</t>
  </si>
  <si>
    <t>986748457</t>
  </si>
  <si>
    <t>alumnoslgm@gmail.com</t>
  </si>
  <si>
    <t>Pamela Cristina</t>
  </si>
  <si>
    <t>Gallegos</t>
  </si>
  <si>
    <t>Av. Pedro Montt</t>
  </si>
  <si>
    <t>2335</t>
  </si>
  <si>
    <t>99692408</t>
  </si>
  <si>
    <t>Maria Isabel</t>
  </si>
  <si>
    <t>Curinao</t>
  </si>
  <si>
    <t>Alihuenco</t>
  </si>
  <si>
    <t>643</t>
  </si>
  <si>
    <t>49242358</t>
  </si>
  <si>
    <t>mlopezcurinao@gmail.com</t>
  </si>
  <si>
    <t>SAEZ</t>
  </si>
  <si>
    <t>LOS TRAROS</t>
  </si>
  <si>
    <t>956148800</t>
  </si>
  <si>
    <t>vivitazambrano@gmail.com</t>
  </si>
  <si>
    <t>Aida Jaqueline</t>
  </si>
  <si>
    <t>Mercado</t>
  </si>
  <si>
    <t>Huichaman</t>
  </si>
  <si>
    <t>los chucaos</t>
  </si>
  <si>
    <t>472</t>
  </si>
  <si>
    <t>981931599</t>
  </si>
  <si>
    <t>contakeli@gmail.com</t>
  </si>
  <si>
    <t>MENDEZ</t>
  </si>
  <si>
    <t>73303004</t>
  </si>
  <si>
    <t>MANQUIMILLA</t>
  </si>
  <si>
    <t>ARIA</t>
  </si>
  <si>
    <t>PASAJE LOS CERNICALOS</t>
  </si>
  <si>
    <t>961671080</t>
  </si>
  <si>
    <t>INGRID</t>
  </si>
  <si>
    <t>ALARCON</t>
  </si>
  <si>
    <t>CARRASCO</t>
  </si>
  <si>
    <t>NUEVA CIRCUNVALACIÓN SUR</t>
  </si>
  <si>
    <t>633</t>
  </si>
  <si>
    <t>979827507</t>
  </si>
  <si>
    <t>Paula Alejandra</t>
  </si>
  <si>
    <t>Mujica</t>
  </si>
  <si>
    <t>Arrue</t>
  </si>
  <si>
    <t>Las Encinas</t>
  </si>
  <si>
    <t>291</t>
  </si>
  <si>
    <t>974763888</t>
  </si>
  <si>
    <t>Ingrid Odett</t>
  </si>
  <si>
    <t>Carvacho</t>
  </si>
  <si>
    <t>Los eualiptus</t>
  </si>
  <si>
    <t>396</t>
  </si>
  <si>
    <t>990072106</t>
  </si>
  <si>
    <t>ingrikasa@live.com</t>
  </si>
  <si>
    <t>LEONARDO MAXIMILIANO</t>
  </si>
  <si>
    <t>ALFARO</t>
  </si>
  <si>
    <t>1620</t>
  </si>
  <si>
    <t>950169500</t>
  </si>
  <si>
    <t>9504408885</t>
  </si>
  <si>
    <t>J.ECHEPARREBORDE@GMAIL.COM</t>
  </si>
  <si>
    <t>Calcagni</t>
  </si>
  <si>
    <t>Pasaje quitrihue</t>
  </si>
  <si>
    <t>165</t>
  </si>
  <si>
    <t>940430538</t>
  </si>
  <si>
    <t>msrojascalcagni@gmail.com</t>
  </si>
  <si>
    <t>LEMUNKO</t>
  </si>
  <si>
    <t>2104</t>
  </si>
  <si>
    <t>962356731</t>
  </si>
  <si>
    <t>YALILI</t>
  </si>
  <si>
    <t>FEDERICO WEISE</t>
  </si>
  <si>
    <t>337</t>
  </si>
  <si>
    <t>977642839</t>
  </si>
  <si>
    <t>Esteban</t>
  </si>
  <si>
    <t>Riquelme</t>
  </si>
  <si>
    <t>Riffo</t>
  </si>
  <si>
    <t>Pasaje las Queñoas</t>
  </si>
  <si>
    <t>65321131</t>
  </si>
  <si>
    <t>ANA CECILIA</t>
  </si>
  <si>
    <t>LEAL</t>
  </si>
  <si>
    <t>2044</t>
  </si>
  <si>
    <t>958884071</t>
  </si>
  <si>
    <t>CLAUDIO</t>
  </si>
  <si>
    <t>PEÑA</t>
  </si>
  <si>
    <t>MOLLA</t>
  </si>
  <si>
    <t>480</t>
  </si>
  <si>
    <t>58643297</t>
  </si>
  <si>
    <t>Vives</t>
  </si>
  <si>
    <t>Chandia</t>
  </si>
  <si>
    <t>Los ñandues</t>
  </si>
  <si>
    <t>534</t>
  </si>
  <si>
    <t>956333367</t>
  </si>
  <si>
    <t>vale.rodas.vives@gmail.com</t>
  </si>
  <si>
    <t>Costanera Los molinos</t>
  </si>
  <si>
    <t>78727357</t>
  </si>
  <si>
    <t>rodrigoisaacav@gmail.com</t>
  </si>
  <si>
    <t>SEGUEL</t>
  </si>
  <si>
    <t>AMATISTA</t>
  </si>
  <si>
    <t>660</t>
  </si>
  <si>
    <t>934872770</t>
  </si>
  <si>
    <t>Johana</t>
  </si>
  <si>
    <t>Pasaje coral</t>
  </si>
  <si>
    <t>2157</t>
  </si>
  <si>
    <t>972195228</t>
  </si>
  <si>
    <t>Espinoza</t>
  </si>
  <si>
    <t>Pasaje Los Chercanes</t>
  </si>
  <si>
    <t>1764</t>
  </si>
  <si>
    <t>53504021</t>
  </si>
  <si>
    <t>altosguacamayo@gmail.com</t>
  </si>
  <si>
    <t>Susana Beatriz</t>
  </si>
  <si>
    <t>Vargas</t>
  </si>
  <si>
    <t>camino a angachilla</t>
  </si>
  <si>
    <t>1700</t>
  </si>
  <si>
    <t>994142290</t>
  </si>
  <si>
    <t>sulovar30@hotmail.com</t>
  </si>
  <si>
    <t>Osvaldo</t>
  </si>
  <si>
    <t>Manuel Montt</t>
  </si>
  <si>
    <t>1053</t>
  </si>
  <si>
    <t>961930745</t>
  </si>
  <si>
    <t>oelguetag@gmail.com</t>
  </si>
  <si>
    <t>Bargas</t>
  </si>
  <si>
    <t>HUAUTRO</t>
  </si>
  <si>
    <t>402</t>
  </si>
  <si>
    <t>00000000</t>
  </si>
  <si>
    <t>Ana María</t>
  </si>
  <si>
    <t>Zamorano</t>
  </si>
  <si>
    <t>Canales</t>
  </si>
  <si>
    <t>1871</t>
  </si>
  <si>
    <t>958628849</t>
  </si>
  <si>
    <t>anazamorano1082@gmail.com</t>
  </si>
  <si>
    <t>ABIGAIL</t>
  </si>
  <si>
    <t>UMANZAR</t>
  </si>
  <si>
    <t>841</t>
  </si>
  <si>
    <t>91234118</t>
  </si>
  <si>
    <t>Ximena</t>
  </si>
  <si>
    <t>De La Hoz</t>
  </si>
  <si>
    <t>Aucuman</t>
  </si>
  <si>
    <t>954197802</t>
  </si>
  <si>
    <t>LAS ALPACAS</t>
  </si>
  <si>
    <t>986333971</t>
  </si>
  <si>
    <t>URIBEIVON931@GMAIL.COM</t>
  </si>
  <si>
    <t>Cofré</t>
  </si>
  <si>
    <t>Carlos Altermat</t>
  </si>
  <si>
    <t>642</t>
  </si>
  <si>
    <t>972726374</t>
  </si>
  <si>
    <t>a_cofre_jara@yahoo.es</t>
  </si>
  <si>
    <t>NOLFA</t>
  </si>
  <si>
    <t>QUIÑIMIL</t>
  </si>
  <si>
    <t>1846</t>
  </si>
  <si>
    <t>934461138</t>
  </si>
  <si>
    <t>ARIANA</t>
  </si>
  <si>
    <t>STEFANINI</t>
  </si>
  <si>
    <t>AV CIRCUNVALACIÓN NUEVA REGIÓN PONIENTE</t>
  </si>
  <si>
    <t>836</t>
  </si>
  <si>
    <t>986991159</t>
  </si>
  <si>
    <t>ARIANASTEFFANINI@GMAIL.COM</t>
  </si>
  <si>
    <t>Venegas</t>
  </si>
  <si>
    <t>Av. Circunvalación Sur</t>
  </si>
  <si>
    <t>4680</t>
  </si>
  <si>
    <t>957805937</t>
  </si>
  <si>
    <t>Albavenegas18@gmail.com</t>
  </si>
  <si>
    <t>ERIKA DANITZA</t>
  </si>
  <si>
    <t>HOFMANN</t>
  </si>
  <si>
    <t>LAS TARUCAS</t>
  </si>
  <si>
    <t>1714</t>
  </si>
  <si>
    <t>972748827</t>
  </si>
  <si>
    <t>ERIKAVIDALHOFMANN@GMAIL.COM</t>
  </si>
  <si>
    <t>INES</t>
  </si>
  <si>
    <t>LOS ROMEROS 532</t>
  </si>
  <si>
    <t>985358301</t>
  </si>
  <si>
    <t>Delma</t>
  </si>
  <si>
    <t>Av Luis damann asenjo</t>
  </si>
  <si>
    <t>2206</t>
  </si>
  <si>
    <t>966263830</t>
  </si>
  <si>
    <t>carmelagatica1982@gmail.com</t>
  </si>
  <si>
    <t>ALVARO</t>
  </si>
  <si>
    <t>SARAVIA</t>
  </si>
  <si>
    <t>LAS MULATAS CASA 7</t>
  </si>
  <si>
    <t>988195591</t>
  </si>
  <si>
    <t>María Consuelo</t>
  </si>
  <si>
    <t>Los chañares</t>
  </si>
  <si>
    <t>350</t>
  </si>
  <si>
    <t>988075429</t>
  </si>
  <si>
    <t>consuelo81mi@gmail.com</t>
  </si>
  <si>
    <t>Vitalia</t>
  </si>
  <si>
    <t>Flor de loto</t>
  </si>
  <si>
    <t>4484</t>
  </si>
  <si>
    <t>95538553</t>
  </si>
  <si>
    <t>Gabriela</t>
  </si>
  <si>
    <t>Las queñoas</t>
  </si>
  <si>
    <t>268</t>
  </si>
  <si>
    <t>63197405</t>
  </si>
  <si>
    <t>estelita28@live.cl</t>
  </si>
  <si>
    <t>Danilo Alejandro</t>
  </si>
  <si>
    <t>Rene Saez</t>
  </si>
  <si>
    <t>979900769</t>
  </si>
  <si>
    <t>Londres</t>
  </si>
  <si>
    <t>377</t>
  </si>
  <si>
    <t>965684334</t>
  </si>
  <si>
    <t>dany.cofre.f@gmail.com</t>
  </si>
  <si>
    <t>pje los peumos</t>
  </si>
  <si>
    <t>357</t>
  </si>
  <si>
    <t>930953924</t>
  </si>
  <si>
    <t>MARIA ISABEL</t>
  </si>
  <si>
    <t>HUECHANTE</t>
  </si>
  <si>
    <t>NICARAGUA</t>
  </si>
  <si>
    <t>20</t>
  </si>
  <si>
    <t>948653715</t>
  </si>
  <si>
    <t>Antileo</t>
  </si>
  <si>
    <t>Antimanqui</t>
  </si>
  <si>
    <t>Pedro de Montoyo</t>
  </si>
  <si>
    <t>161</t>
  </si>
  <si>
    <t>968741070</t>
  </si>
  <si>
    <t>pa.antileo@gmail.com</t>
  </si>
  <si>
    <t>Omar Danilo</t>
  </si>
  <si>
    <t>Silvestre</t>
  </si>
  <si>
    <t>los peumos</t>
  </si>
  <si>
    <t>670</t>
  </si>
  <si>
    <t>973258521</t>
  </si>
  <si>
    <t>ocastillosilvestre@gmail.com</t>
  </si>
  <si>
    <t>MARIA YANET</t>
  </si>
  <si>
    <t>SILVESTRE</t>
  </si>
  <si>
    <t>SAFIRO</t>
  </si>
  <si>
    <t>931442287</t>
  </si>
  <si>
    <t>Amoyante</t>
  </si>
  <si>
    <t>126</t>
  </si>
  <si>
    <t>937370717</t>
  </si>
  <si>
    <t>Bernal</t>
  </si>
  <si>
    <t>Los Petreles</t>
  </si>
  <si>
    <t>932661840</t>
  </si>
  <si>
    <t>garrido1982viviana@gmail.com</t>
  </si>
  <si>
    <t>Helen</t>
  </si>
  <si>
    <t>Chacon</t>
  </si>
  <si>
    <t>AV. RAUL SAEZ</t>
  </si>
  <si>
    <t>2197</t>
  </si>
  <si>
    <t>931992335</t>
  </si>
  <si>
    <t>Pasaje Coral</t>
  </si>
  <si>
    <t>2149</t>
  </si>
  <si>
    <t>964246836</t>
  </si>
  <si>
    <t>Perla Zuelen</t>
  </si>
  <si>
    <t>Gesell</t>
  </si>
  <si>
    <t>Guentelican</t>
  </si>
  <si>
    <t>los quirquinchos</t>
  </si>
  <si>
    <t>961730287</t>
  </si>
  <si>
    <t>perlagesell@gmail.com</t>
  </si>
  <si>
    <t>LORENA</t>
  </si>
  <si>
    <t>982683744</t>
  </si>
  <si>
    <t>Johanna</t>
  </si>
  <si>
    <t>Henrriquez</t>
  </si>
  <si>
    <t>9930612886</t>
  </si>
  <si>
    <t>Roncoroni</t>
  </si>
  <si>
    <t>4521</t>
  </si>
  <si>
    <t>91635758</t>
  </si>
  <si>
    <t>miguelpalm@gmail.com</t>
  </si>
  <si>
    <t>Joselinne</t>
  </si>
  <si>
    <t>Carter</t>
  </si>
  <si>
    <t>Corrales</t>
  </si>
  <si>
    <t>Raul Basso</t>
  </si>
  <si>
    <t>96</t>
  </si>
  <si>
    <t>920076518</t>
  </si>
  <si>
    <t>Paola</t>
  </si>
  <si>
    <t>Mora</t>
  </si>
  <si>
    <t>pasaje los romeros</t>
  </si>
  <si>
    <t>592</t>
  </si>
  <si>
    <t>73105028</t>
  </si>
  <si>
    <t>Cristian Francisco</t>
  </si>
  <si>
    <t>Wastavino</t>
  </si>
  <si>
    <t>1859</t>
  </si>
  <si>
    <t>989959877</t>
  </si>
  <si>
    <t>Ruth</t>
  </si>
  <si>
    <t>Viscarra</t>
  </si>
  <si>
    <t>Acosta</t>
  </si>
  <si>
    <t>circunvalación nueva región poniente</t>
  </si>
  <si>
    <t>453</t>
  </si>
  <si>
    <t>31413239</t>
  </si>
  <si>
    <t>mery_vis@hotmail.com</t>
  </si>
  <si>
    <t>Gilda</t>
  </si>
  <si>
    <t>los chañares</t>
  </si>
  <si>
    <t>45040675</t>
  </si>
  <si>
    <t>ELDA</t>
  </si>
  <si>
    <t>ELGUETA</t>
  </si>
  <si>
    <t>988328326</t>
  </si>
  <si>
    <t>JOHANA</t>
  </si>
  <si>
    <t>MONJE</t>
  </si>
  <si>
    <t>LOS HILGUEROS</t>
  </si>
  <si>
    <t>949275903</t>
  </si>
  <si>
    <t>AMONJE.PSICO@GMAIL.COM</t>
  </si>
  <si>
    <t>ANDREA</t>
  </si>
  <si>
    <t>VILLA CISNE SUR LOTE 2</t>
  </si>
  <si>
    <t>SIN NUMERO</t>
  </si>
  <si>
    <t>995412532</t>
  </si>
  <si>
    <t>Rosana</t>
  </si>
  <si>
    <t>Sánchez</t>
  </si>
  <si>
    <t>Gómez</t>
  </si>
  <si>
    <t>pasaje las aguilas</t>
  </si>
  <si>
    <t>976531443</t>
  </si>
  <si>
    <t>elvis_rose@hotmail.com</t>
  </si>
  <si>
    <t>2146</t>
  </si>
  <si>
    <t>72727319</t>
  </si>
  <si>
    <t>Aguilar</t>
  </si>
  <si>
    <t>arabia saudita</t>
  </si>
  <si>
    <t>798</t>
  </si>
  <si>
    <t>92813339</t>
  </si>
  <si>
    <t>YOHANA HAYDEE</t>
  </si>
  <si>
    <t>2140</t>
  </si>
  <si>
    <t>975508103</t>
  </si>
  <si>
    <t>YOBIHAYDEECUMIANSOTO@GMAIL.COM</t>
  </si>
  <si>
    <t>Guillermo</t>
  </si>
  <si>
    <t>Grau</t>
  </si>
  <si>
    <t>pasaje la paz 1</t>
  </si>
  <si>
    <t>casa 63</t>
  </si>
  <si>
    <t>9555286416</t>
  </si>
  <si>
    <t>patriciafuentesleal@gmail.com</t>
  </si>
  <si>
    <t>Lucía Del Carmen</t>
  </si>
  <si>
    <t>2043</t>
  </si>
  <si>
    <t>953066234</t>
  </si>
  <si>
    <t>luciavargasdelgado2019@gmail.com</t>
  </si>
  <si>
    <t>KROON</t>
  </si>
  <si>
    <t>918</t>
  </si>
  <si>
    <t>984057458</t>
  </si>
  <si>
    <t>YASNAALARCONK@GMAIL.COM</t>
  </si>
  <si>
    <t>Ortiz</t>
  </si>
  <si>
    <t>Saez</t>
  </si>
  <si>
    <t>1608</t>
  </si>
  <si>
    <t>979160158</t>
  </si>
  <si>
    <t>986416864</t>
  </si>
  <si>
    <t>viviana.ortiz@uach.cl</t>
  </si>
  <si>
    <t>Isaias</t>
  </si>
  <si>
    <t>902</t>
  </si>
  <si>
    <t>71682174</t>
  </si>
  <si>
    <t>BARBARA</t>
  </si>
  <si>
    <t>SILVA</t>
  </si>
  <si>
    <t>VILLA ALEJANDRO BERNALES REGIDOR TEOFILO SILVA</t>
  </si>
  <si>
    <t>5059</t>
  </si>
  <si>
    <t>920592798</t>
  </si>
  <si>
    <t>15294214-1</t>
  </si>
  <si>
    <t>Apablaza</t>
  </si>
  <si>
    <t>san luis con san jorge</t>
  </si>
  <si>
    <t>700</t>
  </si>
  <si>
    <t>82458829</t>
  </si>
  <si>
    <t>jimena.apablaza82@gmail.com</t>
  </si>
  <si>
    <t>Santibañez</t>
  </si>
  <si>
    <t>972504848</t>
  </si>
  <si>
    <t>barbarasanti1825@gmail.com</t>
  </si>
  <si>
    <t>Anabalon</t>
  </si>
  <si>
    <t>Raul Vaso</t>
  </si>
  <si>
    <t>257</t>
  </si>
  <si>
    <t>975343364</t>
  </si>
  <si>
    <t>pamelanav@gmail.com</t>
  </si>
  <si>
    <t>Yaquelin Del Pilar</t>
  </si>
  <si>
    <t>Osses</t>
  </si>
  <si>
    <t>Pje. San Andres</t>
  </si>
  <si>
    <t>650</t>
  </si>
  <si>
    <t>965586370</t>
  </si>
  <si>
    <t>PANES</t>
  </si>
  <si>
    <t>381</t>
  </si>
  <si>
    <t>956212001</t>
  </si>
  <si>
    <t>Irigoyen</t>
  </si>
  <si>
    <t>Pasaje 4</t>
  </si>
  <si>
    <t>525</t>
  </si>
  <si>
    <t>953008779</t>
  </si>
  <si>
    <t>verysanz.irigoyen@gmail.com</t>
  </si>
  <si>
    <t>Estanislao Loayza</t>
  </si>
  <si>
    <t>2716</t>
  </si>
  <si>
    <t>966049240</t>
  </si>
  <si>
    <t>PLASCENCIO</t>
  </si>
  <si>
    <t>LILLO</t>
  </si>
  <si>
    <t>901</t>
  </si>
  <si>
    <t>941487183</t>
  </si>
  <si>
    <t>CLAUDIAALEJANDRA_35@HOTMAIL.COM</t>
  </si>
  <si>
    <t>VALLADARES</t>
  </si>
  <si>
    <t>INGENIERO RAUL SAEZ</t>
  </si>
  <si>
    <t>972887977</t>
  </si>
  <si>
    <t>Tamara</t>
  </si>
  <si>
    <t>Obando</t>
  </si>
  <si>
    <t>Bulnes</t>
  </si>
  <si>
    <t>1970</t>
  </si>
  <si>
    <t>94349306</t>
  </si>
  <si>
    <t>docecuradores.valdivia@gmail.com</t>
  </si>
  <si>
    <t>Mercedes</t>
  </si>
  <si>
    <t>Pasaje uno</t>
  </si>
  <si>
    <t>66</t>
  </si>
  <si>
    <t>962343349</t>
  </si>
  <si>
    <t>Daniel</t>
  </si>
  <si>
    <t>Volcan Carran</t>
  </si>
  <si>
    <t>4712</t>
  </si>
  <si>
    <t>920687373</t>
  </si>
  <si>
    <t>uribegonzalezdaniel@yahoo.es</t>
  </si>
  <si>
    <t>Astudillo</t>
  </si>
  <si>
    <t>Los arrayanes</t>
  </si>
  <si>
    <t>314</t>
  </si>
  <si>
    <t>9827481118</t>
  </si>
  <si>
    <t>daniela.cabrera@gmail.com</t>
  </si>
  <si>
    <t>Lissette Antinieta</t>
  </si>
  <si>
    <t>isla guacamayo</t>
  </si>
  <si>
    <t>998841609</t>
  </si>
  <si>
    <t>riscoandrade@gmail.com</t>
  </si>
  <si>
    <t>Maria Paz</t>
  </si>
  <si>
    <t>Scheihing</t>
  </si>
  <si>
    <t>Fitcher</t>
  </si>
  <si>
    <t>360</t>
  </si>
  <si>
    <t>52693544</t>
  </si>
  <si>
    <t>Javiera Alejandra</t>
  </si>
  <si>
    <t>Verdugo</t>
  </si>
  <si>
    <t>Valdivia</t>
  </si>
  <si>
    <t>Condominio miraflores</t>
  </si>
  <si>
    <t>parcela 19</t>
  </si>
  <si>
    <t>994993825</t>
  </si>
  <si>
    <t>javiverdugov@gmail.com</t>
  </si>
  <si>
    <t>Fernando Antonio</t>
  </si>
  <si>
    <t>Goyeneche</t>
  </si>
  <si>
    <t>950270188</t>
  </si>
  <si>
    <t>Hueñir</t>
  </si>
  <si>
    <t>Yaeger</t>
  </si>
  <si>
    <t>476</t>
  </si>
  <si>
    <t>81431262</t>
  </si>
  <si>
    <t>yaeger28@gmail.com</t>
  </si>
  <si>
    <t>MONICA SOLEDAD</t>
  </si>
  <si>
    <t>MENA</t>
  </si>
  <si>
    <t>RIVERA</t>
  </si>
  <si>
    <t>GRANEROS DE PILAUCO</t>
  </si>
  <si>
    <t>PARCELA</t>
  </si>
  <si>
    <t>965166085</t>
  </si>
  <si>
    <t>FRAPESUAH@GMAIL.COM</t>
  </si>
  <si>
    <t>NAHUEL</t>
  </si>
  <si>
    <t>665</t>
  </si>
  <si>
    <t>999883696</t>
  </si>
  <si>
    <t>Donoso</t>
  </si>
  <si>
    <t>Pedro Montt</t>
  </si>
  <si>
    <t>3056</t>
  </si>
  <si>
    <t>985046579</t>
  </si>
  <si>
    <t>fdonosorosas@gmail.com</t>
  </si>
  <si>
    <t>Carla Andrea</t>
  </si>
  <si>
    <t>Marchese</t>
  </si>
  <si>
    <t>victoria 1543</t>
  </si>
  <si>
    <t>992059207</t>
  </si>
  <si>
    <t>PAULINA</t>
  </si>
  <si>
    <t>CURINAO</t>
  </si>
  <si>
    <t>634</t>
  </si>
  <si>
    <t>962735305</t>
  </si>
  <si>
    <t>Jeanette</t>
  </si>
  <si>
    <t>Escalona</t>
  </si>
  <si>
    <t>1858</t>
  </si>
  <si>
    <t>964538460</t>
  </si>
  <si>
    <t>israeljarahuichalaf5@gmail.com</t>
  </si>
  <si>
    <t>LISSETTE</t>
  </si>
  <si>
    <t>GUMERA</t>
  </si>
  <si>
    <t>MEZA</t>
  </si>
  <si>
    <t>SANTIAGO DERVIS OJEDA</t>
  </si>
  <si>
    <t>4236</t>
  </si>
  <si>
    <t>950014463</t>
  </si>
  <si>
    <t>ANCHEO</t>
  </si>
  <si>
    <t>584</t>
  </si>
  <si>
    <t>974019895</t>
  </si>
  <si>
    <t>Michael</t>
  </si>
  <si>
    <t>Douglas</t>
  </si>
  <si>
    <t>983982689</t>
  </si>
  <si>
    <t>angelasalgadof@hotmail.com</t>
  </si>
  <si>
    <t>MORENO</t>
  </si>
  <si>
    <t>QUILLAHUE</t>
  </si>
  <si>
    <t>2170</t>
  </si>
  <si>
    <t>996710136</t>
  </si>
  <si>
    <t>A.MORENO.OLIVA@GMAIL.COM</t>
  </si>
  <si>
    <t>Liliana</t>
  </si>
  <si>
    <t>Matus</t>
  </si>
  <si>
    <t>967605092</t>
  </si>
  <si>
    <t>Lilianavaldivia@live.cl</t>
  </si>
  <si>
    <t>1773</t>
  </si>
  <si>
    <t>982990320</t>
  </si>
  <si>
    <t>Ximena30elgueta@gmail.com</t>
  </si>
  <si>
    <t>GODOY</t>
  </si>
  <si>
    <t>1875</t>
  </si>
  <si>
    <t>978149241</t>
  </si>
  <si>
    <t>yAQUI21-LOLA@HOTMAIL.COM</t>
  </si>
  <si>
    <t>Katherine Fernanda</t>
  </si>
  <si>
    <t>Correa</t>
  </si>
  <si>
    <t>Egipto</t>
  </si>
  <si>
    <t>469</t>
  </si>
  <si>
    <t>967388367</t>
  </si>
  <si>
    <t>kcorrea.fi@gmail.com</t>
  </si>
  <si>
    <t>Karen</t>
  </si>
  <si>
    <t>Gajardo</t>
  </si>
  <si>
    <t>729</t>
  </si>
  <si>
    <t>85750153</t>
  </si>
  <si>
    <t>Fototerapiarc@gmail.com</t>
  </si>
  <si>
    <t>720</t>
  </si>
  <si>
    <t>972396210</t>
  </si>
  <si>
    <t>ALTOS DE GUACAMAYO, LOS NARANJOS</t>
  </si>
  <si>
    <t>649</t>
  </si>
  <si>
    <t>942920182</t>
  </si>
  <si>
    <t>PILLAMPEL</t>
  </si>
  <si>
    <t>985624705</t>
  </si>
  <si>
    <t>Eliana Patricia</t>
  </si>
  <si>
    <t>Marin</t>
  </si>
  <si>
    <t>las loicas</t>
  </si>
  <si>
    <t>84969387</t>
  </si>
  <si>
    <t>patriciamarin776@gmail.com</t>
  </si>
  <si>
    <t>Yohana</t>
  </si>
  <si>
    <t>Pasaje Raul Toro 3</t>
  </si>
  <si>
    <t>2641</t>
  </si>
  <si>
    <t>55153539</t>
  </si>
  <si>
    <t>953332666</t>
  </si>
  <si>
    <t>yobita2131@gmail.com</t>
  </si>
  <si>
    <t>Nivia Del Carmen</t>
  </si>
  <si>
    <t>2037</t>
  </si>
  <si>
    <t>964883836</t>
  </si>
  <si>
    <t>PASAJE LOS TORDOS</t>
  </si>
  <si>
    <t>1854</t>
  </si>
  <si>
    <t>952336194</t>
  </si>
  <si>
    <t>Pasaje Arabia Saudita</t>
  </si>
  <si>
    <t>217</t>
  </si>
  <si>
    <t>930737546</t>
  </si>
  <si>
    <t>reyesandrea1983@gmail.com</t>
  </si>
  <si>
    <t>JESSICA</t>
  </si>
  <si>
    <t>Yanequen</t>
  </si>
  <si>
    <t>978343497</t>
  </si>
  <si>
    <t>jessicamartin77@gmail.com</t>
  </si>
  <si>
    <t>Los Jilgueros</t>
  </si>
  <si>
    <t>997828283</t>
  </si>
  <si>
    <t>CARMEN</t>
  </si>
  <si>
    <t>VILLA LEMUEL CALLE LUIS AGUIRRE PINTO</t>
  </si>
  <si>
    <t>830</t>
  </si>
  <si>
    <t>987791087</t>
  </si>
  <si>
    <t>ANDREA DEL CARMEN</t>
  </si>
  <si>
    <t>PASAJE NOGAL 1</t>
  </si>
  <si>
    <t>1934</t>
  </si>
  <si>
    <t>981365355</t>
  </si>
  <si>
    <t>MOLLYANDREA1103@GMAIL.COM</t>
  </si>
  <si>
    <t>Ríos</t>
  </si>
  <si>
    <t>Caro</t>
  </si>
  <si>
    <t>Los tellúes</t>
  </si>
  <si>
    <t>270</t>
  </si>
  <si>
    <t>967365027</t>
  </si>
  <si>
    <t>Oscar Alejandro</t>
  </si>
  <si>
    <t>Alocilla</t>
  </si>
  <si>
    <t>Velàsquez</t>
  </si>
  <si>
    <t>Dr. Marcelo Serra Soyer</t>
  </si>
  <si>
    <t>993134271</t>
  </si>
  <si>
    <t>AMPUERO</t>
  </si>
  <si>
    <t>TOLEDO</t>
  </si>
  <si>
    <t>LOS PEUMOS</t>
  </si>
  <si>
    <t>391</t>
  </si>
  <si>
    <t>95449879</t>
  </si>
  <si>
    <t>MN.AMPUERO.TOLEDO@GMAIL.COM</t>
  </si>
  <si>
    <t>YESENIA</t>
  </si>
  <si>
    <t>GOICOLEA</t>
  </si>
  <si>
    <t>1560</t>
  </si>
  <si>
    <t>971535754</t>
  </si>
  <si>
    <t>PRISCILA</t>
  </si>
  <si>
    <t>ALIANTE</t>
  </si>
  <si>
    <t>PASAJE MAPU</t>
  </si>
  <si>
    <t>961800783</t>
  </si>
  <si>
    <t>Eduardo</t>
  </si>
  <si>
    <t>561</t>
  </si>
  <si>
    <t>950014369</t>
  </si>
  <si>
    <t>TAMARA</t>
  </si>
  <si>
    <t>SARABIA</t>
  </si>
  <si>
    <t>PJE TURQUESA</t>
  </si>
  <si>
    <t>2167</t>
  </si>
  <si>
    <t>965403530</t>
  </si>
  <si>
    <t>TAMYORTEGA1@HOTMAIL.COM</t>
  </si>
  <si>
    <t>Alejandra Macarena</t>
  </si>
  <si>
    <t>Cortez</t>
  </si>
  <si>
    <t>Los manutara</t>
  </si>
  <si>
    <t>959571039</t>
  </si>
  <si>
    <t>acortezvillalobos@gmail.com</t>
  </si>
  <si>
    <t>Yesica</t>
  </si>
  <si>
    <t>yanequen</t>
  </si>
  <si>
    <t>973276694</t>
  </si>
  <si>
    <t>MARIBEL</t>
  </si>
  <si>
    <t>LINGAI</t>
  </si>
  <si>
    <t>CATRIN</t>
  </si>
  <si>
    <t>LOS NARANAJOS</t>
  </si>
  <si>
    <t>931487092</t>
  </si>
  <si>
    <t>MARIBELLINGAY420@GMAIL.COM</t>
  </si>
  <si>
    <t>PASAJE JORGE INOSTROZA</t>
  </si>
  <si>
    <t>950358716</t>
  </si>
  <si>
    <t>Ascencio</t>
  </si>
  <si>
    <t>Berzant</t>
  </si>
  <si>
    <t>Pasaje quilen</t>
  </si>
  <si>
    <t>069</t>
  </si>
  <si>
    <t>978472130</t>
  </si>
  <si>
    <t>PRISCILA ALEJANDRA</t>
  </si>
  <si>
    <t>LAS FARDELAS</t>
  </si>
  <si>
    <t>965886532</t>
  </si>
  <si>
    <t>PRISCILAMALDONADO.F@GMAIL.COM</t>
  </si>
  <si>
    <t>LATORRE</t>
  </si>
  <si>
    <t>VALDEZ</t>
  </si>
  <si>
    <t>PASAJE RUBI</t>
  </si>
  <si>
    <t>2161</t>
  </si>
  <si>
    <t>88026081</t>
  </si>
  <si>
    <t>MARIA CAROLINA</t>
  </si>
  <si>
    <t>BREVIS</t>
  </si>
  <si>
    <t>LOS ALGARROBOS</t>
  </si>
  <si>
    <t>334</t>
  </si>
  <si>
    <t>98060921</t>
  </si>
  <si>
    <t>ZUNIGABREVISMAIACAROLINA8@GMAIL.COM</t>
  </si>
  <si>
    <t>ANDRES BELLO</t>
  </si>
  <si>
    <t>2787</t>
  </si>
  <si>
    <t>958809884</t>
  </si>
  <si>
    <t>LOA TELLUES</t>
  </si>
  <si>
    <t>290</t>
  </si>
  <si>
    <t>33240265</t>
  </si>
  <si>
    <t>JENNIFER DE LOURDES</t>
  </si>
  <si>
    <t>VIO</t>
  </si>
  <si>
    <t>792</t>
  </si>
  <si>
    <t>963745051</t>
  </si>
  <si>
    <t>JENNHVIO@GMAIL.COM</t>
  </si>
  <si>
    <t>ROXANA</t>
  </si>
  <si>
    <t>ORDOÑEZ</t>
  </si>
  <si>
    <t>NOGAL 1</t>
  </si>
  <si>
    <t>1944</t>
  </si>
  <si>
    <t>975980049</t>
  </si>
  <si>
    <t>ANA MARÍA</t>
  </si>
  <si>
    <t>FLORES</t>
  </si>
  <si>
    <t>EL NOGAL 1</t>
  </si>
  <si>
    <t>1954</t>
  </si>
  <si>
    <t>949683862</t>
  </si>
  <si>
    <t>ANAMARIAFERNANDEZFLORES285@GMAIL.COM</t>
  </si>
  <si>
    <t>Guiselle</t>
  </si>
  <si>
    <t>Los bellotos</t>
  </si>
  <si>
    <t>1256</t>
  </si>
  <si>
    <t>964493824</t>
  </si>
  <si>
    <t>Guise31gabi@gmail.com</t>
  </si>
  <si>
    <t>Maritza Elena</t>
  </si>
  <si>
    <t>1466</t>
  </si>
  <si>
    <t>979118849</t>
  </si>
  <si>
    <t>Tamara Del Carmen</t>
  </si>
  <si>
    <t>Arrey</t>
  </si>
  <si>
    <t>Maechel</t>
  </si>
  <si>
    <t>Los Venados Norte</t>
  </si>
  <si>
    <t>929</t>
  </si>
  <si>
    <t>956071257</t>
  </si>
  <si>
    <t>tamara_arrey@hotmail.com</t>
  </si>
  <si>
    <t>ROBERTO ALFREDO</t>
  </si>
  <si>
    <t>NOCHES</t>
  </si>
  <si>
    <t>PASAJE CORAL</t>
  </si>
  <si>
    <t>984930792</t>
  </si>
  <si>
    <t>R.SILVA.PSE@HOTMAIL.COM</t>
  </si>
  <si>
    <t>MARIA EUGENIA</t>
  </si>
  <si>
    <t>ÑANCUPIL</t>
  </si>
  <si>
    <t>OCHOA</t>
  </si>
  <si>
    <t>LOS ARAYANES</t>
  </si>
  <si>
    <t>987688399</t>
  </si>
  <si>
    <t>NATHALIA</t>
  </si>
  <si>
    <t>P</t>
  </si>
  <si>
    <t>LOS SILOS 151 CASA</t>
  </si>
  <si>
    <t>118</t>
  </si>
  <si>
    <t>982422522</t>
  </si>
  <si>
    <t>Evelin</t>
  </si>
  <si>
    <t>Galdames</t>
  </si>
  <si>
    <t>Rodrigez</t>
  </si>
  <si>
    <t>Vicente Perez Rosales</t>
  </si>
  <si>
    <t>1348</t>
  </si>
  <si>
    <t>985350747</t>
  </si>
  <si>
    <t>evelin.galdames@gmail.com</t>
  </si>
  <si>
    <t>Lisette</t>
  </si>
  <si>
    <t>Bilbao</t>
  </si>
  <si>
    <t>1610</t>
  </si>
  <si>
    <t>945367005</t>
  </si>
  <si>
    <t>creative.ventasvaldivia@gmail.com</t>
  </si>
  <si>
    <t>Roke</t>
  </si>
  <si>
    <t>Mena</t>
  </si>
  <si>
    <t>Ruta t 350 camino a niebla</t>
  </si>
  <si>
    <t>986212284</t>
  </si>
  <si>
    <t>rokerojas@gmail.com</t>
  </si>
  <si>
    <t>IVON</t>
  </si>
  <si>
    <t>BIZAMA</t>
  </si>
  <si>
    <t>SEPULVEDA</t>
  </si>
  <si>
    <t>LAS GAVIOTAS</t>
  </si>
  <si>
    <t>933167153</t>
  </si>
  <si>
    <t>Danytza</t>
  </si>
  <si>
    <t>Cossio</t>
  </si>
  <si>
    <t>Mellado</t>
  </si>
  <si>
    <t>Luis Carrera Verdugo</t>
  </si>
  <si>
    <t>1545</t>
  </si>
  <si>
    <t>988187319</t>
  </si>
  <si>
    <t>danytza.cossio@gmail.com</t>
  </si>
  <si>
    <t>Hector David</t>
  </si>
  <si>
    <t>Gueitra</t>
  </si>
  <si>
    <t>Los Chercanes</t>
  </si>
  <si>
    <t>1752</t>
  </si>
  <si>
    <t>99043675</t>
  </si>
  <si>
    <t>hectordgm400@hotmail.com</t>
  </si>
  <si>
    <t>MARIA JOSE</t>
  </si>
  <si>
    <t>CORTEZ</t>
  </si>
  <si>
    <t>AV. LUIS DAMANN</t>
  </si>
  <si>
    <t>1826</t>
  </si>
  <si>
    <t>983962145</t>
  </si>
  <si>
    <t>mjrc22@gmail.com</t>
  </si>
  <si>
    <t>FLORITA DEL CARMEN</t>
  </si>
  <si>
    <t>TRONCOZO</t>
  </si>
  <si>
    <t>TORNÉ</t>
  </si>
  <si>
    <t>962609694</t>
  </si>
  <si>
    <t>FLORITATT16@GMAIL.COM</t>
  </si>
  <si>
    <t>Ester</t>
  </si>
  <si>
    <t>Los quiques</t>
  </si>
  <si>
    <t>99480749</t>
  </si>
  <si>
    <t>Mercedez Jarpa</t>
  </si>
  <si>
    <t>399</t>
  </si>
  <si>
    <t>Región del Bío-Bío</t>
  </si>
  <si>
    <t>LOS ANGELES</t>
  </si>
  <si>
    <t>999194029</t>
  </si>
  <si>
    <t>alemo616@gmai.com</t>
  </si>
  <si>
    <t>ANGEL AUGUSTO</t>
  </si>
  <si>
    <t>CALDERÓN</t>
  </si>
  <si>
    <t>946680874</t>
  </si>
  <si>
    <t>AKIAGRO@HOTMAIL.COM</t>
  </si>
  <si>
    <t>Karina Eugenia</t>
  </si>
  <si>
    <t>Leiva</t>
  </si>
  <si>
    <t>Tamayo</t>
  </si>
  <si>
    <t>Los Chañares</t>
  </si>
  <si>
    <t>277</t>
  </si>
  <si>
    <t>20576503</t>
  </si>
  <si>
    <t>EDUARDO</t>
  </si>
  <si>
    <t>PUENTES</t>
  </si>
  <si>
    <t>976758837</t>
  </si>
  <si>
    <t>Magdalena Andrea</t>
  </si>
  <si>
    <t>2164</t>
  </si>
  <si>
    <t>920928774</t>
  </si>
  <si>
    <t>Daysi</t>
  </si>
  <si>
    <t>511</t>
  </si>
  <si>
    <t>958963757</t>
  </si>
  <si>
    <t>dcastillo.sepulveda83@gmail.com</t>
  </si>
  <si>
    <t>Karina</t>
  </si>
  <si>
    <t>Robert</t>
  </si>
  <si>
    <t>Fundo el Laurel Bajo</t>
  </si>
  <si>
    <t>Yanet</t>
  </si>
  <si>
    <t>Curvan</t>
  </si>
  <si>
    <t>520</t>
  </si>
  <si>
    <t>959835371</t>
  </si>
  <si>
    <t>yeseniavillegascurvan@gmail.com</t>
  </si>
  <si>
    <t>Francisco David</t>
  </si>
  <si>
    <t>Medina</t>
  </si>
  <si>
    <t>978904579</t>
  </si>
  <si>
    <t>Fcopm1974@gmail.com</t>
  </si>
  <si>
    <t>MARÍA MAGDALENA</t>
  </si>
  <si>
    <t>MONTECINOS</t>
  </si>
  <si>
    <t>VILLARROEL</t>
  </si>
  <si>
    <t>608</t>
  </si>
  <si>
    <t>955118860</t>
  </si>
  <si>
    <t>MARYFLORENCIA2015@GMAIL.COM</t>
  </si>
  <si>
    <t>Evelyn Alejandra</t>
  </si>
  <si>
    <t>Los huranes</t>
  </si>
  <si>
    <t>1771</t>
  </si>
  <si>
    <t>977839688</t>
  </si>
  <si>
    <t>Evelynsoto16@gmail.com</t>
  </si>
  <si>
    <t>NATALIA IGNACIA</t>
  </si>
  <si>
    <t>LANCULLÉN</t>
  </si>
  <si>
    <t>060</t>
  </si>
  <si>
    <t>962330787</t>
  </si>
  <si>
    <t>NIJB84@GMAIL.COM</t>
  </si>
  <si>
    <t>Arellano</t>
  </si>
  <si>
    <t>Pedrero</t>
  </si>
  <si>
    <t>Pasaje Rubí</t>
  </si>
  <si>
    <t>2184</t>
  </si>
  <si>
    <t>934054605</t>
  </si>
  <si>
    <t>CAROLINA ANDREA</t>
  </si>
  <si>
    <t>LARRAIN</t>
  </si>
  <si>
    <t>LOS RUILES</t>
  </si>
  <si>
    <t>2061</t>
  </si>
  <si>
    <t>985359421</t>
  </si>
  <si>
    <t>KARITO.VER691@GMAIL.COM</t>
  </si>
  <si>
    <t>VIZCARRA</t>
  </si>
  <si>
    <t>GAMBOA</t>
  </si>
  <si>
    <t>PASAJE CALLAO</t>
  </si>
  <si>
    <t>1529</t>
  </si>
  <si>
    <t>993671994</t>
  </si>
  <si>
    <t>Susana Jocelyn</t>
  </si>
  <si>
    <t>Tapia</t>
  </si>
  <si>
    <t>Los kenas</t>
  </si>
  <si>
    <t>1843</t>
  </si>
  <si>
    <t>94872408</t>
  </si>
  <si>
    <t>CARIAGA</t>
  </si>
  <si>
    <t>OPORTO</t>
  </si>
  <si>
    <t>PASAJE MELIPEUCO</t>
  </si>
  <si>
    <t>48</t>
  </si>
  <si>
    <t>986018768</t>
  </si>
  <si>
    <t>DANIELA</t>
  </si>
  <si>
    <t>SANTANDER</t>
  </si>
  <si>
    <t>PASAJE 1 E</t>
  </si>
  <si>
    <t>2718</t>
  </si>
  <si>
    <t>965500472</t>
  </si>
  <si>
    <t>Fierro</t>
  </si>
  <si>
    <t>amada jaramillo sn</t>
  </si>
  <si>
    <t>poste 42</t>
  </si>
  <si>
    <t>974534199</t>
  </si>
  <si>
    <t>fabiolacarrillo.fierro84@gmail.com</t>
  </si>
  <si>
    <t>Dario</t>
  </si>
  <si>
    <t>Portugal</t>
  </si>
  <si>
    <t>1921</t>
  </si>
  <si>
    <t>949856256</t>
  </si>
  <si>
    <t>dario.silva.saavedra@hotmail.com</t>
  </si>
  <si>
    <t>KATERIN</t>
  </si>
  <si>
    <t>ZAAVEDRA</t>
  </si>
  <si>
    <t>440</t>
  </si>
  <si>
    <t>984793431</t>
  </si>
  <si>
    <t>Agueda</t>
  </si>
  <si>
    <t>Arevalo</t>
  </si>
  <si>
    <t>Volcan Antuco</t>
  </si>
  <si>
    <t>3592</t>
  </si>
  <si>
    <t>993472596</t>
  </si>
  <si>
    <t>CESAR</t>
  </si>
  <si>
    <t>CISTERNA</t>
  </si>
  <si>
    <t>REGIDOR GONZALEZ LABRAÑA</t>
  </si>
  <si>
    <t>881</t>
  </si>
  <si>
    <t>20393783</t>
  </si>
  <si>
    <t>SANGUEZA</t>
  </si>
  <si>
    <t>LOS EUCALIPTOS</t>
  </si>
  <si>
    <t>984372665</t>
  </si>
  <si>
    <t>Vanessa Paulina</t>
  </si>
  <si>
    <t>Vallejos</t>
  </si>
  <si>
    <t>PArra</t>
  </si>
  <si>
    <t>Pje. Maximo frick</t>
  </si>
  <si>
    <t>4047</t>
  </si>
  <si>
    <t>959825542</t>
  </si>
  <si>
    <t>Vanecilla_1984@hotmail.com</t>
  </si>
  <si>
    <t>Joffre</t>
  </si>
  <si>
    <t>Provoste</t>
  </si>
  <si>
    <t>las alpacas</t>
  </si>
  <si>
    <t>958629934</t>
  </si>
  <si>
    <t>MARCELA ANDREA</t>
  </si>
  <si>
    <t>RAUL TORO 4</t>
  </si>
  <si>
    <t>2668</t>
  </si>
  <si>
    <t>945071833</t>
  </si>
  <si>
    <t>MARCEORTIZVARGAS@GMAIL.COM</t>
  </si>
  <si>
    <t>Avda Raul Saez Saez</t>
  </si>
  <si>
    <t>1784</t>
  </si>
  <si>
    <t>971956185</t>
  </si>
  <si>
    <t>EDITH</t>
  </si>
  <si>
    <t>PASAJE MILLACURA</t>
  </si>
  <si>
    <t>295913</t>
  </si>
  <si>
    <t>Lina</t>
  </si>
  <si>
    <t>Lienlaf</t>
  </si>
  <si>
    <t>Jose victorino las tarrias</t>
  </si>
  <si>
    <t>2624</t>
  </si>
  <si>
    <t>9988000624</t>
  </si>
  <si>
    <t>Magdalena</t>
  </si>
  <si>
    <t>Valladares</t>
  </si>
  <si>
    <t>Federico Weisse</t>
  </si>
  <si>
    <t>952491332</t>
  </si>
  <si>
    <t>magdavalladares@gmail.com</t>
  </si>
  <si>
    <t>712</t>
  </si>
  <si>
    <t>90062112 nelson</t>
  </si>
  <si>
    <t>971969187</t>
  </si>
  <si>
    <t>ISAAC</t>
  </si>
  <si>
    <t>REHL</t>
  </si>
  <si>
    <t>VILLA GALILEA PASAJE RAQUITUE</t>
  </si>
  <si>
    <t>047</t>
  </si>
  <si>
    <t>976468996</t>
  </si>
  <si>
    <t>Susana Lorena</t>
  </si>
  <si>
    <t>965830101</t>
  </si>
  <si>
    <t>Jimena Francisca</t>
  </si>
  <si>
    <t>Cea</t>
  </si>
  <si>
    <t>90972088</t>
  </si>
  <si>
    <t>Joffré</t>
  </si>
  <si>
    <t>Malaquias concha</t>
  </si>
  <si>
    <t>965956326</t>
  </si>
  <si>
    <t>pamela.joffre84@gmail.com</t>
  </si>
  <si>
    <t>MALAQUITA</t>
  </si>
  <si>
    <t>1026</t>
  </si>
  <si>
    <t>95867505</t>
  </si>
  <si>
    <t>MARIBELJAQUELINE7@GMAIL.COM</t>
  </si>
  <si>
    <t>Pasaje los naranjos v</t>
  </si>
  <si>
    <t>933513353</t>
  </si>
  <si>
    <t>kato.11javito@gmail.com</t>
  </si>
  <si>
    <t>Llancamil</t>
  </si>
  <si>
    <t>Regidor feliciano gonzalez</t>
  </si>
  <si>
    <t>854</t>
  </si>
  <si>
    <t>982855000</t>
  </si>
  <si>
    <t>alejandradelcarmenaguilallanca@gmail.com</t>
  </si>
  <si>
    <t>GUILLERMINA DEL CARMEN</t>
  </si>
  <si>
    <t>PASAJE PEDRO PARRA</t>
  </si>
  <si>
    <t>847</t>
  </si>
  <si>
    <t>99616456</t>
  </si>
  <si>
    <t>GUILLERMINAPOBLETE2313@GMAIL.COM</t>
  </si>
  <si>
    <t>Mendez</t>
  </si>
  <si>
    <t>pasaje coral</t>
  </si>
  <si>
    <t>966214032</t>
  </si>
  <si>
    <t>susanadmendes3@gmail.com</t>
  </si>
  <si>
    <t>Carlos Alberto</t>
  </si>
  <si>
    <t>Guerrero</t>
  </si>
  <si>
    <t>Nogal 1</t>
  </si>
  <si>
    <t>1985</t>
  </si>
  <si>
    <t>1756</t>
  </si>
  <si>
    <t>982557018</t>
  </si>
  <si>
    <t>Cardenas</t>
  </si>
  <si>
    <t>María Isabel Riquelme</t>
  </si>
  <si>
    <t>420</t>
  </si>
  <si>
    <t>954038608</t>
  </si>
  <si>
    <t>felipe.molina.cardenas@gmail.com</t>
  </si>
  <si>
    <t>Ricardo Rocha</t>
  </si>
  <si>
    <t>110</t>
  </si>
  <si>
    <t>977311143</t>
  </si>
  <si>
    <t>SALINAS</t>
  </si>
  <si>
    <t>2786</t>
  </si>
  <si>
    <t>56236659</t>
  </si>
  <si>
    <t>Jessica Viviana</t>
  </si>
  <si>
    <t>los pumas</t>
  </si>
  <si>
    <t>941699450</t>
  </si>
  <si>
    <t>Fredy</t>
  </si>
  <si>
    <t>Parra</t>
  </si>
  <si>
    <t>arica 13</t>
  </si>
  <si>
    <t>6</t>
  </si>
  <si>
    <t>CORRAL</t>
  </si>
  <si>
    <t>975342843</t>
  </si>
  <si>
    <t>circunvalacion nueva region</t>
  </si>
  <si>
    <t>375</t>
  </si>
  <si>
    <t>977056414</t>
  </si>
  <si>
    <t>LAS ABUTARDAS</t>
  </si>
  <si>
    <t>941032358</t>
  </si>
  <si>
    <t>Las Mulatas 360</t>
  </si>
  <si>
    <t>24</t>
  </si>
  <si>
    <t>991222482</t>
  </si>
  <si>
    <t>dani_8577@hotmail.com</t>
  </si>
  <si>
    <t>Natalia Karina</t>
  </si>
  <si>
    <t>Wagner</t>
  </si>
  <si>
    <t>Seguel</t>
  </si>
  <si>
    <t>Los Helechos</t>
  </si>
  <si>
    <t>575</t>
  </si>
  <si>
    <t>983709633</t>
  </si>
  <si>
    <t>Clara Elena</t>
  </si>
  <si>
    <t>pasaje barcelonja</t>
  </si>
  <si>
    <t>9349061</t>
  </si>
  <si>
    <t>candia.clara@hotmail.com</t>
  </si>
  <si>
    <t>Pasaje llanca</t>
  </si>
  <si>
    <t>2014</t>
  </si>
  <si>
    <t>937478118</t>
  </si>
  <si>
    <t>s85ovalle@gmail.com</t>
  </si>
  <si>
    <t>934126100</t>
  </si>
  <si>
    <t>KATTERINNE</t>
  </si>
  <si>
    <t>REGIDOR TEOFILO SILVA</t>
  </si>
  <si>
    <t>5051</t>
  </si>
  <si>
    <t>953354173</t>
  </si>
  <si>
    <t>Barraza</t>
  </si>
  <si>
    <t>Quetrihue</t>
  </si>
  <si>
    <t>155</t>
  </si>
  <si>
    <t>981684850</t>
  </si>
  <si>
    <t>nathaly29061985@gmail.com</t>
  </si>
  <si>
    <t>VANESA ANDREA</t>
  </si>
  <si>
    <t>509</t>
  </si>
  <si>
    <t>991746793</t>
  </si>
  <si>
    <t>VANEVERA85@GMAIL.COM</t>
  </si>
  <si>
    <t>Avenida Circunvalación Nueva región poniente</t>
  </si>
  <si>
    <t>1579</t>
  </si>
  <si>
    <t>998987786</t>
  </si>
  <si>
    <t>Kar.saezm@gmail.com</t>
  </si>
  <si>
    <t>PARDO</t>
  </si>
  <si>
    <t>PJE SAN ANTONIO</t>
  </si>
  <si>
    <t>681</t>
  </si>
  <si>
    <t>961688356</t>
  </si>
  <si>
    <t>Ivonne Estefania</t>
  </si>
  <si>
    <t>O' Higgins</t>
  </si>
  <si>
    <t>982377879</t>
  </si>
  <si>
    <t>Victor</t>
  </si>
  <si>
    <t>Las vizcachas</t>
  </si>
  <si>
    <t>1623</t>
  </si>
  <si>
    <t>945429362</t>
  </si>
  <si>
    <t>Andrea Natali</t>
  </si>
  <si>
    <t>Aroca</t>
  </si>
  <si>
    <t>Cabrero</t>
  </si>
  <si>
    <t>1863</t>
  </si>
  <si>
    <t>954552252</t>
  </si>
  <si>
    <t>andreaarocacabrera@gmail.com</t>
  </si>
  <si>
    <t>Elvis</t>
  </si>
  <si>
    <t>Quil</t>
  </si>
  <si>
    <t>los eucaliptos</t>
  </si>
  <si>
    <t>947377611</t>
  </si>
  <si>
    <t>962103391</t>
  </si>
  <si>
    <t>YOSELYN</t>
  </si>
  <si>
    <t>PASAJE 1 Ñ</t>
  </si>
  <si>
    <t>2887</t>
  </si>
  <si>
    <t>959365182</t>
  </si>
  <si>
    <t>Y.ESCOBAR.A1985@GMAIL.COM</t>
  </si>
  <si>
    <t>ALEJANDRA NATALY</t>
  </si>
  <si>
    <t>952798402</t>
  </si>
  <si>
    <t>VANESSA PAMELA</t>
  </si>
  <si>
    <t>TAPIA</t>
  </si>
  <si>
    <t>RENE SHNEIDER</t>
  </si>
  <si>
    <t>2755 CASA</t>
  </si>
  <si>
    <t>9986479925</t>
  </si>
  <si>
    <t>VANE.MANQUE1985@GMAIL.COM</t>
  </si>
  <si>
    <t>LAS QUIOAS</t>
  </si>
  <si>
    <t>328</t>
  </si>
  <si>
    <t>990608605</t>
  </si>
  <si>
    <t>PIA BELEN</t>
  </si>
  <si>
    <t>MONDACA</t>
  </si>
  <si>
    <t>VIVEROS</t>
  </si>
  <si>
    <t>JAIME DE LA GUARDA</t>
  </si>
  <si>
    <t>4243</t>
  </si>
  <si>
    <t>966694206</t>
  </si>
  <si>
    <t>PIAMONDACA@GMAIL.COM</t>
  </si>
  <si>
    <t>98499587</t>
  </si>
  <si>
    <t>reyes_s08@hotmail.com</t>
  </si>
  <si>
    <t>Yenifer</t>
  </si>
  <si>
    <t>Carrera</t>
  </si>
  <si>
    <t>2171</t>
  </si>
  <si>
    <t>982563003</t>
  </si>
  <si>
    <t>yenifer.carrra85@gmail.com</t>
  </si>
  <si>
    <t>Yoseline</t>
  </si>
  <si>
    <t>CASTAÑEDA</t>
  </si>
  <si>
    <t>condominoi rocura 153</t>
  </si>
  <si>
    <t>B 404</t>
  </si>
  <si>
    <t>946309323</t>
  </si>
  <si>
    <t>Natali</t>
  </si>
  <si>
    <t>966285259</t>
  </si>
  <si>
    <t>Yaquelin</t>
  </si>
  <si>
    <t>Circunvalación Nueva region Poniente</t>
  </si>
  <si>
    <t>986094442</t>
  </si>
  <si>
    <t>yohanabarrientos923@gmail.com</t>
  </si>
  <si>
    <t>Eladio Rojas 6</t>
  </si>
  <si>
    <t>2836</t>
  </si>
  <si>
    <t>945605362</t>
  </si>
  <si>
    <t>Nataly</t>
  </si>
  <si>
    <t>norte grande 2 pasaje tarapaca</t>
  </si>
  <si>
    <t>casa 11</t>
  </si>
  <si>
    <t>931215741</t>
  </si>
  <si>
    <t>GUILLERMO</t>
  </si>
  <si>
    <t>BRIONES</t>
  </si>
  <si>
    <t>NUEVA REGION PONIENTE</t>
  </si>
  <si>
    <t>1684</t>
  </si>
  <si>
    <t>974748092</t>
  </si>
  <si>
    <t>Rayen Antu</t>
  </si>
  <si>
    <t>LLanquilef</t>
  </si>
  <si>
    <t>Andaur</t>
  </si>
  <si>
    <t>Las Lomas De Angachilla</t>
  </si>
  <si>
    <t>km 7 lote6</t>
  </si>
  <si>
    <t>79885862</t>
  </si>
  <si>
    <t>rayenllanquilef@gmail.com</t>
  </si>
  <si>
    <t>Edison</t>
  </si>
  <si>
    <t>Quilen</t>
  </si>
  <si>
    <t>040</t>
  </si>
  <si>
    <t>973399556</t>
  </si>
  <si>
    <t>edisonandrescontacto@gmail.com</t>
  </si>
  <si>
    <t>ADY</t>
  </si>
  <si>
    <t>GRECO</t>
  </si>
  <si>
    <t>REGIDOR ROBERTO FERNANDEZ</t>
  </si>
  <si>
    <t>725</t>
  </si>
  <si>
    <t>977844826</t>
  </si>
  <si>
    <t>Intendente ricardo olea rivas</t>
  </si>
  <si>
    <t>941</t>
  </si>
  <si>
    <t>964484833</t>
  </si>
  <si>
    <t>María Eugenia</t>
  </si>
  <si>
    <t>332</t>
  </si>
  <si>
    <t>982705662</t>
  </si>
  <si>
    <t>mariaeugeniaruizleal@gmail.com</t>
  </si>
  <si>
    <t>CANDIA</t>
  </si>
  <si>
    <t>988597369</t>
  </si>
  <si>
    <t>V.CANDIA.BERNAL@GMAIL.COM</t>
  </si>
  <si>
    <t>Oiga Carolina</t>
  </si>
  <si>
    <t>Los jilgueros</t>
  </si>
  <si>
    <t>621</t>
  </si>
  <si>
    <t>941237058</t>
  </si>
  <si>
    <t>Carolinaburgosromero1986@gmail.com</t>
  </si>
  <si>
    <t>CLAUDIO ANTONIO</t>
  </si>
  <si>
    <t>PIÑA</t>
  </si>
  <si>
    <t>675</t>
  </si>
  <si>
    <t>947467460</t>
  </si>
  <si>
    <t>ESPARTACO200054@GMAIL.COM</t>
  </si>
  <si>
    <t>Las marmosas</t>
  </si>
  <si>
    <t>1689</t>
  </si>
  <si>
    <t>974224694</t>
  </si>
  <si>
    <t>pamita00@gmail.com</t>
  </si>
  <si>
    <t>BARRIGA</t>
  </si>
  <si>
    <t>BECERRA</t>
  </si>
  <si>
    <t>ALTOS DE GUACAMAYO PASAJE YANKA</t>
  </si>
  <si>
    <t>Johanan</t>
  </si>
  <si>
    <t>NEIRA</t>
  </si>
  <si>
    <t>PASAJE TEOFILO SILVA</t>
  </si>
  <si>
    <t>936702292</t>
  </si>
  <si>
    <t>Daniela Margoth</t>
  </si>
  <si>
    <t>Los Teyues</t>
  </si>
  <si>
    <t>321</t>
  </si>
  <si>
    <t>954175568</t>
  </si>
  <si>
    <t>leiva.leiva.dany33@gmail.com</t>
  </si>
  <si>
    <t>Tania</t>
  </si>
  <si>
    <t>calama</t>
  </si>
  <si>
    <t>684</t>
  </si>
  <si>
    <t>993101607</t>
  </si>
  <si>
    <t>NATALY</t>
  </si>
  <si>
    <t>QUEVEDO</t>
  </si>
  <si>
    <t>COFRE</t>
  </si>
  <si>
    <t>959338699</t>
  </si>
  <si>
    <t>CERDEIRA</t>
  </si>
  <si>
    <t>2182</t>
  </si>
  <si>
    <t>983361215</t>
  </si>
  <si>
    <t>DANIELACERDEIRA885@GMAIL.COM</t>
  </si>
  <si>
    <t>Neira</t>
  </si>
  <si>
    <t>Pasaje Mapu</t>
  </si>
  <si>
    <t>2099</t>
  </si>
  <si>
    <t>978308569</t>
  </si>
  <si>
    <t>Tejeda</t>
  </si>
  <si>
    <t>Godoy</t>
  </si>
  <si>
    <t>LLancamil</t>
  </si>
  <si>
    <t>156</t>
  </si>
  <si>
    <t>53288400</t>
  </si>
  <si>
    <t>Diego Manuel</t>
  </si>
  <si>
    <t>Ardiles</t>
  </si>
  <si>
    <t>Poblete</t>
  </si>
  <si>
    <t>Pintor rodulfo petersen</t>
  </si>
  <si>
    <t>1140</t>
  </si>
  <si>
    <t>987411490</t>
  </si>
  <si>
    <t>diego.ardiles.pe@gmail.com</t>
  </si>
  <si>
    <t>JOSEFA AMANDA</t>
  </si>
  <si>
    <t>AV CIRCUNVALACIÓN</t>
  </si>
  <si>
    <t>938798299</t>
  </si>
  <si>
    <t>JREYESOJEDA1985@GMAIL.COM</t>
  </si>
  <si>
    <t>Denisse</t>
  </si>
  <si>
    <t>Circunvalación nva región</t>
  </si>
  <si>
    <t>912</t>
  </si>
  <si>
    <t>Pasaje Loncopan</t>
  </si>
  <si>
    <t>62</t>
  </si>
  <si>
    <t>59896568</t>
  </si>
  <si>
    <t>diegogonzlz@gmail.com</t>
  </si>
  <si>
    <t>2032</t>
  </si>
  <si>
    <t>965053774</t>
  </si>
  <si>
    <t>Gerardo</t>
  </si>
  <si>
    <t>Ávila</t>
  </si>
  <si>
    <t>Galindo</t>
  </si>
  <si>
    <t>957142100</t>
  </si>
  <si>
    <t>gerardoavila38@gmail.com</t>
  </si>
  <si>
    <t>NICES</t>
  </si>
  <si>
    <t>1753</t>
  </si>
  <si>
    <t>979663377</t>
  </si>
  <si>
    <t>NICESILBAAGUILERA27@GMAIL.COM</t>
  </si>
  <si>
    <t>BAHAMONDE</t>
  </si>
  <si>
    <t>940521596</t>
  </si>
  <si>
    <t>Valenzuela</t>
  </si>
  <si>
    <t>V</t>
  </si>
  <si>
    <t>1681</t>
  </si>
  <si>
    <t>944129404</t>
  </si>
  <si>
    <t>Martinez-Conde</t>
  </si>
  <si>
    <t>Jarpa</t>
  </si>
  <si>
    <t>Rio Calle Calle</t>
  </si>
  <si>
    <t>395</t>
  </si>
  <si>
    <t>990476571</t>
  </si>
  <si>
    <t>FRANCISCO</t>
  </si>
  <si>
    <t>ARISMENDI</t>
  </si>
  <si>
    <t>BUCHNER</t>
  </si>
  <si>
    <t>VOLCAN PUNTIAGUDO</t>
  </si>
  <si>
    <t>4682</t>
  </si>
  <si>
    <t>981893318</t>
  </si>
  <si>
    <t>Macarena</t>
  </si>
  <si>
    <t>Machado</t>
  </si>
  <si>
    <t>Delpiano</t>
  </si>
  <si>
    <t>Doctor Marcelo Cerda</t>
  </si>
  <si>
    <t>56978196743</t>
  </si>
  <si>
    <t>maca.machado@gmail.com</t>
  </si>
  <si>
    <t>TANNIA</t>
  </si>
  <si>
    <t>CORREA</t>
  </si>
  <si>
    <t>AVENIDA SIMPSON</t>
  </si>
  <si>
    <t>780</t>
  </si>
  <si>
    <t>99945576</t>
  </si>
  <si>
    <t>Otárola</t>
  </si>
  <si>
    <t>Arancibia</t>
  </si>
  <si>
    <t>Los Cururos</t>
  </si>
  <si>
    <t>936137979</t>
  </si>
  <si>
    <t>otarolaa@msn.com</t>
  </si>
  <si>
    <t>Soraya</t>
  </si>
  <si>
    <t>Chacón</t>
  </si>
  <si>
    <t>989570063</t>
  </si>
  <si>
    <t>smchacon217@gmail.com</t>
  </si>
  <si>
    <t>NILDA MACARENA</t>
  </si>
  <si>
    <t>RAMOS</t>
  </si>
  <si>
    <t>RECABARREN</t>
  </si>
  <si>
    <t>973339467</t>
  </si>
  <si>
    <t>MACARENARAMOS.JW@GMAIL.COM</t>
  </si>
  <si>
    <t>Danisa</t>
  </si>
  <si>
    <t>Loncon</t>
  </si>
  <si>
    <t>Alberto Critofanini</t>
  </si>
  <si>
    <t>83</t>
  </si>
  <si>
    <t>935034492</t>
  </si>
  <si>
    <t>Lonconparedes@gmail.com</t>
  </si>
  <si>
    <t>GARCIA</t>
  </si>
  <si>
    <t>NESTOR SANTIBAÑEZ</t>
  </si>
  <si>
    <t>55</t>
  </si>
  <si>
    <t>981632088</t>
  </si>
  <si>
    <t>374</t>
  </si>
  <si>
    <t>98632220</t>
  </si>
  <si>
    <t>anamaria.garciafuentes@gmail.com</t>
  </si>
  <si>
    <t>ANGELA</t>
  </si>
  <si>
    <t>756</t>
  </si>
  <si>
    <t>965068662</t>
  </si>
  <si>
    <t>971089392</t>
  </si>
  <si>
    <t>990363000</t>
  </si>
  <si>
    <t>Milanca</t>
  </si>
  <si>
    <t>Gutierrez Klenner</t>
  </si>
  <si>
    <t>5161</t>
  </si>
  <si>
    <t>969002050</t>
  </si>
  <si>
    <t>Blas</t>
  </si>
  <si>
    <t>Los Peumos</t>
  </si>
  <si>
    <t>294941</t>
  </si>
  <si>
    <t>Jessica Lorena</t>
  </si>
  <si>
    <t>Llancahue</t>
  </si>
  <si>
    <t>186</t>
  </si>
  <si>
    <t>946233105</t>
  </si>
  <si>
    <t>jessicasoto639@gmail.com</t>
  </si>
  <si>
    <t>Lorna</t>
  </si>
  <si>
    <t>pasaje raquitue</t>
  </si>
  <si>
    <t>9981353</t>
  </si>
  <si>
    <t>BUSTOS</t>
  </si>
  <si>
    <t>CORTES</t>
  </si>
  <si>
    <t>983893115</t>
  </si>
  <si>
    <t>NADIABUSTOS999@GMAIL.COM</t>
  </si>
  <si>
    <t>Pablo Andrés</t>
  </si>
  <si>
    <t>Costa</t>
  </si>
  <si>
    <t>954</t>
  </si>
  <si>
    <t>979578535</t>
  </si>
  <si>
    <t>QUILAQUEO</t>
  </si>
  <si>
    <t>HINOJOSA</t>
  </si>
  <si>
    <t>10471</t>
  </si>
  <si>
    <t>944757088</t>
  </si>
  <si>
    <t>Natali Macarena</t>
  </si>
  <si>
    <t>1794</t>
  </si>
  <si>
    <t>95717973</t>
  </si>
  <si>
    <t>GRANDON</t>
  </si>
  <si>
    <t>LOS CAIQUENES</t>
  </si>
  <si>
    <t>519</t>
  </si>
  <si>
    <t>985745378</t>
  </si>
  <si>
    <t>ERNESTO DANIEL</t>
  </si>
  <si>
    <t>COLLILEF</t>
  </si>
  <si>
    <t>ISABEL RODAS</t>
  </si>
  <si>
    <t>985929911</t>
  </si>
  <si>
    <t>ERNES025@HOTMAIL.COM</t>
  </si>
  <si>
    <t>Vanessa Pamela</t>
  </si>
  <si>
    <t>Garcia</t>
  </si>
  <si>
    <t>Sta Laura</t>
  </si>
  <si>
    <t>950045553</t>
  </si>
  <si>
    <t>Roxana Andrea</t>
  </si>
  <si>
    <t>Vicente yañez pinzón</t>
  </si>
  <si>
    <t>203</t>
  </si>
  <si>
    <t>966779408</t>
  </si>
  <si>
    <t>TANIA VALESKA</t>
  </si>
  <si>
    <t>2050</t>
  </si>
  <si>
    <t>86381684</t>
  </si>
  <si>
    <t>YANETH</t>
  </si>
  <si>
    <t>MARRUECOS 1</t>
  </si>
  <si>
    <t>451</t>
  </si>
  <si>
    <t>931920664</t>
  </si>
  <si>
    <t>YANETHVASQUEZ@UACH.CL</t>
  </si>
  <si>
    <t>CUNCUMEL</t>
  </si>
  <si>
    <t>278</t>
  </si>
  <si>
    <t>982514108</t>
  </si>
  <si>
    <t>Camilo Israel</t>
  </si>
  <si>
    <t>Toro</t>
  </si>
  <si>
    <t>Beauchef</t>
  </si>
  <si>
    <t>884</t>
  </si>
  <si>
    <t>959489220</t>
  </si>
  <si>
    <t>TANIA</t>
  </si>
  <si>
    <t>SANTA LUCRECIA</t>
  </si>
  <si>
    <t>965</t>
  </si>
  <si>
    <t>957887509</t>
  </si>
  <si>
    <t>433527</t>
  </si>
  <si>
    <t>550</t>
  </si>
  <si>
    <t>941112245</t>
  </si>
  <si>
    <t>MARIELA.SALDIVIA@LIVE.CL</t>
  </si>
  <si>
    <t>ÁNGELA</t>
  </si>
  <si>
    <t>FIERRO</t>
  </si>
  <si>
    <t>97236978</t>
  </si>
  <si>
    <t>Gladis Flores</t>
  </si>
  <si>
    <t>san pablo</t>
  </si>
  <si>
    <t>3806</t>
  </si>
  <si>
    <t>9742475500</t>
  </si>
  <si>
    <t>Valderas</t>
  </si>
  <si>
    <t>Castañeda</t>
  </si>
  <si>
    <t>Guacamayo pasaje coral</t>
  </si>
  <si>
    <t>967518370</t>
  </si>
  <si>
    <t>Jose</t>
  </si>
  <si>
    <t>Coñocar</t>
  </si>
  <si>
    <t>Ponce</t>
  </si>
  <si>
    <t>Pasaje las tarucas</t>
  </si>
  <si>
    <t>1778</t>
  </si>
  <si>
    <t>66947198</t>
  </si>
  <si>
    <t>josex332@gmail.com</t>
  </si>
  <si>
    <t>CORONA</t>
  </si>
  <si>
    <t>330</t>
  </si>
  <si>
    <t>995186469</t>
  </si>
  <si>
    <t>PULGAR</t>
  </si>
  <si>
    <t>RAU SAEZ</t>
  </si>
  <si>
    <t>945353435</t>
  </si>
  <si>
    <t>Deysi</t>
  </si>
  <si>
    <t>Camino angachilla</t>
  </si>
  <si>
    <t>1320</t>
  </si>
  <si>
    <t>981462040</t>
  </si>
  <si>
    <t>deysic2014@gmail.com</t>
  </si>
  <si>
    <t>MARIA FERNANDA</t>
  </si>
  <si>
    <t>DIEZ</t>
  </si>
  <si>
    <t>LOS VENADOS</t>
  </si>
  <si>
    <t>1082</t>
  </si>
  <si>
    <t>93322787</t>
  </si>
  <si>
    <t>MUNDACA</t>
  </si>
  <si>
    <t>PASAJE AMBAR</t>
  </si>
  <si>
    <t>2158</t>
  </si>
  <si>
    <t>986321726</t>
  </si>
  <si>
    <t>Pavez</t>
  </si>
  <si>
    <t>Pasaje Los Gladiolos</t>
  </si>
  <si>
    <t>191</t>
  </si>
  <si>
    <t>987044897</t>
  </si>
  <si>
    <t>andreapenailillo@uach.cl</t>
  </si>
  <si>
    <t>CARLA PAULINA</t>
  </si>
  <si>
    <t>NUÑEZ</t>
  </si>
  <si>
    <t>PANITAO</t>
  </si>
  <si>
    <t>497</t>
  </si>
  <si>
    <t>99846312</t>
  </si>
  <si>
    <t>954423897</t>
  </si>
  <si>
    <t>CARLA.SEPULVEDA@OUTLOOK.ES</t>
  </si>
  <si>
    <t>Margarita Del Carmen</t>
  </si>
  <si>
    <t>225</t>
  </si>
  <si>
    <t>954672393</t>
  </si>
  <si>
    <t>Pia Amara</t>
  </si>
  <si>
    <t>Colipue</t>
  </si>
  <si>
    <t>990628602</t>
  </si>
  <si>
    <t>632592059</t>
  </si>
  <si>
    <t>Mundaca</t>
  </si>
  <si>
    <t>858</t>
  </si>
  <si>
    <t>958363123</t>
  </si>
  <si>
    <t>MARIA JOSÉ</t>
  </si>
  <si>
    <t>2086</t>
  </si>
  <si>
    <t>965646554</t>
  </si>
  <si>
    <t>mariajosega87@gmail.com</t>
  </si>
  <si>
    <t>GONZALO</t>
  </si>
  <si>
    <t>ZELAYA</t>
  </si>
  <si>
    <t>ESMERALDA</t>
  </si>
  <si>
    <t>100</t>
  </si>
  <si>
    <t>977695312</t>
  </si>
  <si>
    <t>Velásquez</t>
  </si>
  <si>
    <t>Macaya</t>
  </si>
  <si>
    <t>Altos De Guacamayo Psje Millacura</t>
  </si>
  <si>
    <t>772</t>
  </si>
  <si>
    <t>998558806</t>
  </si>
  <si>
    <t>fabiolacortes373@gmail.com</t>
  </si>
  <si>
    <t>PASAJE GENARO MIRANDA</t>
  </si>
  <si>
    <t>992277861</t>
  </si>
  <si>
    <t>MERICHES</t>
  </si>
  <si>
    <t>BIOTT</t>
  </si>
  <si>
    <t>966627833</t>
  </si>
  <si>
    <t>HUICHALAF</t>
  </si>
  <si>
    <t>LAS MANUTARAS</t>
  </si>
  <si>
    <t>951079447</t>
  </si>
  <si>
    <t>ISRAELJARAHUICHALAF@GMAIL.COM</t>
  </si>
  <si>
    <t>WERNNER</t>
  </si>
  <si>
    <t>LAS MULATAS 360</t>
  </si>
  <si>
    <t>41</t>
  </si>
  <si>
    <t>966486019</t>
  </si>
  <si>
    <t>LESLIE</t>
  </si>
  <si>
    <t>RAMIRES</t>
  </si>
  <si>
    <t>2018</t>
  </si>
  <si>
    <t>944258210</t>
  </si>
  <si>
    <t>GABRIEL</t>
  </si>
  <si>
    <t>ZUMELZU</t>
  </si>
  <si>
    <t>CALAMA</t>
  </si>
  <si>
    <t>615</t>
  </si>
  <si>
    <t>933014152</t>
  </si>
  <si>
    <t>NORMA.DELGADO@MOP.GOV.CL</t>
  </si>
  <si>
    <t>Rocío</t>
  </si>
  <si>
    <t>Alvial</t>
  </si>
  <si>
    <t>Palavicino</t>
  </si>
  <si>
    <t>Los Robles</t>
  </si>
  <si>
    <t>999913619</t>
  </si>
  <si>
    <t>rcalvial@uc.cl</t>
  </si>
  <si>
    <t>VALERIA</t>
  </si>
  <si>
    <t>2251</t>
  </si>
  <si>
    <t>998548522</t>
  </si>
  <si>
    <t>PASAJE LOS JILGUEROS</t>
  </si>
  <si>
    <t>651</t>
  </si>
  <si>
    <t>967205297</t>
  </si>
  <si>
    <t>Myriam Elizabeth</t>
  </si>
  <si>
    <t>Pje Quitrihue</t>
  </si>
  <si>
    <t>145</t>
  </si>
  <si>
    <t>962703718</t>
  </si>
  <si>
    <t>myriam.alocilla@gmail.com</t>
  </si>
  <si>
    <t>2031</t>
  </si>
  <si>
    <t>956554207</t>
  </si>
  <si>
    <t>PAMELA.RIOS87@GMAIL.COM</t>
  </si>
  <si>
    <t>942131872</t>
  </si>
  <si>
    <t>Nicole</t>
  </si>
  <si>
    <t>González</t>
  </si>
  <si>
    <t>Aviléz</t>
  </si>
  <si>
    <t>Arica</t>
  </si>
  <si>
    <t>978317971</t>
  </si>
  <si>
    <t>nicole.gonzalez.g12@gmail.com</t>
  </si>
  <si>
    <t>EUGENIA</t>
  </si>
  <si>
    <t>AQUEVEQUE</t>
  </si>
  <si>
    <t>BISAS DE CANAAN</t>
  </si>
  <si>
    <t>2210</t>
  </si>
  <si>
    <t>953881886</t>
  </si>
  <si>
    <t>FERNANDO</t>
  </si>
  <si>
    <t>NESBET</t>
  </si>
  <si>
    <t>PARCELA 2</t>
  </si>
  <si>
    <t>968557394</t>
  </si>
  <si>
    <t>f.nesbet.bustos@gmail.com</t>
  </si>
  <si>
    <t>Campos</t>
  </si>
  <si>
    <t>Mapu</t>
  </si>
  <si>
    <t>644</t>
  </si>
  <si>
    <t>920882072</t>
  </si>
  <si>
    <t>Alejandro Flores</t>
  </si>
  <si>
    <t>937557124</t>
  </si>
  <si>
    <t>m_perez_1977@hotmail.com</t>
  </si>
  <si>
    <t>NELSON RÍOS</t>
  </si>
  <si>
    <t>4016</t>
  </si>
  <si>
    <t>979155502</t>
  </si>
  <si>
    <t>SOLEDADBARRIENTOS25@GMAIL.COM</t>
  </si>
  <si>
    <t>Juan Carlos</t>
  </si>
  <si>
    <t>872</t>
  </si>
  <si>
    <t>957834462</t>
  </si>
  <si>
    <t>Javier</t>
  </si>
  <si>
    <t>Gonzales</t>
  </si>
  <si>
    <t>Alicura</t>
  </si>
  <si>
    <t>134</t>
  </si>
  <si>
    <t>984929552</t>
  </si>
  <si>
    <t>Lenfo</t>
  </si>
  <si>
    <t>Aguero</t>
  </si>
  <si>
    <t>ojos del caburga</t>
  </si>
  <si>
    <t>944583104</t>
  </si>
  <si>
    <t>Alderete</t>
  </si>
  <si>
    <t>Lancuyen</t>
  </si>
  <si>
    <t>72699286</t>
  </si>
  <si>
    <t>Sebastian Alonso</t>
  </si>
  <si>
    <t>Los venados norte</t>
  </si>
  <si>
    <t>1083</t>
  </si>
  <si>
    <t>954491758</t>
  </si>
  <si>
    <t>scerda183@gmail.com</t>
  </si>
  <si>
    <t>LAURA</t>
  </si>
  <si>
    <t>BARTOLOTTI</t>
  </si>
  <si>
    <t>HENRRIQUEZ</t>
  </si>
  <si>
    <t>LOS PELLINES S/N</t>
  </si>
  <si>
    <t>987628277</t>
  </si>
  <si>
    <t>Agüero</t>
  </si>
  <si>
    <t>Rahue</t>
  </si>
  <si>
    <t>962847127</t>
  </si>
  <si>
    <t>nicolle_c@hotmail.com</t>
  </si>
  <si>
    <t>CINTHYA DENIS</t>
  </si>
  <si>
    <t>GEYWITZ</t>
  </si>
  <si>
    <t>MELIÑIR</t>
  </si>
  <si>
    <t>2234</t>
  </si>
  <si>
    <t>962753406</t>
  </si>
  <si>
    <t>CINTHYADENIS27@GMAIL.COM</t>
  </si>
  <si>
    <t>Damaria</t>
  </si>
  <si>
    <t>Heldres</t>
  </si>
  <si>
    <t>2012</t>
  </si>
  <si>
    <t>936725217</t>
  </si>
  <si>
    <t>damaris1988@gmail.com</t>
  </si>
  <si>
    <t>Rocha</t>
  </si>
  <si>
    <t>Las gaviotas poste</t>
  </si>
  <si>
    <t>21</t>
  </si>
  <si>
    <t>997075777</t>
  </si>
  <si>
    <t>Raul Saez Saez</t>
  </si>
  <si>
    <t>973290099</t>
  </si>
  <si>
    <t>vivianamartinez@live.cl</t>
  </si>
  <si>
    <t>LETICIA</t>
  </si>
  <si>
    <t>GONZAEZ</t>
  </si>
  <si>
    <t>CIRCUNVALACION NVA REGION PONIENTE</t>
  </si>
  <si>
    <t>433</t>
  </si>
  <si>
    <t>939000228</t>
  </si>
  <si>
    <t>FRANCES</t>
  </si>
  <si>
    <t>412</t>
  </si>
  <si>
    <t>991367996</t>
  </si>
  <si>
    <t>Jenny</t>
  </si>
  <si>
    <t>Airola</t>
  </si>
  <si>
    <t>Benavides</t>
  </si>
  <si>
    <t>Eladio Rojas 2</t>
  </si>
  <si>
    <t>4055</t>
  </si>
  <si>
    <t>937265611</t>
  </si>
  <si>
    <t>jenny.crisito@gmail.com</t>
  </si>
  <si>
    <t>Carolina Angelica</t>
  </si>
  <si>
    <t>Aviles</t>
  </si>
  <si>
    <t>Villanueva</t>
  </si>
  <si>
    <t>1775</t>
  </si>
  <si>
    <t>82129705</t>
  </si>
  <si>
    <t>951965818</t>
  </si>
  <si>
    <t>carolina.aviles.v@gmail.com</t>
  </si>
  <si>
    <t>Julio</t>
  </si>
  <si>
    <t>Pizarro</t>
  </si>
  <si>
    <t>Juan v Riesco</t>
  </si>
  <si>
    <t>937</t>
  </si>
  <si>
    <t>996200263</t>
  </si>
  <si>
    <t>MACARENA</t>
  </si>
  <si>
    <t>ARCOS</t>
  </si>
  <si>
    <t>BOSQUE ENTRE RIOS</t>
  </si>
  <si>
    <t>401</t>
  </si>
  <si>
    <t>957227762</t>
  </si>
  <si>
    <t>FERNANDA</t>
  </si>
  <si>
    <t>TIRACHINI</t>
  </si>
  <si>
    <t>SIMPSON</t>
  </si>
  <si>
    <t>1538</t>
  </si>
  <si>
    <t>91574104</t>
  </si>
  <si>
    <t>fer.tirachini@gmail.com</t>
  </si>
  <si>
    <t>Cesar</t>
  </si>
  <si>
    <t>184</t>
  </si>
  <si>
    <t>944855993</t>
  </si>
  <si>
    <t>Constanza Olivia</t>
  </si>
  <si>
    <t>Hoffman</t>
  </si>
  <si>
    <t>Carlos Altermatt</t>
  </si>
  <si>
    <t>638</t>
  </si>
  <si>
    <t>990860144</t>
  </si>
  <si>
    <t>cdiazhoffman@gmail.com</t>
  </si>
  <si>
    <t>LUZ</t>
  </si>
  <si>
    <t>INZUNZA</t>
  </si>
  <si>
    <t>CIRCUNVALACIÓN NUEVA REGIÓN</t>
  </si>
  <si>
    <t>677</t>
  </si>
  <si>
    <t>945592531</t>
  </si>
  <si>
    <t>Lizama</t>
  </si>
  <si>
    <t>Dr Marcelo Serra</t>
  </si>
  <si>
    <t>997147376</t>
  </si>
  <si>
    <t>Carol Ibeth</t>
  </si>
  <si>
    <t>Eckhardt</t>
  </si>
  <si>
    <t>Ide</t>
  </si>
  <si>
    <t>Pasaje Quitrahue</t>
  </si>
  <si>
    <t>041</t>
  </si>
  <si>
    <t>974153226</t>
  </si>
  <si>
    <t>Francisco</t>
  </si>
  <si>
    <t>Ancali</t>
  </si>
  <si>
    <t>Avenida San Luis</t>
  </si>
  <si>
    <t>3774</t>
  </si>
  <si>
    <t>978761018</t>
  </si>
  <si>
    <t>MIGUEL</t>
  </si>
  <si>
    <t>BREVIL</t>
  </si>
  <si>
    <t>967263309</t>
  </si>
  <si>
    <t>Carla Licerot</t>
  </si>
  <si>
    <t>965349515</t>
  </si>
  <si>
    <t>GLORIA</t>
  </si>
  <si>
    <t>ALBORNOZ</t>
  </si>
  <si>
    <t>2175</t>
  </si>
  <si>
    <t>959223802</t>
  </si>
  <si>
    <t>Orrego</t>
  </si>
  <si>
    <t>Gregorio Henriquez y santillana</t>
  </si>
  <si>
    <t>694</t>
  </si>
  <si>
    <t>982868355</t>
  </si>
  <si>
    <t>camila.castillo.o@gmail.com</t>
  </si>
  <si>
    <t>Sebastián</t>
  </si>
  <si>
    <t>Nawrath</t>
  </si>
  <si>
    <t>Barros</t>
  </si>
  <si>
    <t>991</t>
  </si>
  <si>
    <t>954061337</t>
  </si>
  <si>
    <t>seba.manque@gmail.com</t>
  </si>
  <si>
    <t>IGNACIA</t>
  </si>
  <si>
    <t>GATICA</t>
  </si>
  <si>
    <t>SANTA TERESA</t>
  </si>
  <si>
    <t>924</t>
  </si>
  <si>
    <t>968797181</t>
  </si>
  <si>
    <t>Oporto</t>
  </si>
  <si>
    <t>Prieto</t>
  </si>
  <si>
    <t>1427</t>
  </si>
  <si>
    <t>950845370</t>
  </si>
  <si>
    <t>Maria Teresa</t>
  </si>
  <si>
    <t>Caballero</t>
  </si>
  <si>
    <t>648</t>
  </si>
  <si>
    <t>Camila Andrea</t>
  </si>
  <si>
    <t>Navia</t>
  </si>
  <si>
    <t>Casanova</t>
  </si>
  <si>
    <t>pasaje Quidel</t>
  </si>
  <si>
    <t>148</t>
  </si>
  <si>
    <t>988300866</t>
  </si>
  <si>
    <t>cpnaviacasanova@gmail.com</t>
  </si>
  <si>
    <t>FIGUEROA</t>
  </si>
  <si>
    <t>RIVEROS</t>
  </si>
  <si>
    <t>456</t>
  </si>
  <si>
    <t>968476425</t>
  </si>
  <si>
    <t>FIGUEROARIVEROSDANIELA@GMAIL.COM</t>
  </si>
  <si>
    <t>BARNACHEA</t>
  </si>
  <si>
    <t>994</t>
  </si>
  <si>
    <t>934447920</t>
  </si>
  <si>
    <t>CARTES</t>
  </si>
  <si>
    <t>1743</t>
  </si>
  <si>
    <t>992700229</t>
  </si>
  <si>
    <t>LAURACARTES1@GMAIL.COM</t>
  </si>
  <si>
    <t>Sanroman</t>
  </si>
  <si>
    <t>Circunvalación</t>
  </si>
  <si>
    <t>1459</t>
  </si>
  <si>
    <t>938947401</t>
  </si>
  <si>
    <t>sanromanyesenia8@gmail.com</t>
  </si>
  <si>
    <t>KAREN</t>
  </si>
  <si>
    <t>PASAJE TURQUESA</t>
  </si>
  <si>
    <t>2191</t>
  </si>
  <si>
    <t>988164216</t>
  </si>
  <si>
    <t>Marislao</t>
  </si>
  <si>
    <t>pasaje Arrihue</t>
  </si>
  <si>
    <t>sitio 19</t>
  </si>
  <si>
    <t>950180825</t>
  </si>
  <si>
    <t>i.marislao@gmail.com</t>
  </si>
  <si>
    <t>Victoria</t>
  </si>
  <si>
    <t>Cruces</t>
  </si>
  <si>
    <t>San pedro</t>
  </si>
  <si>
    <t>4713</t>
  </si>
  <si>
    <t>933206729</t>
  </si>
  <si>
    <t>victoriacruces29@gmail.com</t>
  </si>
  <si>
    <t>Circunvalacion nueva region</t>
  </si>
  <si>
    <t>733</t>
  </si>
  <si>
    <t>990960055</t>
  </si>
  <si>
    <t>barbaradelgado0@gmail.com</t>
  </si>
  <si>
    <t>Marco Excequiel</t>
  </si>
  <si>
    <t>Isabel Rodas</t>
  </si>
  <si>
    <t>941498894</t>
  </si>
  <si>
    <t>marcofloresflores10@gmail.com</t>
  </si>
  <si>
    <t>Carolina Aracely</t>
  </si>
  <si>
    <t>Villa brissa de cannan pasaje turquesas</t>
  </si>
  <si>
    <t>2239</t>
  </si>
  <si>
    <t>954081378</t>
  </si>
  <si>
    <t>Carolinaalexandra1211@gmail.com</t>
  </si>
  <si>
    <t>Salinas</t>
  </si>
  <si>
    <t>René Schneider, San Ignacio</t>
  </si>
  <si>
    <t>610</t>
  </si>
  <si>
    <t>972406982</t>
  </si>
  <si>
    <t>Vanessa Alejandra</t>
  </si>
  <si>
    <t>Quillahue</t>
  </si>
  <si>
    <t>2135</t>
  </si>
  <si>
    <t>989976113</t>
  </si>
  <si>
    <t>Vdelgadoinostroza@hotmail.com</t>
  </si>
  <si>
    <t>pasaje 1 a</t>
  </si>
  <si>
    <t>2661</t>
  </si>
  <si>
    <t>971725833</t>
  </si>
  <si>
    <t>SANHUEZA</t>
  </si>
  <si>
    <t>2163</t>
  </si>
  <si>
    <t>961986484</t>
  </si>
  <si>
    <t>989346627</t>
  </si>
  <si>
    <t>Jonathan Philipe</t>
  </si>
  <si>
    <t>Darmendrail</t>
  </si>
  <si>
    <t>Retamal</t>
  </si>
  <si>
    <t>av. circunvalacion nva región poniente</t>
  </si>
  <si>
    <t>1301</t>
  </si>
  <si>
    <t>945478728</t>
  </si>
  <si>
    <t>jonajpdr@gmail.com</t>
  </si>
  <si>
    <t>María Graciela</t>
  </si>
  <si>
    <t>Ortega</t>
  </si>
  <si>
    <t>El Nogal 1</t>
  </si>
  <si>
    <t>1984</t>
  </si>
  <si>
    <t>934950941</t>
  </si>
  <si>
    <t>ortegagraciela223@gmail.com</t>
  </si>
  <si>
    <t>Yennifert</t>
  </si>
  <si>
    <t>Moscoso</t>
  </si>
  <si>
    <t>Baltazar Mejias</t>
  </si>
  <si>
    <t>620</t>
  </si>
  <si>
    <t>947332776</t>
  </si>
  <si>
    <t>Orella</t>
  </si>
  <si>
    <t>Los Pelues</t>
  </si>
  <si>
    <t>96265428</t>
  </si>
  <si>
    <t>MARIA ANGÉLICA</t>
  </si>
  <si>
    <t>ALVERTO LUIS GANA DEPTO 205</t>
  </si>
  <si>
    <t>3384</t>
  </si>
  <si>
    <t>946711885</t>
  </si>
  <si>
    <t>Lefipan</t>
  </si>
  <si>
    <t>Sta hortesia</t>
  </si>
  <si>
    <t>765</t>
  </si>
  <si>
    <t>944531199</t>
  </si>
  <si>
    <t>Katherine Veronica</t>
  </si>
  <si>
    <t>Rubio</t>
  </si>
  <si>
    <t>Arteaga</t>
  </si>
  <si>
    <t>Brisas Canaan Pje Coral</t>
  </si>
  <si>
    <t>2246</t>
  </si>
  <si>
    <t>942320637</t>
  </si>
  <si>
    <t>965192365</t>
  </si>
  <si>
    <t>marcelacidp@gmail.com</t>
  </si>
  <si>
    <t>BURGOS</t>
  </si>
  <si>
    <t>AVENIDA CIRCUNVALACIÓN NUEVA REGIÓN</t>
  </si>
  <si>
    <t>96686797</t>
  </si>
  <si>
    <t>NICOLE</t>
  </si>
  <si>
    <t>TRVIÑOS</t>
  </si>
  <si>
    <t>ROBERTO FERNANDEZ MUÑOZ</t>
  </si>
  <si>
    <t>751</t>
  </si>
  <si>
    <t>962554687</t>
  </si>
  <si>
    <t>Maria José</t>
  </si>
  <si>
    <t>Herrero</t>
  </si>
  <si>
    <t>las marmusas</t>
  </si>
  <si>
    <t>1661</t>
  </si>
  <si>
    <t>965572092</t>
  </si>
  <si>
    <t>OTILIA</t>
  </si>
  <si>
    <t>2063</t>
  </si>
  <si>
    <t>936912152</t>
  </si>
  <si>
    <t>973962384</t>
  </si>
  <si>
    <t>rcarrascobulnes@gmail.com</t>
  </si>
  <si>
    <t>ANA ZUNILDA</t>
  </si>
  <si>
    <t>GAVILÁN</t>
  </si>
  <si>
    <t>1749</t>
  </si>
  <si>
    <t>931910329</t>
  </si>
  <si>
    <t>ANITA.GAVILAN1@GMAIL.COM</t>
  </si>
  <si>
    <t>PALOMA YALITZA</t>
  </si>
  <si>
    <t>ING. RAUL SAEZ</t>
  </si>
  <si>
    <t>000000</t>
  </si>
  <si>
    <t>982513521</t>
  </si>
  <si>
    <t>Bravo</t>
  </si>
  <si>
    <t>Las totoraas</t>
  </si>
  <si>
    <t>4527</t>
  </si>
  <si>
    <t>963957186</t>
  </si>
  <si>
    <t>kuki1806@gmail.com</t>
  </si>
  <si>
    <t>MARÍA</t>
  </si>
  <si>
    <t>934626696</t>
  </si>
  <si>
    <t>fefaburgos24@gmail.com</t>
  </si>
  <si>
    <t>Daniela De Lourdes</t>
  </si>
  <si>
    <t>Encina</t>
  </si>
  <si>
    <t>Pino</t>
  </si>
  <si>
    <t>Las tarucas</t>
  </si>
  <si>
    <t>1695</t>
  </si>
  <si>
    <t>931093006</t>
  </si>
  <si>
    <t>danniela.encina.pino@gmail.com</t>
  </si>
  <si>
    <t>PALOMA</t>
  </si>
  <si>
    <t>971740553</t>
  </si>
  <si>
    <t>Teresa</t>
  </si>
  <si>
    <t>Lagarrigue</t>
  </si>
  <si>
    <t>Raúl basso Gonzalez</t>
  </si>
  <si>
    <t>982426287</t>
  </si>
  <si>
    <t>moraga.te@gmail.com</t>
  </si>
  <si>
    <t>Riberas Miraflores, parcela 51</t>
  </si>
  <si>
    <t>51</t>
  </si>
  <si>
    <t>953338153</t>
  </si>
  <si>
    <t>632212089</t>
  </si>
  <si>
    <t>Ian Andres</t>
  </si>
  <si>
    <t>962262231</t>
  </si>
  <si>
    <t>nefsub.inspecciones@gmail.com</t>
  </si>
  <si>
    <t>Barbara Icheele</t>
  </si>
  <si>
    <t>De La Barra</t>
  </si>
  <si>
    <t>Coñam</t>
  </si>
  <si>
    <t>picarte</t>
  </si>
  <si>
    <t>3794</t>
  </si>
  <si>
    <t>954188994</t>
  </si>
  <si>
    <t>barbara.delabarra.co@gmail.com</t>
  </si>
  <si>
    <t>Vanesa</t>
  </si>
  <si>
    <t>Igor</t>
  </si>
  <si>
    <t>973924140</t>
  </si>
  <si>
    <t>Serón</t>
  </si>
  <si>
    <t>Estancilla km 7 punto 1</t>
  </si>
  <si>
    <t>9946489851</t>
  </si>
  <si>
    <t>robertoseron.v@gmail.com</t>
  </si>
  <si>
    <t>Zambrano</t>
  </si>
  <si>
    <t>Los alamos</t>
  </si>
  <si>
    <t>1151</t>
  </si>
  <si>
    <t>979908645</t>
  </si>
  <si>
    <t>ROCIO</t>
  </si>
  <si>
    <t>PASAJE COYHAIQUE</t>
  </si>
  <si>
    <t>5560</t>
  </si>
  <si>
    <t>934598426</t>
  </si>
  <si>
    <t>2078</t>
  </si>
  <si>
    <t>988865516</t>
  </si>
  <si>
    <t>468</t>
  </si>
  <si>
    <t>987516747</t>
  </si>
  <si>
    <t>Bizama</t>
  </si>
  <si>
    <t>los venados norte</t>
  </si>
  <si>
    <t>981</t>
  </si>
  <si>
    <t>932631778</t>
  </si>
  <si>
    <t>karinlagos.bi@gmail.com</t>
  </si>
  <si>
    <t>Tomas</t>
  </si>
  <si>
    <t>Aranda</t>
  </si>
  <si>
    <t>1925</t>
  </si>
  <si>
    <t>978709544</t>
  </si>
  <si>
    <t>RODRIGO ENRIQUE</t>
  </si>
  <si>
    <t>PIEDRA LUNA</t>
  </si>
  <si>
    <t>590</t>
  </si>
  <si>
    <t>RODRIGO.FLORES1@WALMART.COM</t>
  </si>
  <si>
    <t>934993115</t>
  </si>
  <si>
    <t>2177</t>
  </si>
  <si>
    <t>37733784</t>
  </si>
  <si>
    <t>Yoselyn</t>
  </si>
  <si>
    <t>Calupi</t>
  </si>
  <si>
    <t>Los hualos</t>
  </si>
  <si>
    <t>967340298</t>
  </si>
  <si>
    <t>yossycalupi@gmail.com</t>
  </si>
  <si>
    <t>Olivera</t>
  </si>
  <si>
    <t>Silvio Aguilar</t>
  </si>
  <si>
    <t>25</t>
  </si>
  <si>
    <t>942421187</t>
  </si>
  <si>
    <t>framirez2222@gmail.com</t>
  </si>
  <si>
    <t>Vásquez</t>
  </si>
  <si>
    <t>Rengo</t>
  </si>
  <si>
    <t>977507433</t>
  </si>
  <si>
    <t>brunoburgos@gmail.com</t>
  </si>
  <si>
    <t>Asenjo</t>
  </si>
  <si>
    <t>Villagra</t>
  </si>
  <si>
    <t>los petreles</t>
  </si>
  <si>
    <t>448</t>
  </si>
  <si>
    <t>933162369</t>
  </si>
  <si>
    <t>isabelasenjo35@gmail.com</t>
  </si>
  <si>
    <t>983985424</t>
  </si>
  <si>
    <t>NICOLERODRIGUEZMANCILLA@GMAIL.COM</t>
  </si>
  <si>
    <t>Bianca</t>
  </si>
  <si>
    <t>Borquez</t>
  </si>
  <si>
    <t>guillermo subiabre</t>
  </si>
  <si>
    <t>2715</t>
  </si>
  <si>
    <t>956323641</t>
  </si>
  <si>
    <t>biancanicol7773@gmail.com</t>
  </si>
  <si>
    <t>CHAVEZ</t>
  </si>
  <si>
    <t>PJE MAPU</t>
  </si>
  <si>
    <t>2053</t>
  </si>
  <si>
    <t>962564299</t>
  </si>
  <si>
    <t>GABRIELCONTRERASCHAVEZ28@HOTMAIL.COM</t>
  </si>
  <si>
    <t>VILLA LA ESTANCIA PASAJE LAS AGUILAS</t>
  </si>
  <si>
    <t>950460527</t>
  </si>
  <si>
    <t>PATRICIA.MACARENA.P@GMAIL.COM</t>
  </si>
  <si>
    <t>Yisenia Del Carmen</t>
  </si>
  <si>
    <t>Concha</t>
  </si>
  <si>
    <t>2174</t>
  </si>
  <si>
    <t>936110471</t>
  </si>
  <si>
    <t>yiseniagallardo82@gmail.com</t>
  </si>
  <si>
    <t>BORQUEZ</t>
  </si>
  <si>
    <t>RENE SCHNEIDER</t>
  </si>
  <si>
    <t>3812</t>
  </si>
  <si>
    <t>967423769</t>
  </si>
  <si>
    <t>Mitxi</t>
  </si>
  <si>
    <t>Ribera</t>
  </si>
  <si>
    <t>Nueva región</t>
  </si>
  <si>
    <t>936962728</t>
  </si>
  <si>
    <t>Estrada</t>
  </si>
  <si>
    <t>Almendrado</t>
  </si>
  <si>
    <t>85</t>
  </si>
  <si>
    <t>944282730</t>
  </si>
  <si>
    <t>g.quezada.estrada@gmail.com</t>
  </si>
  <si>
    <t>Erwin</t>
  </si>
  <si>
    <t>Jimenez</t>
  </si>
  <si>
    <t>2223</t>
  </si>
  <si>
    <t>945383838</t>
  </si>
  <si>
    <t>erwin.andres.jimenez.rivera@gmail.com</t>
  </si>
  <si>
    <t>Consuelo</t>
  </si>
  <si>
    <t>Rafael Fontaine</t>
  </si>
  <si>
    <t>3245</t>
  </si>
  <si>
    <t>953633738 Consuelo</t>
  </si>
  <si>
    <t>966046938 Prima Cons</t>
  </si>
  <si>
    <t>cvmpdif@gmail.com</t>
  </si>
  <si>
    <t>Jonathan</t>
  </si>
  <si>
    <t>Vargaz</t>
  </si>
  <si>
    <t>1049</t>
  </si>
  <si>
    <t>966196995</t>
  </si>
  <si>
    <t>jonathan.gallegosv@gmail.com</t>
  </si>
  <si>
    <t>MENDOZA</t>
  </si>
  <si>
    <t>221</t>
  </si>
  <si>
    <t>987333584</t>
  </si>
  <si>
    <t>GUSTAVO</t>
  </si>
  <si>
    <t>OSSES</t>
  </si>
  <si>
    <t>PJE QUIDEL</t>
  </si>
  <si>
    <t>975323208</t>
  </si>
  <si>
    <t>MARIE</t>
  </si>
  <si>
    <t>TOLOZA</t>
  </si>
  <si>
    <t>AGUA MARINA</t>
  </si>
  <si>
    <t>2248</t>
  </si>
  <si>
    <t>968675947</t>
  </si>
  <si>
    <t>Susana Emilia</t>
  </si>
  <si>
    <t>poste 38</t>
  </si>
  <si>
    <t>988113524</t>
  </si>
  <si>
    <t>olivera_emilia@gmail.com</t>
  </si>
  <si>
    <t>REUSS</t>
  </si>
  <si>
    <t>PASAJE LOS TRAROS</t>
  </si>
  <si>
    <t>1844</t>
  </si>
  <si>
    <t>963534314</t>
  </si>
  <si>
    <t>DANIELA ROCIO</t>
  </si>
  <si>
    <t>RIVAS</t>
  </si>
  <si>
    <t>1786</t>
  </si>
  <si>
    <t>996137746</t>
  </si>
  <si>
    <t>danielarocio.24@gmail.com</t>
  </si>
  <si>
    <t>Mattar</t>
  </si>
  <si>
    <t>Hazbun</t>
  </si>
  <si>
    <t>vicente carbalho</t>
  </si>
  <si>
    <t>231</t>
  </si>
  <si>
    <t>987758600</t>
  </si>
  <si>
    <t>IVÁN</t>
  </si>
  <si>
    <t>OBANDO</t>
  </si>
  <si>
    <t>987398731</t>
  </si>
  <si>
    <t>Sofía</t>
  </si>
  <si>
    <t>Vergara</t>
  </si>
  <si>
    <t>circunvalación sur</t>
  </si>
  <si>
    <t>984870133</t>
  </si>
  <si>
    <t>Fernando</t>
  </si>
  <si>
    <t>Don Bosco</t>
  </si>
  <si>
    <t>2389</t>
  </si>
  <si>
    <t>984753108</t>
  </si>
  <si>
    <t>santanaojeda.fernando@gmail.com</t>
  </si>
  <si>
    <t>Bahamondes</t>
  </si>
  <si>
    <t>Esteban Ili</t>
  </si>
  <si>
    <t>010</t>
  </si>
  <si>
    <t>72737839</t>
  </si>
  <si>
    <t>JORGE YONATHAN</t>
  </si>
  <si>
    <t>PAILANCA</t>
  </si>
  <si>
    <t>PASAJE NUEVA DOS</t>
  </si>
  <si>
    <t>920015262</t>
  </si>
  <si>
    <t>JORGE.91-14@HOTMAIL.COM</t>
  </si>
  <si>
    <t>Bollmann</t>
  </si>
  <si>
    <t>Los coipos</t>
  </si>
  <si>
    <t>4444</t>
  </si>
  <si>
    <t>954123867</t>
  </si>
  <si>
    <t>carla.santanab@hotmail.com</t>
  </si>
  <si>
    <t>Kathia</t>
  </si>
  <si>
    <t>Almonacid</t>
  </si>
  <si>
    <t>Caspana</t>
  </si>
  <si>
    <t>821</t>
  </si>
  <si>
    <t>89258158</t>
  </si>
  <si>
    <t>641</t>
  </si>
  <si>
    <t>944861030</t>
  </si>
  <si>
    <t>LOS PUMAS</t>
  </si>
  <si>
    <t>936187020</t>
  </si>
  <si>
    <t>Landeros</t>
  </si>
  <si>
    <t>venados sur</t>
  </si>
  <si>
    <t>982</t>
  </si>
  <si>
    <t>997748280</t>
  </si>
  <si>
    <t>landeros.macarena@gmail.com</t>
  </si>
  <si>
    <t>883</t>
  </si>
  <si>
    <t>997854221</t>
  </si>
  <si>
    <t>karenrebolledolagos@gmail.com</t>
  </si>
  <si>
    <t>DIEGO</t>
  </si>
  <si>
    <t>ALTOS GUACAMAYO VILLACURA</t>
  </si>
  <si>
    <t>682</t>
  </si>
  <si>
    <t>0000000000</t>
  </si>
  <si>
    <t>Juan Javier</t>
  </si>
  <si>
    <t>Pichumilla</t>
  </si>
  <si>
    <t>Villa La Estancia Pasaje Las Loicas</t>
  </si>
  <si>
    <t>56945491625</t>
  </si>
  <si>
    <t>javier-.-ramirez@hotmail.com</t>
  </si>
  <si>
    <t>Paulina Belén</t>
  </si>
  <si>
    <t>Ramírez</t>
  </si>
  <si>
    <t>Las mulatas 360 casa 58</t>
  </si>
  <si>
    <t>58</t>
  </si>
  <si>
    <t>977196945</t>
  </si>
  <si>
    <t>Klga.pauliramirez@gmail.com</t>
  </si>
  <si>
    <t>Camila Francisca</t>
  </si>
  <si>
    <t>Los chercanes</t>
  </si>
  <si>
    <t>955346834</t>
  </si>
  <si>
    <t>kamilakal90@gmail.com</t>
  </si>
  <si>
    <t>Varela</t>
  </si>
  <si>
    <t>Vilches</t>
  </si>
  <si>
    <t>Agua Del Obispo</t>
  </si>
  <si>
    <t>992176482</t>
  </si>
  <si>
    <t>Barria</t>
  </si>
  <si>
    <t>770</t>
  </si>
  <si>
    <t>985974083</t>
  </si>
  <si>
    <t>Carla</t>
  </si>
  <si>
    <t>Montes</t>
  </si>
  <si>
    <t>Yasima</t>
  </si>
  <si>
    <t>Raul Basso Gonzalez 83</t>
  </si>
  <si>
    <t>952970605</t>
  </si>
  <si>
    <t>carlita21_m@yahoo.com</t>
  </si>
  <si>
    <t>Nuñez</t>
  </si>
  <si>
    <t>2072</t>
  </si>
  <si>
    <t>952534413</t>
  </si>
  <si>
    <t>fco.nunezmartinez@gmail.com</t>
  </si>
  <si>
    <t>Francisca</t>
  </si>
  <si>
    <t>Veloso</t>
  </si>
  <si>
    <t>Andres bello Pasaje 4 oriente</t>
  </si>
  <si>
    <t>403</t>
  </si>
  <si>
    <t>953386537</t>
  </si>
  <si>
    <t>Domingo Gomez rojas</t>
  </si>
  <si>
    <t>488</t>
  </si>
  <si>
    <t>963125654</t>
  </si>
  <si>
    <t>edgardoherreragatica@gmail.com</t>
  </si>
  <si>
    <t>Byron</t>
  </si>
  <si>
    <t>Riedel</t>
  </si>
  <si>
    <t>De Juan</t>
  </si>
  <si>
    <t>PETORCA</t>
  </si>
  <si>
    <t>409</t>
  </si>
  <si>
    <t>964714514</t>
  </si>
  <si>
    <t>San Martín</t>
  </si>
  <si>
    <t>475</t>
  </si>
  <si>
    <t>632213223</t>
  </si>
  <si>
    <t>SAUMANN</t>
  </si>
  <si>
    <t>FIDEL</t>
  </si>
  <si>
    <t>1029</t>
  </si>
  <si>
    <t>942724201</t>
  </si>
  <si>
    <t>344</t>
  </si>
  <si>
    <t>990502883</t>
  </si>
  <si>
    <t>vanessa.alvarez2826@gmail.com</t>
  </si>
  <si>
    <t>DANITZA</t>
  </si>
  <si>
    <t>CEBALLOS</t>
  </si>
  <si>
    <t>42529867</t>
  </si>
  <si>
    <t>NICOLBARRIACEBALLOS@GMAIL.COM</t>
  </si>
  <si>
    <t>Pasaje Las Fardelas</t>
  </si>
  <si>
    <t>938918209</t>
  </si>
  <si>
    <t>clau.monasterio.24@gmail.com</t>
  </si>
  <si>
    <t>BAEZA</t>
  </si>
  <si>
    <t>LAS MARMOSAS</t>
  </si>
  <si>
    <t>1662</t>
  </si>
  <si>
    <t>984970628</t>
  </si>
  <si>
    <t>MITZY FIDELINA</t>
  </si>
  <si>
    <t>MADRID</t>
  </si>
  <si>
    <t>947434582</t>
  </si>
  <si>
    <t>MITZYMADRIDA@GMAIL.COM</t>
  </si>
  <si>
    <t>Rudy</t>
  </si>
  <si>
    <t>Regidor adolfo moreno</t>
  </si>
  <si>
    <t>827</t>
  </si>
  <si>
    <t>953039103</t>
  </si>
  <si>
    <t>rudy.alan@hotmail.com</t>
  </si>
  <si>
    <t>Ruby</t>
  </si>
  <si>
    <t>Cimau</t>
  </si>
  <si>
    <t>Los yales</t>
  </si>
  <si>
    <t>324</t>
  </si>
  <si>
    <t>967460940</t>
  </si>
  <si>
    <t>ruby.cimaumalpu@gmail.com</t>
  </si>
  <si>
    <t>ALBA</t>
  </si>
  <si>
    <t>PISHUINCO CHICO</t>
  </si>
  <si>
    <t>993872152</t>
  </si>
  <si>
    <t>MELLA</t>
  </si>
  <si>
    <t>GUACAMAYO MAPU</t>
  </si>
  <si>
    <t>510</t>
  </si>
  <si>
    <t>67778423</t>
  </si>
  <si>
    <t>Fica</t>
  </si>
  <si>
    <t>Vuelta la culebra poste 25</t>
  </si>
  <si>
    <t>964464222</t>
  </si>
  <si>
    <t>enrriquemartinfica22@gmail.com</t>
  </si>
  <si>
    <t>Betsy</t>
  </si>
  <si>
    <t>Los Pumas</t>
  </si>
  <si>
    <t>531</t>
  </si>
  <si>
    <t>964391404</t>
  </si>
  <si>
    <t>betsy.s.reyes@gmail.com</t>
  </si>
  <si>
    <t>Barbara Yessenia</t>
  </si>
  <si>
    <t>Esparza</t>
  </si>
  <si>
    <t>Villa Lemuel 883</t>
  </si>
  <si>
    <t>962782842</t>
  </si>
  <si>
    <t>YANIRA</t>
  </si>
  <si>
    <t>BRISAS DE GUACAMAYO LOS PEUMOS</t>
  </si>
  <si>
    <t>366</t>
  </si>
  <si>
    <t>920681121</t>
  </si>
  <si>
    <t>Nelcy</t>
  </si>
  <si>
    <t>Intendente felix garcía videla</t>
  </si>
  <si>
    <t>1090</t>
  </si>
  <si>
    <t>940561250</t>
  </si>
  <si>
    <t>nelcymunozorellana@gmail.com</t>
  </si>
  <si>
    <t>CARUZ</t>
  </si>
  <si>
    <t>LOS MOLINOS CAMINO LA ESTANCIA</t>
  </si>
  <si>
    <t>48563323</t>
  </si>
  <si>
    <t>IVANCARUSUV@GMAIL.COM</t>
  </si>
  <si>
    <t>DANILO</t>
  </si>
  <si>
    <t>44</t>
  </si>
  <si>
    <t>9449836945</t>
  </si>
  <si>
    <t>Ayleen Alejandra</t>
  </si>
  <si>
    <t>Caupolicán</t>
  </si>
  <si>
    <t>29</t>
  </si>
  <si>
    <t>996734713</t>
  </si>
  <si>
    <t>ayleen_lin@hotmail.cl</t>
  </si>
  <si>
    <t>Claudia Verónica</t>
  </si>
  <si>
    <t>Calle Juan N° 5</t>
  </si>
  <si>
    <t>S/N</t>
  </si>
  <si>
    <t>936607341</t>
  </si>
  <si>
    <t>claucia24gutierrez@gmail.com</t>
  </si>
  <si>
    <t>Maria Soledad</t>
  </si>
  <si>
    <t>Barahona</t>
  </si>
  <si>
    <t>Pasaje 17</t>
  </si>
  <si>
    <t>987532568</t>
  </si>
  <si>
    <t>soledadbarahona.crbc@gmail.com</t>
  </si>
  <si>
    <t>Francisco Javier</t>
  </si>
  <si>
    <t>558</t>
  </si>
  <si>
    <t>972088850</t>
  </si>
  <si>
    <t>franciscojaviertorresriquelme@gmail.com</t>
  </si>
  <si>
    <t>Carolina Beatriz</t>
  </si>
  <si>
    <t>Santander</t>
  </si>
  <si>
    <t>2218</t>
  </si>
  <si>
    <t>967871016</t>
  </si>
  <si>
    <t>carolina.santander.2018@gmail.com</t>
  </si>
  <si>
    <t>Nesbet</t>
  </si>
  <si>
    <t>075</t>
  </si>
  <si>
    <t>95430570</t>
  </si>
  <si>
    <t>k.nesbet@gmail.com</t>
  </si>
  <si>
    <t>Claudia Margarita</t>
  </si>
  <si>
    <t>Calisto</t>
  </si>
  <si>
    <t>51102305</t>
  </si>
  <si>
    <t>Claudiamolina17@gmail.com</t>
  </si>
  <si>
    <t>Guillermo Frick</t>
  </si>
  <si>
    <t>976576547</t>
  </si>
  <si>
    <t>susanmancilla@gmail.com</t>
  </si>
  <si>
    <t>974003518</t>
  </si>
  <si>
    <t>NATT.SANCHEZ.SOLIS@GMAIL.COM</t>
  </si>
  <si>
    <t>Bruno Eduardo</t>
  </si>
  <si>
    <t>Las llamas</t>
  </si>
  <si>
    <t>933192325</t>
  </si>
  <si>
    <t>valdivia.coronado@gmail.com</t>
  </si>
  <si>
    <t>Bahamonde</t>
  </si>
  <si>
    <t>Ampay</t>
  </si>
  <si>
    <t>987980076</t>
  </si>
  <si>
    <t>magda.bahamonde@gmail.com</t>
  </si>
  <si>
    <t>ROMINA</t>
  </si>
  <si>
    <t>LASTRA</t>
  </si>
  <si>
    <t>MAPU</t>
  </si>
  <si>
    <t>921822511</t>
  </si>
  <si>
    <t>FEDE.LASTRAF@GMAIL.COM</t>
  </si>
  <si>
    <t>1769</t>
  </si>
  <si>
    <t>955818671</t>
  </si>
  <si>
    <t>Cristobal Matías</t>
  </si>
  <si>
    <t>Los silos 151</t>
  </si>
  <si>
    <t>948012749</t>
  </si>
  <si>
    <t>Lucero</t>
  </si>
  <si>
    <t>Curiante</t>
  </si>
  <si>
    <t>582</t>
  </si>
  <si>
    <t>977435289</t>
  </si>
  <si>
    <t>Mara Andrea</t>
  </si>
  <si>
    <t>Maida</t>
  </si>
  <si>
    <t>Fornerod</t>
  </si>
  <si>
    <t>av luis damann</t>
  </si>
  <si>
    <t>2042</t>
  </si>
  <si>
    <t>972314644</t>
  </si>
  <si>
    <t>Alejandra Caroline</t>
  </si>
  <si>
    <t>Nahuelpán</t>
  </si>
  <si>
    <t>Escobar</t>
  </si>
  <si>
    <t>Los avellanos</t>
  </si>
  <si>
    <t>211</t>
  </si>
  <si>
    <t>955161035</t>
  </si>
  <si>
    <t>Cheausu</t>
  </si>
  <si>
    <t>Valderrama</t>
  </si>
  <si>
    <t>Yemen</t>
  </si>
  <si>
    <t>34993110</t>
  </si>
  <si>
    <t>victoria.cheausu@gmail.com</t>
  </si>
  <si>
    <t>Alvares</t>
  </si>
  <si>
    <t>90</t>
  </si>
  <si>
    <t>956332117</t>
  </si>
  <si>
    <t>natali.marly@gmail.com</t>
  </si>
  <si>
    <t>KARLA</t>
  </si>
  <si>
    <t>DEL RIO</t>
  </si>
  <si>
    <t>348</t>
  </si>
  <si>
    <t>973465943</t>
  </si>
  <si>
    <t>Lillo</t>
  </si>
  <si>
    <t>los chilcos</t>
  </si>
  <si>
    <t>0123</t>
  </si>
  <si>
    <t>944454133</t>
  </si>
  <si>
    <t>GISELLE</t>
  </si>
  <si>
    <t>PINEDA</t>
  </si>
  <si>
    <t>FRANCISCO ENCINA</t>
  </si>
  <si>
    <t>935570785</t>
  </si>
  <si>
    <t>ALEXANDRAPINEDA.GISELLE11@GMAIL.COM</t>
  </si>
  <si>
    <t>Los chincolos</t>
  </si>
  <si>
    <t>1666</t>
  </si>
  <si>
    <t>982212754</t>
  </si>
  <si>
    <t>davidalonsov10@gmail.com</t>
  </si>
  <si>
    <t>Prado</t>
  </si>
  <si>
    <t>Corral</t>
  </si>
  <si>
    <t>174</t>
  </si>
  <si>
    <t>75723028</t>
  </si>
  <si>
    <t>alejadra.jaq25@gmail.com</t>
  </si>
  <si>
    <t>Anyeline</t>
  </si>
  <si>
    <t>Curilen</t>
  </si>
  <si>
    <t>718</t>
  </si>
  <si>
    <t>93548289</t>
  </si>
  <si>
    <t>anyeline.andrade@gmail.com</t>
  </si>
  <si>
    <t>MONTOYA</t>
  </si>
  <si>
    <t>421</t>
  </si>
  <si>
    <t>948498185</t>
  </si>
  <si>
    <t>SANDRA.MONTOYAJARA1991@GMAIL.COM</t>
  </si>
  <si>
    <t>LOS MOLINOS CAMINO AL ESTERO</t>
  </si>
  <si>
    <t>245</t>
  </si>
  <si>
    <t>950606945</t>
  </si>
  <si>
    <t>HERNIQUESCARLA@GMAIL.COM</t>
  </si>
  <si>
    <t>CHACABUCO</t>
  </si>
  <si>
    <t>210</t>
  </si>
  <si>
    <t>994692569</t>
  </si>
  <si>
    <t>71988127</t>
  </si>
  <si>
    <t>angelasaezjara@gmail.com</t>
  </si>
  <si>
    <t>CRISTINA</t>
  </si>
  <si>
    <t>LOA PEUCOS</t>
  </si>
  <si>
    <t>1811</t>
  </si>
  <si>
    <t>964853370</t>
  </si>
  <si>
    <t>Silvia</t>
  </si>
  <si>
    <t>Luengo</t>
  </si>
  <si>
    <t>2047</t>
  </si>
  <si>
    <t>942594995</t>
  </si>
  <si>
    <t>silviappl21@gmail.com</t>
  </si>
  <si>
    <t>Santa inés</t>
  </si>
  <si>
    <t>3725</t>
  </si>
  <si>
    <t>933780194</t>
  </si>
  <si>
    <t>1085</t>
  </si>
  <si>
    <t>995658051</t>
  </si>
  <si>
    <t>Campodonico</t>
  </si>
  <si>
    <t>av. raul vaso gonzales</t>
  </si>
  <si>
    <t>965452365</t>
  </si>
  <si>
    <t>Kertty</t>
  </si>
  <si>
    <t>Isla</t>
  </si>
  <si>
    <t>548</t>
  </si>
  <si>
    <t>962490131</t>
  </si>
  <si>
    <t>OLMOS</t>
  </si>
  <si>
    <t>SANTIAGO DERVIS</t>
  </si>
  <si>
    <t>4347</t>
  </si>
  <si>
    <t>966034003</t>
  </si>
  <si>
    <t>SEBASTIAN.OLMOS.MATURANA@GMAIL.COM</t>
  </si>
  <si>
    <t>Constanza</t>
  </si>
  <si>
    <t>Mennschel</t>
  </si>
  <si>
    <t>londres</t>
  </si>
  <si>
    <t>922572331</t>
  </si>
  <si>
    <t>Myriam</t>
  </si>
  <si>
    <t>Puerto las mulatas</t>
  </si>
  <si>
    <t>77440406</t>
  </si>
  <si>
    <t>Myriamkamilo7@gmail.com</t>
  </si>
  <si>
    <t>Carla Leticia</t>
  </si>
  <si>
    <t>Gaete</t>
  </si>
  <si>
    <t>906</t>
  </si>
  <si>
    <t>958764840</t>
  </si>
  <si>
    <t>carla.vallejos24@hotmail.com</t>
  </si>
  <si>
    <t>Patrick</t>
  </si>
  <si>
    <t>Huenuman</t>
  </si>
  <si>
    <t>Pasaje 14, casa 827</t>
  </si>
  <si>
    <t>Región Metropolitana</t>
  </si>
  <si>
    <t>COLINA</t>
  </si>
  <si>
    <t>945981177</t>
  </si>
  <si>
    <t>EZEQUIEL</t>
  </si>
  <si>
    <t>988091082</t>
  </si>
  <si>
    <t>948</t>
  </si>
  <si>
    <t>978696236</t>
  </si>
  <si>
    <t>Daniela.rodriguez.mancilla.dr@gmail.com</t>
  </si>
  <si>
    <t>LISBETH</t>
  </si>
  <si>
    <t>FLANDEZ</t>
  </si>
  <si>
    <t>FILOZA</t>
  </si>
  <si>
    <t>PABLO NERUDA</t>
  </si>
  <si>
    <t>967622205</t>
  </si>
  <si>
    <t>STEFANI</t>
  </si>
  <si>
    <t>LOVERA</t>
  </si>
  <si>
    <t>986135391</t>
  </si>
  <si>
    <t>ESTEFANYROJASLOVERA@GMAIL.COM</t>
  </si>
  <si>
    <t>ADRIAZOLA</t>
  </si>
  <si>
    <t>HONORINO LANDA 4</t>
  </si>
  <si>
    <t>976710994</t>
  </si>
  <si>
    <t>Yessenia Alejandra</t>
  </si>
  <si>
    <t>Guzmán</t>
  </si>
  <si>
    <t>Pje Ambar</t>
  </si>
  <si>
    <t>2229</t>
  </si>
  <si>
    <t>973501593</t>
  </si>
  <si>
    <t>yesseniabarrientos1992@gmail.com</t>
  </si>
  <si>
    <t>941443958</t>
  </si>
  <si>
    <t>santi26cris@gmail.com</t>
  </si>
  <si>
    <t>YOSELIN</t>
  </si>
  <si>
    <t>TRIPAYANTE</t>
  </si>
  <si>
    <t>PASAJE SAN PABLO</t>
  </si>
  <si>
    <t>950822712</t>
  </si>
  <si>
    <t>Armona</t>
  </si>
  <si>
    <t>Pasaje Las Llamas</t>
  </si>
  <si>
    <t>773</t>
  </si>
  <si>
    <t>88316945</t>
  </si>
  <si>
    <t>c.salazar.ar@gmail.com</t>
  </si>
  <si>
    <t>Lidia</t>
  </si>
  <si>
    <t>Eugenio</t>
  </si>
  <si>
    <t>Ingeniero Raul Saez</t>
  </si>
  <si>
    <t>949747622</t>
  </si>
  <si>
    <t>lidia.vse@gmail.com</t>
  </si>
  <si>
    <t>Acuña</t>
  </si>
  <si>
    <t>2051</t>
  </si>
  <si>
    <t>20942492</t>
  </si>
  <si>
    <t>carlos.perez.acu.cp@gmail.com</t>
  </si>
  <si>
    <t>MAURICIO</t>
  </si>
  <si>
    <t>ACENJO</t>
  </si>
  <si>
    <t>RUTA T 424</t>
  </si>
  <si>
    <t>954144397</t>
  </si>
  <si>
    <t>Mariana</t>
  </si>
  <si>
    <t>Nelson Ríos</t>
  </si>
  <si>
    <t>4050</t>
  </si>
  <si>
    <t>959764250</t>
  </si>
  <si>
    <t>marianais648@gmail.com</t>
  </si>
  <si>
    <t>Lautaro</t>
  </si>
  <si>
    <t>945992070</t>
  </si>
  <si>
    <t>Romina Andrea</t>
  </si>
  <si>
    <t>Av. circunvalacion poniente</t>
  </si>
  <si>
    <t>1586</t>
  </si>
  <si>
    <t>979260573</t>
  </si>
  <si>
    <t>romina.barria.z@gmail.com</t>
  </si>
  <si>
    <t>María Fernanda</t>
  </si>
  <si>
    <t>Juarez</t>
  </si>
  <si>
    <t>Arique</t>
  </si>
  <si>
    <t>992606450</t>
  </si>
  <si>
    <t>mfjuarez10@gmail.com</t>
  </si>
  <si>
    <t>Maritza Del Carmen</t>
  </si>
  <si>
    <t>Araus</t>
  </si>
  <si>
    <t>Nueva San Martín</t>
  </si>
  <si>
    <t>2876</t>
  </si>
  <si>
    <t>984437313</t>
  </si>
  <si>
    <t>maritza.araus1992@gmail.com</t>
  </si>
  <si>
    <t>Cynthia</t>
  </si>
  <si>
    <t>piedra luna</t>
  </si>
  <si>
    <t>545</t>
  </si>
  <si>
    <t>936169370</t>
  </si>
  <si>
    <t>cynthia.avello.1809@gmail.com</t>
  </si>
  <si>
    <t>Elizabeth Andrea</t>
  </si>
  <si>
    <t>Hueillipan</t>
  </si>
  <si>
    <t>778</t>
  </si>
  <si>
    <t>937062492</t>
  </si>
  <si>
    <t>e.guajardohuelipan@gmail.com</t>
  </si>
  <si>
    <t>Hurtado</t>
  </si>
  <si>
    <t>Izquierdo</t>
  </si>
  <si>
    <t>Agua del obistpo</t>
  </si>
  <si>
    <t>994309728</t>
  </si>
  <si>
    <t>Edgar</t>
  </si>
  <si>
    <t>Tuschel</t>
  </si>
  <si>
    <t>Fernandez-niño</t>
  </si>
  <si>
    <t>raul saez</t>
  </si>
  <si>
    <t>1842</t>
  </si>
  <si>
    <t>940194469</t>
  </si>
  <si>
    <t>Fernanda Del Rosario</t>
  </si>
  <si>
    <t>chahuilco</t>
  </si>
  <si>
    <t>2408</t>
  </si>
  <si>
    <t>930676789</t>
  </si>
  <si>
    <t>fernanda.saez.1991@gmail.com</t>
  </si>
  <si>
    <t>Fernanda</t>
  </si>
  <si>
    <t>Caceres</t>
  </si>
  <si>
    <t>Pasaje 9 casa 546</t>
  </si>
  <si>
    <t>546</t>
  </si>
  <si>
    <t>89686237</t>
  </si>
  <si>
    <t>m.fcc@hotmail.com</t>
  </si>
  <si>
    <t>Salvador sanfuentes</t>
  </si>
  <si>
    <t>4358</t>
  </si>
  <si>
    <t>931364978</t>
  </si>
  <si>
    <t>naatalia.ibarratorees@gmail.com</t>
  </si>
  <si>
    <t>FABIAN</t>
  </si>
  <si>
    <t>TRIVIÑOS</t>
  </si>
  <si>
    <t>RENE SHNIDER ANGACHILLA KM 6,5</t>
  </si>
  <si>
    <t>998499665</t>
  </si>
  <si>
    <t>Maragaño</t>
  </si>
  <si>
    <t>balmaceda norte</t>
  </si>
  <si>
    <t>53</t>
  </si>
  <si>
    <t>986304185</t>
  </si>
  <si>
    <t>daniel.uach.tm@gmail.com</t>
  </si>
  <si>
    <t>pasaje turquesa</t>
  </si>
  <si>
    <t>2207</t>
  </si>
  <si>
    <t>95941334</t>
  </si>
  <si>
    <t>carolina24alejandr@gmail.com</t>
  </si>
  <si>
    <t>Paulina</t>
  </si>
  <si>
    <t>Rademacher</t>
  </si>
  <si>
    <t>Harnisch</t>
  </si>
  <si>
    <t>Pje coñalef</t>
  </si>
  <si>
    <t>947372213</t>
  </si>
  <si>
    <t>paularademacher@gmail.com</t>
  </si>
  <si>
    <t>DANIEL</t>
  </si>
  <si>
    <t>LABRA</t>
  </si>
  <si>
    <t>AV CIRCUNVALACIÓN NUEVA REGIÓN</t>
  </si>
  <si>
    <t>617</t>
  </si>
  <si>
    <t>950446350</t>
  </si>
  <si>
    <t>JORGE.ANDRES.198416@GMAIL.COM</t>
  </si>
  <si>
    <t>los manutaras</t>
  </si>
  <si>
    <t>1866</t>
  </si>
  <si>
    <t>966662488</t>
  </si>
  <si>
    <t>Franco</t>
  </si>
  <si>
    <t>Sotomayor</t>
  </si>
  <si>
    <t>Llanequen</t>
  </si>
  <si>
    <t>187</t>
  </si>
  <si>
    <t>985020797</t>
  </si>
  <si>
    <t>franco.aravena.s@gmail.com</t>
  </si>
  <si>
    <t>PIZARRO</t>
  </si>
  <si>
    <t>981954714</t>
  </si>
  <si>
    <t>VERGARA.CCVP@GMAIL.COM</t>
  </si>
  <si>
    <t>MANUEL AGUERO</t>
  </si>
  <si>
    <t>LOS LAGOS</t>
  </si>
  <si>
    <t>93264311</t>
  </si>
  <si>
    <t>guillermo.corona.vasquez@gmail.com</t>
  </si>
  <si>
    <t>Yaritza</t>
  </si>
  <si>
    <t>raimapu</t>
  </si>
  <si>
    <t>258</t>
  </si>
  <si>
    <t>945952858</t>
  </si>
  <si>
    <t>Michel Ignacia</t>
  </si>
  <si>
    <t>1317</t>
  </si>
  <si>
    <t>935025198</t>
  </si>
  <si>
    <t>micheleovalleguz@gmail.com</t>
  </si>
  <si>
    <t>Guillermo Fricke</t>
  </si>
  <si>
    <t>958925005</t>
  </si>
  <si>
    <t>Enid</t>
  </si>
  <si>
    <t>Ricardo Barahona</t>
  </si>
  <si>
    <t>817</t>
  </si>
  <si>
    <t>975245595</t>
  </si>
  <si>
    <t>eniddanaesilva@gmail.com</t>
  </si>
  <si>
    <t>LOS PITAOS</t>
  </si>
  <si>
    <t>98270688</t>
  </si>
  <si>
    <t>Cochrane</t>
  </si>
  <si>
    <t>96129799</t>
  </si>
  <si>
    <t>hector.bravo.reyes@gmail.com</t>
  </si>
  <si>
    <t>Filgueira</t>
  </si>
  <si>
    <t>parcelación santodomingo, parcela</t>
  </si>
  <si>
    <t>26</t>
  </si>
  <si>
    <t>971750053</t>
  </si>
  <si>
    <t>miguel.filgueira.g@gmail.com</t>
  </si>
  <si>
    <t>BRYAN</t>
  </si>
  <si>
    <t>RUBIO</t>
  </si>
  <si>
    <t>ARTEAGA</t>
  </si>
  <si>
    <t>ROBERTO FERNANDEZ</t>
  </si>
  <si>
    <t>889</t>
  </si>
  <si>
    <t>948009498</t>
  </si>
  <si>
    <t>Constanza Alejandra</t>
  </si>
  <si>
    <t>Illesca</t>
  </si>
  <si>
    <t>1791</t>
  </si>
  <si>
    <t>993410208</t>
  </si>
  <si>
    <t>c.illescap@gmail.com</t>
  </si>
  <si>
    <t>CIRCUNVALACION SUR</t>
  </si>
  <si>
    <t>563</t>
  </si>
  <si>
    <t>998319313</t>
  </si>
  <si>
    <t>Los Carrera</t>
  </si>
  <si>
    <t>4059</t>
  </si>
  <si>
    <t>956366699</t>
  </si>
  <si>
    <t>Elsa</t>
  </si>
  <si>
    <t>Pozas</t>
  </si>
  <si>
    <t>ludobico barra</t>
  </si>
  <si>
    <t>121</t>
  </si>
  <si>
    <t>984970213</t>
  </si>
  <si>
    <t>pozaselsa@gmail.com</t>
  </si>
  <si>
    <t>casa</t>
  </si>
  <si>
    <t>985719109</t>
  </si>
  <si>
    <t>yasna.cifuentes92@gmail.com</t>
  </si>
  <si>
    <t>Clemente Escobar</t>
  </si>
  <si>
    <t>1253</t>
  </si>
  <si>
    <t>959418091</t>
  </si>
  <si>
    <t>Luis Deppe</t>
  </si>
  <si>
    <t>1335</t>
  </si>
  <si>
    <t>49571398</t>
  </si>
  <si>
    <t>mariapgenf@gmail.com</t>
  </si>
  <si>
    <t>QUILACAN</t>
  </si>
  <si>
    <t>945459407</t>
  </si>
  <si>
    <t>612</t>
  </si>
  <si>
    <t>941863293</t>
  </si>
  <si>
    <t>natalyferreiracarrillo@gmail.com</t>
  </si>
  <si>
    <t>Ninoska Patricia</t>
  </si>
  <si>
    <t>santa carolina</t>
  </si>
  <si>
    <t>957260812</t>
  </si>
  <si>
    <t>ninoskapgs@gmail.com</t>
  </si>
  <si>
    <t>Los chucaos</t>
  </si>
  <si>
    <t>953694563</t>
  </si>
  <si>
    <t>guinez.evelyn.20@gmail.com</t>
  </si>
  <si>
    <t>GUISELA</t>
  </si>
  <si>
    <t>FICA</t>
  </si>
  <si>
    <t>LAS FRAMBUESAS</t>
  </si>
  <si>
    <t>998062643</t>
  </si>
  <si>
    <t>RODOLFO MARCELO</t>
  </si>
  <si>
    <t>LANGE</t>
  </si>
  <si>
    <t>1945</t>
  </si>
  <si>
    <t>91298977</t>
  </si>
  <si>
    <t>LANGE1993CASTRO@GMAIL.COM</t>
  </si>
  <si>
    <t>Meneses</t>
  </si>
  <si>
    <t>259</t>
  </si>
  <si>
    <t>959023705</t>
  </si>
  <si>
    <t>Jaqueline</t>
  </si>
  <si>
    <t>Farías</t>
  </si>
  <si>
    <t>Arturo Gunther</t>
  </si>
  <si>
    <t>976870766</t>
  </si>
  <si>
    <t>carolanefarias@gmail.com</t>
  </si>
  <si>
    <t>Salvo</t>
  </si>
  <si>
    <t>camino a guacamayo 128</t>
  </si>
  <si>
    <t>3</t>
  </si>
  <si>
    <t>922391111</t>
  </si>
  <si>
    <t>Matías Ignacio</t>
  </si>
  <si>
    <t>Gamboa</t>
  </si>
  <si>
    <t>General Lagos</t>
  </si>
  <si>
    <t>93585110</t>
  </si>
  <si>
    <t>ARAVENAGAMBOA@GMAIL.COM</t>
  </si>
  <si>
    <t>Paola Andrea</t>
  </si>
  <si>
    <t>Fuica</t>
  </si>
  <si>
    <t>130</t>
  </si>
  <si>
    <t>944995588</t>
  </si>
  <si>
    <t>CASA BLANCA PARCELA B</t>
  </si>
  <si>
    <t>11</t>
  </si>
  <si>
    <t>994043065</t>
  </si>
  <si>
    <t>Tania Camila</t>
  </si>
  <si>
    <t>Los cururos</t>
  </si>
  <si>
    <t>1795</t>
  </si>
  <si>
    <t>932959191</t>
  </si>
  <si>
    <t>tania.silesp@gmail.com</t>
  </si>
  <si>
    <t>NICOLAS</t>
  </si>
  <si>
    <t>LUIS ROSALES</t>
  </si>
  <si>
    <t>931080015</t>
  </si>
  <si>
    <t>Ismael</t>
  </si>
  <si>
    <t>Naveas</t>
  </si>
  <si>
    <t>Av Linch, Pasaje 21</t>
  </si>
  <si>
    <t>978566534</t>
  </si>
  <si>
    <t>iaarayan@gmail.com</t>
  </si>
  <si>
    <t>LONCOPAN</t>
  </si>
  <si>
    <t>72</t>
  </si>
  <si>
    <t>967491220</t>
  </si>
  <si>
    <t>MAJOPRZ@GMAIL.COM</t>
  </si>
  <si>
    <t>Estefania</t>
  </si>
  <si>
    <t>Santa Emiliana</t>
  </si>
  <si>
    <t>3661</t>
  </si>
  <si>
    <t>947522819</t>
  </si>
  <si>
    <t>Aaron</t>
  </si>
  <si>
    <t>Betancur</t>
  </si>
  <si>
    <t>Fernadez</t>
  </si>
  <si>
    <t>Eduardo Holley Ovalle</t>
  </si>
  <si>
    <t>1124</t>
  </si>
  <si>
    <t>40204715</t>
  </si>
  <si>
    <t>Francisca Alejandra</t>
  </si>
  <si>
    <t>Varas</t>
  </si>
  <si>
    <t>Rio ibañez</t>
  </si>
  <si>
    <t>113</t>
  </si>
  <si>
    <t>933400697</t>
  </si>
  <si>
    <t>Ignacia</t>
  </si>
  <si>
    <t>Aguayo</t>
  </si>
  <si>
    <t>94765973</t>
  </si>
  <si>
    <t>Nachita.aguayo@gamil.com</t>
  </si>
  <si>
    <t>Paula Maureen</t>
  </si>
  <si>
    <t>Lagaditana</t>
  </si>
  <si>
    <t>240</t>
  </si>
  <si>
    <t>981704785</t>
  </si>
  <si>
    <t>pfigueroasepulveda@gmail.com</t>
  </si>
  <si>
    <t>SERGIO ALVAREZ</t>
  </si>
  <si>
    <t>2830</t>
  </si>
  <si>
    <t>950483526</t>
  </si>
  <si>
    <t>Scarlett</t>
  </si>
  <si>
    <t>Las quiñoas</t>
  </si>
  <si>
    <t>296</t>
  </si>
  <si>
    <t>931359268</t>
  </si>
  <si>
    <t>KYARA ANDREA</t>
  </si>
  <si>
    <t>FARÍAS</t>
  </si>
  <si>
    <t>RIO IMPERIAL</t>
  </si>
  <si>
    <t>4093</t>
  </si>
  <si>
    <t>964510334</t>
  </si>
  <si>
    <t>KYARANUNEZF93@GMAIL.COM</t>
  </si>
  <si>
    <t>Las aguilas</t>
  </si>
  <si>
    <t>97509343</t>
  </si>
  <si>
    <t>95409913</t>
  </si>
  <si>
    <t>Jairo Esteban</t>
  </si>
  <si>
    <t>Rail</t>
  </si>
  <si>
    <t>Vuelta la culebra</t>
  </si>
  <si>
    <t>lote 38</t>
  </si>
  <si>
    <t>963107874</t>
  </si>
  <si>
    <t>railjairo3@gmail.com</t>
  </si>
  <si>
    <t>Ellez</t>
  </si>
  <si>
    <t>fuerte nacimiento</t>
  </si>
  <si>
    <t>1582</t>
  </si>
  <si>
    <t>974158894</t>
  </si>
  <si>
    <t>Yarixza</t>
  </si>
  <si>
    <t>933848091</t>
  </si>
  <si>
    <t>yarixza.s@hotmail.com</t>
  </si>
  <si>
    <t>LOS ÑANDUEZ</t>
  </si>
  <si>
    <t>938877862</t>
  </si>
  <si>
    <t>950950596</t>
  </si>
  <si>
    <t>cs.lenin93@gmail.com</t>
  </si>
  <si>
    <t>Paz</t>
  </si>
  <si>
    <t>Creutzburg</t>
  </si>
  <si>
    <t>Ferrada</t>
  </si>
  <si>
    <t>120</t>
  </si>
  <si>
    <t>982013636</t>
  </si>
  <si>
    <t>tumeisjee@hotmail.com</t>
  </si>
  <si>
    <t>pasaje 18</t>
  </si>
  <si>
    <t>5443</t>
  </si>
  <si>
    <t>972600560</t>
  </si>
  <si>
    <t>Juan Francisco</t>
  </si>
  <si>
    <t>Fereira</t>
  </si>
  <si>
    <t>Volcan Lascar</t>
  </si>
  <si>
    <t>4674</t>
  </si>
  <si>
    <t>930814439</t>
  </si>
  <si>
    <t>Contanza</t>
  </si>
  <si>
    <t>San luis</t>
  </si>
  <si>
    <t>2835</t>
  </si>
  <si>
    <t>946608693</t>
  </si>
  <si>
    <t>coni.bm.15@gmail.com</t>
  </si>
  <si>
    <t>Polet</t>
  </si>
  <si>
    <t>Ruben dario</t>
  </si>
  <si>
    <t>958487732</t>
  </si>
  <si>
    <t>polet.lopez.p@gmail.com</t>
  </si>
  <si>
    <t>Huechante</t>
  </si>
  <si>
    <t>Nicaragua</t>
  </si>
  <si>
    <t>981782252</t>
  </si>
  <si>
    <t>contrerascristian@gmail.com</t>
  </si>
  <si>
    <t>MADELIN</t>
  </si>
  <si>
    <t>35A</t>
  </si>
  <si>
    <t>979659046</t>
  </si>
  <si>
    <t>MADEE_BARRIAF@HOTMAIL.COM</t>
  </si>
  <si>
    <t>Madrid</t>
  </si>
  <si>
    <t>Millao</t>
  </si>
  <si>
    <t>Francisco Wiese</t>
  </si>
  <si>
    <t>945996236</t>
  </si>
  <si>
    <t>DANIELA DEL CARMEN</t>
  </si>
  <si>
    <t>973252375</t>
  </si>
  <si>
    <t>X.DNIIZ@GMAIL.COM</t>
  </si>
  <si>
    <t>CAMILA FERNANDA</t>
  </si>
  <si>
    <t>936864595</t>
  </si>
  <si>
    <t>CAMILACHAVEZ229@GMAIL.COM</t>
  </si>
  <si>
    <t>VEGA</t>
  </si>
  <si>
    <t>LAS LOMAS DE ANGACHILLA</t>
  </si>
  <si>
    <t>KM 7</t>
  </si>
  <si>
    <t>967055424</t>
  </si>
  <si>
    <t>COL.ALFARO@GMAIL.COM</t>
  </si>
  <si>
    <t>ANTONIO</t>
  </si>
  <si>
    <t>VALDERRAMA</t>
  </si>
  <si>
    <t>LOS</t>
  </si>
  <si>
    <t>342</t>
  </si>
  <si>
    <t>58788770</t>
  </si>
  <si>
    <t>Katerine</t>
  </si>
  <si>
    <t>Oyarzo</t>
  </si>
  <si>
    <t>Chañares</t>
  </si>
  <si>
    <t>920078734</t>
  </si>
  <si>
    <t>MARÍA JOSÉ</t>
  </si>
  <si>
    <t>MONTECINO</t>
  </si>
  <si>
    <t>979858831</t>
  </si>
  <si>
    <t>MARIAJOSEMOLINAMONTECINO@GMAIL.COM</t>
  </si>
  <si>
    <t>CAMILA CONSTANZA</t>
  </si>
  <si>
    <t>ESPINOZA</t>
  </si>
  <si>
    <t>972735745</t>
  </si>
  <si>
    <t>CAMILA.ESPINOZA.ARISMENDI@GMAIL.COM</t>
  </si>
  <si>
    <t>Franchesca Daniela</t>
  </si>
  <si>
    <t>Las Kenas</t>
  </si>
  <si>
    <t>78114597</t>
  </si>
  <si>
    <t>JUDIT</t>
  </si>
  <si>
    <t>PJE LAS AGUILAS</t>
  </si>
  <si>
    <t>544</t>
  </si>
  <si>
    <t>945614321</t>
  </si>
  <si>
    <t>JUAN PATRICIO</t>
  </si>
  <si>
    <t>PASAJE LAS LOICAS</t>
  </si>
  <si>
    <t>99851242</t>
  </si>
  <si>
    <t>JUANPATO.GONZALEZ.1994@GMAIL.COM</t>
  </si>
  <si>
    <t>MARICELA DEL PILAR</t>
  </si>
  <si>
    <t>JORGE BUSTOS LEON</t>
  </si>
  <si>
    <t>4086</t>
  </si>
  <si>
    <t>955179713</t>
  </si>
  <si>
    <t>MARICELA4086@GMAIL.COM</t>
  </si>
  <si>
    <t>Cintia</t>
  </si>
  <si>
    <t>Colipil</t>
  </si>
  <si>
    <t>355</t>
  </si>
  <si>
    <t>961272370</t>
  </si>
  <si>
    <t>cintia.041994@gmail.com</t>
  </si>
  <si>
    <t>Albarracin</t>
  </si>
  <si>
    <t>Novoa</t>
  </si>
  <si>
    <t>976234704</t>
  </si>
  <si>
    <t>estefania777805@gmail.com</t>
  </si>
  <si>
    <t>Santa Margarita</t>
  </si>
  <si>
    <t>2570</t>
  </si>
  <si>
    <t>959699280</t>
  </si>
  <si>
    <t>Lovera</t>
  </si>
  <si>
    <t>Pasaje Abedules S/N Vuelta de la Culebra</t>
  </si>
  <si>
    <t>59074600</t>
  </si>
  <si>
    <t>Las tanucas</t>
  </si>
  <si>
    <t>569985837532</t>
  </si>
  <si>
    <t>felipe.md94@gmail.com</t>
  </si>
  <si>
    <t>Av. Luis Damann</t>
  </si>
  <si>
    <t>941582736</t>
  </si>
  <si>
    <t>HORMAZABAL</t>
  </si>
  <si>
    <t>CUNCUMEN</t>
  </si>
  <si>
    <t>301</t>
  </si>
  <si>
    <t>978549223</t>
  </si>
  <si>
    <t>hormazabal387@gmail.com</t>
  </si>
  <si>
    <t>Patricia Andrea</t>
  </si>
  <si>
    <t>Eladio Rojas 5</t>
  </si>
  <si>
    <t>4056</t>
  </si>
  <si>
    <t>984198755</t>
  </si>
  <si>
    <t>patriciaandreaalvaradoortiz1@gmail.com</t>
  </si>
  <si>
    <t>RODRIGO PATRICIO</t>
  </si>
  <si>
    <t>LOS CHUCHAOS ESQUINA LAS KENAS SEGUNDO PISO</t>
  </si>
  <si>
    <t>940844669</t>
  </si>
  <si>
    <t>RODRIGOPEREZ.RPPA@GMAIL.COM</t>
  </si>
  <si>
    <t>Valentina Luisa</t>
  </si>
  <si>
    <t>Los Pelúes</t>
  </si>
  <si>
    <t>949159130</t>
  </si>
  <si>
    <t>valentinaluisag.ortiz@gmail.com</t>
  </si>
  <si>
    <t>Rachel</t>
  </si>
  <si>
    <t>Ordeñez</t>
  </si>
  <si>
    <t>Regidor Feliciano Gonzalez</t>
  </si>
  <si>
    <t>860</t>
  </si>
  <si>
    <t>96861461</t>
  </si>
  <si>
    <t>ajgrez92@gmail.com</t>
  </si>
  <si>
    <t>YARITZA BEATRIZ</t>
  </si>
  <si>
    <t>INT. LUIS DAMANN ASENJO</t>
  </si>
  <si>
    <t>931495866</t>
  </si>
  <si>
    <t>YARITZABARRA1@GMAIL.COM</t>
  </si>
  <si>
    <t>SIMAO</t>
  </si>
  <si>
    <t>MALPU</t>
  </si>
  <si>
    <t>977035572</t>
  </si>
  <si>
    <t>Javiera</t>
  </si>
  <si>
    <t>Eduardo Hott</t>
  </si>
  <si>
    <t>1360</t>
  </si>
  <si>
    <t>Región de Los Lagos</t>
  </si>
  <si>
    <t>OSORNO</t>
  </si>
  <si>
    <t>940437992</t>
  </si>
  <si>
    <t>gajardomarin.javiera@gmail.com</t>
  </si>
  <si>
    <t>Jorge Esteban</t>
  </si>
  <si>
    <t>983449541</t>
  </si>
  <si>
    <t>jorge.zambranoo@gmail.com</t>
  </si>
  <si>
    <t>MARGOT</t>
  </si>
  <si>
    <t>HUICHAN</t>
  </si>
  <si>
    <t>HUENCHULEO</t>
  </si>
  <si>
    <t>ALTOS MAHUIZA 4 LOS QUIRQUINCHOS</t>
  </si>
  <si>
    <t>964067322</t>
  </si>
  <si>
    <t>Gerter</t>
  </si>
  <si>
    <t>Picarte</t>
  </si>
  <si>
    <t>2169</t>
  </si>
  <si>
    <t>967612786</t>
  </si>
  <si>
    <t>hector858@gmail.com</t>
  </si>
  <si>
    <t>Lalesca</t>
  </si>
  <si>
    <t>Pedro Casteblanco</t>
  </si>
  <si>
    <t>3370</t>
  </si>
  <si>
    <t>940950172</t>
  </si>
  <si>
    <t>FRANCISCA</t>
  </si>
  <si>
    <t>VARAS</t>
  </si>
  <si>
    <t>PASAJE 6</t>
  </si>
  <si>
    <t>618</t>
  </si>
  <si>
    <t>987473692</t>
  </si>
  <si>
    <t>Cynthia Elizabeth</t>
  </si>
  <si>
    <t>Segovia</t>
  </si>
  <si>
    <t>936846106</t>
  </si>
  <si>
    <t>cynthiasegoviaperez@gmail.com</t>
  </si>
  <si>
    <t>Patricio Alberto</t>
  </si>
  <si>
    <t>Santa Ines</t>
  </si>
  <si>
    <t>3741</t>
  </si>
  <si>
    <t>619632248</t>
  </si>
  <si>
    <t>Marla</t>
  </si>
  <si>
    <t>Avenida Luis Damman Asenjo</t>
  </si>
  <si>
    <t>1009</t>
  </si>
  <si>
    <t>974391251</t>
  </si>
  <si>
    <t>arlett.alvarez@gmail.com</t>
  </si>
  <si>
    <t>CAMILA</t>
  </si>
  <si>
    <t>MILANCA</t>
  </si>
  <si>
    <t>LOS COATIES</t>
  </si>
  <si>
    <t>1660</t>
  </si>
  <si>
    <t>973663338</t>
  </si>
  <si>
    <t>DENISSE</t>
  </si>
  <si>
    <t>ASTETE</t>
  </si>
  <si>
    <t>BRASIL</t>
  </si>
  <si>
    <t>413</t>
  </si>
  <si>
    <t>963056677</t>
  </si>
  <si>
    <t>Quijada</t>
  </si>
  <si>
    <t>Scheuermann</t>
  </si>
  <si>
    <t>944612007</t>
  </si>
  <si>
    <t>mara.quijada.sch@gmail.com</t>
  </si>
  <si>
    <t>2179</t>
  </si>
  <si>
    <t>930241519</t>
  </si>
  <si>
    <t>negrithaandrea1218@gmail.com</t>
  </si>
  <si>
    <t>Jazmin</t>
  </si>
  <si>
    <t>Los Ñanduez</t>
  </si>
  <si>
    <t>957140290</t>
  </si>
  <si>
    <t>jaazsepulvedaa@gmail.com</t>
  </si>
  <si>
    <t>Cristobal Nicolás</t>
  </si>
  <si>
    <t>Harcha</t>
  </si>
  <si>
    <t>Lopetegui</t>
  </si>
  <si>
    <t>Los cisnes, parcela</t>
  </si>
  <si>
    <t>95248026</t>
  </si>
  <si>
    <t>harchacristobal@gmail.com</t>
  </si>
  <si>
    <t>GUALA</t>
  </si>
  <si>
    <t>AV RAUL SAEZ</t>
  </si>
  <si>
    <t>1994</t>
  </si>
  <si>
    <t>973071357</t>
  </si>
  <si>
    <t>NICOL.IVETTE.95@GMAIL.COM</t>
  </si>
  <si>
    <t>JAVIERA BELEN</t>
  </si>
  <si>
    <t>SCHNETTLER</t>
  </si>
  <si>
    <t>HAGEDORN</t>
  </si>
  <si>
    <t>CONDOMINIO MIRAFLORES</t>
  </si>
  <si>
    <t>PARCELA 32</t>
  </si>
  <si>
    <t>962181909</t>
  </si>
  <si>
    <t>JSCHNETTLER@HOTMAIL.CL</t>
  </si>
  <si>
    <t>VERÓNICA</t>
  </si>
  <si>
    <t>ZAMORA</t>
  </si>
  <si>
    <t>Las Nutrias</t>
  </si>
  <si>
    <t>779</t>
  </si>
  <si>
    <t>935090137</t>
  </si>
  <si>
    <t>Callucura</t>
  </si>
  <si>
    <t>Águila</t>
  </si>
  <si>
    <t>Pje Topacio</t>
  </si>
  <si>
    <t>932262003</t>
  </si>
  <si>
    <t>carla9517@gmail.com</t>
  </si>
  <si>
    <t>Jennifer</t>
  </si>
  <si>
    <t>Hualme</t>
  </si>
  <si>
    <t>958897903</t>
  </si>
  <si>
    <t>jennisepulveda3@gmail.com</t>
  </si>
  <si>
    <t>Jesus Leonidas</t>
  </si>
  <si>
    <t>Av circunvalaci´n sir</t>
  </si>
  <si>
    <t>2745</t>
  </si>
  <si>
    <t>991326227</t>
  </si>
  <si>
    <t>jesus.alvarez.rubio@gmail.com</t>
  </si>
  <si>
    <t>Tolrá</t>
  </si>
  <si>
    <t>959394888</t>
  </si>
  <si>
    <t>diegotolrag@gmail.com</t>
  </si>
  <si>
    <t>Cecilio Imable</t>
  </si>
  <si>
    <t>3832</t>
  </si>
  <si>
    <t>955651139</t>
  </si>
  <si>
    <t>pamegomezvasquez@hotmail.com</t>
  </si>
  <si>
    <t>BRITANY</t>
  </si>
  <si>
    <t>CECILIO I</t>
  </si>
  <si>
    <t>3810</t>
  </si>
  <si>
    <t>951923362</t>
  </si>
  <si>
    <t>Fernanda Angelica</t>
  </si>
  <si>
    <t>Plaza</t>
  </si>
  <si>
    <t>los ruiles</t>
  </si>
  <si>
    <t>2121</t>
  </si>
  <si>
    <t>967572781</t>
  </si>
  <si>
    <t>fernanda.castillo.plaza@outlook.com</t>
  </si>
  <si>
    <t>Danixa</t>
  </si>
  <si>
    <t>Vegas</t>
  </si>
  <si>
    <t>Catalán</t>
  </si>
  <si>
    <t>Camino a niebla, estancilla</t>
  </si>
  <si>
    <t>km 7.1</t>
  </si>
  <si>
    <t>941667950</t>
  </si>
  <si>
    <t>danixa.vegas@gmail.com</t>
  </si>
  <si>
    <t>932887266</t>
  </si>
  <si>
    <t>Brayanignaciogallardo@gmail.com</t>
  </si>
  <si>
    <t>952693685</t>
  </si>
  <si>
    <t>JEANNETTE</t>
  </si>
  <si>
    <t>CAÑULEF</t>
  </si>
  <si>
    <t>LOS VENADOS NORTE</t>
  </si>
  <si>
    <t>719</t>
  </si>
  <si>
    <t>972713194</t>
  </si>
  <si>
    <t>AXEL</t>
  </si>
  <si>
    <t>MAECHER</t>
  </si>
  <si>
    <t>SANTA ELVIRA</t>
  </si>
  <si>
    <t>115</t>
  </si>
  <si>
    <t>987134634</t>
  </si>
  <si>
    <t>Avenida Pedro Montt</t>
  </si>
  <si>
    <t>4622</t>
  </si>
  <si>
    <t>920957282</t>
  </si>
  <si>
    <t>marg.vargasm@gmail.com</t>
  </si>
  <si>
    <t>Alison</t>
  </si>
  <si>
    <t>Luis damann</t>
  </si>
  <si>
    <t>2097</t>
  </si>
  <si>
    <t>954526251</t>
  </si>
  <si>
    <t>alisonbustos8@gmail.com</t>
  </si>
  <si>
    <t>NATTALIE</t>
  </si>
  <si>
    <t>PASAJE TURQUE</t>
  </si>
  <si>
    <t>940898904</t>
  </si>
  <si>
    <t>LA ESTANCIA</t>
  </si>
  <si>
    <t>Vania Ester</t>
  </si>
  <si>
    <t>Flandes</t>
  </si>
  <si>
    <t>itahue</t>
  </si>
  <si>
    <t>961060294</t>
  </si>
  <si>
    <t>vania.flandes94@gmail.com</t>
  </si>
  <si>
    <t>Valentina</t>
  </si>
  <si>
    <t>José victorina lastariia</t>
  </si>
  <si>
    <t>988260840</t>
  </si>
  <si>
    <t>valentina.delgado.ma@gmail.com</t>
  </si>
  <si>
    <t>2114</t>
  </si>
  <si>
    <t>569931090823</t>
  </si>
  <si>
    <t>Arias</t>
  </si>
  <si>
    <t>Cedeño</t>
  </si>
  <si>
    <t>998108269</t>
  </si>
  <si>
    <t>ariasguzlaura@gmail.com</t>
  </si>
  <si>
    <t>CAMINO ANGACHILLA</t>
  </si>
  <si>
    <t>952205267</t>
  </si>
  <si>
    <t>Diana Pamela</t>
  </si>
  <si>
    <t>Maldonado</t>
  </si>
  <si>
    <t>Pufudi S/N</t>
  </si>
  <si>
    <t>966369430</t>
  </si>
  <si>
    <t>nachadianaflandezmaldonado@gmail.com</t>
  </si>
  <si>
    <t>Benitez</t>
  </si>
  <si>
    <t>Omar Grensi</t>
  </si>
  <si>
    <t>53610444</t>
  </si>
  <si>
    <t>verittojetzabel@gmail.com</t>
  </si>
  <si>
    <t>Melisa</t>
  </si>
  <si>
    <t>553</t>
  </si>
  <si>
    <t>93267095</t>
  </si>
  <si>
    <t>HIDALGO</t>
  </si>
  <si>
    <t>CATALÁN</t>
  </si>
  <si>
    <t>REGIDOR ARTURO MUÑOZ</t>
  </si>
  <si>
    <t>5114</t>
  </si>
  <si>
    <t>996499041</t>
  </si>
  <si>
    <t>HIDALGOSOLANGE94@GMAIL.COM</t>
  </si>
  <si>
    <t>DANIZA ANDREA</t>
  </si>
  <si>
    <t>GJURINOVIC</t>
  </si>
  <si>
    <t>LOS CHERCANES</t>
  </si>
  <si>
    <t>1176</t>
  </si>
  <si>
    <t>962675412</t>
  </si>
  <si>
    <t>GJURINOVIC@LIVE.CL</t>
  </si>
  <si>
    <t>Romina</t>
  </si>
  <si>
    <t>Parcela las vertientes</t>
  </si>
  <si>
    <t>936139242</t>
  </si>
  <si>
    <t>Carreño</t>
  </si>
  <si>
    <t>938867537</t>
  </si>
  <si>
    <t>Tripailaf</t>
  </si>
  <si>
    <t>984407509</t>
  </si>
  <si>
    <t>2129</t>
  </si>
  <si>
    <t>968432828</t>
  </si>
  <si>
    <t>dampuerotoledo@gmail.com</t>
  </si>
  <si>
    <t>Nicole Del Pilar</t>
  </si>
  <si>
    <t>988339404</t>
  </si>
  <si>
    <t>Kathenne</t>
  </si>
  <si>
    <t>Kuhl</t>
  </si>
  <si>
    <t>Catripulli</t>
  </si>
  <si>
    <t>97433966</t>
  </si>
  <si>
    <t>LOS CHINCOLOS</t>
  </si>
  <si>
    <t>1691</t>
  </si>
  <si>
    <t>950652357</t>
  </si>
  <si>
    <t>GABRIELA</t>
  </si>
  <si>
    <t>VALDEBENITO</t>
  </si>
  <si>
    <t>LOS COIPOS</t>
  </si>
  <si>
    <t>4574</t>
  </si>
  <si>
    <t>949242983</t>
  </si>
  <si>
    <t>GABRIELAMONTECINOS55@GMAIL.COM</t>
  </si>
  <si>
    <t>630</t>
  </si>
  <si>
    <t>961076622</t>
  </si>
  <si>
    <t>macarenasanchezja@gmail.com</t>
  </si>
  <si>
    <t>Carolina Vanessa</t>
  </si>
  <si>
    <t>Alveal</t>
  </si>
  <si>
    <t>Órdenes</t>
  </si>
  <si>
    <t>Camino A Angachilla</t>
  </si>
  <si>
    <t>1350</t>
  </si>
  <si>
    <t>974385207</t>
  </si>
  <si>
    <t>Carolina.alveal16@gmail.com</t>
  </si>
  <si>
    <t>Simao</t>
  </si>
  <si>
    <t>Av Luis Damann</t>
  </si>
  <si>
    <t>991248213</t>
  </si>
  <si>
    <t>YESSENIA</t>
  </si>
  <si>
    <t>LOA ÑANDUEZ</t>
  </si>
  <si>
    <t>411</t>
  </si>
  <si>
    <t>982769468</t>
  </si>
  <si>
    <t>Alexia Mónica</t>
  </si>
  <si>
    <t>pasaje 2 ñ</t>
  </si>
  <si>
    <t>2897</t>
  </si>
  <si>
    <t>962588387</t>
  </si>
  <si>
    <t>benjamin.alexia90@gmail.com</t>
  </si>
  <si>
    <t>TAMARA IGNACIA</t>
  </si>
  <si>
    <t>poste 20 p</t>
  </si>
  <si>
    <t>79809773</t>
  </si>
  <si>
    <t>DAVID ANTONIO</t>
  </si>
  <si>
    <t>965334539</t>
  </si>
  <si>
    <t>REYESOJEDADAVID@GMAIL.COM</t>
  </si>
  <si>
    <t>LAIDY</t>
  </si>
  <si>
    <t>AV CIRCUNVALACION NVA REGION PONIENTE</t>
  </si>
  <si>
    <t>1008</t>
  </si>
  <si>
    <t>985785125</t>
  </si>
  <si>
    <t>Sebastian</t>
  </si>
  <si>
    <t>Eladio Rojas</t>
  </si>
  <si>
    <t>2860</t>
  </si>
  <si>
    <t>962344673</t>
  </si>
  <si>
    <t>Patricio Lynch</t>
  </si>
  <si>
    <t>940</t>
  </si>
  <si>
    <t>979907622</t>
  </si>
  <si>
    <t>Lubbier</t>
  </si>
  <si>
    <t>Intendente Narcizo Carballo</t>
  </si>
  <si>
    <t>923</t>
  </si>
  <si>
    <t>984658841</t>
  </si>
  <si>
    <t>Lubbierlopez@gmail.com</t>
  </si>
  <si>
    <t>Juan Pablo</t>
  </si>
  <si>
    <t>Avenida Francia</t>
  </si>
  <si>
    <t>2950</t>
  </si>
  <si>
    <t>994192472</t>
  </si>
  <si>
    <t>salgadoneirajuanpablo@gmail.com</t>
  </si>
  <si>
    <t>Deyanira</t>
  </si>
  <si>
    <t>Altos guacamayo, pasaje mapu</t>
  </si>
  <si>
    <t>2065</t>
  </si>
  <si>
    <t>985312408</t>
  </si>
  <si>
    <t>Latín</t>
  </si>
  <si>
    <t>Villa don Max, pasaje 2,</t>
  </si>
  <si>
    <t>535</t>
  </si>
  <si>
    <t>958806668</t>
  </si>
  <si>
    <t>Viviana Andrea</t>
  </si>
  <si>
    <t>Pje las aguilas</t>
  </si>
  <si>
    <t>587</t>
  </si>
  <si>
    <t>963029839</t>
  </si>
  <si>
    <t>Viviana93diaz@gmail.com</t>
  </si>
  <si>
    <t>ANGELA YANET</t>
  </si>
  <si>
    <t>GARCÉS</t>
  </si>
  <si>
    <t>MANQUEMILLA</t>
  </si>
  <si>
    <t>CALLE OHIGGINS</t>
  </si>
  <si>
    <t>69</t>
  </si>
  <si>
    <t>945979653</t>
  </si>
  <si>
    <t>YANETGAR178@GMAIL.COM</t>
  </si>
  <si>
    <t>Paul</t>
  </si>
  <si>
    <t>2048</t>
  </si>
  <si>
    <t>973579109</t>
  </si>
  <si>
    <t>javieracboa@gmail.com</t>
  </si>
  <si>
    <t>MADARIAGA</t>
  </si>
  <si>
    <t>Comesaña</t>
  </si>
  <si>
    <t>Carlos krahmer</t>
  </si>
  <si>
    <t>2277</t>
  </si>
  <si>
    <t>965005950</t>
  </si>
  <si>
    <t>javieraf.c.jara@gmail.com</t>
  </si>
  <si>
    <t>JAVIERA</t>
  </si>
  <si>
    <t>DINAMARCA</t>
  </si>
  <si>
    <t>LOS BOLDOS</t>
  </si>
  <si>
    <t>MARCIA ANDREA</t>
  </si>
  <si>
    <t>VALERIO</t>
  </si>
  <si>
    <t>2151</t>
  </si>
  <si>
    <t>986573272</t>
  </si>
  <si>
    <t>MARCIAVALERIO91@GMAIL.COM</t>
  </si>
  <si>
    <t>Katherine</t>
  </si>
  <si>
    <t>hernando de rivera 1</t>
  </si>
  <si>
    <t>180</t>
  </si>
  <si>
    <t>96833292</t>
  </si>
  <si>
    <t>kaatyalvcas@gmail.com</t>
  </si>
  <si>
    <t>Jean Camille</t>
  </si>
  <si>
    <t>116</t>
  </si>
  <si>
    <t>946309438</t>
  </si>
  <si>
    <t>pbarriacano@gmail.com</t>
  </si>
  <si>
    <t>Karla</t>
  </si>
  <si>
    <t>Segura</t>
  </si>
  <si>
    <t>Santa Elvira T</t>
  </si>
  <si>
    <t>79024369</t>
  </si>
  <si>
    <t>karlaseguravega24@gmail.com</t>
  </si>
  <si>
    <t>831</t>
  </si>
  <si>
    <t>948957536</t>
  </si>
  <si>
    <t>YERTYHYMORENO@GMAIL.COM</t>
  </si>
  <si>
    <t>ESPINA</t>
  </si>
  <si>
    <t>989648678</t>
  </si>
  <si>
    <t>940801506</t>
  </si>
  <si>
    <t>CATALINA</t>
  </si>
  <si>
    <t>ESTRADA</t>
  </si>
  <si>
    <t>SCHEIHING</t>
  </si>
  <si>
    <t>PASAJE LOBERA</t>
  </si>
  <si>
    <t>152</t>
  </si>
  <si>
    <t>978907649</t>
  </si>
  <si>
    <t>Escudero</t>
  </si>
  <si>
    <t>Los Abeto</t>
  </si>
  <si>
    <t>77101945</t>
  </si>
  <si>
    <t>mariaescudero345@gmail.com</t>
  </si>
  <si>
    <t>972841186</t>
  </si>
  <si>
    <t>MARIA PAZ</t>
  </si>
  <si>
    <t>MAITRI</t>
  </si>
  <si>
    <t>LOS CEDRONES</t>
  </si>
  <si>
    <t>2006</t>
  </si>
  <si>
    <t>971701826</t>
  </si>
  <si>
    <t>MARIAPAZMT@GMAIL.COM</t>
  </si>
  <si>
    <t>LOA MOLINOS</t>
  </si>
  <si>
    <t>950159823</t>
  </si>
  <si>
    <t>967102015</t>
  </si>
  <si>
    <t>c.arismendipalma@gmail.com</t>
  </si>
  <si>
    <t>Marisol Alexandra</t>
  </si>
  <si>
    <t>935475151</t>
  </si>
  <si>
    <t>marisolalexandrarivera@gmail.com</t>
  </si>
  <si>
    <t>Belén</t>
  </si>
  <si>
    <t>Zúñiga</t>
  </si>
  <si>
    <t>Las gaviotas poste 7</t>
  </si>
  <si>
    <t>parcela 11</t>
  </si>
  <si>
    <t>921899197</t>
  </si>
  <si>
    <t>belen.uz95@gmail.com</t>
  </si>
  <si>
    <t>Exequiel Alejandro</t>
  </si>
  <si>
    <t>Nelson Rios</t>
  </si>
  <si>
    <t>22014579</t>
  </si>
  <si>
    <t>30729950</t>
  </si>
  <si>
    <t>MARCELITA_VALE@HOTMAIL.COM</t>
  </si>
  <si>
    <t>CRISTOBAL</t>
  </si>
  <si>
    <t>COLPIHUEQUE</t>
  </si>
  <si>
    <t>TRUJILLO</t>
  </si>
  <si>
    <t>CASA 2</t>
  </si>
  <si>
    <t>955302250</t>
  </si>
  <si>
    <t>CRISSSTO96@GMAIL.COM</t>
  </si>
  <si>
    <t>Ancheo</t>
  </si>
  <si>
    <t>Santa Angela</t>
  </si>
  <si>
    <t>3755</t>
  </si>
  <si>
    <t>964438315</t>
  </si>
  <si>
    <t>ancheoc@gmai.com</t>
  </si>
  <si>
    <t>Pueikolepillan</t>
  </si>
  <si>
    <t>San Marco 207</t>
  </si>
  <si>
    <t>207</t>
  </si>
  <si>
    <t>949909139</t>
  </si>
  <si>
    <t>PEZO</t>
  </si>
  <si>
    <t>INGENIERO FEDERICO WEISE</t>
  </si>
  <si>
    <t>581</t>
  </si>
  <si>
    <t>959864946</t>
  </si>
  <si>
    <t>Camila Estefanía</t>
  </si>
  <si>
    <t>967267525</t>
  </si>
  <si>
    <t>cami22857@gmail.com</t>
  </si>
  <si>
    <t>CLASING</t>
  </si>
  <si>
    <t>CATRIPULLI 1 P.73</t>
  </si>
  <si>
    <t>932309430</t>
  </si>
  <si>
    <t>JEREZ</t>
  </si>
  <si>
    <t>PASAJE LAS HUALAS</t>
  </si>
  <si>
    <t>992055632</t>
  </si>
  <si>
    <t>Miguel Adrián</t>
  </si>
  <si>
    <t>978384993</t>
  </si>
  <si>
    <t>dale_albogb_95@hotmail.com</t>
  </si>
  <si>
    <t>MIKAELA</t>
  </si>
  <si>
    <t>SCHNEIDER</t>
  </si>
  <si>
    <t>83876673</t>
  </si>
  <si>
    <t>Yesenia Yasmin</t>
  </si>
  <si>
    <t>Las Palmas</t>
  </si>
  <si>
    <t>2091</t>
  </si>
  <si>
    <t>936427523</t>
  </si>
  <si>
    <t>cartes.yesi@gmail.com</t>
  </si>
  <si>
    <t>Priscila</t>
  </si>
  <si>
    <t>LIZAMA</t>
  </si>
  <si>
    <t>91238988</t>
  </si>
  <si>
    <t>Richard</t>
  </si>
  <si>
    <t>933121787</t>
  </si>
  <si>
    <t>montes1996.2019@gmail.com</t>
  </si>
  <si>
    <t>Cadagan</t>
  </si>
  <si>
    <t>Pasaje MIllacura</t>
  </si>
  <si>
    <t>652</t>
  </si>
  <si>
    <t>68762117</t>
  </si>
  <si>
    <t>soledadzurita1996@gmail.com</t>
  </si>
  <si>
    <t>Barbara Javiera</t>
  </si>
  <si>
    <t>Trujillo</t>
  </si>
  <si>
    <t>102</t>
  </si>
  <si>
    <t>55386464</t>
  </si>
  <si>
    <t>Jhonatan</t>
  </si>
  <si>
    <t>Avenida Raul Saez</t>
  </si>
  <si>
    <t>2066</t>
  </si>
  <si>
    <t>956623248</t>
  </si>
  <si>
    <t>Los Manutaras</t>
  </si>
  <si>
    <t>1818</t>
  </si>
  <si>
    <t>971437427</t>
  </si>
  <si>
    <t>carla.pineda96@gmail.com</t>
  </si>
  <si>
    <t>PAULA DEL PILAR</t>
  </si>
  <si>
    <t>COFRÉ</t>
  </si>
  <si>
    <t>949326265</t>
  </si>
  <si>
    <t>PAULA.COFRE.SILVA@GMAIL.COM</t>
  </si>
  <si>
    <t>DOMINIQUE</t>
  </si>
  <si>
    <t>MARTÍNEZ</t>
  </si>
  <si>
    <t>BADILLA</t>
  </si>
  <si>
    <t>PASAJE LAS TENCAS 1878</t>
  </si>
  <si>
    <t>1878</t>
  </si>
  <si>
    <t>972410630</t>
  </si>
  <si>
    <t>VALENTINA BELEN</t>
  </si>
  <si>
    <t>CHUÑIL</t>
  </si>
  <si>
    <t>LOS MANUTARAS</t>
  </si>
  <si>
    <t>977289088</t>
  </si>
  <si>
    <t>VALENTINASCH135@GMAIL.COM</t>
  </si>
  <si>
    <t>Calle los avetos</t>
  </si>
  <si>
    <t>2000</t>
  </si>
  <si>
    <t>984797207</t>
  </si>
  <si>
    <t>kiara.zapata.mdna@gmail.com</t>
  </si>
  <si>
    <t>Valeavillano</t>
  </si>
  <si>
    <t>950104114</t>
  </si>
  <si>
    <t>paulina.val.gal@gmail.com</t>
  </si>
  <si>
    <t>CRUCES</t>
  </si>
  <si>
    <t>954674991</t>
  </si>
  <si>
    <t>BERNADETT.CRUCE@SINACAPMAIL.CL</t>
  </si>
  <si>
    <t>Valentina Isabel</t>
  </si>
  <si>
    <t>Panitao</t>
  </si>
  <si>
    <t>962666528</t>
  </si>
  <si>
    <t>979443334</t>
  </si>
  <si>
    <t>issa.valentina@gmail.com</t>
  </si>
  <si>
    <t>Jonathan Ricardo</t>
  </si>
  <si>
    <t>Regidor Julio Jaramillo</t>
  </si>
  <si>
    <t>834</t>
  </si>
  <si>
    <t>948443464</t>
  </si>
  <si>
    <t>jonacifuentes3@gmail.com</t>
  </si>
  <si>
    <t>19350512-0</t>
  </si>
  <si>
    <t>801</t>
  </si>
  <si>
    <t>958394806</t>
  </si>
  <si>
    <t>rio cayumapu</t>
  </si>
  <si>
    <t>3391</t>
  </si>
  <si>
    <t>89120021</t>
  </si>
  <si>
    <t>Manuel.jara.castro@gmail.com</t>
  </si>
  <si>
    <t>Zuñiga</t>
  </si>
  <si>
    <t>926128507</t>
  </si>
  <si>
    <t>ximesaavedraz@gmail.com</t>
  </si>
  <si>
    <t>Oyarzún</t>
  </si>
  <si>
    <t>952166625</t>
  </si>
  <si>
    <t>camimadrid12@hotmail.com</t>
  </si>
  <si>
    <t>Alvaro</t>
  </si>
  <si>
    <t>Nueva san martin</t>
  </si>
  <si>
    <t>961153099</t>
  </si>
  <si>
    <t>EMILIO</t>
  </si>
  <si>
    <t>LITTLE</t>
  </si>
  <si>
    <t>VIVANCO</t>
  </si>
  <si>
    <t>LOS AVELLANOS</t>
  </si>
  <si>
    <t>215</t>
  </si>
  <si>
    <t>962695989</t>
  </si>
  <si>
    <t>953834721</t>
  </si>
  <si>
    <t>Huenchuman</t>
  </si>
  <si>
    <t>979906336</t>
  </si>
  <si>
    <t>camilahuenchuman84@gmail.com</t>
  </si>
  <si>
    <t>JUAN PABLO SEGUNDO</t>
  </si>
  <si>
    <t>911</t>
  </si>
  <si>
    <t>PANGUIPULLI</t>
  </si>
  <si>
    <t>978160822</t>
  </si>
  <si>
    <t>alejandroav.flores@gmail.com</t>
  </si>
  <si>
    <t>Harby Rodrigo</t>
  </si>
  <si>
    <t>Aho</t>
  </si>
  <si>
    <t>4235</t>
  </si>
  <si>
    <t>932488002</t>
  </si>
  <si>
    <t>harby97@live.cl</t>
  </si>
  <si>
    <t>Maximiliano Ignacio</t>
  </si>
  <si>
    <t>Circunvalacion Sur, calle 3</t>
  </si>
  <si>
    <t>201</t>
  </si>
  <si>
    <t>994542355</t>
  </si>
  <si>
    <t>931251290</t>
  </si>
  <si>
    <t>maximiliano4415jara@gmail.com</t>
  </si>
  <si>
    <t>Estefany Gabriela</t>
  </si>
  <si>
    <t>Tribiños</t>
  </si>
  <si>
    <t>Los Naranjo</t>
  </si>
  <si>
    <t>628</t>
  </si>
  <si>
    <t>46488917</t>
  </si>
  <si>
    <t>tribinosestefany@hotmail.com</t>
  </si>
  <si>
    <t>DANIEL FELIPE</t>
  </si>
  <si>
    <t>FINLANDIA</t>
  </si>
  <si>
    <t>101</t>
  </si>
  <si>
    <t>930003120</t>
  </si>
  <si>
    <t>DANIEL.OLIVERA@OUTLOOK.ES</t>
  </si>
  <si>
    <t>JOSE IGNACIO</t>
  </si>
  <si>
    <t>ROCO</t>
  </si>
  <si>
    <t>ITALIA</t>
  </si>
  <si>
    <t>20340</t>
  </si>
  <si>
    <t>983679239</t>
  </si>
  <si>
    <t>alberto betz gana</t>
  </si>
  <si>
    <t>998802580</t>
  </si>
  <si>
    <t>Ilse</t>
  </si>
  <si>
    <t>Barrera</t>
  </si>
  <si>
    <t>930761162</t>
  </si>
  <si>
    <t>ilse.camila1997@gmail.com</t>
  </si>
  <si>
    <t>Catalina</t>
  </si>
  <si>
    <t>Bremis</t>
  </si>
  <si>
    <t>Aedo</t>
  </si>
  <si>
    <t>Soto Aguilar</t>
  </si>
  <si>
    <t>427</t>
  </si>
  <si>
    <t>949906024</t>
  </si>
  <si>
    <t>931104547</t>
  </si>
  <si>
    <t>Bastias</t>
  </si>
  <si>
    <t>Villa Los Alcaldes Carlos Kaehler</t>
  </si>
  <si>
    <t>768</t>
  </si>
  <si>
    <t>55285793</t>
  </si>
  <si>
    <t>evelin.bastias1997@gmail.com</t>
  </si>
  <si>
    <t>INGENIERO FEDERICO WEISSE</t>
  </si>
  <si>
    <t>373</t>
  </si>
  <si>
    <t>949751245</t>
  </si>
  <si>
    <t>Camila Ignacia</t>
  </si>
  <si>
    <t>Holanda</t>
  </si>
  <si>
    <t>956526438</t>
  </si>
  <si>
    <t>camila.avila.24@gmail.com</t>
  </si>
  <si>
    <t>979559496</t>
  </si>
  <si>
    <t>scarlettsepulvedap@gmail.com</t>
  </si>
  <si>
    <t>Constanza Francisca</t>
  </si>
  <si>
    <t>Ceas</t>
  </si>
  <si>
    <t>Calle 2</t>
  </si>
  <si>
    <t>94654478</t>
  </si>
  <si>
    <t>constanza210297@gmail.com</t>
  </si>
  <si>
    <t>Baldevenito</t>
  </si>
  <si>
    <t>Villa Jerico 1</t>
  </si>
  <si>
    <t>62543229</t>
  </si>
  <si>
    <t>pazbaldevenito@gmail.com</t>
  </si>
  <si>
    <t>Stephania Constanza</t>
  </si>
  <si>
    <t>68182121</t>
  </si>
  <si>
    <t>503</t>
  </si>
  <si>
    <t>32176354</t>
  </si>
  <si>
    <t>Los bollenes</t>
  </si>
  <si>
    <t>336</t>
  </si>
  <si>
    <t>951132291</t>
  </si>
  <si>
    <t>mariapazcifuentes87@gmail.com</t>
  </si>
  <si>
    <t>CARLOS ROA</t>
  </si>
  <si>
    <t>961789505</t>
  </si>
  <si>
    <t>Maryorie</t>
  </si>
  <si>
    <t>Manriquez</t>
  </si>
  <si>
    <t>camino angachilla</t>
  </si>
  <si>
    <t>Angelica</t>
  </si>
  <si>
    <t>el arenal pasaje lovera</t>
  </si>
  <si>
    <t>948953982</t>
  </si>
  <si>
    <t>541</t>
  </si>
  <si>
    <t>946982096</t>
  </si>
  <si>
    <t>juancarlos7ruiz@gmail.com</t>
  </si>
  <si>
    <t>CONSTANZA VALENTINA</t>
  </si>
  <si>
    <t>KOPP</t>
  </si>
  <si>
    <t>GENERAL LAGOS</t>
  </si>
  <si>
    <t>1382</t>
  </si>
  <si>
    <t>982152530</t>
  </si>
  <si>
    <t>C.V.KOPP.V2006@GMAIL.COM</t>
  </si>
  <si>
    <t>intendente kluis daman</t>
  </si>
  <si>
    <t>1820</t>
  </si>
  <si>
    <t>974216356</t>
  </si>
  <si>
    <t>Carla De Los ángeles</t>
  </si>
  <si>
    <t>Matos</t>
  </si>
  <si>
    <t>961261131</t>
  </si>
  <si>
    <t>CONSUELO</t>
  </si>
  <si>
    <t>LOS BOLLENES</t>
  </si>
  <si>
    <t>958788770</t>
  </si>
  <si>
    <t>CONSUELOOANDREA@GMAIL.COM</t>
  </si>
  <si>
    <t>Tatiana</t>
  </si>
  <si>
    <t>Urra</t>
  </si>
  <si>
    <t>Villa los ediles Regidor Jose del Carmen rosa</t>
  </si>
  <si>
    <t>812</t>
  </si>
  <si>
    <t>32090110</t>
  </si>
  <si>
    <t>Prodinas</t>
  </si>
  <si>
    <t>Oviedo</t>
  </si>
  <si>
    <t>Mollando</t>
  </si>
  <si>
    <t>1559</t>
  </si>
  <si>
    <t>962711252</t>
  </si>
  <si>
    <t>950212027</t>
  </si>
  <si>
    <t>katy.fernanda12@hotmail.com</t>
  </si>
  <si>
    <t>Miguel Angel</t>
  </si>
  <si>
    <t>Corvi 6</t>
  </si>
  <si>
    <t>4023</t>
  </si>
  <si>
    <t>930542301</t>
  </si>
  <si>
    <t>mas.miguelsuarez@gmail.com</t>
  </si>
  <si>
    <t>Norambuena</t>
  </si>
  <si>
    <t>San Pablo</t>
  </si>
  <si>
    <t>3221</t>
  </si>
  <si>
    <t>87024874</t>
  </si>
  <si>
    <t>lorena.pineda1555@gmail.com</t>
  </si>
  <si>
    <t>Alto Guacamayo</t>
  </si>
  <si>
    <t>764</t>
  </si>
  <si>
    <t>956460793</t>
  </si>
  <si>
    <t>pedroruiz20495@gmail.com</t>
  </si>
  <si>
    <t>Circunvalación nueva region Pasaje 1</t>
  </si>
  <si>
    <t>38852889</t>
  </si>
  <si>
    <t>estrellitaisamar@gmail.com</t>
  </si>
  <si>
    <t>BAIER</t>
  </si>
  <si>
    <t>CATRILEF</t>
  </si>
  <si>
    <t>IGNACIO DE LA CARRERA, PASAJE 17</t>
  </si>
  <si>
    <t>5377</t>
  </si>
  <si>
    <t>945549502</t>
  </si>
  <si>
    <t>ALVARO GUILLERNO</t>
  </si>
  <si>
    <t>IMIGO</t>
  </si>
  <si>
    <t>594</t>
  </si>
  <si>
    <t>944639612</t>
  </si>
  <si>
    <t>ALVARO.MIRANDA.I97@GMAIL.COM</t>
  </si>
  <si>
    <t>MARIN</t>
  </si>
  <si>
    <t>2069</t>
  </si>
  <si>
    <t>956860573</t>
  </si>
  <si>
    <t>NATACHA</t>
  </si>
  <si>
    <t>ORLANDO GUAITA</t>
  </si>
  <si>
    <t>4025</t>
  </si>
  <si>
    <t>986618370</t>
  </si>
  <si>
    <t>Cristian Alejandro</t>
  </si>
  <si>
    <t>Nilian</t>
  </si>
  <si>
    <t>1861</t>
  </si>
  <si>
    <t>964438913</t>
  </si>
  <si>
    <t>cristian.nilean.p@gmail.com</t>
  </si>
  <si>
    <t>Luciano Alejandro</t>
  </si>
  <si>
    <t>Ormeño</t>
  </si>
  <si>
    <t>Los Venados Sur</t>
  </si>
  <si>
    <t>1056</t>
  </si>
  <si>
    <t>963389489</t>
  </si>
  <si>
    <t>luciopacheco11uc@gmail.com</t>
  </si>
  <si>
    <t>ISAIAS</t>
  </si>
  <si>
    <t>2336</t>
  </si>
  <si>
    <t>945868850</t>
  </si>
  <si>
    <t>GUERRA</t>
  </si>
  <si>
    <t>950683023</t>
  </si>
  <si>
    <t>ANGELINA</t>
  </si>
  <si>
    <t>SUDAN</t>
  </si>
  <si>
    <t>173</t>
  </si>
  <si>
    <t>952744694</t>
  </si>
  <si>
    <t>1997ANGELINAREYES@GMAIL.COM</t>
  </si>
  <si>
    <t>948950094</t>
  </si>
  <si>
    <t>Espindola</t>
  </si>
  <si>
    <t>Las minas</t>
  </si>
  <si>
    <t>235</t>
  </si>
  <si>
    <t>89118510</t>
  </si>
  <si>
    <t>DANNIELA</t>
  </si>
  <si>
    <t>SALAZAR</t>
  </si>
  <si>
    <t>ARMONA</t>
  </si>
  <si>
    <t>1704</t>
  </si>
  <si>
    <t>99167689</t>
  </si>
  <si>
    <t>Lucia</t>
  </si>
  <si>
    <t>Ceballo</t>
  </si>
  <si>
    <t>Abil</t>
  </si>
  <si>
    <t>2092</t>
  </si>
  <si>
    <t>52147087</t>
  </si>
  <si>
    <t>lucia199723@gmail.com</t>
  </si>
  <si>
    <t>Lemp</t>
  </si>
  <si>
    <t>Enrrique Molina Garmendia</t>
  </si>
  <si>
    <t>0448</t>
  </si>
  <si>
    <t>Región de la Araucanía</t>
  </si>
  <si>
    <t>TEMUCO</t>
  </si>
  <si>
    <t>91927489</t>
  </si>
  <si>
    <t>fernandalemp97@gmail.com</t>
  </si>
  <si>
    <t>144</t>
  </si>
  <si>
    <t>940820777</t>
  </si>
  <si>
    <t>Coñalef</t>
  </si>
  <si>
    <t>47</t>
  </si>
  <si>
    <t>942870356</t>
  </si>
  <si>
    <t>Vaite</t>
  </si>
  <si>
    <t>Fry</t>
  </si>
  <si>
    <t>Abello</t>
  </si>
  <si>
    <t>Caupolican</t>
  </si>
  <si>
    <t>243</t>
  </si>
  <si>
    <t>986665180</t>
  </si>
  <si>
    <t>vaitefry@gmail.com</t>
  </si>
  <si>
    <t>PABLO</t>
  </si>
  <si>
    <t>AV. RAMON PICARTE</t>
  </si>
  <si>
    <t>954015947</t>
  </si>
  <si>
    <t>Olmazabal</t>
  </si>
  <si>
    <t>Elias</t>
  </si>
  <si>
    <t>31</t>
  </si>
  <si>
    <t>997705701</t>
  </si>
  <si>
    <t>patwarsz@gmail.com</t>
  </si>
  <si>
    <t>Ivania</t>
  </si>
  <si>
    <t>Nueva San Martin</t>
  </si>
  <si>
    <t>2740</t>
  </si>
  <si>
    <t>981822714</t>
  </si>
  <si>
    <t>4458</t>
  </si>
  <si>
    <t>973123713</t>
  </si>
  <si>
    <t>Vanesa Carolina</t>
  </si>
  <si>
    <t>Grun</t>
  </si>
  <si>
    <t>Apeleo</t>
  </si>
  <si>
    <t>velero middleton</t>
  </si>
  <si>
    <t>67</t>
  </si>
  <si>
    <t>930522729</t>
  </si>
  <si>
    <t>vanesa.grun.a@gmail.com</t>
  </si>
  <si>
    <t>CONSTANZA</t>
  </si>
  <si>
    <t>CIRCUNVALACION SUR BLOC 3075</t>
  </si>
  <si>
    <t>302</t>
  </si>
  <si>
    <t>79846702</t>
  </si>
  <si>
    <t>cnatalia15@gmail.com</t>
  </si>
  <si>
    <t>5</t>
  </si>
  <si>
    <t>990049083</t>
  </si>
  <si>
    <t>camilamunoz30@gmail.com</t>
  </si>
  <si>
    <t>CINTHYA</t>
  </si>
  <si>
    <t>UGARTE</t>
  </si>
  <si>
    <t>CALFULAF</t>
  </si>
  <si>
    <t>PJE OMAR GRENCI</t>
  </si>
  <si>
    <t>3835</t>
  </si>
  <si>
    <t>961537771</t>
  </si>
  <si>
    <t>MELANY</t>
  </si>
  <si>
    <t>CHEUQUEL</t>
  </si>
  <si>
    <t>CERRO RANCAGUA</t>
  </si>
  <si>
    <t>58358528</t>
  </si>
  <si>
    <t>Matías Andrés</t>
  </si>
  <si>
    <t>Peralta</t>
  </si>
  <si>
    <t>Francisco coloane</t>
  </si>
  <si>
    <t>462</t>
  </si>
  <si>
    <t>956945817</t>
  </si>
  <si>
    <t>matiaspg1998@gmail.com</t>
  </si>
  <si>
    <t>Leslie</t>
  </si>
  <si>
    <t>Carabantes</t>
  </si>
  <si>
    <t>las chinchillas</t>
  </si>
  <si>
    <t>1609</t>
  </si>
  <si>
    <t>992134717</t>
  </si>
  <si>
    <t>leesli_13@hotmail.es</t>
  </si>
  <si>
    <t>MATÍAS ANDRÉS</t>
  </si>
  <si>
    <t>PASAJE ALONSO 10</t>
  </si>
  <si>
    <t>3322</t>
  </si>
  <si>
    <t>955722650</t>
  </si>
  <si>
    <t>MATIASBAEZ98@GMAIL.COM</t>
  </si>
  <si>
    <t>PRADO</t>
  </si>
  <si>
    <t>436</t>
  </si>
  <si>
    <t>997925748</t>
  </si>
  <si>
    <t>DUBLIN 799</t>
  </si>
  <si>
    <t>799</t>
  </si>
  <si>
    <t>75914976</t>
  </si>
  <si>
    <t>Sta Martina</t>
  </si>
  <si>
    <t>3784</t>
  </si>
  <si>
    <t>972233395</t>
  </si>
  <si>
    <t>davidrober99@gmail.com</t>
  </si>
  <si>
    <t>Marsey</t>
  </si>
  <si>
    <t>Calle Brasil Pasaje Las Gardenias</t>
  </si>
  <si>
    <t>05</t>
  </si>
  <si>
    <t>985067405</t>
  </si>
  <si>
    <t>marsey_matamala@outlook.com</t>
  </si>
  <si>
    <t>EUNICE</t>
  </si>
  <si>
    <t>CARLOS KAHELER</t>
  </si>
  <si>
    <t>995086141</t>
  </si>
  <si>
    <t>eunicebarrientos98@gmail.com</t>
  </si>
  <si>
    <t>392</t>
  </si>
  <si>
    <t>922512022</t>
  </si>
  <si>
    <t>mjaviera44@gmail.com</t>
  </si>
  <si>
    <t>Maria Jose</t>
  </si>
  <si>
    <t>Antre</t>
  </si>
  <si>
    <t>Pje. Mapu</t>
  </si>
  <si>
    <t>2071</t>
  </si>
  <si>
    <t>930988122</t>
  </si>
  <si>
    <t>alumna_mariajose15@hotmail.com</t>
  </si>
  <si>
    <t>Sanhuesa</t>
  </si>
  <si>
    <t>pasaje los chañares</t>
  </si>
  <si>
    <t>59762709</t>
  </si>
  <si>
    <t>Los Caiquenes</t>
  </si>
  <si>
    <t>543</t>
  </si>
  <si>
    <t>942809392</t>
  </si>
  <si>
    <t>Christian</t>
  </si>
  <si>
    <t>Pidey 0</t>
  </si>
  <si>
    <t>MAFIL</t>
  </si>
  <si>
    <t>966614653</t>
  </si>
  <si>
    <t>christianperezalarcon@gmail.com</t>
  </si>
  <si>
    <t>1879</t>
  </si>
  <si>
    <t>984325557</t>
  </si>
  <si>
    <t>Siamara Aracely</t>
  </si>
  <si>
    <t>Aliante</t>
  </si>
  <si>
    <t>394</t>
  </si>
  <si>
    <t>81652318</t>
  </si>
  <si>
    <t>Felipe Antonio</t>
  </si>
  <si>
    <t>1141</t>
  </si>
  <si>
    <t>928033158</t>
  </si>
  <si>
    <t>felipe.vidal1@hotmail.com</t>
  </si>
  <si>
    <t>JUAN IGNACIO</t>
  </si>
  <si>
    <t>VENEGAS</t>
  </si>
  <si>
    <t>950348494</t>
  </si>
  <si>
    <t>JUAN.VC.1998@GMAIL.COM</t>
  </si>
  <si>
    <t>Circunvalación Nueva Region Poniente</t>
  </si>
  <si>
    <t>805</t>
  </si>
  <si>
    <t>930977060</t>
  </si>
  <si>
    <t>fer.maldonado.s10@gmail.com</t>
  </si>
  <si>
    <t>ASENJO</t>
  </si>
  <si>
    <t>RIERA</t>
  </si>
  <si>
    <t>PARA SOL</t>
  </si>
  <si>
    <t>530</t>
  </si>
  <si>
    <t>961720974</t>
  </si>
  <si>
    <t>José Luis</t>
  </si>
  <si>
    <t>Manibet</t>
  </si>
  <si>
    <t>Los Romeros</t>
  </si>
  <si>
    <t>93389000</t>
  </si>
  <si>
    <t>josemanibet@gmail.com</t>
  </si>
  <si>
    <t>20014219-5</t>
  </si>
  <si>
    <t>PEREZ ROSALES</t>
  </si>
  <si>
    <t>1154</t>
  </si>
  <si>
    <t>948979799</t>
  </si>
  <si>
    <t>PINUAR</t>
  </si>
  <si>
    <t>OBREQUE</t>
  </si>
  <si>
    <t>JULIO PUGA BORNE</t>
  </si>
  <si>
    <t>963431823</t>
  </si>
  <si>
    <t>VIKIF16@GMAIL.COM</t>
  </si>
  <si>
    <t>ZURITA</t>
  </si>
  <si>
    <t>AVENIDA TOROBAYO</t>
  </si>
  <si>
    <t>58277759</t>
  </si>
  <si>
    <t>Pje. Zafiro</t>
  </si>
  <si>
    <t>954658431</t>
  </si>
  <si>
    <t>Av circunvalación nueva región poniente</t>
  </si>
  <si>
    <t>1564</t>
  </si>
  <si>
    <t>92562225</t>
  </si>
  <si>
    <t>Avenida San Miguel</t>
  </si>
  <si>
    <t>985848213</t>
  </si>
  <si>
    <t>Parque Torreones</t>
  </si>
  <si>
    <t>1574</t>
  </si>
  <si>
    <t>68363675</t>
  </si>
  <si>
    <t>Calficura</t>
  </si>
  <si>
    <t>Onorino landaea 2</t>
  </si>
  <si>
    <t>4075</t>
  </si>
  <si>
    <t>920181499</t>
  </si>
  <si>
    <t>ojedaingrid1998@gmail.com</t>
  </si>
  <si>
    <t>Natassja Teresita</t>
  </si>
  <si>
    <t>39095023</t>
  </si>
  <si>
    <t>Mitcheel Cristina Alexandra</t>
  </si>
  <si>
    <t>Ingeniero raul saez</t>
  </si>
  <si>
    <t>966446218</t>
  </si>
  <si>
    <t>Luis álamos</t>
  </si>
  <si>
    <t>2665</t>
  </si>
  <si>
    <t>995642964</t>
  </si>
  <si>
    <t>camilaignacia.r92@gmail.com</t>
  </si>
  <si>
    <t>NICOL</t>
  </si>
  <si>
    <t>LAS TURQUESAS</t>
  </si>
  <si>
    <t>2187</t>
  </si>
  <si>
    <t>946261897</t>
  </si>
  <si>
    <t>946362860</t>
  </si>
  <si>
    <t>BASTIDAS</t>
  </si>
  <si>
    <t>YAÑEZ</t>
  </si>
  <si>
    <t>RAUL TORO 1</t>
  </si>
  <si>
    <t>946189975</t>
  </si>
  <si>
    <t>VITAL SANHUEZA</t>
  </si>
  <si>
    <t>01</t>
  </si>
  <si>
    <t>82781161</t>
  </si>
  <si>
    <t>BASTIAN</t>
  </si>
  <si>
    <t>81576429</t>
  </si>
  <si>
    <t>ELIAS</t>
  </si>
  <si>
    <t>URRA</t>
  </si>
  <si>
    <t>SAVEDRA</t>
  </si>
  <si>
    <t>BRISAS DE GUACAMAYO LOS ALGARROBOS</t>
  </si>
  <si>
    <t>364</t>
  </si>
  <si>
    <t>93884306</t>
  </si>
  <si>
    <t>Almuna</t>
  </si>
  <si>
    <t>986599290</t>
  </si>
  <si>
    <t>Nicolás</t>
  </si>
  <si>
    <t>Cortes</t>
  </si>
  <si>
    <t>pasaje las hortensias</t>
  </si>
  <si>
    <t>957531003</t>
  </si>
  <si>
    <t>Araceli</t>
  </si>
  <si>
    <t>Malaquita</t>
  </si>
  <si>
    <t>1022</t>
  </si>
  <si>
    <t>47358606</t>
  </si>
  <si>
    <t>ariitaponce@gmail.com</t>
  </si>
  <si>
    <t>LORETTO</t>
  </si>
  <si>
    <t>HUENULEF</t>
  </si>
  <si>
    <t>90735094</t>
  </si>
  <si>
    <t>LORETTOYESSENIAVASQUEZHUENULEF@GMAIL.COM</t>
  </si>
  <si>
    <t>JUAN PABLO</t>
  </si>
  <si>
    <t>DE LA VEGA</t>
  </si>
  <si>
    <t>MARILITA</t>
  </si>
  <si>
    <t>931349385</t>
  </si>
  <si>
    <t>JPDELAVEGA92@GMAIL.COM</t>
  </si>
  <si>
    <t>Cares</t>
  </si>
  <si>
    <t>Pje Meliquina</t>
  </si>
  <si>
    <t>123</t>
  </si>
  <si>
    <t>965594525</t>
  </si>
  <si>
    <t>panchito.alcar3@gmail.com</t>
  </si>
  <si>
    <t>Vaitiare</t>
  </si>
  <si>
    <t>Gana</t>
  </si>
  <si>
    <t>Caman</t>
  </si>
  <si>
    <t>3400</t>
  </si>
  <si>
    <t>988809538</t>
  </si>
  <si>
    <t>vaitiare.k.b.g@gmail.com</t>
  </si>
  <si>
    <t>Elena</t>
  </si>
  <si>
    <t>Obreque</t>
  </si>
  <si>
    <t>Los tricahues</t>
  </si>
  <si>
    <t>922192285</t>
  </si>
  <si>
    <t>poste 23</t>
  </si>
  <si>
    <t>977357780</t>
  </si>
  <si>
    <t>magdalenavgz@gmail.com</t>
  </si>
  <si>
    <t>María José</t>
  </si>
  <si>
    <t>Bobadilla</t>
  </si>
  <si>
    <t>Duhatao</t>
  </si>
  <si>
    <t>526</t>
  </si>
  <si>
    <t>954252634</t>
  </si>
  <si>
    <t>mjbs99@gmail.com</t>
  </si>
  <si>
    <t>CHAPARRO</t>
  </si>
  <si>
    <t>SIMPON</t>
  </si>
  <si>
    <t>LOS TEYUES</t>
  </si>
  <si>
    <t>PAS TORDO</t>
  </si>
  <si>
    <t>940566525</t>
  </si>
  <si>
    <t>Muller</t>
  </si>
  <si>
    <t>Kinast</t>
  </si>
  <si>
    <t>Fernando de Aragon</t>
  </si>
  <si>
    <t>166</t>
  </si>
  <si>
    <t>957006155</t>
  </si>
  <si>
    <t>soofimuller@hotmail.com</t>
  </si>
  <si>
    <t>Damaris</t>
  </si>
  <si>
    <t>Balmaceda</t>
  </si>
  <si>
    <t>7015</t>
  </si>
  <si>
    <t>939068809</t>
  </si>
  <si>
    <t>Villa</t>
  </si>
  <si>
    <t>Av Raúl Sáez Sáez</t>
  </si>
  <si>
    <t>2054</t>
  </si>
  <si>
    <t>946518455</t>
  </si>
  <si>
    <t>Cristobal</t>
  </si>
  <si>
    <t>Laurel</t>
  </si>
  <si>
    <t>Toloza</t>
  </si>
  <si>
    <t>78022476</t>
  </si>
  <si>
    <t>cristobaljlt@gmail.com</t>
  </si>
  <si>
    <t>Alejandro Ignacio</t>
  </si>
  <si>
    <t>Av. Circunvalación nueva región</t>
  </si>
  <si>
    <t>309</t>
  </si>
  <si>
    <t>972022231</t>
  </si>
  <si>
    <t>Alejandrojarav@hotmail.com</t>
  </si>
  <si>
    <t>Bastian</t>
  </si>
  <si>
    <t>Becera</t>
  </si>
  <si>
    <t>97748280</t>
  </si>
  <si>
    <t>b.becerra@90gmail.com</t>
  </si>
  <si>
    <t>Steffany</t>
  </si>
  <si>
    <t>Guanel</t>
  </si>
  <si>
    <t>Los cernicalos</t>
  </si>
  <si>
    <t>1744</t>
  </si>
  <si>
    <t>956491642</t>
  </si>
  <si>
    <t>Josefina</t>
  </si>
  <si>
    <t>Benavente</t>
  </si>
  <si>
    <t>Oscar Castro</t>
  </si>
  <si>
    <t>965885529</t>
  </si>
  <si>
    <t>josefinabenavente@gmail.com</t>
  </si>
  <si>
    <t>Matias</t>
  </si>
  <si>
    <t>Robredo</t>
  </si>
  <si>
    <t>169</t>
  </si>
  <si>
    <t>958794987</t>
  </si>
  <si>
    <t>Victor Fernando</t>
  </si>
  <si>
    <t>José ignacio Valdés</t>
  </si>
  <si>
    <t>956868035</t>
  </si>
  <si>
    <t>victor.valdivia.dev@gmail.com</t>
  </si>
  <si>
    <t>Kiyem</t>
  </si>
  <si>
    <t>Treuquil</t>
  </si>
  <si>
    <t>los pitados</t>
  </si>
  <si>
    <t>932299637</t>
  </si>
  <si>
    <t>Ana Abigail</t>
  </si>
  <si>
    <t>parcela 95 pasaje los troncos</t>
  </si>
  <si>
    <t>95</t>
  </si>
  <si>
    <t>71436987</t>
  </si>
  <si>
    <t>silvaanita823@gmail.com</t>
  </si>
  <si>
    <t>Gerald Andrés</t>
  </si>
  <si>
    <t>226</t>
  </si>
  <si>
    <t>995108164</t>
  </si>
  <si>
    <t>geraldmorareyes@hotmail.com</t>
  </si>
  <si>
    <t>VILLAROEL</t>
  </si>
  <si>
    <t>957413749</t>
  </si>
  <si>
    <t>Cumian</t>
  </si>
  <si>
    <t>lord cochrane</t>
  </si>
  <si>
    <t>954016115</t>
  </si>
  <si>
    <t>CEA</t>
  </si>
  <si>
    <t>2119</t>
  </si>
  <si>
    <t>937456137</t>
  </si>
  <si>
    <t>nataliacatalinacea@gmail.com</t>
  </si>
  <si>
    <t>ANdrea</t>
  </si>
  <si>
    <t>1018</t>
  </si>
  <si>
    <t>949823958</t>
  </si>
  <si>
    <t>Nubia</t>
  </si>
  <si>
    <t>Pincheira</t>
  </si>
  <si>
    <t>ingeniero federico weise</t>
  </si>
  <si>
    <t>673</t>
  </si>
  <si>
    <t>997950922</t>
  </si>
  <si>
    <t>nubia.pincheira.r@gmail.com</t>
  </si>
  <si>
    <t>Silvia Raquel Macarena</t>
  </si>
  <si>
    <t>Puchi</t>
  </si>
  <si>
    <t>Mayorga</t>
  </si>
  <si>
    <t>av san luis 3810</t>
  </si>
  <si>
    <t>979709518</t>
  </si>
  <si>
    <t>puchimacarena@gmail.com</t>
  </si>
  <si>
    <t>Javiera Ignacia</t>
  </si>
  <si>
    <t>Loyola</t>
  </si>
  <si>
    <t>philippi</t>
  </si>
  <si>
    <t>950683242</t>
  </si>
  <si>
    <t>javieraaloyola01@gmail.com</t>
  </si>
  <si>
    <t>Barbara Camila</t>
  </si>
  <si>
    <t>Sagner</t>
  </si>
  <si>
    <t>65151730</t>
  </si>
  <si>
    <t>barbararebodello.sagner@gmail.com</t>
  </si>
  <si>
    <t>Antilef</t>
  </si>
  <si>
    <t>pasaje 3 juan egaña</t>
  </si>
  <si>
    <t>995464591</t>
  </si>
  <si>
    <t>Villa Galilea</t>
  </si>
  <si>
    <t>66013484</t>
  </si>
  <si>
    <t>maca99_@hotmail.com</t>
  </si>
  <si>
    <t>DANIXA DAMARIS</t>
  </si>
  <si>
    <t>NAUTO</t>
  </si>
  <si>
    <t>95206086</t>
  </si>
  <si>
    <t>DANIXANAUTO@GMAIL.COM</t>
  </si>
  <si>
    <t>Beayron</t>
  </si>
  <si>
    <t>Naipil</t>
  </si>
  <si>
    <t>pasaje las flores</t>
  </si>
  <si>
    <t>940421467</t>
  </si>
  <si>
    <t>Beayrontorresnaipil@gmail.com</t>
  </si>
  <si>
    <t>Damaris Isabella</t>
  </si>
  <si>
    <t>Altos De Guacamayo, Av Raul Saez</t>
  </si>
  <si>
    <t>934946022</t>
  </si>
  <si>
    <t>SCARLETH</t>
  </si>
  <si>
    <t>MANRIQUEZ</t>
  </si>
  <si>
    <t>PASAJE SAYEN</t>
  </si>
  <si>
    <t>993314249</t>
  </si>
  <si>
    <t>Angeles Arlette</t>
  </si>
  <si>
    <t>973689716</t>
  </si>
  <si>
    <t>martinezangelez13@gmail.com</t>
  </si>
  <si>
    <t>Alexandra Juliet</t>
  </si>
  <si>
    <t>Los Naranjos Con Nogal 1</t>
  </si>
  <si>
    <t>90084917</t>
  </si>
  <si>
    <t>Francisca Antonia</t>
  </si>
  <si>
    <t>Altos de mahuiza pasaje los coaties</t>
  </si>
  <si>
    <t>944464003</t>
  </si>
  <si>
    <t>Alto guacamayo Luis Aguirre Pinto</t>
  </si>
  <si>
    <t>59924518</t>
  </si>
  <si>
    <t>min.angelruiz@gmail.com</t>
  </si>
  <si>
    <t>Teja independiente</t>
  </si>
  <si>
    <t>937561199</t>
  </si>
  <si>
    <t>sebabkn.35@gmail.com</t>
  </si>
  <si>
    <t>64494833</t>
  </si>
  <si>
    <t>PASAJE 1</t>
  </si>
  <si>
    <t>2829</t>
  </si>
  <si>
    <t>965564800</t>
  </si>
  <si>
    <t>MILE.MATUS.GATICA@GMAIL.COM</t>
  </si>
  <si>
    <t>Victor Leopildo</t>
  </si>
  <si>
    <t>1777</t>
  </si>
  <si>
    <t>967035251</t>
  </si>
  <si>
    <t>avilezvictor19@gmail.com</t>
  </si>
  <si>
    <t>JORDAN</t>
  </si>
  <si>
    <t>2232</t>
  </si>
  <si>
    <t>954621474</t>
  </si>
  <si>
    <t>JORDAN.ELIAN.10ATR@GMAIL.COM</t>
  </si>
  <si>
    <t>ESTEBAN</t>
  </si>
  <si>
    <t>LLANQUIMAN</t>
  </si>
  <si>
    <t>VILLAGRAN</t>
  </si>
  <si>
    <t>982361774</t>
  </si>
  <si>
    <t>LISBETH DEYANIRA</t>
  </si>
  <si>
    <t>CATALAN</t>
  </si>
  <si>
    <t>PASAJE coral</t>
  </si>
  <si>
    <t>935790590</t>
  </si>
  <si>
    <t>LBURBOSCATALAN@GMAIL.COM</t>
  </si>
  <si>
    <t>CURVAN</t>
  </si>
  <si>
    <t>Pablo Andres</t>
  </si>
  <si>
    <t>Azocar</t>
  </si>
  <si>
    <t>967060160</t>
  </si>
  <si>
    <t>pabloazocar4dch@gmail.com</t>
  </si>
  <si>
    <t>1845</t>
  </si>
  <si>
    <t>965640998</t>
  </si>
  <si>
    <t>THIARE</t>
  </si>
  <si>
    <t>SAN JUAN S/N NIEBLA</t>
  </si>
  <si>
    <t>Ernesto Alejandro</t>
  </si>
  <si>
    <t>Velazques</t>
  </si>
  <si>
    <t>Lisama</t>
  </si>
  <si>
    <t>Antonio Fernandes</t>
  </si>
  <si>
    <t>2612</t>
  </si>
  <si>
    <t>921696034</t>
  </si>
  <si>
    <t>O</t>
  </si>
  <si>
    <t>2079</t>
  </si>
  <si>
    <t>54771990</t>
  </si>
  <si>
    <t>VALDES</t>
  </si>
  <si>
    <t>INGENIERO FEDERICO WIESSE</t>
  </si>
  <si>
    <t>425</t>
  </si>
  <si>
    <t>978091353</t>
  </si>
  <si>
    <t>carolinavaldes862@gmail.com</t>
  </si>
  <si>
    <t>Ana Luisa</t>
  </si>
  <si>
    <t>Echeparreborde</t>
  </si>
  <si>
    <t>234</t>
  </si>
  <si>
    <t>955321697</t>
  </si>
  <si>
    <t>Alarcón</t>
  </si>
  <si>
    <t>Las Manutaras</t>
  </si>
  <si>
    <t>950891734</t>
  </si>
  <si>
    <t>crisnenu@gmail.com</t>
  </si>
  <si>
    <t>Echeñique</t>
  </si>
  <si>
    <t>435</t>
  </si>
  <si>
    <t>54261089</t>
  </si>
  <si>
    <t>echeniquemaka@gmail.com</t>
  </si>
  <si>
    <t>Valeria Alejandra</t>
  </si>
  <si>
    <t>Millay</t>
  </si>
  <si>
    <t>1300</t>
  </si>
  <si>
    <t>964227483</t>
  </si>
  <si>
    <t>Valeria.d.m.2000@outlook.cl</t>
  </si>
  <si>
    <t>YENIFER</t>
  </si>
  <si>
    <t>ROBLES</t>
  </si>
  <si>
    <t>86812275</t>
  </si>
  <si>
    <t>GERALD MATIAS</t>
  </si>
  <si>
    <t>936241481</t>
  </si>
  <si>
    <t>MONSALVEZ</t>
  </si>
  <si>
    <t>9931797515</t>
  </si>
  <si>
    <t>Antonia</t>
  </si>
  <si>
    <t>G</t>
  </si>
  <si>
    <t>Av. Francia</t>
  </si>
  <si>
    <t>971015981</t>
  </si>
  <si>
    <t>antoniagg646@gmail.com</t>
  </si>
  <si>
    <t>MOIRA</t>
  </si>
  <si>
    <t>JUAN C ARAVENA</t>
  </si>
  <si>
    <t>2802</t>
  </si>
  <si>
    <t>997011217</t>
  </si>
  <si>
    <t>Susana Francisca</t>
  </si>
  <si>
    <t>Espina</t>
  </si>
  <si>
    <t>luis daman</t>
  </si>
  <si>
    <t>981541078</t>
  </si>
  <si>
    <t>susanaespinag@gmail.com</t>
  </si>
  <si>
    <t>993463102</t>
  </si>
  <si>
    <t>marcoantoniocifuentesflandes@gmail.com</t>
  </si>
  <si>
    <t>Ariel</t>
  </si>
  <si>
    <t>Mardones</t>
  </si>
  <si>
    <t>Alcaino</t>
  </si>
  <si>
    <t>Eduardo Holly</t>
  </si>
  <si>
    <t>1120</t>
  </si>
  <si>
    <t>934223204</t>
  </si>
  <si>
    <t>arielmatdones11@gmail.com</t>
  </si>
  <si>
    <t>MARÍA PAZ</t>
  </si>
  <si>
    <t>JUAN FRANCISCO ADRIAZOLA 4275</t>
  </si>
  <si>
    <t>942184672</t>
  </si>
  <si>
    <t>MARIPIJIJI2612@GMAIL.COM</t>
  </si>
  <si>
    <t>GENESIS</t>
  </si>
  <si>
    <t>PANCUL SECTOR 8</t>
  </si>
  <si>
    <t>8</t>
  </si>
  <si>
    <t>959860014</t>
  </si>
  <si>
    <t>ARACELY</t>
  </si>
  <si>
    <t>OLAVE</t>
  </si>
  <si>
    <t>934216898</t>
  </si>
  <si>
    <t>Ignacio Edandi</t>
  </si>
  <si>
    <t>Las Huellas</t>
  </si>
  <si>
    <t>523</t>
  </si>
  <si>
    <t>98492027</t>
  </si>
  <si>
    <t>YAEL</t>
  </si>
  <si>
    <t>CERON</t>
  </si>
  <si>
    <t>946591301</t>
  </si>
  <si>
    <t>yaelmiranda87@gmail.com</t>
  </si>
  <si>
    <t>Ronald</t>
  </si>
  <si>
    <t>Yonco</t>
  </si>
  <si>
    <t>570</t>
  </si>
  <si>
    <t>993750880</t>
  </si>
  <si>
    <t>Emiliano</t>
  </si>
  <si>
    <t>Echeverria</t>
  </si>
  <si>
    <t>Bombero Classing Pasaje 4</t>
  </si>
  <si>
    <t>989122863</t>
  </si>
  <si>
    <t>emilianoecheve@gmail.com</t>
  </si>
  <si>
    <t>Milanet</t>
  </si>
  <si>
    <t>SANTA FLOR</t>
  </si>
  <si>
    <t>33007233</t>
  </si>
  <si>
    <t>ARANGUIZ</t>
  </si>
  <si>
    <t>GENARO VEGA</t>
  </si>
  <si>
    <t>3803</t>
  </si>
  <si>
    <t>987491118</t>
  </si>
  <si>
    <t>JORGE.MAR0828@GMAIL.COM</t>
  </si>
  <si>
    <t>Ahinoam Marzabith</t>
  </si>
  <si>
    <t>973312056</t>
  </si>
  <si>
    <t>ahinoam.marzabith14@gmail.com</t>
  </si>
  <si>
    <t>953128284</t>
  </si>
  <si>
    <t>sofisandoval2000@gmail.com</t>
  </si>
  <si>
    <t>Lissett</t>
  </si>
  <si>
    <t>Galaz</t>
  </si>
  <si>
    <t>Garces</t>
  </si>
  <si>
    <t>Villa San Luis Block</t>
  </si>
  <si>
    <t>843</t>
  </si>
  <si>
    <t>921982824</t>
  </si>
  <si>
    <t>Victoria Eliana</t>
  </si>
  <si>
    <t>Curileo</t>
  </si>
  <si>
    <t>183</t>
  </si>
  <si>
    <t>945035801</t>
  </si>
  <si>
    <t>vmoravidal@gmail.com</t>
  </si>
  <si>
    <t>LOS HUALLES</t>
  </si>
  <si>
    <t>FERNANDA ANTONIA</t>
  </si>
  <si>
    <t>931079056</t>
  </si>
  <si>
    <t>Henríquez</t>
  </si>
  <si>
    <t>los Ñanduez</t>
  </si>
  <si>
    <t>949935540</t>
  </si>
  <si>
    <t>VILLA LA ESTANCIA LOS PETRELES</t>
  </si>
  <si>
    <t>956369778</t>
  </si>
  <si>
    <t>Emanuel</t>
  </si>
  <si>
    <t>Naipan</t>
  </si>
  <si>
    <t>Pasaje Los Naranjos</t>
  </si>
  <si>
    <t>811</t>
  </si>
  <si>
    <t>977701486</t>
  </si>
  <si>
    <t>988308329</t>
  </si>
  <si>
    <t>Sergio Andrés</t>
  </si>
  <si>
    <t>regidor juan osorio</t>
  </si>
  <si>
    <t>787</t>
  </si>
  <si>
    <t>936969070</t>
  </si>
  <si>
    <t>sergiolk09@gmail.com</t>
  </si>
  <si>
    <t>Tabita</t>
  </si>
  <si>
    <t>Ampliación Lo Alcalde, Esteban Arismendy</t>
  </si>
  <si>
    <t>4014</t>
  </si>
  <si>
    <t>56840500</t>
  </si>
  <si>
    <t>tabita.dechile@gmail.com</t>
  </si>
  <si>
    <t>GAVILAN</t>
  </si>
  <si>
    <t>965704010</t>
  </si>
  <si>
    <t>MARCELO ALEJANDRO</t>
  </si>
  <si>
    <t>ING FEDERICO WEISE</t>
  </si>
  <si>
    <t>77909475</t>
  </si>
  <si>
    <t>MA.TAPIARUIZ215@GMAIL.COM</t>
  </si>
  <si>
    <t>1832</t>
  </si>
  <si>
    <t>959834527</t>
  </si>
  <si>
    <t>LLERLI</t>
  </si>
  <si>
    <t>CHACANO</t>
  </si>
  <si>
    <t>81459503</t>
  </si>
  <si>
    <t>941170496</t>
  </si>
  <si>
    <t>romiina.jm2021@gmail.com</t>
  </si>
  <si>
    <t>Oscar Eduardo</t>
  </si>
  <si>
    <t>La Sacramento</t>
  </si>
  <si>
    <t>439</t>
  </si>
  <si>
    <t>945779302</t>
  </si>
  <si>
    <t>oscar.farias0612@gmail.com</t>
  </si>
  <si>
    <t>982705170</t>
  </si>
  <si>
    <t>THIARE_DANAE123@HOTMAIL.COM</t>
  </si>
  <si>
    <t>Pasaje Esmeralda</t>
  </si>
  <si>
    <t>035</t>
  </si>
  <si>
    <t>74561767</t>
  </si>
  <si>
    <t>josefinajrquera17@gmail.com</t>
  </si>
  <si>
    <t>Nazarena</t>
  </si>
  <si>
    <t>Sarabia</t>
  </si>
  <si>
    <t>993030742</t>
  </si>
  <si>
    <t>BRISAS DE GUACAMAYO PASAJE LOS BOLLENES</t>
  </si>
  <si>
    <t>944292107</t>
  </si>
  <si>
    <t>javibelen122515@gmail.com</t>
  </si>
  <si>
    <t>DABNE</t>
  </si>
  <si>
    <t>ESPINDOLA</t>
  </si>
  <si>
    <t>986116576</t>
  </si>
  <si>
    <t>dabnevargasespindola@gmail.com</t>
  </si>
  <si>
    <t>María Paz</t>
  </si>
  <si>
    <t>947162244</t>
  </si>
  <si>
    <t>22</t>
  </si>
  <si>
    <t>931014131</t>
  </si>
  <si>
    <t>BELTRAN</t>
  </si>
  <si>
    <t>VILLA ESTANCIA LOS TUAOS</t>
  </si>
  <si>
    <t>968710467</t>
  </si>
  <si>
    <t>BELLIAZZI</t>
  </si>
  <si>
    <t>CURCIO</t>
  </si>
  <si>
    <t>952121344</t>
  </si>
  <si>
    <t>MAURICIO ESTEBAN</t>
  </si>
  <si>
    <t>LIEMPI</t>
  </si>
  <si>
    <t>419</t>
  </si>
  <si>
    <t>976935068</t>
  </si>
  <si>
    <t>MAURICIOESTEBAN822@GMAIL.COM</t>
  </si>
  <si>
    <t>Ivana</t>
  </si>
  <si>
    <t>Tabilo</t>
  </si>
  <si>
    <t>988447504</t>
  </si>
  <si>
    <t>iva.tp.rr@gmail.com</t>
  </si>
  <si>
    <t>Joaquin</t>
  </si>
  <si>
    <t>Quiñones</t>
  </si>
  <si>
    <t>Gonza</t>
  </si>
  <si>
    <t>1829</t>
  </si>
  <si>
    <t>966325982</t>
  </si>
  <si>
    <t>Richard Alejandro</t>
  </si>
  <si>
    <t>Los algarrobos</t>
  </si>
  <si>
    <t>91383891</t>
  </si>
  <si>
    <t>Richardcarrasco2001@gmail.com</t>
  </si>
  <si>
    <t>AMARA SCARLETT</t>
  </si>
  <si>
    <t>OYARZÚN</t>
  </si>
  <si>
    <t>AUCUMÁN</t>
  </si>
  <si>
    <t>057</t>
  </si>
  <si>
    <t>955197287</t>
  </si>
  <si>
    <t>LEIVA.OYARZUN26@GMAIL.COM</t>
  </si>
  <si>
    <t>Los charcanes</t>
  </si>
  <si>
    <t>995710970</t>
  </si>
  <si>
    <t>mari2001.mpst@gmail.com</t>
  </si>
  <si>
    <t>Javiera Natalia</t>
  </si>
  <si>
    <t>Calfuqueo</t>
  </si>
  <si>
    <t>Mulato gil de castro pje 1</t>
  </si>
  <si>
    <t>956960086</t>
  </si>
  <si>
    <t>Sara Angélica</t>
  </si>
  <si>
    <t>Pasaje ambar</t>
  </si>
  <si>
    <t>2225</t>
  </si>
  <si>
    <t>988581129</t>
  </si>
  <si>
    <t>sarita.caro.uribe@gmail.com</t>
  </si>
  <si>
    <t>PRADINES</t>
  </si>
  <si>
    <t>959251205</t>
  </si>
  <si>
    <t>NATALYPRADINES3@GMAIL.COM</t>
  </si>
  <si>
    <t>Naguil</t>
  </si>
  <si>
    <t>David Areyano pasaje 2 b</t>
  </si>
  <si>
    <t>2706</t>
  </si>
  <si>
    <t>972981096</t>
  </si>
  <si>
    <t>Nathalie</t>
  </si>
  <si>
    <t>Martinez de bernavé</t>
  </si>
  <si>
    <t>1527</t>
  </si>
  <si>
    <t>973007604</t>
  </si>
  <si>
    <t>Francesca</t>
  </si>
  <si>
    <t>3540</t>
  </si>
  <si>
    <t>961285336</t>
  </si>
  <si>
    <t>munosfran976@gmail.com</t>
  </si>
  <si>
    <t>pasaje ámbar</t>
  </si>
  <si>
    <t>936885466</t>
  </si>
  <si>
    <t>721</t>
  </si>
  <si>
    <t>950992942</t>
  </si>
  <si>
    <t>4</t>
  </si>
  <si>
    <t>37354521</t>
  </si>
  <si>
    <t>anabarrientos508318@gmail.com</t>
  </si>
  <si>
    <t>VELOZO</t>
  </si>
  <si>
    <t>JUAN MANUEL LORCA</t>
  </si>
  <si>
    <t>5002</t>
  </si>
  <si>
    <t>954188534</t>
  </si>
  <si>
    <t>FERNANDOCUMIANVELOZO@GMAIL.COM</t>
  </si>
  <si>
    <t>YARELLA</t>
  </si>
  <si>
    <t>PANGUPPULLI</t>
  </si>
  <si>
    <t>000</t>
  </si>
  <si>
    <t>58257466</t>
  </si>
  <si>
    <t>Isidora</t>
  </si>
  <si>
    <t>Pindaco</t>
  </si>
  <si>
    <t>2020</t>
  </si>
  <si>
    <t>966592115</t>
  </si>
  <si>
    <t>isidorarayenpena@gmail.com</t>
  </si>
  <si>
    <t>Puen</t>
  </si>
  <si>
    <t>Rubi</t>
  </si>
  <si>
    <t>948506645</t>
  </si>
  <si>
    <t>romipuen2@gmail.com</t>
  </si>
  <si>
    <t>OSCAR</t>
  </si>
  <si>
    <t>CORONADO</t>
  </si>
  <si>
    <t>994025158</t>
  </si>
  <si>
    <t>Nicol</t>
  </si>
  <si>
    <t>Kroon</t>
  </si>
  <si>
    <t>las quinoas</t>
  </si>
  <si>
    <t>950391971</t>
  </si>
  <si>
    <t>Adolfo Moreno</t>
  </si>
  <si>
    <t>30900814</t>
  </si>
  <si>
    <t>JIMENEZ</t>
  </si>
  <si>
    <t>1624</t>
  </si>
  <si>
    <t>982715559</t>
  </si>
  <si>
    <t>Pamela Alejandra</t>
  </si>
  <si>
    <t>Pasaje curileo</t>
  </si>
  <si>
    <t>192</t>
  </si>
  <si>
    <t>950778742</t>
  </si>
  <si>
    <t>Pame.ferrada01@gmail.com</t>
  </si>
  <si>
    <t>Clasing</t>
  </si>
  <si>
    <t>Antártica</t>
  </si>
  <si>
    <t>428</t>
  </si>
  <si>
    <t>941459965</t>
  </si>
  <si>
    <t>asterleandro@gmail.com</t>
  </si>
  <si>
    <t>Tarapaca</t>
  </si>
  <si>
    <t>10</t>
  </si>
  <si>
    <t>30395498</t>
  </si>
  <si>
    <t>camilacruces532@gmail.com</t>
  </si>
  <si>
    <t>KEVIN</t>
  </si>
  <si>
    <t>PASAJE 1, 122 B</t>
  </si>
  <si>
    <t>79654592</t>
  </si>
  <si>
    <t>Jesús Patricio</t>
  </si>
  <si>
    <t>jorge bustos león</t>
  </si>
  <si>
    <t>979167921</t>
  </si>
  <si>
    <t>jpatricio2301@gmail.com</t>
  </si>
  <si>
    <t>Jennyfer</t>
  </si>
  <si>
    <t>Nelson rios</t>
  </si>
  <si>
    <t>4032</t>
  </si>
  <si>
    <t>997113992</t>
  </si>
  <si>
    <t>953036071</t>
  </si>
  <si>
    <t>A. Guacamayo pje. Mapu</t>
  </si>
  <si>
    <t>89594752</t>
  </si>
  <si>
    <t>936936059</t>
  </si>
  <si>
    <t>ROXANAPFERNANDEZZZ@GMAIL.COM</t>
  </si>
  <si>
    <t>Yohudy</t>
  </si>
  <si>
    <t>369</t>
  </si>
  <si>
    <t>981921750</t>
  </si>
  <si>
    <t>Yohudymendez2002@gmail.com</t>
  </si>
  <si>
    <t>Mario Isaias</t>
  </si>
  <si>
    <t>Jacobsen</t>
  </si>
  <si>
    <t>ACOSTA</t>
  </si>
  <si>
    <t>AV ARGENTINA PASAJE BELLAVISTA</t>
  </si>
  <si>
    <t>982690671</t>
  </si>
  <si>
    <t>MAYLEENACOSTA70@GMAIL.COM</t>
  </si>
  <si>
    <t>PEDRO MARCELO</t>
  </si>
  <si>
    <t>DONALD CANTER</t>
  </si>
  <si>
    <t>963399459</t>
  </si>
  <si>
    <t>PETERLUCHO01@GMAIL.COM</t>
  </si>
  <si>
    <t>Michelle</t>
  </si>
  <si>
    <t>Villa la estancia psje los tuaos</t>
  </si>
  <si>
    <t>997099075</t>
  </si>
  <si>
    <t>San Mateo</t>
  </si>
  <si>
    <t>3161</t>
  </si>
  <si>
    <t>971753127</t>
  </si>
  <si>
    <t>memo.liceo17@gmail.com</t>
  </si>
  <si>
    <t>Pasaje Zafiro</t>
  </si>
  <si>
    <t>73402320</t>
  </si>
  <si>
    <t>Valdeavellano</t>
  </si>
  <si>
    <t>942602206</t>
  </si>
  <si>
    <t>Volcan Lanin</t>
  </si>
  <si>
    <t>949246115</t>
  </si>
  <si>
    <t>Alexis Rodrigo</t>
  </si>
  <si>
    <t>947026305</t>
  </si>
  <si>
    <t>gallardoalexis763@gmail.com</t>
  </si>
  <si>
    <t>Rubilar</t>
  </si>
  <si>
    <t>Del castillo</t>
  </si>
  <si>
    <t>1108</t>
  </si>
  <si>
    <t>984495172</t>
  </si>
  <si>
    <t>Nayadett Escarlett</t>
  </si>
  <si>
    <t>4650</t>
  </si>
  <si>
    <t>978263055</t>
  </si>
  <si>
    <t>nayadettrivas@gmail.com</t>
  </si>
  <si>
    <t>MOISES</t>
  </si>
  <si>
    <t>2846</t>
  </si>
  <si>
    <t>77369131</t>
  </si>
  <si>
    <t>DARLING DANIELA</t>
  </si>
  <si>
    <t>CAMPOS</t>
  </si>
  <si>
    <t>MOTOYA</t>
  </si>
  <si>
    <t>2096</t>
  </si>
  <si>
    <t>20465421</t>
  </si>
  <si>
    <t>DANIELA.MOTOYA2702@GMAIL.COM</t>
  </si>
  <si>
    <t>BERROCAL</t>
  </si>
  <si>
    <t>INTENDENTE ENRIQUE BAEZA</t>
  </si>
  <si>
    <t>1010</t>
  </si>
  <si>
    <t>933255587</t>
  </si>
  <si>
    <t>MPINEBERRO2627@GMAIL.COM</t>
  </si>
  <si>
    <t>FRANCHESCA</t>
  </si>
  <si>
    <t>552</t>
  </si>
  <si>
    <t>51991929</t>
  </si>
  <si>
    <t>FRANCHESCANICOL921@GMAIL.COM</t>
  </si>
  <si>
    <t>DAVID ENRIQUE</t>
  </si>
  <si>
    <t>989785072</t>
  </si>
  <si>
    <t>DEFH2002@GMAIL.COM</t>
  </si>
  <si>
    <t>Constanza Antonia</t>
  </si>
  <si>
    <t>983877564</t>
  </si>
  <si>
    <t>Bastian Maximiliano</t>
  </si>
  <si>
    <t>Irene Morales Galaz</t>
  </si>
  <si>
    <t>942839426</t>
  </si>
  <si>
    <t>bastianmenschel@gmail.com</t>
  </si>
  <si>
    <t>Hernández</t>
  </si>
  <si>
    <t>Patiño</t>
  </si>
  <si>
    <t>Los venados</t>
  </si>
  <si>
    <t>65977432</t>
  </si>
  <si>
    <t>cahp07092003@gmail.com</t>
  </si>
  <si>
    <t>Briceño</t>
  </si>
  <si>
    <t>Isla guacamayo</t>
  </si>
  <si>
    <t>958483972</t>
  </si>
  <si>
    <t>ariasfrancisca2020b@gmail.com</t>
  </si>
  <si>
    <t>Alonso</t>
  </si>
  <si>
    <t>Tornagaleones</t>
  </si>
  <si>
    <t>1736</t>
  </si>
  <si>
    <t>940271367</t>
  </si>
  <si>
    <t>Alonsojoaquinescobar17@gmail.com</t>
  </si>
  <si>
    <t>Yanett</t>
  </si>
  <si>
    <t>Paduro</t>
  </si>
  <si>
    <t>Los Hualos</t>
  </si>
  <si>
    <t>2003</t>
  </si>
  <si>
    <t>78551980</t>
  </si>
  <si>
    <t>yanettcontreras661@gmail.com</t>
  </si>
  <si>
    <t>Pidal</t>
  </si>
  <si>
    <t>CIRCUNVALACION NVA REGION</t>
  </si>
  <si>
    <t>900</t>
  </si>
  <si>
    <t>973397204</t>
  </si>
  <si>
    <t>Martina Isabel</t>
  </si>
  <si>
    <t>Aguamarina</t>
  </si>
  <si>
    <t>2220</t>
  </si>
  <si>
    <t>962556096</t>
  </si>
  <si>
    <t>martina.uribe02@gmail.com</t>
  </si>
  <si>
    <t>Huerta</t>
  </si>
  <si>
    <t>Banda</t>
  </si>
  <si>
    <t>Los laureles</t>
  </si>
  <si>
    <t>942491401</t>
  </si>
  <si>
    <t>Isidorah_2013@hotmail.com</t>
  </si>
  <si>
    <t>Pasaje 19</t>
  </si>
  <si>
    <t>3840</t>
  </si>
  <si>
    <t>953667649</t>
  </si>
  <si>
    <t>Pablo Ignacio</t>
  </si>
  <si>
    <t>xx</t>
  </si>
  <si>
    <t>922231588</t>
  </si>
  <si>
    <t>pabloyllovisna@gmail.com</t>
  </si>
  <si>
    <t>WILHELM</t>
  </si>
  <si>
    <t>1770</t>
  </si>
  <si>
    <t>989303304</t>
  </si>
  <si>
    <t>constanzawilhelm30@gmail.com</t>
  </si>
  <si>
    <t>REINA SOFIA PASAJE HELENA 4</t>
  </si>
  <si>
    <t>3483</t>
  </si>
  <si>
    <t>976613063</t>
  </si>
  <si>
    <t>tamybcb@gmail.com</t>
  </si>
  <si>
    <t>Villarroel</t>
  </si>
  <si>
    <t>cecilia lopez</t>
  </si>
  <si>
    <t>99</t>
  </si>
  <si>
    <t>934346148</t>
  </si>
  <si>
    <t>Antonia.aravena.villarroel@gmail.com</t>
  </si>
  <si>
    <t>Carlos Krahmer</t>
  </si>
  <si>
    <t>2660</t>
  </si>
  <si>
    <t>962070342</t>
  </si>
  <si>
    <t>CONSTANZA LUCÍA</t>
  </si>
  <si>
    <t>2159</t>
  </si>
  <si>
    <t>974862073</t>
  </si>
  <si>
    <t>CONSTANZA.STEFANIA16@GMAIL.COM</t>
  </si>
  <si>
    <t>PUGIN</t>
  </si>
  <si>
    <t>920205983</t>
  </si>
  <si>
    <t>SANCHEZPUGIN@GMAIL.COM</t>
  </si>
  <si>
    <t>VILLA LA ESTANCIA FEDERICO WEISE</t>
  </si>
  <si>
    <t>37693967</t>
  </si>
  <si>
    <t>NICOLE.26PZ@GMAIL.COM</t>
  </si>
  <si>
    <t>LLOVISNA ELIZABETT</t>
  </si>
  <si>
    <t>PASAJE LOS BOLLENES</t>
  </si>
  <si>
    <t>948570585</t>
  </si>
  <si>
    <t>Pailalef</t>
  </si>
  <si>
    <t>Baez</t>
  </si>
  <si>
    <t>Farellones Norte</t>
  </si>
  <si>
    <t>958251613</t>
  </si>
  <si>
    <t>jobasema@gmail.com</t>
  </si>
  <si>
    <t>JOSÉ FRANCISCO ADRIAZOLA</t>
  </si>
  <si>
    <t>4278</t>
  </si>
  <si>
    <t>942668875</t>
  </si>
  <si>
    <t>Av circunvalación nueva región</t>
  </si>
  <si>
    <t>974925566</t>
  </si>
  <si>
    <t>claudioreyesojeda7@gmail.com</t>
  </si>
  <si>
    <t>AEDO</t>
  </si>
  <si>
    <t>955242587</t>
  </si>
  <si>
    <t>YEVENES</t>
  </si>
  <si>
    <t>92087161</t>
  </si>
  <si>
    <t>YOSELYNYEVENEZ2003@GMAIL.COM</t>
  </si>
  <si>
    <t>Pía</t>
  </si>
  <si>
    <t>Av Raúl saez</t>
  </si>
  <si>
    <t>994862406</t>
  </si>
  <si>
    <t>Cares6088@gmail.com</t>
  </si>
  <si>
    <t>Anais</t>
  </si>
  <si>
    <t>Lago Malleco</t>
  </si>
  <si>
    <t>984072938</t>
  </si>
  <si>
    <t>a.anais2003@gmail.com</t>
  </si>
  <si>
    <t>Nicolás Valentín</t>
  </si>
  <si>
    <t>2052</t>
  </si>
  <si>
    <t>976989780</t>
  </si>
  <si>
    <t>nicolasvarteaga.a@gmail.com</t>
  </si>
  <si>
    <t>947153452</t>
  </si>
  <si>
    <t>PINILLA</t>
  </si>
  <si>
    <t>957601967</t>
  </si>
  <si>
    <t>Liliana Jimena</t>
  </si>
  <si>
    <t>Francisco Hormazabal</t>
  </si>
  <si>
    <t>4021</t>
  </si>
  <si>
    <t>937880900</t>
  </si>
  <si>
    <t>liliparedes058@gmail.com</t>
  </si>
  <si>
    <t>KARINA</t>
  </si>
  <si>
    <t>978926547</t>
  </si>
  <si>
    <t>Catalina Belen</t>
  </si>
  <si>
    <t>Pasaje Curalelfu</t>
  </si>
  <si>
    <t>966623283</t>
  </si>
  <si>
    <t>ANGELICA VANESA</t>
  </si>
  <si>
    <t>CHEUQUEPAN</t>
  </si>
  <si>
    <t>ESPARZA</t>
  </si>
  <si>
    <t>877</t>
  </si>
  <si>
    <t>99474267</t>
  </si>
  <si>
    <t>ANGELICA.CHEUQUEPAN.2003@GMAIL.COM</t>
  </si>
  <si>
    <t>Nueva San martin</t>
  </si>
  <si>
    <t>942420960</t>
  </si>
  <si>
    <t>luka.lukammd@gmail.com</t>
  </si>
  <si>
    <t>FELIPE</t>
  </si>
  <si>
    <t>936500995</t>
  </si>
  <si>
    <t>Matías Sebastian</t>
  </si>
  <si>
    <t>Wokker</t>
  </si>
  <si>
    <t>Pedro montt</t>
  </si>
  <si>
    <t>2502</t>
  </si>
  <si>
    <t>934155357</t>
  </si>
  <si>
    <t>matias.wokker.sandoval@gmail.com</t>
  </si>
  <si>
    <t>LOS BELLOT</t>
  </si>
  <si>
    <t>948930794</t>
  </si>
  <si>
    <t>LEMUS</t>
  </si>
  <si>
    <t>LIBANO</t>
  </si>
  <si>
    <t>315</t>
  </si>
  <si>
    <t>97946152</t>
  </si>
  <si>
    <t>1772</t>
  </si>
  <si>
    <t>977325530</t>
  </si>
  <si>
    <t>Dominic</t>
  </si>
  <si>
    <t>932993489</t>
  </si>
  <si>
    <t>nochechan@gmail.com</t>
  </si>
  <si>
    <t>Josefa Paz</t>
  </si>
  <si>
    <t>Río San Pedro</t>
  </si>
  <si>
    <t>4071</t>
  </si>
  <si>
    <t>967192263</t>
  </si>
  <si>
    <t>arosjosefa1512@gmail.com</t>
  </si>
  <si>
    <t>Valeria</t>
  </si>
  <si>
    <t>pasaje chiloé</t>
  </si>
  <si>
    <t>43</t>
  </si>
  <si>
    <t>973650463</t>
  </si>
  <si>
    <t>Bale.andrea17@gmail.com</t>
  </si>
  <si>
    <t>AYLIN</t>
  </si>
  <si>
    <t>964952450</t>
  </si>
  <si>
    <t>iscassper@gmail.com</t>
  </si>
  <si>
    <t>Eduardo Holley</t>
  </si>
  <si>
    <t>956152689</t>
  </si>
  <si>
    <t>cristobal.mardones22@gmail.com</t>
  </si>
  <si>
    <t>Sebastian Alejandro</t>
  </si>
  <si>
    <t>Alto Guacamayo Luis damas</t>
  </si>
  <si>
    <t>959413741</t>
  </si>
  <si>
    <t>VALENTINA</t>
  </si>
  <si>
    <t>REGISTRAR DIRECCION</t>
  </si>
  <si>
    <t>Kemberly</t>
  </si>
  <si>
    <t>Galleguillos</t>
  </si>
  <si>
    <t>Ignacio de la Carrera Pasaje 11 5395</t>
  </si>
  <si>
    <t>5395</t>
  </si>
  <si>
    <t>967296819</t>
  </si>
  <si>
    <t>kemberlygalleguillos@gmail.com</t>
  </si>
  <si>
    <t>DAVID</t>
  </si>
  <si>
    <t>954485736</t>
  </si>
  <si>
    <t>LINEROS</t>
  </si>
  <si>
    <t>CASPANA</t>
  </si>
  <si>
    <t>781</t>
  </si>
  <si>
    <t>22520014</t>
  </si>
  <si>
    <t>FLORENCIALINEROS6@GMAIL.COM</t>
  </si>
  <si>
    <t>Felipe Andrés</t>
  </si>
  <si>
    <t>1386</t>
  </si>
  <si>
    <t>955202435</t>
  </si>
  <si>
    <t>fpandres272@gmail.com</t>
  </si>
  <si>
    <t>Psje Turquesa</t>
  </si>
  <si>
    <t>2227</t>
  </si>
  <si>
    <t>91058660</t>
  </si>
  <si>
    <t>Ambar Belén</t>
  </si>
  <si>
    <t>Río Loa</t>
  </si>
  <si>
    <t>298</t>
  </si>
  <si>
    <t>947355485</t>
  </si>
  <si>
    <t>ambarmella2017@gmail.com</t>
  </si>
  <si>
    <t>paicavi</t>
  </si>
  <si>
    <t>990719340</t>
  </si>
  <si>
    <t>tfuentes986@gmail.com</t>
  </si>
  <si>
    <t>Alva</t>
  </si>
  <si>
    <t>Pasaje rubí</t>
  </si>
  <si>
    <t>2241</t>
  </si>
  <si>
    <t>77305968</t>
  </si>
  <si>
    <t>soledadalvareyes2004@gmail.com</t>
  </si>
  <si>
    <t>Aymara</t>
  </si>
  <si>
    <t>52</t>
  </si>
  <si>
    <t>41148369</t>
  </si>
  <si>
    <t>paillapanruiz1@gmail.com</t>
  </si>
  <si>
    <t>Juset</t>
  </si>
  <si>
    <t>932904256</t>
  </si>
  <si>
    <t>Ale20132004min@gmail.com</t>
  </si>
  <si>
    <t>TAMARA VALENTINA</t>
  </si>
  <si>
    <t>86423160</t>
  </si>
  <si>
    <t>66334559</t>
  </si>
  <si>
    <t>javieracarrascop.z@gmail.com</t>
  </si>
  <si>
    <t>Gloria</t>
  </si>
  <si>
    <t>Velero Elida</t>
  </si>
  <si>
    <t>934379139</t>
  </si>
  <si>
    <t>ANDAUR</t>
  </si>
  <si>
    <t>1833</t>
  </si>
  <si>
    <t>933447613</t>
  </si>
  <si>
    <t>CAMILAVANESSA.AG@GMAIL.COM</t>
  </si>
  <si>
    <t>STEPHANIE</t>
  </si>
  <si>
    <t>MANSILLA</t>
  </si>
  <si>
    <t>AVENIDA CIRCUNVALACIÓN</t>
  </si>
  <si>
    <t>947034544</t>
  </si>
  <si>
    <t>Emely</t>
  </si>
  <si>
    <t>Añazco</t>
  </si>
  <si>
    <t>Bombero classing</t>
  </si>
  <si>
    <t>247</t>
  </si>
  <si>
    <t>988644033</t>
  </si>
  <si>
    <t>emelyanazco@gmail.com</t>
  </si>
  <si>
    <t>Zuloaga</t>
  </si>
  <si>
    <t>Prados de Angachilla, Robinson Perez</t>
  </si>
  <si>
    <t>92</t>
  </si>
  <si>
    <t>946712841</t>
  </si>
  <si>
    <t>ITAHUE</t>
  </si>
  <si>
    <t>946712532</t>
  </si>
  <si>
    <t>Tabata</t>
  </si>
  <si>
    <t>Luis Daman</t>
  </si>
  <si>
    <t>986617446</t>
  </si>
  <si>
    <t>SAN JOSÈ CUDICO</t>
  </si>
  <si>
    <t>995613086</t>
  </si>
  <si>
    <t>COLIPI</t>
  </si>
  <si>
    <t>YAÑEZ ZABALA MANUEL PLAZA</t>
  </si>
  <si>
    <t>2622</t>
  </si>
  <si>
    <t>CINTIA.041994@GMAIL.COM</t>
  </si>
  <si>
    <t>Pasaje Turqueza</t>
  </si>
  <si>
    <t>22046330</t>
  </si>
  <si>
    <t>68970261</t>
  </si>
  <si>
    <t>angelicafefi4@gmail.com</t>
  </si>
  <si>
    <t>VILLAR</t>
  </si>
  <si>
    <t>GARAMANTE</t>
  </si>
  <si>
    <t>ERRAZURI</t>
  </si>
  <si>
    <t>3640</t>
  </si>
  <si>
    <t>950432153</t>
  </si>
  <si>
    <t>Cinthia Paol</t>
  </si>
  <si>
    <t>los chercanes</t>
  </si>
  <si>
    <t>955332149</t>
  </si>
  <si>
    <t>2256</t>
  </si>
  <si>
    <t>976427667</t>
  </si>
  <si>
    <t>ALBRECHT</t>
  </si>
  <si>
    <t>PASAJE ARRAYAN PARCELA</t>
  </si>
  <si>
    <t>4 B</t>
  </si>
  <si>
    <t>981613483</t>
  </si>
  <si>
    <t>VICTORIA.ALVAREZ8@GMAIL.COM</t>
  </si>
  <si>
    <t>Benjamín José</t>
  </si>
  <si>
    <t>Chaaf</t>
  </si>
  <si>
    <t>quintún</t>
  </si>
  <si>
    <t>948036116</t>
  </si>
  <si>
    <t>ingriz.flores@gmail.com</t>
  </si>
  <si>
    <t>BELEN</t>
  </si>
  <si>
    <t>BRICEÑO</t>
  </si>
  <si>
    <t>SAAVEDRA</t>
  </si>
  <si>
    <t>965162561</t>
  </si>
  <si>
    <t>BELENBRI61@GMAIL.COM</t>
  </si>
  <si>
    <t>SWERTTER</t>
  </si>
  <si>
    <t>SERMANN</t>
  </si>
  <si>
    <t>708</t>
  </si>
  <si>
    <t>985703437</t>
  </si>
  <si>
    <t>997878860</t>
  </si>
  <si>
    <t>Pia</t>
  </si>
  <si>
    <t>90595649</t>
  </si>
  <si>
    <t>piafvs@gmail.com</t>
  </si>
  <si>
    <t>Sanger Joaquin</t>
  </si>
  <si>
    <t>Las gardenias</t>
  </si>
  <si>
    <t>966807069</t>
  </si>
  <si>
    <t>Matamalasanger@gmail.com</t>
  </si>
  <si>
    <t>ANASOL</t>
  </si>
  <si>
    <t>RODA</t>
  </si>
  <si>
    <t>941692277</t>
  </si>
  <si>
    <t>Joaquin Ignacio</t>
  </si>
  <si>
    <t>Bastías</t>
  </si>
  <si>
    <t>los ñan</t>
  </si>
  <si>
    <t>LOS ÑANDUE</t>
  </si>
  <si>
    <t>992104709</t>
  </si>
  <si>
    <t>Luis Dam</t>
  </si>
  <si>
    <t>78299041</t>
  </si>
  <si>
    <t>Velozo</t>
  </si>
  <si>
    <t>Pasaje 4 Oriente</t>
  </si>
  <si>
    <t>fran.mpv20@gmail.com</t>
  </si>
  <si>
    <t>Llanquiman</t>
  </si>
  <si>
    <t>Luis Damann A</t>
  </si>
  <si>
    <t>Fabiana</t>
  </si>
  <si>
    <t>Los fundadores Eduarda Gana Herrera</t>
  </si>
  <si>
    <t>7246</t>
  </si>
  <si>
    <t>997759308</t>
  </si>
  <si>
    <t>YANARA</t>
  </si>
  <si>
    <t>ITURRA</t>
  </si>
  <si>
    <t>1955</t>
  </si>
  <si>
    <t>73349891</t>
  </si>
  <si>
    <t>YANARAITURRA28@GMAIL.COM</t>
  </si>
  <si>
    <t>Tiare</t>
  </si>
  <si>
    <t>Cutiño</t>
  </si>
  <si>
    <t>avenida raul saez</t>
  </si>
  <si>
    <t>957916270</t>
  </si>
  <si>
    <t>Las manutaras</t>
  </si>
  <si>
    <t>944867151</t>
  </si>
  <si>
    <t>FERNANDARAYENB@GAMIL.COM</t>
  </si>
  <si>
    <t>LUIS AGUIRRE PINTO, Agua mARINA</t>
  </si>
  <si>
    <t>2150</t>
  </si>
  <si>
    <t>956762354</t>
  </si>
  <si>
    <t>945816553</t>
  </si>
  <si>
    <t>Chechoriffo05@gmail.com</t>
  </si>
  <si>
    <t>Lya</t>
  </si>
  <si>
    <t>Ferrer</t>
  </si>
  <si>
    <t>Arnés</t>
  </si>
  <si>
    <t>San Francisco</t>
  </si>
  <si>
    <t>064</t>
  </si>
  <si>
    <t>986980937</t>
  </si>
  <si>
    <t>Valle Hondo</t>
  </si>
  <si>
    <t>2850</t>
  </si>
  <si>
    <t>964009336</t>
  </si>
  <si>
    <t>ANTONIO FERNANDEZ 2</t>
  </si>
  <si>
    <t>3091</t>
  </si>
  <si>
    <t>954354793</t>
  </si>
  <si>
    <t>Marian Romina</t>
  </si>
  <si>
    <t>Lutzky</t>
  </si>
  <si>
    <t>Ribas</t>
  </si>
  <si>
    <t>carampangue</t>
  </si>
  <si>
    <t>956481417</t>
  </si>
  <si>
    <t>marian@colegioaliwen.cl</t>
  </si>
  <si>
    <t>LOS CEDROS</t>
  </si>
  <si>
    <t>930881137</t>
  </si>
  <si>
    <t>Vicente</t>
  </si>
  <si>
    <t>Obrequi</t>
  </si>
  <si>
    <t>702</t>
  </si>
  <si>
    <t>72174295</t>
  </si>
  <si>
    <t>Circunvalación Nueva Región</t>
  </si>
  <si>
    <t>39000228</t>
  </si>
  <si>
    <t>Hector Eleazar</t>
  </si>
  <si>
    <t>Itriago</t>
  </si>
  <si>
    <t>Sanabria</t>
  </si>
  <si>
    <t>Pasaje Rihue, parcela</t>
  </si>
  <si>
    <t>56959560812</t>
  </si>
  <si>
    <t>heitriagos@gmail.com</t>
  </si>
  <si>
    <t>Katalinna</t>
  </si>
  <si>
    <t>Muriche</t>
  </si>
  <si>
    <t>1155</t>
  </si>
  <si>
    <t>962689073</t>
  </si>
  <si>
    <t>kmuriche@gmail.com</t>
  </si>
  <si>
    <t>RICHARD</t>
  </si>
  <si>
    <t>CADENILLAS</t>
  </si>
  <si>
    <t>ORDINOLA</t>
  </si>
  <si>
    <t>PASAJE EL ROBLE</t>
  </si>
  <si>
    <t>9588300381</t>
  </si>
  <si>
    <t>963130857</t>
  </si>
  <si>
    <t>cadenillasordinola@gmail.com</t>
  </si>
  <si>
    <t>ENRIQUEZ</t>
  </si>
  <si>
    <t>9549846801</t>
  </si>
  <si>
    <t>Juliana</t>
  </si>
  <si>
    <t>Mosquera</t>
  </si>
  <si>
    <t>Chara</t>
  </si>
  <si>
    <t>73384613</t>
  </si>
  <si>
    <t>mosqueraecharakerllyjuliana@gmail.com</t>
  </si>
  <si>
    <t>ADRIANA MARÍA</t>
  </si>
  <si>
    <t>CARABALI</t>
  </si>
  <si>
    <t>MINA</t>
  </si>
  <si>
    <t>ISLA MOTA</t>
  </si>
  <si>
    <t>2435</t>
  </si>
  <si>
    <t>921975234</t>
  </si>
  <si>
    <t>CARABALIADRANAMARIA77@GMAIL.COM</t>
  </si>
  <si>
    <t>EDGAR</t>
  </si>
  <si>
    <t>1797</t>
  </si>
  <si>
    <t>951119560</t>
  </si>
  <si>
    <t>Borett</t>
  </si>
  <si>
    <t>Alberto Cristofanini Truco</t>
  </si>
  <si>
    <t>73</t>
  </si>
  <si>
    <t>982358535</t>
  </si>
  <si>
    <t>sjav.random@gmail.com</t>
  </si>
  <si>
    <t>FABIO</t>
  </si>
  <si>
    <t>BOZZEDA</t>
  </si>
  <si>
    <t>VILLA EL SOL</t>
  </si>
  <si>
    <t>944825866</t>
  </si>
  <si>
    <t>Salomé</t>
  </si>
  <si>
    <t>Garzon</t>
  </si>
  <si>
    <t>luis daman asenjo</t>
  </si>
  <si>
    <t>9935559777</t>
  </si>
  <si>
    <t>Luis Fernando</t>
  </si>
  <si>
    <t>Garzón</t>
  </si>
  <si>
    <t>Av. luis damann asenjo</t>
  </si>
  <si>
    <t>935559777</t>
  </si>
  <si>
    <t>lufegato01@gmail.com</t>
  </si>
  <si>
    <t>DANIELA.GOMEZ2002@HOTMAIL.COM</t>
  </si>
  <si>
    <t>Buitrago</t>
  </si>
  <si>
    <t>B</t>
  </si>
  <si>
    <t>Felix garcía videla</t>
  </si>
  <si>
    <t>1103</t>
  </si>
  <si>
    <t>969151223</t>
  </si>
  <si>
    <t>Valero</t>
  </si>
  <si>
    <t>Pje Ambarr</t>
  </si>
  <si>
    <t>992307746</t>
  </si>
  <si>
    <t>sofiorr96@gmail.com</t>
  </si>
  <si>
    <t>GRECHY</t>
  </si>
  <si>
    <t>CARRASQUEL</t>
  </si>
  <si>
    <t>2113</t>
  </si>
  <si>
    <t>946231498</t>
  </si>
  <si>
    <t>Maria Victoria</t>
  </si>
  <si>
    <t>Avenida circunvalación Nueva region</t>
  </si>
  <si>
    <t>1044</t>
  </si>
  <si>
    <t>961097470</t>
  </si>
  <si>
    <t>mariavictoriaruiznavarro02@gmail.com</t>
  </si>
  <si>
    <t>Lisbeth</t>
  </si>
  <si>
    <t>Velazco</t>
  </si>
  <si>
    <t>Osorno</t>
  </si>
  <si>
    <t>160</t>
  </si>
  <si>
    <t>937351913</t>
  </si>
  <si>
    <t>lisbeth6692@gmail.com</t>
  </si>
  <si>
    <t>Lipi</t>
  </si>
  <si>
    <t>Domingo Maachel</t>
  </si>
  <si>
    <t>68438453</t>
  </si>
  <si>
    <t>Guillermina</t>
  </si>
  <si>
    <t>Domeiko</t>
  </si>
  <si>
    <t>168</t>
  </si>
  <si>
    <t>987463817</t>
  </si>
  <si>
    <t>Avila</t>
  </si>
  <si>
    <t>995586517</t>
  </si>
  <si>
    <t>Antonio</t>
  </si>
  <si>
    <t>757</t>
  </si>
  <si>
    <t>965078240</t>
  </si>
  <si>
    <t>Maturana</t>
  </si>
  <si>
    <t>4307</t>
  </si>
  <si>
    <t>986054755</t>
  </si>
  <si>
    <t>Arturo</t>
  </si>
  <si>
    <t>E</t>
  </si>
  <si>
    <t>1087</t>
  </si>
  <si>
    <t>998178862</t>
  </si>
  <si>
    <t>Almazabal</t>
  </si>
  <si>
    <t>Pintor asusana barona</t>
  </si>
  <si>
    <t>1005</t>
  </si>
  <si>
    <t>998026492</t>
  </si>
  <si>
    <t>martinboudon@gmail.com</t>
  </si>
  <si>
    <t>ANTILHUE</t>
  </si>
  <si>
    <t>94720697</t>
  </si>
  <si>
    <t>VIOLET.HEINSOHN@GMAIL.COM</t>
  </si>
  <si>
    <t>Pasaje 1n</t>
  </si>
  <si>
    <t>2825</t>
  </si>
  <si>
    <t>967872902</t>
  </si>
  <si>
    <t>sandra.garces.p@gmail.com</t>
  </si>
  <si>
    <t>GUSTAVO ESTEBAN</t>
  </si>
  <si>
    <t>DEL CAMPO</t>
  </si>
  <si>
    <t>PEDREROS</t>
  </si>
  <si>
    <t>940138981</t>
  </si>
  <si>
    <t>GUILLERMINA OLGA</t>
  </si>
  <si>
    <t>PETERSEN</t>
  </si>
  <si>
    <t>977781858</t>
  </si>
  <si>
    <t>Berta</t>
  </si>
  <si>
    <t>Magurt</t>
  </si>
  <si>
    <t>91072807</t>
  </si>
  <si>
    <t>Garnica</t>
  </si>
  <si>
    <t>Los cernícalos</t>
  </si>
  <si>
    <t>982127176</t>
  </si>
  <si>
    <t>FLORIANO</t>
  </si>
  <si>
    <t>HUALME</t>
  </si>
  <si>
    <t>HUICHICOY</t>
  </si>
  <si>
    <t>989316797</t>
  </si>
  <si>
    <t>LILIANA DEL CARMEN</t>
  </si>
  <si>
    <t>MIERES</t>
  </si>
  <si>
    <t>INTENDENTE RICARDO OLEA RIVAS</t>
  </si>
  <si>
    <t>957458111</t>
  </si>
  <si>
    <t>JULIO CESAR</t>
  </si>
  <si>
    <t>632696044</t>
  </si>
  <si>
    <t>Saldivia</t>
  </si>
  <si>
    <t>Barriga</t>
  </si>
  <si>
    <t>El Laurel Pasaje 9</t>
  </si>
  <si>
    <t>5060</t>
  </si>
  <si>
    <t>20495366</t>
  </si>
  <si>
    <t>ERIKA ELENA</t>
  </si>
  <si>
    <t>VIVAR</t>
  </si>
  <si>
    <t>V.</t>
  </si>
  <si>
    <t>PASAJE LOS CHOROYES</t>
  </si>
  <si>
    <t>62210844</t>
  </si>
  <si>
    <t>Maria Del Carmen</t>
  </si>
  <si>
    <t>Moya</t>
  </si>
  <si>
    <t>1880</t>
  </si>
  <si>
    <t>986552005</t>
  </si>
  <si>
    <t>BETSABET</t>
  </si>
  <si>
    <t>ALTAMIRANO</t>
  </si>
  <si>
    <t>882</t>
  </si>
  <si>
    <t>959576621</t>
  </si>
  <si>
    <t>Sabino</t>
  </si>
  <si>
    <t>Martín</t>
  </si>
  <si>
    <t>292347</t>
  </si>
  <si>
    <t>Nuri Angelica</t>
  </si>
  <si>
    <t>Tromen</t>
  </si>
  <si>
    <t>990143336</t>
  </si>
  <si>
    <t>DUALDE</t>
  </si>
  <si>
    <t>2280</t>
  </si>
  <si>
    <t>982888701</t>
  </si>
  <si>
    <t>Fidelina</t>
  </si>
  <si>
    <t>Costanera</t>
  </si>
  <si>
    <t>987610479</t>
  </si>
  <si>
    <t>fideelcoral@gmail.com</t>
  </si>
  <si>
    <t>las begonias</t>
  </si>
  <si>
    <t>98555945</t>
  </si>
  <si>
    <t>Herminia</t>
  </si>
  <si>
    <t>4326</t>
  </si>
  <si>
    <t>974265481</t>
  </si>
  <si>
    <t>h_jimenez_aguilar@hotmail.com</t>
  </si>
  <si>
    <t>4491</t>
  </si>
  <si>
    <t>229072071</t>
  </si>
  <si>
    <t>María Isabel</t>
  </si>
  <si>
    <t>Mininco</t>
  </si>
  <si>
    <t>2457</t>
  </si>
  <si>
    <t>978862802</t>
  </si>
  <si>
    <t>mitoledoga@gmail.com</t>
  </si>
  <si>
    <t>fernanda.echavarria@gmail.com</t>
  </si>
  <si>
    <t>Hugo Alejandro</t>
  </si>
  <si>
    <t>Foitzick</t>
  </si>
  <si>
    <t>Menestra</t>
  </si>
  <si>
    <t>965296858</t>
  </si>
  <si>
    <t>FLORDELIA</t>
  </si>
  <si>
    <t>VILLANUEZA</t>
  </si>
  <si>
    <t>LAS TARRIAS</t>
  </si>
  <si>
    <t>944960916</t>
  </si>
  <si>
    <t>Heroina Francisca</t>
  </si>
  <si>
    <t>pasaje luis perez</t>
  </si>
  <si>
    <t>5090</t>
  </si>
  <si>
    <t>931881932</t>
  </si>
  <si>
    <t>RUDETMIT</t>
  </si>
  <si>
    <t>PAINEQUEO</t>
  </si>
  <si>
    <t>PASAJE LOS CAIQUENES</t>
  </si>
  <si>
    <t>75796105</t>
  </si>
  <si>
    <t>Felix Garcia</t>
  </si>
  <si>
    <t>77561440</t>
  </si>
  <si>
    <t>Propietario agresivo. no atender</t>
  </si>
  <si>
    <t>Edith</t>
  </si>
  <si>
    <t>sin direccion</t>
  </si>
  <si>
    <t>...</t>
  </si>
  <si>
    <t>QUIJADA</t>
  </si>
  <si>
    <t>CORDOBA</t>
  </si>
  <si>
    <t>INT EDUARDO GANA HERRERA</t>
  </si>
  <si>
    <t>485</t>
  </si>
  <si>
    <t>92137862</t>
  </si>
  <si>
    <t>Nelly Del Carmen</t>
  </si>
  <si>
    <t>pasaje 1</t>
  </si>
  <si>
    <t>976109512</t>
  </si>
  <si>
    <t>Virginia Del Carmen</t>
  </si>
  <si>
    <t>Rogel</t>
  </si>
  <si>
    <t>los julgueros</t>
  </si>
  <si>
    <t>Berrocal</t>
  </si>
  <si>
    <t>Pasaje</t>
  </si>
  <si>
    <t>3587</t>
  </si>
  <si>
    <t>Maneli</t>
  </si>
  <si>
    <t>Doctor Raul Leon Muñoz</t>
  </si>
  <si>
    <t>323</t>
  </si>
  <si>
    <t>985221851</t>
  </si>
  <si>
    <t>manelireyesurra@gmail.com</t>
  </si>
  <si>
    <t>ADELINA</t>
  </si>
  <si>
    <t>PASAJE 3</t>
  </si>
  <si>
    <t>585</t>
  </si>
  <si>
    <t>985038173</t>
  </si>
  <si>
    <t>YALEJANDROVASQUEZ@GMAIL.COM</t>
  </si>
  <si>
    <t>GRACIELA</t>
  </si>
  <si>
    <t>CARI</t>
  </si>
  <si>
    <t>595</t>
  </si>
  <si>
    <t>999322609</t>
  </si>
  <si>
    <t>GRACIELACARICARDENAS@GMAIL.COM</t>
  </si>
  <si>
    <t>Marlene</t>
  </si>
  <si>
    <t>Püschel</t>
  </si>
  <si>
    <t>79794623</t>
  </si>
  <si>
    <t>vale.nava.p@gmail.com</t>
  </si>
  <si>
    <t>De Arce</t>
  </si>
  <si>
    <t>Ejipto</t>
  </si>
  <si>
    <t>349</t>
  </si>
  <si>
    <t>998111307</t>
  </si>
  <si>
    <t>epergfell@gmail.com</t>
  </si>
  <si>
    <t>Pangui</t>
  </si>
  <si>
    <t>bombero hernandez</t>
  </si>
  <si>
    <t>423</t>
  </si>
  <si>
    <t>956329899</t>
  </si>
  <si>
    <t>CAMUS</t>
  </si>
  <si>
    <t>PASAJE ALGARROBO</t>
  </si>
  <si>
    <t>387</t>
  </si>
  <si>
    <t>975630336</t>
  </si>
  <si>
    <t>P. 66 Condominio Los Robles</t>
  </si>
  <si>
    <t>999496522</t>
  </si>
  <si>
    <t>IRENE</t>
  </si>
  <si>
    <t>ILABEL</t>
  </si>
  <si>
    <t>851</t>
  </si>
  <si>
    <t>99650522</t>
  </si>
  <si>
    <t>Juana</t>
  </si>
  <si>
    <t>304</t>
  </si>
  <si>
    <t>990758447</t>
  </si>
  <si>
    <t>972235939</t>
  </si>
  <si>
    <t>autoctono9@gmail.com</t>
  </si>
  <si>
    <t>Jacob</t>
  </si>
  <si>
    <t>ignacio de la carrera</t>
  </si>
  <si>
    <t>975607388</t>
  </si>
  <si>
    <t>Luzzi</t>
  </si>
  <si>
    <t>Alvaro Covarrubias</t>
  </si>
  <si>
    <t>978087534</t>
  </si>
  <si>
    <t>monicamuller123@hotmail.com</t>
  </si>
  <si>
    <t>LUZ MARINA</t>
  </si>
  <si>
    <t>Gavilán</t>
  </si>
  <si>
    <t>97734730</t>
  </si>
  <si>
    <t>Santa Carolina</t>
  </si>
  <si>
    <t>987007626</t>
  </si>
  <si>
    <t>BLANCA AURORA</t>
  </si>
  <si>
    <t>963906760</t>
  </si>
  <si>
    <t>CORTESSILVABLANCA@GMAIL.COM</t>
  </si>
  <si>
    <t>ODETTE OLIVIA</t>
  </si>
  <si>
    <t>HOFFMAN</t>
  </si>
  <si>
    <t>ANGEL MUÑOZ</t>
  </si>
  <si>
    <t>972880291</t>
  </si>
  <si>
    <t>ODETTEHOFFMANL@GMAIL.COM</t>
  </si>
  <si>
    <t>Esmerita</t>
  </si>
  <si>
    <t>993275870</t>
  </si>
  <si>
    <t>LOA RILES</t>
  </si>
  <si>
    <t>978300539</t>
  </si>
  <si>
    <t>Julio Fernando</t>
  </si>
  <si>
    <t>Catricheo</t>
  </si>
  <si>
    <t>4006</t>
  </si>
  <si>
    <t>90691147</t>
  </si>
  <si>
    <t>fernandocatricheo@gmail.com</t>
  </si>
  <si>
    <t>Astrid</t>
  </si>
  <si>
    <t>Traub</t>
  </si>
  <si>
    <t>Friz</t>
  </si>
  <si>
    <t>Felix Garcia Videla</t>
  </si>
  <si>
    <t>994363909</t>
  </si>
  <si>
    <t>narciso carvallo</t>
  </si>
  <si>
    <t>978</t>
  </si>
  <si>
    <t>949014934</t>
  </si>
  <si>
    <t>MARIA TERESA</t>
  </si>
  <si>
    <t>SAN MARTIN</t>
  </si>
  <si>
    <t>966785893</t>
  </si>
  <si>
    <t>Hidalgos</t>
  </si>
  <si>
    <t>989603768</t>
  </si>
  <si>
    <t>Enrique Flavio</t>
  </si>
  <si>
    <t>Dinamarca</t>
  </si>
  <si>
    <t>Pasaje Lovera</t>
  </si>
  <si>
    <t>940355886</t>
  </si>
  <si>
    <t>Jurgen</t>
  </si>
  <si>
    <t>Goldmann</t>
  </si>
  <si>
    <t>Maurer</t>
  </si>
  <si>
    <t>km 7 camino a huellelhue</t>
  </si>
  <si>
    <t>94334892</t>
  </si>
  <si>
    <t>Jurgen.goldmann@gmail.com</t>
  </si>
  <si>
    <t>Bolivia</t>
  </si>
  <si>
    <t>200</t>
  </si>
  <si>
    <t>979952132</t>
  </si>
  <si>
    <t>ELIANA</t>
  </si>
  <si>
    <t>657</t>
  </si>
  <si>
    <t>94824096</t>
  </si>
  <si>
    <t>CATRICHEO</t>
  </si>
  <si>
    <t>950795865</t>
  </si>
  <si>
    <t>MARTA</t>
  </si>
  <si>
    <t>78769879</t>
  </si>
  <si>
    <t>las vicuñas</t>
  </si>
  <si>
    <t>1731</t>
  </si>
  <si>
    <t>974690016</t>
  </si>
  <si>
    <t>LUENGO</t>
  </si>
  <si>
    <t>1086</t>
  </si>
  <si>
    <t>982838394</t>
  </si>
  <si>
    <t>LUENGOTORRESJOSE@GMAIL.COM</t>
  </si>
  <si>
    <t>JUDITH</t>
  </si>
  <si>
    <t>RODRIGUEZ SEGOVIA</t>
  </si>
  <si>
    <t>ESTEBAN ARISMENDI</t>
  </si>
  <si>
    <t>4077</t>
  </si>
  <si>
    <t>78135991</t>
  </si>
  <si>
    <t>OMAR</t>
  </si>
  <si>
    <t>LA TORRE</t>
  </si>
  <si>
    <t>SANTA INEZ</t>
  </si>
  <si>
    <t>3772</t>
  </si>
  <si>
    <t>942813334</t>
  </si>
  <si>
    <t>GONZÁLEZ</t>
  </si>
  <si>
    <t>LOS CERNICALOS</t>
  </si>
  <si>
    <t>937593668</t>
  </si>
  <si>
    <t>Mirta Eliana</t>
  </si>
  <si>
    <t>313</t>
  </si>
  <si>
    <t>975863961</t>
  </si>
  <si>
    <t>DINA</t>
  </si>
  <si>
    <t>LABRAÑA</t>
  </si>
  <si>
    <t>527</t>
  </si>
  <si>
    <t>988090101</t>
  </si>
  <si>
    <t>Pasaje guillermo michaeli</t>
  </si>
  <si>
    <t>98927343</t>
  </si>
  <si>
    <t>jk.jorge2015.jk@gmail.com</t>
  </si>
  <si>
    <t>CRISTINA ANDREA</t>
  </si>
  <si>
    <t>SCHULZE</t>
  </si>
  <si>
    <t>RIO SAN PEDRO</t>
  </si>
  <si>
    <t>989205224</t>
  </si>
  <si>
    <t>996450244</t>
  </si>
  <si>
    <t>pasaje D</t>
  </si>
  <si>
    <t>124</t>
  </si>
  <si>
    <t>632292184</t>
  </si>
  <si>
    <t>987773688</t>
  </si>
  <si>
    <t>4466</t>
  </si>
  <si>
    <t>997666449</t>
  </si>
  <si>
    <t>Los Ñandues 418</t>
  </si>
  <si>
    <t>418</t>
  </si>
  <si>
    <t>62757876</t>
  </si>
  <si>
    <t>MAGALY</t>
  </si>
  <si>
    <t>859</t>
  </si>
  <si>
    <t>990808352</t>
  </si>
  <si>
    <t>GLADYZ</t>
  </si>
  <si>
    <t>955881157</t>
  </si>
  <si>
    <t>GLADYSA110865PLUCITA@GMAIL.COM</t>
  </si>
  <si>
    <t>CANOUET</t>
  </si>
  <si>
    <t>94547744</t>
  </si>
  <si>
    <t>SONIA</t>
  </si>
  <si>
    <t>LLANCANIL</t>
  </si>
  <si>
    <t>ROGEL</t>
  </si>
  <si>
    <t>AVENIDA NUEVA REGION</t>
  </si>
  <si>
    <t>992524852</t>
  </si>
  <si>
    <t>SAndra Olga</t>
  </si>
  <si>
    <t>2496</t>
  </si>
  <si>
    <t>991269654</t>
  </si>
  <si>
    <t>981999069</t>
  </si>
  <si>
    <t>61538049</t>
  </si>
  <si>
    <t>Soruco</t>
  </si>
  <si>
    <t>Valverde</t>
  </si>
  <si>
    <t>Condominio Los Cisnes</t>
  </si>
  <si>
    <t>Parcela 27</t>
  </si>
  <si>
    <t>994891640</t>
  </si>
  <si>
    <t>Miriam Guillermina</t>
  </si>
  <si>
    <t>Cordova</t>
  </si>
  <si>
    <t>959571534</t>
  </si>
  <si>
    <t>JAIME</t>
  </si>
  <si>
    <t>794</t>
  </si>
  <si>
    <t>968989217</t>
  </si>
  <si>
    <t>María Inés</t>
  </si>
  <si>
    <t>soto aguilar</t>
  </si>
  <si>
    <t>242</t>
  </si>
  <si>
    <t>97669855</t>
  </si>
  <si>
    <t>mane.campos.f@gmail.com</t>
  </si>
  <si>
    <t>Venelvina</t>
  </si>
  <si>
    <t>Ruben darío</t>
  </si>
  <si>
    <t>946948178</t>
  </si>
  <si>
    <t>PABLO NERUDA PASAJE RENEQUITRAL</t>
  </si>
  <si>
    <t>2652</t>
  </si>
  <si>
    <t>937430855</t>
  </si>
  <si>
    <t>Cecilia Paulina</t>
  </si>
  <si>
    <t>956070288</t>
  </si>
  <si>
    <t>AQUEVEDO</t>
  </si>
  <si>
    <t>LOA TRAROS</t>
  </si>
  <si>
    <t>976615431</t>
  </si>
  <si>
    <t>Las nutrias</t>
  </si>
  <si>
    <t>986451024</t>
  </si>
  <si>
    <t>jobafu@hotmail.es</t>
  </si>
  <si>
    <t>Jorge Berguño</t>
  </si>
  <si>
    <t>903</t>
  </si>
  <si>
    <t>993148710</t>
  </si>
  <si>
    <t>los chilcanes</t>
  </si>
  <si>
    <t>971711904</t>
  </si>
  <si>
    <t>Domeico</t>
  </si>
  <si>
    <t>143</t>
  </si>
  <si>
    <t>996406574</t>
  </si>
  <si>
    <t>sergio.aravenaleiva@gmail.com</t>
  </si>
  <si>
    <t>ISLA GUACAMAYO</t>
  </si>
  <si>
    <t>2531</t>
  </si>
  <si>
    <t>957010521</t>
  </si>
  <si>
    <t>AV LINCH, CALLE LINTUE</t>
  </si>
  <si>
    <t>2301</t>
  </si>
  <si>
    <t>959899105</t>
  </si>
  <si>
    <t>ADRIANA</t>
  </si>
  <si>
    <t>3727</t>
  </si>
  <si>
    <t>994358153</t>
  </si>
  <si>
    <t>Gilda Del Pilar</t>
  </si>
  <si>
    <t>Utreras</t>
  </si>
  <si>
    <t>66354174</t>
  </si>
  <si>
    <t>619</t>
  </si>
  <si>
    <t>984872137</t>
  </si>
  <si>
    <t>ANAPOBLETE569@GMAIL.COM</t>
  </si>
  <si>
    <t>Psje Las Nutrias</t>
  </si>
  <si>
    <t>988068218</t>
  </si>
  <si>
    <t>pamoher@gmail.com</t>
  </si>
  <si>
    <t>Verónica Del Carmen</t>
  </si>
  <si>
    <t>las queñoas</t>
  </si>
  <si>
    <t>986648914</t>
  </si>
  <si>
    <t>veronica821963@gmail.com</t>
  </si>
  <si>
    <t>BIOLLEY</t>
  </si>
  <si>
    <t>LOS YALES</t>
  </si>
  <si>
    <t>340</t>
  </si>
  <si>
    <t>976900907</t>
  </si>
  <si>
    <t>955259776</t>
  </si>
  <si>
    <t>77701486</t>
  </si>
  <si>
    <t>Balter Alonso</t>
  </si>
  <si>
    <t>Velasco</t>
  </si>
  <si>
    <t>800</t>
  </si>
  <si>
    <t>955801612</t>
  </si>
  <si>
    <t>baltervelasco2011@gmail.com</t>
  </si>
  <si>
    <t>Jackson</t>
  </si>
  <si>
    <t>Las Avutardas</t>
  </si>
  <si>
    <t>616</t>
  </si>
  <si>
    <t>939407158</t>
  </si>
  <si>
    <t>lisselotjackson@gmail.com</t>
  </si>
  <si>
    <t>Jorge Manuel</t>
  </si>
  <si>
    <t>Olate</t>
  </si>
  <si>
    <t>288</t>
  </si>
  <si>
    <t>966225979</t>
  </si>
  <si>
    <t>LOMAS DEL HUALLE</t>
  </si>
  <si>
    <t>957111598</t>
  </si>
  <si>
    <t>ID_MASCOTA</t>
  </si>
  <si>
    <t>RUT</t>
  </si>
  <si>
    <t>NOMBRE_TUTOR</t>
  </si>
  <si>
    <t>RUT_TUTOR_CON_DATOS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</si>
</sst>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2F5A-6768-1942-B665-3052EB7D1149}">
  <dimension ref="A1:AI2357"/>
  <sheetViews>
    <sheetView showRuler="0" zoomScaleNormal="100" workbookViewId="0">
      <selection activeCell="B2" sqref="B2"/>
    </sheetView>
  </sheetViews>
  <sheetFormatPr baseColWidth="10" defaultRowHeight="15" x14ac:dyDescent="0.2"/>
  <cols>
    <col min="1" max="30" width="9.1640625" customWidth="1"/>
    <col min="31" max="31" width="8.83203125" customWidth="1"/>
    <col min="32" max="32" width="10" customWidth="1"/>
    <col min="33" max="33" width="31.1640625" customWidth="1"/>
    <col min="34" max="34" width="9.33203125" customWidth="1"/>
    <col min="35" max="256" width="8.832031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4995</v>
      </c>
      <c r="AF1" s="1" t="s">
        <v>4996</v>
      </c>
      <c r="AG1" s="1" t="s">
        <v>4997</v>
      </c>
      <c r="AH1" s="1" t="s">
        <v>4998</v>
      </c>
      <c r="AI1" s="1" t="s">
        <v>4999</v>
      </c>
    </row>
    <row r="2" spans="1:35" x14ac:dyDescent="0.2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J2" t="s">
        <v>36</v>
      </c>
      <c r="K2" t="s">
        <v>37</v>
      </c>
      <c r="L2" t="s">
        <v>38</v>
      </c>
      <c r="M2" t="s">
        <v>38</v>
      </c>
      <c r="N2" t="s">
        <v>37</v>
      </c>
      <c r="O2" t="s">
        <v>38</v>
      </c>
      <c r="Q2">
        <v>0</v>
      </c>
      <c r="T2" t="s">
        <v>38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f>SUBTOTAL(103,E2)</f>
        <v>1</v>
      </c>
      <c r="AF2">
        <f>VLOOKUP(D2,especies!$A$2:$C$9,3,FALSE)</f>
        <v>1</v>
      </c>
      <c r="AG2" t="str">
        <f>AF2&amp;"-"&amp;E2</f>
        <v>1-Mestizo</v>
      </c>
      <c r="AH2">
        <f>VLOOKUP('Fichas clínicas'!AG2,razas!$A$2:$D$66,3,FALSE)</f>
        <v>1</v>
      </c>
      <c r="AI2" t="str">
        <f>IF(F2="Hembra","H","M")</f>
        <v>H</v>
      </c>
    </row>
    <row r="3" spans="1:35" x14ac:dyDescent="0.2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34</v>
      </c>
      <c r="G3" t="s">
        <v>43</v>
      </c>
      <c r="J3" t="s">
        <v>44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T3" t="s">
        <v>38</v>
      </c>
      <c r="U3">
        <v>0</v>
      </c>
      <c r="W3">
        <v>0</v>
      </c>
      <c r="X3">
        <v>0</v>
      </c>
      <c r="Y3">
        <v>0</v>
      </c>
      <c r="AE3">
        <f t="shared" ref="AE3:AE66" si="0">SUBTOTAL(103,E3)</f>
        <v>1</v>
      </c>
      <c r="AF3">
        <f>VLOOKUP(D3,especies!$A$2:$C$9,3,FALSE)</f>
        <v>2</v>
      </c>
      <c r="AG3" t="str">
        <f t="shared" ref="AG3:AG66" si="1">AF3&amp;"-"&amp;E3</f>
        <v>2-DPC (Doméstico de pelo corto o DSH)</v>
      </c>
      <c r="AH3">
        <f>VLOOKUP('Fichas clínicas'!AG3,razas!$A$2:$D$66,3,FALSE)</f>
        <v>51</v>
      </c>
      <c r="AI3" t="str">
        <f t="shared" ref="AI3:AI66" si="2">IF(F3="Hembra","H","M")</f>
        <v>H</v>
      </c>
    </row>
    <row r="4" spans="1:35" x14ac:dyDescent="0.2">
      <c r="A4">
        <v>3</v>
      </c>
      <c r="B4" t="s">
        <v>45</v>
      </c>
      <c r="C4" t="s">
        <v>46</v>
      </c>
      <c r="D4" t="s">
        <v>41</v>
      </c>
      <c r="E4" t="s">
        <v>42</v>
      </c>
      <c r="F4" t="s">
        <v>47</v>
      </c>
      <c r="G4" t="s">
        <v>35</v>
      </c>
      <c r="J4" t="s">
        <v>48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T4" t="s">
        <v>38</v>
      </c>
      <c r="U4">
        <v>0</v>
      </c>
      <c r="W4">
        <v>0</v>
      </c>
      <c r="X4">
        <v>0</v>
      </c>
      <c r="Y4">
        <v>0</v>
      </c>
      <c r="AE4">
        <f t="shared" si="0"/>
        <v>1</v>
      </c>
      <c r="AF4">
        <f>VLOOKUP(D4,especies!$A$2:$C$9,3,FALSE)</f>
        <v>2</v>
      </c>
      <c r="AG4" t="str">
        <f t="shared" si="1"/>
        <v>2-DPC (Doméstico de pelo corto o DSH)</v>
      </c>
      <c r="AH4">
        <f>VLOOKUP('Fichas clínicas'!AG4,razas!$A$2:$D$66,3,FALSE)</f>
        <v>51</v>
      </c>
      <c r="AI4" t="str">
        <f t="shared" si="2"/>
        <v>M</v>
      </c>
    </row>
    <row r="5" spans="1:35" x14ac:dyDescent="0.2">
      <c r="A5">
        <v>4</v>
      </c>
      <c r="B5" t="s">
        <v>49</v>
      </c>
      <c r="C5" t="s">
        <v>50</v>
      </c>
      <c r="D5" t="s">
        <v>32</v>
      </c>
      <c r="E5" t="s">
        <v>33</v>
      </c>
      <c r="F5" t="s">
        <v>34</v>
      </c>
      <c r="G5" t="s">
        <v>43</v>
      </c>
      <c r="J5" t="s">
        <v>51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T5" t="s">
        <v>38</v>
      </c>
      <c r="U5">
        <v>0</v>
      </c>
      <c r="W5">
        <v>0</v>
      </c>
      <c r="X5">
        <v>0</v>
      </c>
      <c r="Y5">
        <v>0</v>
      </c>
      <c r="AE5">
        <f t="shared" si="0"/>
        <v>1</v>
      </c>
      <c r="AF5">
        <f>VLOOKUP(D5,especies!$A$2:$C$9,3,FALSE)</f>
        <v>1</v>
      </c>
      <c r="AG5" t="str">
        <f t="shared" si="1"/>
        <v>1-Mestizo</v>
      </c>
      <c r="AH5">
        <f>VLOOKUP('Fichas clínicas'!AG5,razas!$A$2:$D$66,3,FALSE)</f>
        <v>1</v>
      </c>
      <c r="AI5" t="str">
        <f t="shared" si="2"/>
        <v>H</v>
      </c>
    </row>
    <row r="6" spans="1:35" x14ac:dyDescent="0.2">
      <c r="A6">
        <v>5</v>
      </c>
      <c r="B6" t="s">
        <v>52</v>
      </c>
      <c r="C6" t="s">
        <v>53</v>
      </c>
      <c r="D6" t="s">
        <v>32</v>
      </c>
      <c r="E6" t="s">
        <v>33</v>
      </c>
      <c r="F6" t="s">
        <v>34</v>
      </c>
      <c r="G6" t="s">
        <v>54</v>
      </c>
      <c r="J6" t="s">
        <v>55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T6" t="s">
        <v>38</v>
      </c>
      <c r="U6">
        <v>0</v>
      </c>
      <c r="W6">
        <v>0</v>
      </c>
      <c r="X6">
        <v>0</v>
      </c>
      <c r="Y6">
        <v>0</v>
      </c>
      <c r="AE6">
        <f t="shared" si="0"/>
        <v>1</v>
      </c>
      <c r="AF6">
        <f>VLOOKUP(D6,especies!$A$2:$C$9,3,FALSE)</f>
        <v>1</v>
      </c>
      <c r="AG6" t="str">
        <f t="shared" si="1"/>
        <v>1-Mestizo</v>
      </c>
      <c r="AH6">
        <f>VLOOKUP('Fichas clínicas'!AG6,razas!$A$2:$D$66,3,FALSE)</f>
        <v>1</v>
      </c>
      <c r="AI6" t="str">
        <f t="shared" si="2"/>
        <v>H</v>
      </c>
    </row>
    <row r="7" spans="1:35" x14ac:dyDescent="0.2">
      <c r="A7">
        <v>6</v>
      </c>
      <c r="B7" t="s">
        <v>56</v>
      </c>
      <c r="C7" t="s">
        <v>57</v>
      </c>
      <c r="D7" t="s">
        <v>41</v>
      </c>
      <c r="E7" t="s">
        <v>42</v>
      </c>
      <c r="F7" t="s">
        <v>47</v>
      </c>
      <c r="G7" t="s">
        <v>54</v>
      </c>
      <c r="J7" t="s">
        <v>58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Q7">
        <v>0</v>
      </c>
      <c r="T7" t="s">
        <v>38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f t="shared" si="0"/>
        <v>1</v>
      </c>
      <c r="AF7">
        <f>VLOOKUP(D7,especies!$A$2:$C$9,3,FALSE)</f>
        <v>2</v>
      </c>
      <c r="AG7" t="str">
        <f t="shared" si="1"/>
        <v>2-DPC (Doméstico de pelo corto o DSH)</v>
      </c>
      <c r="AH7">
        <f>VLOOKUP('Fichas clínicas'!AG7,razas!$A$2:$D$66,3,FALSE)</f>
        <v>51</v>
      </c>
      <c r="AI7" t="str">
        <f t="shared" si="2"/>
        <v>M</v>
      </c>
    </row>
    <row r="8" spans="1:35" x14ac:dyDescent="0.2">
      <c r="A8">
        <v>7</v>
      </c>
      <c r="B8" t="s">
        <v>59</v>
      </c>
      <c r="C8" t="s">
        <v>60</v>
      </c>
      <c r="D8" t="s">
        <v>32</v>
      </c>
      <c r="E8" t="s">
        <v>33</v>
      </c>
      <c r="F8" t="s">
        <v>47</v>
      </c>
      <c r="G8" t="s">
        <v>54</v>
      </c>
      <c r="J8" t="s">
        <v>61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T8" t="s">
        <v>38</v>
      </c>
      <c r="U8">
        <v>0</v>
      </c>
      <c r="W8">
        <v>0</v>
      </c>
      <c r="X8">
        <v>0</v>
      </c>
      <c r="Y8">
        <v>0</v>
      </c>
      <c r="AE8">
        <f t="shared" si="0"/>
        <v>1</v>
      </c>
      <c r="AF8">
        <f>VLOOKUP(D8,especies!$A$2:$C$9,3,FALSE)</f>
        <v>1</v>
      </c>
      <c r="AG8" t="str">
        <f t="shared" si="1"/>
        <v>1-Mestizo</v>
      </c>
      <c r="AH8">
        <f>VLOOKUP('Fichas clínicas'!AG8,razas!$A$2:$D$66,3,FALSE)</f>
        <v>1</v>
      </c>
      <c r="AI8" t="str">
        <f t="shared" si="2"/>
        <v>M</v>
      </c>
    </row>
    <row r="9" spans="1:35" x14ac:dyDescent="0.2">
      <c r="A9">
        <v>8</v>
      </c>
      <c r="B9" t="s">
        <v>62</v>
      </c>
      <c r="C9" t="s">
        <v>60</v>
      </c>
      <c r="D9" t="s">
        <v>32</v>
      </c>
      <c r="E9" t="s">
        <v>63</v>
      </c>
      <c r="F9" t="s">
        <v>47</v>
      </c>
      <c r="G9" t="s">
        <v>64</v>
      </c>
      <c r="J9" t="s">
        <v>65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T9" t="s">
        <v>38</v>
      </c>
      <c r="U9">
        <v>0</v>
      </c>
      <c r="W9">
        <v>0</v>
      </c>
      <c r="X9">
        <v>0</v>
      </c>
      <c r="Y9">
        <v>0</v>
      </c>
      <c r="AE9">
        <f t="shared" si="0"/>
        <v>1</v>
      </c>
      <c r="AF9">
        <f>VLOOKUP(D9,especies!$A$2:$C$9,3,FALSE)</f>
        <v>1</v>
      </c>
      <c r="AG9" t="str">
        <f t="shared" si="1"/>
        <v>1-Fox Terrier Pelo Corto</v>
      </c>
      <c r="AH9">
        <f>VLOOKUP('Fichas clínicas'!AG9,razas!$A$2:$D$66,3,FALSE)</f>
        <v>2</v>
      </c>
      <c r="AI9" t="str">
        <f t="shared" si="2"/>
        <v>M</v>
      </c>
    </row>
    <row r="10" spans="1:35" x14ac:dyDescent="0.2">
      <c r="A10">
        <v>9</v>
      </c>
      <c r="B10" t="s">
        <v>66</v>
      </c>
      <c r="C10" t="s">
        <v>67</v>
      </c>
      <c r="D10" t="s">
        <v>32</v>
      </c>
      <c r="E10" t="s">
        <v>33</v>
      </c>
      <c r="F10" t="s">
        <v>47</v>
      </c>
      <c r="G10" t="s">
        <v>68</v>
      </c>
      <c r="J10" t="s">
        <v>69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T10" t="s">
        <v>38</v>
      </c>
      <c r="U10">
        <v>0</v>
      </c>
      <c r="W10">
        <v>0</v>
      </c>
      <c r="X10">
        <v>0</v>
      </c>
      <c r="Y10">
        <v>0</v>
      </c>
      <c r="AE10">
        <f t="shared" si="0"/>
        <v>1</v>
      </c>
      <c r="AF10">
        <f>VLOOKUP(D10,especies!$A$2:$C$9,3,FALSE)</f>
        <v>1</v>
      </c>
      <c r="AG10" t="str">
        <f t="shared" si="1"/>
        <v>1-Mestizo</v>
      </c>
      <c r="AH10">
        <f>VLOOKUP('Fichas clínicas'!AG10,razas!$A$2:$D$66,3,FALSE)</f>
        <v>1</v>
      </c>
      <c r="AI10" t="str">
        <f t="shared" si="2"/>
        <v>M</v>
      </c>
    </row>
    <row r="11" spans="1:35" x14ac:dyDescent="0.2">
      <c r="A11">
        <v>10</v>
      </c>
      <c r="B11" t="s">
        <v>70</v>
      </c>
      <c r="C11" t="s">
        <v>71</v>
      </c>
      <c r="D11" t="s">
        <v>32</v>
      </c>
      <c r="E11" t="s">
        <v>72</v>
      </c>
      <c r="F11" t="s">
        <v>47</v>
      </c>
      <c r="G11" t="s">
        <v>73</v>
      </c>
      <c r="J11" t="s">
        <v>74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T11" t="s">
        <v>38</v>
      </c>
      <c r="U11">
        <v>0</v>
      </c>
      <c r="W11">
        <v>0</v>
      </c>
      <c r="X11">
        <v>0</v>
      </c>
      <c r="Y11">
        <v>0</v>
      </c>
      <c r="AE11">
        <f t="shared" si="0"/>
        <v>1</v>
      </c>
      <c r="AF11">
        <f>VLOOKUP(D11,especies!$A$2:$C$9,3,FALSE)</f>
        <v>1</v>
      </c>
      <c r="AG11" t="str">
        <f t="shared" si="1"/>
        <v>1-Shar-Pei</v>
      </c>
      <c r="AH11">
        <f>VLOOKUP('Fichas clínicas'!AG11,razas!$A$2:$D$66,3,FALSE)</f>
        <v>3</v>
      </c>
      <c r="AI11" t="str">
        <f t="shared" si="2"/>
        <v>M</v>
      </c>
    </row>
    <row r="12" spans="1:35" x14ac:dyDescent="0.2">
      <c r="A12">
        <v>11</v>
      </c>
      <c r="B12" t="s">
        <v>75</v>
      </c>
      <c r="C12" t="s">
        <v>76</v>
      </c>
      <c r="D12" t="s">
        <v>41</v>
      </c>
      <c r="E12" t="s">
        <v>42</v>
      </c>
      <c r="F12" t="s">
        <v>47</v>
      </c>
      <c r="G12" t="s">
        <v>77</v>
      </c>
      <c r="J12" t="s">
        <v>78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Q12">
        <v>0</v>
      </c>
      <c r="T12" t="s">
        <v>38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f t="shared" si="0"/>
        <v>1</v>
      </c>
      <c r="AF12">
        <f>VLOOKUP(D12,especies!$A$2:$C$9,3,FALSE)</f>
        <v>2</v>
      </c>
      <c r="AG12" t="str">
        <f t="shared" si="1"/>
        <v>2-DPC (Doméstico de pelo corto o DSH)</v>
      </c>
      <c r="AH12">
        <f>VLOOKUP('Fichas clínicas'!AG12,razas!$A$2:$D$66,3,FALSE)</f>
        <v>51</v>
      </c>
      <c r="AI12" t="str">
        <f t="shared" si="2"/>
        <v>M</v>
      </c>
    </row>
    <row r="13" spans="1:35" x14ac:dyDescent="0.2">
      <c r="A13">
        <v>12</v>
      </c>
      <c r="B13" t="s">
        <v>79</v>
      </c>
      <c r="C13" t="s">
        <v>80</v>
      </c>
      <c r="D13" t="s">
        <v>32</v>
      </c>
      <c r="E13" t="s">
        <v>33</v>
      </c>
      <c r="F13" t="s">
        <v>34</v>
      </c>
      <c r="G13" t="s">
        <v>81</v>
      </c>
      <c r="J13" t="s">
        <v>82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Q13">
        <v>0</v>
      </c>
      <c r="T13" t="s">
        <v>38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f t="shared" si="0"/>
        <v>1</v>
      </c>
      <c r="AF13">
        <f>VLOOKUP(D13,especies!$A$2:$C$9,3,FALSE)</f>
        <v>1</v>
      </c>
      <c r="AG13" t="str">
        <f t="shared" si="1"/>
        <v>1-Mestizo</v>
      </c>
      <c r="AH13">
        <f>VLOOKUP('Fichas clínicas'!AG13,razas!$A$2:$D$66,3,FALSE)</f>
        <v>1</v>
      </c>
      <c r="AI13" t="str">
        <f t="shared" si="2"/>
        <v>H</v>
      </c>
    </row>
    <row r="14" spans="1:35" x14ac:dyDescent="0.2">
      <c r="A14">
        <v>13</v>
      </c>
      <c r="B14" t="s">
        <v>49</v>
      </c>
      <c r="C14" t="s">
        <v>83</v>
      </c>
      <c r="D14" t="s">
        <v>32</v>
      </c>
      <c r="E14" t="s">
        <v>33</v>
      </c>
      <c r="F14" t="s">
        <v>34</v>
      </c>
      <c r="G14" t="s">
        <v>84</v>
      </c>
      <c r="J14" t="s">
        <v>85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T14" t="s">
        <v>38</v>
      </c>
      <c r="U14">
        <v>0</v>
      </c>
      <c r="W14">
        <v>0</v>
      </c>
      <c r="X14">
        <v>0</v>
      </c>
      <c r="Y14">
        <v>0</v>
      </c>
      <c r="AE14">
        <f t="shared" si="0"/>
        <v>1</v>
      </c>
      <c r="AF14">
        <f>VLOOKUP(D14,especies!$A$2:$C$9,3,FALSE)</f>
        <v>1</v>
      </c>
      <c r="AG14" t="str">
        <f t="shared" si="1"/>
        <v>1-Mestizo</v>
      </c>
      <c r="AH14">
        <f>VLOOKUP('Fichas clínicas'!AG14,razas!$A$2:$D$66,3,FALSE)</f>
        <v>1</v>
      </c>
      <c r="AI14" t="str">
        <f t="shared" si="2"/>
        <v>H</v>
      </c>
    </row>
    <row r="15" spans="1:35" x14ac:dyDescent="0.2">
      <c r="A15">
        <v>14</v>
      </c>
      <c r="B15" t="s">
        <v>49</v>
      </c>
      <c r="C15" t="s">
        <v>86</v>
      </c>
      <c r="D15" t="s">
        <v>41</v>
      </c>
      <c r="E15" t="s">
        <v>42</v>
      </c>
      <c r="F15" t="s">
        <v>47</v>
      </c>
      <c r="G15" t="s">
        <v>43</v>
      </c>
      <c r="J15" t="s">
        <v>87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T15" t="s">
        <v>38</v>
      </c>
      <c r="U15">
        <v>0</v>
      </c>
      <c r="V15">
        <v>1</v>
      </c>
      <c r="W15">
        <v>0</v>
      </c>
      <c r="X15">
        <v>0</v>
      </c>
      <c r="Y15">
        <v>0</v>
      </c>
      <c r="AE15">
        <f t="shared" si="0"/>
        <v>1</v>
      </c>
      <c r="AF15">
        <f>VLOOKUP(D15,especies!$A$2:$C$9,3,FALSE)</f>
        <v>2</v>
      </c>
      <c r="AG15" t="str">
        <f t="shared" si="1"/>
        <v>2-DPC (Doméstico de pelo corto o DSH)</v>
      </c>
      <c r="AH15">
        <f>VLOOKUP('Fichas clínicas'!AG15,razas!$A$2:$D$66,3,FALSE)</f>
        <v>51</v>
      </c>
      <c r="AI15" t="str">
        <f t="shared" si="2"/>
        <v>M</v>
      </c>
    </row>
    <row r="16" spans="1:35" x14ac:dyDescent="0.2">
      <c r="A16">
        <v>15</v>
      </c>
      <c r="B16" t="s">
        <v>49</v>
      </c>
      <c r="C16" t="s">
        <v>88</v>
      </c>
      <c r="D16" t="s">
        <v>41</v>
      </c>
      <c r="E16" t="s">
        <v>42</v>
      </c>
      <c r="F16" t="s">
        <v>34</v>
      </c>
      <c r="G16" t="s">
        <v>89</v>
      </c>
      <c r="J16" t="s">
        <v>90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T16" t="s">
        <v>38</v>
      </c>
      <c r="U16">
        <v>0</v>
      </c>
      <c r="V16">
        <v>1</v>
      </c>
      <c r="W16">
        <v>0</v>
      </c>
      <c r="X16">
        <v>0</v>
      </c>
      <c r="Y16">
        <v>0</v>
      </c>
      <c r="AE16">
        <f t="shared" si="0"/>
        <v>1</v>
      </c>
      <c r="AF16">
        <f>VLOOKUP(D16,especies!$A$2:$C$9,3,FALSE)</f>
        <v>2</v>
      </c>
      <c r="AG16" t="str">
        <f t="shared" si="1"/>
        <v>2-DPC (Doméstico de pelo corto o DSH)</v>
      </c>
      <c r="AH16">
        <f>VLOOKUP('Fichas clínicas'!AG16,razas!$A$2:$D$66,3,FALSE)</f>
        <v>51</v>
      </c>
      <c r="AI16" t="str">
        <f t="shared" si="2"/>
        <v>H</v>
      </c>
    </row>
    <row r="17" spans="1:35" x14ac:dyDescent="0.2">
      <c r="A17">
        <v>16</v>
      </c>
      <c r="B17" t="s">
        <v>91</v>
      </c>
      <c r="C17" t="s">
        <v>92</v>
      </c>
      <c r="D17" t="s">
        <v>41</v>
      </c>
      <c r="E17" t="s">
        <v>93</v>
      </c>
      <c r="F17" t="s">
        <v>34</v>
      </c>
      <c r="G17" t="s">
        <v>77</v>
      </c>
      <c r="J17" t="s">
        <v>94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Q17">
        <v>0</v>
      </c>
      <c r="T17" t="s">
        <v>38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f t="shared" si="0"/>
        <v>1</v>
      </c>
      <c r="AF17">
        <f>VLOOKUP(D17,especies!$A$2:$C$9,3,FALSE)</f>
        <v>2</v>
      </c>
      <c r="AG17" t="str">
        <f t="shared" si="1"/>
        <v>2-DPL (Doméstico de pelo Largo o DLH)</v>
      </c>
      <c r="AH17">
        <f>VLOOKUP('Fichas clínicas'!AG17,razas!$A$2:$D$66,3,FALSE)</f>
        <v>52</v>
      </c>
      <c r="AI17" t="str">
        <f t="shared" si="2"/>
        <v>H</v>
      </c>
    </row>
    <row r="18" spans="1:35" x14ac:dyDescent="0.2">
      <c r="A18">
        <v>17</v>
      </c>
      <c r="B18" t="s">
        <v>95</v>
      </c>
      <c r="C18" t="s">
        <v>96</v>
      </c>
      <c r="D18" t="s">
        <v>32</v>
      </c>
      <c r="E18" t="s">
        <v>33</v>
      </c>
      <c r="F18" t="s">
        <v>34</v>
      </c>
      <c r="G18" t="s">
        <v>73</v>
      </c>
      <c r="J18" t="s">
        <v>97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Q18">
        <v>0</v>
      </c>
      <c r="T18" t="s">
        <v>38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f t="shared" si="0"/>
        <v>1</v>
      </c>
      <c r="AF18">
        <f>VLOOKUP(D18,especies!$A$2:$C$9,3,FALSE)</f>
        <v>1</v>
      </c>
      <c r="AG18" t="str">
        <f t="shared" si="1"/>
        <v>1-Mestizo</v>
      </c>
      <c r="AH18">
        <f>VLOOKUP('Fichas clínicas'!AG18,razas!$A$2:$D$66,3,FALSE)</f>
        <v>1</v>
      </c>
      <c r="AI18" t="str">
        <f t="shared" si="2"/>
        <v>H</v>
      </c>
    </row>
    <row r="19" spans="1:35" x14ac:dyDescent="0.2">
      <c r="A19">
        <v>18</v>
      </c>
      <c r="B19" t="s">
        <v>95</v>
      </c>
      <c r="C19" t="s">
        <v>98</v>
      </c>
      <c r="D19" t="s">
        <v>32</v>
      </c>
      <c r="E19" t="s">
        <v>33</v>
      </c>
      <c r="F19" t="s">
        <v>34</v>
      </c>
      <c r="G19" t="s">
        <v>99</v>
      </c>
      <c r="J19" t="s">
        <v>97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T19" t="s">
        <v>38</v>
      </c>
      <c r="U19">
        <v>0</v>
      </c>
      <c r="V19">
        <v>1</v>
      </c>
      <c r="W19">
        <v>0</v>
      </c>
      <c r="X19">
        <v>0</v>
      </c>
      <c r="Y19">
        <v>0</v>
      </c>
      <c r="AE19">
        <f t="shared" si="0"/>
        <v>1</v>
      </c>
      <c r="AF19">
        <f>VLOOKUP(D19,especies!$A$2:$C$9,3,FALSE)</f>
        <v>1</v>
      </c>
      <c r="AG19" t="str">
        <f t="shared" si="1"/>
        <v>1-Mestizo</v>
      </c>
      <c r="AH19">
        <f>VLOOKUP('Fichas clínicas'!AG19,razas!$A$2:$D$66,3,FALSE)</f>
        <v>1</v>
      </c>
      <c r="AI19" t="str">
        <f t="shared" si="2"/>
        <v>H</v>
      </c>
    </row>
    <row r="20" spans="1:35" x14ac:dyDescent="0.2">
      <c r="A20">
        <v>19</v>
      </c>
      <c r="B20" t="s">
        <v>100</v>
      </c>
      <c r="C20" t="s">
        <v>101</v>
      </c>
      <c r="D20" t="s">
        <v>32</v>
      </c>
      <c r="E20" t="s">
        <v>33</v>
      </c>
      <c r="F20" t="s">
        <v>47</v>
      </c>
      <c r="G20" t="s">
        <v>102</v>
      </c>
      <c r="J20" t="s">
        <v>103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T20" t="s">
        <v>38</v>
      </c>
      <c r="U20">
        <v>0</v>
      </c>
      <c r="W20">
        <v>0</v>
      </c>
      <c r="X20">
        <v>0</v>
      </c>
      <c r="Y20">
        <v>0</v>
      </c>
      <c r="AE20">
        <f t="shared" si="0"/>
        <v>1</v>
      </c>
      <c r="AF20">
        <f>VLOOKUP(D20,especies!$A$2:$C$9,3,FALSE)</f>
        <v>1</v>
      </c>
      <c r="AG20" t="str">
        <f t="shared" si="1"/>
        <v>1-Mestizo</v>
      </c>
      <c r="AH20">
        <f>VLOOKUP('Fichas clínicas'!AG20,razas!$A$2:$D$66,3,FALSE)</f>
        <v>1</v>
      </c>
      <c r="AI20" t="str">
        <f t="shared" si="2"/>
        <v>M</v>
      </c>
    </row>
    <row r="21" spans="1:35" x14ac:dyDescent="0.2">
      <c r="A21">
        <v>20</v>
      </c>
      <c r="B21" t="s">
        <v>104</v>
      </c>
      <c r="C21" t="s">
        <v>105</v>
      </c>
      <c r="D21" t="s">
        <v>32</v>
      </c>
      <c r="E21" t="s">
        <v>33</v>
      </c>
      <c r="F21" t="s">
        <v>47</v>
      </c>
      <c r="G21" t="s">
        <v>81</v>
      </c>
      <c r="J21" t="s">
        <v>106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T21" t="s">
        <v>38</v>
      </c>
      <c r="U21">
        <v>0</v>
      </c>
      <c r="W21">
        <v>0</v>
      </c>
      <c r="X21">
        <v>0</v>
      </c>
      <c r="Y21">
        <v>0</v>
      </c>
      <c r="AE21">
        <f t="shared" si="0"/>
        <v>1</v>
      </c>
      <c r="AF21">
        <f>VLOOKUP(D21,especies!$A$2:$C$9,3,FALSE)</f>
        <v>1</v>
      </c>
      <c r="AG21" t="str">
        <f t="shared" si="1"/>
        <v>1-Mestizo</v>
      </c>
      <c r="AH21">
        <f>VLOOKUP('Fichas clínicas'!AG21,razas!$A$2:$D$66,3,FALSE)</f>
        <v>1</v>
      </c>
      <c r="AI21" t="str">
        <f t="shared" si="2"/>
        <v>M</v>
      </c>
    </row>
    <row r="22" spans="1:35" x14ac:dyDescent="0.2">
      <c r="A22">
        <v>21</v>
      </c>
      <c r="B22" t="s">
        <v>107</v>
      </c>
      <c r="C22" t="s">
        <v>108</v>
      </c>
      <c r="D22" t="s">
        <v>41</v>
      </c>
      <c r="E22" t="s">
        <v>42</v>
      </c>
      <c r="F22" t="s">
        <v>47</v>
      </c>
      <c r="G22" t="s">
        <v>109</v>
      </c>
      <c r="J22" t="s">
        <v>87</v>
      </c>
      <c r="K22" t="s">
        <v>110</v>
      </c>
      <c r="L22" t="s">
        <v>38</v>
      </c>
      <c r="M22" t="s">
        <v>111</v>
      </c>
      <c r="N22" t="s">
        <v>38</v>
      </c>
      <c r="O22" t="s">
        <v>38</v>
      </c>
      <c r="Q22">
        <v>0</v>
      </c>
      <c r="T22" t="s">
        <v>38</v>
      </c>
      <c r="U22">
        <v>0</v>
      </c>
      <c r="V22">
        <v>1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f t="shared" si="0"/>
        <v>1</v>
      </c>
      <c r="AF22">
        <f>VLOOKUP(D22,especies!$A$2:$C$9,3,FALSE)</f>
        <v>2</v>
      </c>
      <c r="AG22" t="str">
        <f t="shared" si="1"/>
        <v>2-DPC (Doméstico de pelo corto o DSH)</v>
      </c>
      <c r="AH22">
        <f>VLOOKUP('Fichas clínicas'!AG22,razas!$A$2:$D$66,3,FALSE)</f>
        <v>51</v>
      </c>
      <c r="AI22" t="str">
        <f t="shared" si="2"/>
        <v>M</v>
      </c>
    </row>
    <row r="23" spans="1:35" x14ac:dyDescent="0.2">
      <c r="A23">
        <v>22</v>
      </c>
      <c r="B23" t="s">
        <v>112</v>
      </c>
      <c r="C23" t="s">
        <v>80</v>
      </c>
      <c r="D23" t="s">
        <v>32</v>
      </c>
      <c r="E23" t="s">
        <v>33</v>
      </c>
      <c r="F23" t="s">
        <v>34</v>
      </c>
      <c r="G23" t="s">
        <v>81</v>
      </c>
      <c r="J23" t="s">
        <v>113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T23" t="s">
        <v>38</v>
      </c>
      <c r="U23">
        <v>0</v>
      </c>
      <c r="V23">
        <v>1</v>
      </c>
      <c r="W23">
        <v>0</v>
      </c>
      <c r="X23">
        <v>0</v>
      </c>
      <c r="Y23">
        <v>0</v>
      </c>
      <c r="AE23">
        <f t="shared" si="0"/>
        <v>1</v>
      </c>
      <c r="AF23">
        <f>VLOOKUP(D23,especies!$A$2:$C$9,3,FALSE)</f>
        <v>1</v>
      </c>
      <c r="AG23" t="str">
        <f t="shared" si="1"/>
        <v>1-Mestizo</v>
      </c>
      <c r="AH23">
        <f>VLOOKUP('Fichas clínicas'!AG23,razas!$A$2:$D$66,3,FALSE)</f>
        <v>1</v>
      </c>
      <c r="AI23" t="str">
        <f t="shared" si="2"/>
        <v>H</v>
      </c>
    </row>
    <row r="24" spans="1:35" x14ac:dyDescent="0.2">
      <c r="A24">
        <v>23</v>
      </c>
      <c r="B24" t="s">
        <v>114</v>
      </c>
      <c r="C24" t="s">
        <v>115</v>
      </c>
      <c r="D24" t="s">
        <v>32</v>
      </c>
      <c r="E24" t="s">
        <v>33</v>
      </c>
      <c r="F24" t="s">
        <v>47</v>
      </c>
      <c r="G24" t="s">
        <v>116</v>
      </c>
      <c r="J24" t="s">
        <v>117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T24" t="s">
        <v>38</v>
      </c>
      <c r="U24">
        <v>0</v>
      </c>
      <c r="W24">
        <v>0</v>
      </c>
      <c r="X24">
        <v>0</v>
      </c>
      <c r="Y24">
        <v>0</v>
      </c>
      <c r="AE24">
        <f t="shared" si="0"/>
        <v>1</v>
      </c>
      <c r="AF24">
        <f>VLOOKUP(D24,especies!$A$2:$C$9,3,FALSE)</f>
        <v>1</v>
      </c>
      <c r="AG24" t="str">
        <f t="shared" si="1"/>
        <v>1-Mestizo</v>
      </c>
      <c r="AH24">
        <f>VLOOKUP('Fichas clínicas'!AG24,razas!$A$2:$D$66,3,FALSE)</f>
        <v>1</v>
      </c>
      <c r="AI24" t="str">
        <f t="shared" si="2"/>
        <v>M</v>
      </c>
    </row>
    <row r="25" spans="1:35" x14ac:dyDescent="0.2">
      <c r="A25">
        <v>24</v>
      </c>
      <c r="B25" t="s">
        <v>118</v>
      </c>
      <c r="C25" t="s">
        <v>53</v>
      </c>
      <c r="D25" t="s">
        <v>32</v>
      </c>
      <c r="E25" t="s">
        <v>33</v>
      </c>
      <c r="F25" t="s">
        <v>34</v>
      </c>
      <c r="G25" t="s">
        <v>43</v>
      </c>
      <c r="J25" t="s">
        <v>119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T25" t="s">
        <v>38</v>
      </c>
      <c r="U25">
        <v>0</v>
      </c>
      <c r="W25">
        <v>0</v>
      </c>
      <c r="X25">
        <v>0</v>
      </c>
      <c r="Y25">
        <v>0</v>
      </c>
      <c r="AE25">
        <f t="shared" si="0"/>
        <v>1</v>
      </c>
      <c r="AF25">
        <f>VLOOKUP(D25,especies!$A$2:$C$9,3,FALSE)</f>
        <v>1</v>
      </c>
      <c r="AG25" t="str">
        <f t="shared" si="1"/>
        <v>1-Mestizo</v>
      </c>
      <c r="AH25">
        <f>VLOOKUP('Fichas clínicas'!AG25,razas!$A$2:$D$66,3,FALSE)</f>
        <v>1</v>
      </c>
      <c r="AI25" t="str">
        <f t="shared" si="2"/>
        <v>H</v>
      </c>
    </row>
    <row r="26" spans="1:35" x14ac:dyDescent="0.2">
      <c r="A26">
        <v>25</v>
      </c>
      <c r="B26" t="s">
        <v>120</v>
      </c>
      <c r="C26" t="s">
        <v>121</v>
      </c>
      <c r="D26" t="s">
        <v>32</v>
      </c>
      <c r="E26" t="s">
        <v>122</v>
      </c>
      <c r="F26" t="s">
        <v>34</v>
      </c>
      <c r="G26" t="s">
        <v>123</v>
      </c>
      <c r="J26" t="s">
        <v>124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T26" t="s">
        <v>38</v>
      </c>
      <c r="U26">
        <v>0</v>
      </c>
      <c r="W26">
        <v>0</v>
      </c>
      <c r="X26">
        <v>0</v>
      </c>
      <c r="Y26">
        <v>0</v>
      </c>
      <c r="AE26">
        <f t="shared" si="0"/>
        <v>1</v>
      </c>
      <c r="AF26">
        <f>VLOOKUP(D26,especies!$A$2:$C$9,3,FALSE)</f>
        <v>1</v>
      </c>
      <c r="AG26" t="str">
        <f t="shared" si="1"/>
        <v>1-Caniche</v>
      </c>
      <c r="AH26">
        <f>VLOOKUP('Fichas clínicas'!AG26,razas!$A$2:$D$66,3,FALSE)</f>
        <v>4</v>
      </c>
      <c r="AI26" t="str">
        <f t="shared" si="2"/>
        <v>H</v>
      </c>
    </row>
    <row r="27" spans="1:35" x14ac:dyDescent="0.2">
      <c r="A27">
        <v>26</v>
      </c>
      <c r="B27" t="s">
        <v>125</v>
      </c>
      <c r="C27" t="s">
        <v>126</v>
      </c>
      <c r="D27" t="s">
        <v>32</v>
      </c>
      <c r="E27" t="s">
        <v>33</v>
      </c>
      <c r="F27" t="s">
        <v>47</v>
      </c>
      <c r="G27" t="s">
        <v>43</v>
      </c>
      <c r="J27" t="s">
        <v>127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T27" t="s">
        <v>38</v>
      </c>
      <c r="U27">
        <v>0</v>
      </c>
      <c r="W27">
        <v>0</v>
      </c>
      <c r="X27">
        <v>0</v>
      </c>
      <c r="Y27">
        <v>0</v>
      </c>
      <c r="AE27">
        <f t="shared" si="0"/>
        <v>1</v>
      </c>
      <c r="AF27">
        <f>VLOOKUP(D27,especies!$A$2:$C$9,3,FALSE)</f>
        <v>1</v>
      </c>
      <c r="AG27" t="str">
        <f t="shared" si="1"/>
        <v>1-Mestizo</v>
      </c>
      <c r="AH27">
        <f>VLOOKUP('Fichas clínicas'!AG27,razas!$A$2:$D$66,3,FALSE)</f>
        <v>1</v>
      </c>
      <c r="AI27" t="str">
        <f t="shared" si="2"/>
        <v>M</v>
      </c>
    </row>
    <row r="28" spans="1:35" x14ac:dyDescent="0.2">
      <c r="A28">
        <v>27</v>
      </c>
      <c r="B28" t="s">
        <v>128</v>
      </c>
      <c r="C28" t="s">
        <v>129</v>
      </c>
      <c r="D28" t="s">
        <v>32</v>
      </c>
      <c r="E28" t="s">
        <v>33</v>
      </c>
      <c r="F28" t="s">
        <v>34</v>
      </c>
      <c r="G28" t="s">
        <v>99</v>
      </c>
      <c r="J28" t="s">
        <v>130</v>
      </c>
      <c r="K28" t="s">
        <v>131</v>
      </c>
      <c r="L28" t="s">
        <v>38</v>
      </c>
      <c r="M28" t="s">
        <v>38</v>
      </c>
      <c r="N28" t="s">
        <v>38</v>
      </c>
      <c r="O28" t="s">
        <v>38</v>
      </c>
      <c r="Q28">
        <v>0</v>
      </c>
      <c r="T28" t="s">
        <v>38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f t="shared" si="0"/>
        <v>1</v>
      </c>
      <c r="AF28">
        <f>VLOOKUP(D28,especies!$A$2:$C$9,3,FALSE)</f>
        <v>1</v>
      </c>
      <c r="AG28" t="str">
        <f t="shared" si="1"/>
        <v>1-Mestizo</v>
      </c>
      <c r="AH28">
        <f>VLOOKUP('Fichas clínicas'!AG28,razas!$A$2:$D$66,3,FALSE)</f>
        <v>1</v>
      </c>
      <c r="AI28" t="str">
        <f t="shared" si="2"/>
        <v>H</v>
      </c>
    </row>
    <row r="29" spans="1:35" x14ac:dyDescent="0.2">
      <c r="A29">
        <v>28</v>
      </c>
      <c r="B29" t="s">
        <v>132</v>
      </c>
      <c r="C29" t="s">
        <v>133</v>
      </c>
      <c r="D29" t="s">
        <v>32</v>
      </c>
      <c r="E29" t="s">
        <v>33</v>
      </c>
      <c r="F29" t="s">
        <v>47</v>
      </c>
      <c r="G29" t="s">
        <v>134</v>
      </c>
      <c r="J29" t="s">
        <v>135</v>
      </c>
      <c r="K29" t="s">
        <v>136</v>
      </c>
      <c r="L29" t="s">
        <v>38</v>
      </c>
      <c r="M29" t="s">
        <v>38</v>
      </c>
      <c r="N29" t="s">
        <v>136</v>
      </c>
      <c r="O29" t="s">
        <v>38</v>
      </c>
      <c r="Q29">
        <v>0</v>
      </c>
      <c r="T29" t="s">
        <v>38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f t="shared" si="0"/>
        <v>1</v>
      </c>
      <c r="AF29">
        <f>VLOOKUP(D29,especies!$A$2:$C$9,3,FALSE)</f>
        <v>1</v>
      </c>
      <c r="AG29" t="str">
        <f t="shared" si="1"/>
        <v>1-Mestizo</v>
      </c>
      <c r="AH29">
        <f>VLOOKUP('Fichas clínicas'!AG29,razas!$A$2:$D$66,3,FALSE)</f>
        <v>1</v>
      </c>
      <c r="AI29" t="str">
        <f t="shared" si="2"/>
        <v>M</v>
      </c>
    </row>
    <row r="30" spans="1:35" x14ac:dyDescent="0.2">
      <c r="A30">
        <v>29</v>
      </c>
      <c r="B30" t="s">
        <v>137</v>
      </c>
      <c r="C30" t="s">
        <v>138</v>
      </c>
      <c r="D30" t="s">
        <v>32</v>
      </c>
      <c r="E30" t="s">
        <v>33</v>
      </c>
      <c r="F30" t="s">
        <v>47</v>
      </c>
      <c r="G30" t="s">
        <v>123</v>
      </c>
      <c r="I30">
        <v>900113001676627</v>
      </c>
      <c r="J30" t="s">
        <v>139</v>
      </c>
      <c r="K30" t="s">
        <v>38</v>
      </c>
      <c r="L30" t="s">
        <v>38</v>
      </c>
      <c r="M30" t="s">
        <v>38</v>
      </c>
      <c r="N30" t="s">
        <v>38</v>
      </c>
      <c r="O30" t="s">
        <v>131</v>
      </c>
      <c r="Q30">
        <v>0</v>
      </c>
      <c r="T30" t="s">
        <v>140</v>
      </c>
      <c r="U30">
        <v>7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f t="shared" si="0"/>
        <v>1</v>
      </c>
      <c r="AF30">
        <f>VLOOKUP(D30,especies!$A$2:$C$9,3,FALSE)</f>
        <v>1</v>
      </c>
      <c r="AG30" t="str">
        <f t="shared" si="1"/>
        <v>1-Mestizo</v>
      </c>
      <c r="AH30">
        <f>VLOOKUP('Fichas clínicas'!AG30,razas!$A$2:$D$66,3,FALSE)</f>
        <v>1</v>
      </c>
      <c r="AI30" t="str">
        <f t="shared" si="2"/>
        <v>M</v>
      </c>
    </row>
    <row r="31" spans="1:35" x14ac:dyDescent="0.2">
      <c r="A31">
        <v>30</v>
      </c>
      <c r="B31" t="s">
        <v>141</v>
      </c>
      <c r="C31" t="s">
        <v>142</v>
      </c>
      <c r="D31" t="s">
        <v>32</v>
      </c>
      <c r="E31" t="s">
        <v>143</v>
      </c>
      <c r="F31" t="s">
        <v>47</v>
      </c>
      <c r="G31" t="s">
        <v>54</v>
      </c>
      <c r="J31" t="s">
        <v>144</v>
      </c>
      <c r="K31" t="s">
        <v>145</v>
      </c>
      <c r="L31" t="s">
        <v>146</v>
      </c>
      <c r="M31" t="s">
        <v>145</v>
      </c>
      <c r="N31" t="s">
        <v>147</v>
      </c>
      <c r="O31" t="s">
        <v>38</v>
      </c>
      <c r="Q31">
        <v>0</v>
      </c>
      <c r="T31" t="s">
        <v>38</v>
      </c>
      <c r="U31">
        <v>0</v>
      </c>
      <c r="V31">
        <v>0</v>
      </c>
      <c r="W31">
        <v>0</v>
      </c>
      <c r="X31">
        <v>1</v>
      </c>
      <c r="Y31">
        <v>6</v>
      </c>
      <c r="Z31">
        <v>0</v>
      </c>
      <c r="AA31">
        <v>0</v>
      </c>
      <c r="AB31">
        <v>0</v>
      </c>
      <c r="AC31">
        <v>0</v>
      </c>
      <c r="AD31">
        <v>0</v>
      </c>
      <c r="AE31">
        <f t="shared" si="0"/>
        <v>1</v>
      </c>
      <c r="AF31">
        <f>VLOOKUP(D31,especies!$A$2:$C$9,3,FALSE)</f>
        <v>1</v>
      </c>
      <c r="AG31" t="str">
        <f t="shared" si="1"/>
        <v>1-Yorkshire Terrier</v>
      </c>
      <c r="AH31">
        <f>VLOOKUP('Fichas clínicas'!AG31,razas!$A$2:$D$66,3,FALSE)</f>
        <v>5</v>
      </c>
      <c r="AI31" t="str">
        <f t="shared" si="2"/>
        <v>M</v>
      </c>
    </row>
    <row r="32" spans="1:35" x14ac:dyDescent="0.2">
      <c r="A32">
        <v>31</v>
      </c>
      <c r="B32" t="s">
        <v>148</v>
      </c>
      <c r="C32" t="s">
        <v>149</v>
      </c>
      <c r="D32" t="s">
        <v>32</v>
      </c>
      <c r="E32" t="s">
        <v>150</v>
      </c>
      <c r="F32" t="s">
        <v>34</v>
      </c>
      <c r="G32" t="s">
        <v>43</v>
      </c>
      <c r="J32" t="s">
        <v>151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Q32">
        <v>0</v>
      </c>
      <c r="T32" t="s">
        <v>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f t="shared" si="0"/>
        <v>1</v>
      </c>
      <c r="AF32">
        <f>VLOOKUP(D32,especies!$A$2:$C$9,3,FALSE)</f>
        <v>1</v>
      </c>
      <c r="AG32" t="str">
        <f t="shared" si="1"/>
        <v>1-Poodle</v>
      </c>
      <c r="AH32">
        <f>VLOOKUP('Fichas clínicas'!AG32,razas!$A$2:$D$66,3,FALSE)</f>
        <v>6</v>
      </c>
      <c r="AI32" t="str">
        <f t="shared" si="2"/>
        <v>H</v>
      </c>
    </row>
    <row r="33" spans="1:35" x14ac:dyDescent="0.2">
      <c r="A33">
        <v>32</v>
      </c>
      <c r="B33" t="s">
        <v>152</v>
      </c>
      <c r="C33" t="s">
        <v>153</v>
      </c>
      <c r="D33" t="s">
        <v>32</v>
      </c>
      <c r="E33" t="s">
        <v>33</v>
      </c>
      <c r="F33" t="s">
        <v>34</v>
      </c>
      <c r="G33" t="s">
        <v>43</v>
      </c>
      <c r="J33" t="s">
        <v>154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T33" t="s">
        <v>38</v>
      </c>
      <c r="U33">
        <v>0</v>
      </c>
      <c r="W33">
        <v>0</v>
      </c>
      <c r="X33">
        <v>0</v>
      </c>
      <c r="Y33">
        <v>0</v>
      </c>
      <c r="AE33">
        <f t="shared" si="0"/>
        <v>1</v>
      </c>
      <c r="AF33">
        <f>VLOOKUP(D33,especies!$A$2:$C$9,3,FALSE)</f>
        <v>1</v>
      </c>
      <c r="AG33" t="str">
        <f t="shared" si="1"/>
        <v>1-Mestizo</v>
      </c>
      <c r="AH33">
        <f>VLOOKUP('Fichas clínicas'!AG33,razas!$A$2:$D$66,3,FALSE)</f>
        <v>1</v>
      </c>
      <c r="AI33" t="str">
        <f t="shared" si="2"/>
        <v>H</v>
      </c>
    </row>
    <row r="34" spans="1:35" x14ac:dyDescent="0.2">
      <c r="A34">
        <v>33</v>
      </c>
      <c r="B34" t="s">
        <v>155</v>
      </c>
      <c r="C34" t="s">
        <v>156</v>
      </c>
      <c r="D34" t="s">
        <v>32</v>
      </c>
      <c r="E34" t="s">
        <v>33</v>
      </c>
      <c r="F34" t="s">
        <v>47</v>
      </c>
      <c r="G34" t="s">
        <v>81</v>
      </c>
      <c r="J34" t="s">
        <v>157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T34" t="s">
        <v>38</v>
      </c>
      <c r="U34">
        <v>0</v>
      </c>
      <c r="W34">
        <v>0</v>
      </c>
      <c r="X34">
        <v>0</v>
      </c>
      <c r="Y34">
        <v>0</v>
      </c>
      <c r="AE34">
        <f t="shared" si="0"/>
        <v>1</v>
      </c>
      <c r="AF34">
        <f>VLOOKUP(D34,especies!$A$2:$C$9,3,FALSE)</f>
        <v>1</v>
      </c>
      <c r="AG34" t="str">
        <f t="shared" si="1"/>
        <v>1-Mestizo</v>
      </c>
      <c r="AH34">
        <f>VLOOKUP('Fichas clínicas'!AG34,razas!$A$2:$D$66,3,FALSE)</f>
        <v>1</v>
      </c>
      <c r="AI34" t="str">
        <f t="shared" si="2"/>
        <v>M</v>
      </c>
    </row>
    <row r="35" spans="1:35" x14ac:dyDescent="0.2">
      <c r="A35">
        <v>34</v>
      </c>
      <c r="B35" t="s">
        <v>158</v>
      </c>
      <c r="C35" t="s">
        <v>159</v>
      </c>
      <c r="D35" t="s">
        <v>32</v>
      </c>
      <c r="E35" t="s">
        <v>160</v>
      </c>
      <c r="F35" t="s">
        <v>47</v>
      </c>
      <c r="G35" t="s">
        <v>116</v>
      </c>
      <c r="J35" t="s">
        <v>161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T35" t="s">
        <v>38</v>
      </c>
      <c r="U35">
        <v>0</v>
      </c>
      <c r="V35">
        <v>1</v>
      </c>
      <c r="W35">
        <v>0</v>
      </c>
      <c r="X35">
        <v>0</v>
      </c>
      <c r="Y35">
        <v>0</v>
      </c>
      <c r="AE35">
        <f t="shared" si="0"/>
        <v>1</v>
      </c>
      <c r="AF35">
        <f>VLOOKUP(D35,especies!$A$2:$C$9,3,FALSE)</f>
        <v>1</v>
      </c>
      <c r="AG35" t="str">
        <f t="shared" si="1"/>
        <v>1-Shih Tzu</v>
      </c>
      <c r="AH35">
        <f>VLOOKUP('Fichas clínicas'!AG35,razas!$A$2:$D$66,3,FALSE)</f>
        <v>7</v>
      </c>
      <c r="AI35" t="str">
        <f t="shared" si="2"/>
        <v>M</v>
      </c>
    </row>
    <row r="36" spans="1:35" x14ac:dyDescent="0.2">
      <c r="A36">
        <v>35</v>
      </c>
      <c r="B36" t="s">
        <v>162</v>
      </c>
      <c r="C36" t="s">
        <v>163</v>
      </c>
      <c r="D36" t="s">
        <v>32</v>
      </c>
      <c r="E36" t="s">
        <v>164</v>
      </c>
      <c r="F36" t="s">
        <v>47</v>
      </c>
      <c r="G36" t="s">
        <v>165</v>
      </c>
      <c r="J36" t="s">
        <v>166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T36" t="s">
        <v>38</v>
      </c>
      <c r="U36">
        <v>0</v>
      </c>
      <c r="W36">
        <v>0</v>
      </c>
      <c r="X36">
        <v>0</v>
      </c>
      <c r="Y36">
        <v>0</v>
      </c>
      <c r="AE36">
        <f t="shared" si="0"/>
        <v>1</v>
      </c>
      <c r="AF36">
        <f>VLOOKUP(D36,especies!$A$2:$C$9,3,FALSE)</f>
        <v>1</v>
      </c>
      <c r="AG36" t="str">
        <f t="shared" si="1"/>
        <v>1-Teckel</v>
      </c>
      <c r="AH36">
        <f>VLOOKUP('Fichas clínicas'!AG36,razas!$A$2:$D$66,3,FALSE)</f>
        <v>8</v>
      </c>
      <c r="AI36" t="str">
        <f t="shared" si="2"/>
        <v>M</v>
      </c>
    </row>
    <row r="37" spans="1:35" x14ac:dyDescent="0.2">
      <c r="A37">
        <v>36</v>
      </c>
      <c r="B37" t="s">
        <v>167</v>
      </c>
      <c r="C37" t="s">
        <v>168</v>
      </c>
      <c r="D37" t="s">
        <v>41</v>
      </c>
      <c r="E37" t="s">
        <v>42</v>
      </c>
      <c r="F37" t="s">
        <v>47</v>
      </c>
      <c r="G37" t="s">
        <v>169</v>
      </c>
      <c r="J37" t="s">
        <v>170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Q37">
        <v>0</v>
      </c>
      <c r="T37" t="s">
        <v>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f t="shared" si="0"/>
        <v>1</v>
      </c>
      <c r="AF37">
        <f>VLOOKUP(D37,especies!$A$2:$C$9,3,FALSE)</f>
        <v>2</v>
      </c>
      <c r="AG37" t="str">
        <f t="shared" si="1"/>
        <v>2-DPC (Doméstico de pelo corto o DSH)</v>
      </c>
      <c r="AH37">
        <f>VLOOKUP('Fichas clínicas'!AG37,razas!$A$2:$D$66,3,FALSE)</f>
        <v>51</v>
      </c>
      <c r="AI37" t="str">
        <f t="shared" si="2"/>
        <v>M</v>
      </c>
    </row>
    <row r="38" spans="1:35" x14ac:dyDescent="0.2">
      <c r="A38">
        <v>37</v>
      </c>
      <c r="B38" t="s">
        <v>171</v>
      </c>
      <c r="C38" t="s">
        <v>172</v>
      </c>
      <c r="D38" t="s">
        <v>41</v>
      </c>
      <c r="E38" t="s">
        <v>42</v>
      </c>
      <c r="F38" t="s">
        <v>34</v>
      </c>
      <c r="G38" t="s">
        <v>169</v>
      </c>
      <c r="J38" t="s">
        <v>173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T38" t="s">
        <v>38</v>
      </c>
      <c r="U38">
        <v>0</v>
      </c>
      <c r="V38">
        <v>1</v>
      </c>
      <c r="W38">
        <v>0</v>
      </c>
      <c r="X38">
        <v>0</v>
      </c>
      <c r="Y38">
        <v>0</v>
      </c>
      <c r="AE38">
        <f t="shared" si="0"/>
        <v>1</v>
      </c>
      <c r="AF38">
        <f>VLOOKUP(D38,especies!$A$2:$C$9,3,FALSE)</f>
        <v>2</v>
      </c>
      <c r="AG38" t="str">
        <f t="shared" si="1"/>
        <v>2-DPC (Doméstico de pelo corto o DSH)</v>
      </c>
      <c r="AH38">
        <f>VLOOKUP('Fichas clínicas'!AG38,razas!$A$2:$D$66,3,FALSE)</f>
        <v>51</v>
      </c>
      <c r="AI38" t="str">
        <f t="shared" si="2"/>
        <v>H</v>
      </c>
    </row>
    <row r="39" spans="1:35" x14ac:dyDescent="0.2">
      <c r="A39">
        <v>38</v>
      </c>
      <c r="B39" t="s">
        <v>49</v>
      </c>
      <c r="C39" t="s">
        <v>174</v>
      </c>
      <c r="D39" t="s">
        <v>32</v>
      </c>
      <c r="E39" t="s">
        <v>33</v>
      </c>
      <c r="F39" t="s">
        <v>47</v>
      </c>
      <c r="G39" t="s">
        <v>175</v>
      </c>
      <c r="J39" t="s">
        <v>82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T39" t="s">
        <v>38</v>
      </c>
      <c r="U39">
        <v>0</v>
      </c>
      <c r="W39">
        <v>0</v>
      </c>
      <c r="X39">
        <v>0</v>
      </c>
      <c r="Y39">
        <v>0</v>
      </c>
      <c r="AE39">
        <f t="shared" si="0"/>
        <v>1</v>
      </c>
      <c r="AF39">
        <f>VLOOKUP(D39,especies!$A$2:$C$9,3,FALSE)</f>
        <v>1</v>
      </c>
      <c r="AG39" t="str">
        <f t="shared" si="1"/>
        <v>1-Mestizo</v>
      </c>
      <c r="AH39">
        <f>VLOOKUP('Fichas clínicas'!AG39,razas!$A$2:$D$66,3,FALSE)</f>
        <v>1</v>
      </c>
      <c r="AI39" t="str">
        <f t="shared" si="2"/>
        <v>M</v>
      </c>
    </row>
    <row r="40" spans="1:35" x14ac:dyDescent="0.2">
      <c r="A40">
        <v>39</v>
      </c>
      <c r="B40" t="s">
        <v>176</v>
      </c>
      <c r="C40" t="s">
        <v>177</v>
      </c>
      <c r="D40" t="s">
        <v>41</v>
      </c>
      <c r="E40" t="s">
        <v>42</v>
      </c>
      <c r="F40" t="s">
        <v>34</v>
      </c>
      <c r="G40" t="s">
        <v>77</v>
      </c>
      <c r="J40" t="s">
        <v>178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T40" t="s">
        <v>38</v>
      </c>
      <c r="U40">
        <v>0</v>
      </c>
      <c r="V40">
        <v>1</v>
      </c>
      <c r="W40">
        <v>0</v>
      </c>
      <c r="X40">
        <v>0</v>
      </c>
      <c r="Y40">
        <v>0</v>
      </c>
      <c r="AE40">
        <f t="shared" si="0"/>
        <v>1</v>
      </c>
      <c r="AF40">
        <f>VLOOKUP(D40,especies!$A$2:$C$9,3,FALSE)</f>
        <v>2</v>
      </c>
      <c r="AG40" t="str">
        <f t="shared" si="1"/>
        <v>2-DPC (Doméstico de pelo corto o DSH)</v>
      </c>
      <c r="AH40">
        <f>VLOOKUP('Fichas clínicas'!AG40,razas!$A$2:$D$66,3,FALSE)</f>
        <v>51</v>
      </c>
      <c r="AI40" t="str">
        <f t="shared" si="2"/>
        <v>H</v>
      </c>
    </row>
    <row r="41" spans="1:35" x14ac:dyDescent="0.2">
      <c r="A41">
        <v>40</v>
      </c>
      <c r="B41" t="s">
        <v>179</v>
      </c>
      <c r="C41" t="s">
        <v>180</v>
      </c>
      <c r="D41" t="s">
        <v>41</v>
      </c>
      <c r="E41" t="s">
        <v>42</v>
      </c>
      <c r="F41" t="s">
        <v>47</v>
      </c>
      <c r="G41" t="s">
        <v>77</v>
      </c>
      <c r="J41" t="s">
        <v>181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182</v>
      </c>
      <c r="Q41">
        <v>1</v>
      </c>
      <c r="T41" t="s">
        <v>38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f t="shared" si="0"/>
        <v>1</v>
      </c>
      <c r="AF41">
        <f>VLOOKUP(D41,especies!$A$2:$C$9,3,FALSE)</f>
        <v>2</v>
      </c>
      <c r="AG41" t="str">
        <f t="shared" si="1"/>
        <v>2-DPC (Doméstico de pelo corto o DSH)</v>
      </c>
      <c r="AH41">
        <f>VLOOKUP('Fichas clínicas'!AG41,razas!$A$2:$D$66,3,FALSE)</f>
        <v>51</v>
      </c>
      <c r="AI41" t="str">
        <f t="shared" si="2"/>
        <v>M</v>
      </c>
    </row>
    <row r="42" spans="1:35" x14ac:dyDescent="0.2">
      <c r="A42">
        <v>41</v>
      </c>
      <c r="B42" t="s">
        <v>183</v>
      </c>
      <c r="C42" t="s">
        <v>184</v>
      </c>
      <c r="D42" t="s">
        <v>41</v>
      </c>
      <c r="E42" t="s">
        <v>42</v>
      </c>
      <c r="F42" t="s">
        <v>47</v>
      </c>
      <c r="G42" t="s">
        <v>77</v>
      </c>
      <c r="J42" t="s">
        <v>185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T42" t="s">
        <v>38</v>
      </c>
      <c r="U42">
        <v>0</v>
      </c>
      <c r="W42">
        <v>0</v>
      </c>
      <c r="X42">
        <v>0</v>
      </c>
      <c r="Y42">
        <v>0</v>
      </c>
      <c r="AE42">
        <f t="shared" si="0"/>
        <v>1</v>
      </c>
      <c r="AF42">
        <f>VLOOKUP(D42,especies!$A$2:$C$9,3,FALSE)</f>
        <v>2</v>
      </c>
      <c r="AG42" t="str">
        <f t="shared" si="1"/>
        <v>2-DPC (Doméstico de pelo corto o DSH)</v>
      </c>
      <c r="AH42">
        <f>VLOOKUP('Fichas clínicas'!AG42,razas!$A$2:$D$66,3,FALSE)</f>
        <v>51</v>
      </c>
      <c r="AI42" t="str">
        <f t="shared" si="2"/>
        <v>M</v>
      </c>
    </row>
    <row r="43" spans="1:35" x14ac:dyDescent="0.2">
      <c r="A43">
        <v>42</v>
      </c>
      <c r="B43" t="s">
        <v>186</v>
      </c>
      <c r="C43" t="s">
        <v>187</v>
      </c>
      <c r="D43" t="s">
        <v>32</v>
      </c>
      <c r="E43" t="s">
        <v>33</v>
      </c>
      <c r="F43" t="s">
        <v>34</v>
      </c>
      <c r="G43" t="s">
        <v>188</v>
      </c>
      <c r="J43" t="s">
        <v>130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Q43">
        <v>0</v>
      </c>
      <c r="T43" t="s">
        <v>38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f t="shared" si="0"/>
        <v>1</v>
      </c>
      <c r="AF43">
        <f>VLOOKUP(D43,especies!$A$2:$C$9,3,FALSE)</f>
        <v>1</v>
      </c>
      <c r="AG43" t="str">
        <f t="shared" si="1"/>
        <v>1-Mestizo</v>
      </c>
      <c r="AH43">
        <f>VLOOKUP('Fichas clínicas'!AG43,razas!$A$2:$D$66,3,FALSE)</f>
        <v>1</v>
      </c>
      <c r="AI43" t="str">
        <f t="shared" si="2"/>
        <v>H</v>
      </c>
    </row>
    <row r="44" spans="1:35" x14ac:dyDescent="0.2">
      <c r="A44">
        <v>43</v>
      </c>
      <c r="B44" t="s">
        <v>189</v>
      </c>
      <c r="C44" t="s">
        <v>190</v>
      </c>
      <c r="D44" t="s">
        <v>32</v>
      </c>
      <c r="E44" t="s">
        <v>164</v>
      </c>
      <c r="F44" t="s">
        <v>47</v>
      </c>
      <c r="G44" t="s">
        <v>165</v>
      </c>
      <c r="J44" t="s">
        <v>191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T44" t="s">
        <v>38</v>
      </c>
      <c r="U44">
        <v>0</v>
      </c>
      <c r="V44">
        <v>1</v>
      </c>
      <c r="W44">
        <v>0</v>
      </c>
      <c r="X44">
        <v>0</v>
      </c>
      <c r="Y44">
        <v>0</v>
      </c>
      <c r="AE44">
        <f t="shared" si="0"/>
        <v>1</v>
      </c>
      <c r="AF44">
        <f>VLOOKUP(D44,especies!$A$2:$C$9,3,FALSE)</f>
        <v>1</v>
      </c>
      <c r="AG44" t="str">
        <f t="shared" si="1"/>
        <v>1-Teckel</v>
      </c>
      <c r="AH44">
        <f>VLOOKUP('Fichas clínicas'!AG44,razas!$A$2:$D$66,3,FALSE)</f>
        <v>8</v>
      </c>
      <c r="AI44" t="str">
        <f t="shared" si="2"/>
        <v>M</v>
      </c>
    </row>
    <row r="45" spans="1:35" x14ac:dyDescent="0.2">
      <c r="A45">
        <v>44</v>
      </c>
      <c r="B45" t="s">
        <v>192</v>
      </c>
      <c r="C45" t="s">
        <v>193</v>
      </c>
      <c r="D45" t="s">
        <v>41</v>
      </c>
      <c r="E45" t="s">
        <v>42</v>
      </c>
      <c r="F45" t="s">
        <v>34</v>
      </c>
      <c r="G45" t="s">
        <v>194</v>
      </c>
      <c r="J45" t="s">
        <v>170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T45" t="s">
        <v>38</v>
      </c>
      <c r="U45">
        <v>0</v>
      </c>
      <c r="W45">
        <v>0</v>
      </c>
      <c r="X45">
        <v>0</v>
      </c>
      <c r="Y45">
        <v>0</v>
      </c>
      <c r="AE45">
        <f t="shared" si="0"/>
        <v>1</v>
      </c>
      <c r="AF45">
        <f>VLOOKUP(D45,especies!$A$2:$C$9,3,FALSE)</f>
        <v>2</v>
      </c>
      <c r="AG45" t="str">
        <f t="shared" si="1"/>
        <v>2-DPC (Doméstico de pelo corto o DSH)</v>
      </c>
      <c r="AH45">
        <f>VLOOKUP('Fichas clínicas'!AG45,razas!$A$2:$D$66,3,FALSE)</f>
        <v>51</v>
      </c>
      <c r="AI45" t="str">
        <f t="shared" si="2"/>
        <v>H</v>
      </c>
    </row>
    <row r="46" spans="1:35" x14ac:dyDescent="0.2">
      <c r="A46">
        <v>45</v>
      </c>
      <c r="B46" t="s">
        <v>45</v>
      </c>
      <c r="C46" t="s">
        <v>195</v>
      </c>
      <c r="D46" t="s">
        <v>41</v>
      </c>
      <c r="E46" t="s">
        <v>42</v>
      </c>
      <c r="F46" t="s">
        <v>34</v>
      </c>
      <c r="G46" t="s">
        <v>196</v>
      </c>
      <c r="J46" t="s">
        <v>48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T46" t="s">
        <v>38</v>
      </c>
      <c r="U46">
        <v>0</v>
      </c>
      <c r="W46">
        <v>0</v>
      </c>
      <c r="X46">
        <v>0</v>
      </c>
      <c r="Y46">
        <v>0</v>
      </c>
      <c r="AE46">
        <f t="shared" si="0"/>
        <v>1</v>
      </c>
      <c r="AF46">
        <f>VLOOKUP(D46,especies!$A$2:$C$9,3,FALSE)</f>
        <v>2</v>
      </c>
      <c r="AG46" t="str">
        <f t="shared" si="1"/>
        <v>2-DPC (Doméstico de pelo corto o DSH)</v>
      </c>
      <c r="AH46">
        <f>VLOOKUP('Fichas clínicas'!AG46,razas!$A$2:$D$66,3,FALSE)</f>
        <v>51</v>
      </c>
      <c r="AI46" t="str">
        <f t="shared" si="2"/>
        <v>H</v>
      </c>
    </row>
    <row r="47" spans="1:35" x14ac:dyDescent="0.2">
      <c r="A47">
        <v>46</v>
      </c>
      <c r="B47" t="s">
        <v>197</v>
      </c>
      <c r="C47" t="s">
        <v>198</v>
      </c>
      <c r="D47" t="s">
        <v>41</v>
      </c>
      <c r="E47" t="s">
        <v>42</v>
      </c>
      <c r="F47" t="s">
        <v>47</v>
      </c>
      <c r="G47" t="s">
        <v>199</v>
      </c>
      <c r="J47" t="s">
        <v>82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T47" t="s">
        <v>38</v>
      </c>
      <c r="U47">
        <v>0</v>
      </c>
      <c r="W47">
        <v>0</v>
      </c>
      <c r="X47">
        <v>0</v>
      </c>
      <c r="Y47">
        <v>0</v>
      </c>
      <c r="AE47">
        <f t="shared" si="0"/>
        <v>1</v>
      </c>
      <c r="AF47">
        <f>VLOOKUP(D47,especies!$A$2:$C$9,3,FALSE)</f>
        <v>2</v>
      </c>
      <c r="AG47" t="str">
        <f t="shared" si="1"/>
        <v>2-DPC (Doméstico de pelo corto o DSH)</v>
      </c>
      <c r="AH47">
        <f>VLOOKUP('Fichas clínicas'!AG47,razas!$A$2:$D$66,3,FALSE)</f>
        <v>51</v>
      </c>
      <c r="AI47" t="str">
        <f t="shared" si="2"/>
        <v>M</v>
      </c>
    </row>
    <row r="48" spans="1:35" x14ac:dyDescent="0.2">
      <c r="A48">
        <v>47</v>
      </c>
      <c r="B48" t="s">
        <v>200</v>
      </c>
      <c r="C48" t="s">
        <v>201</v>
      </c>
      <c r="D48" t="s">
        <v>32</v>
      </c>
      <c r="E48" t="s">
        <v>33</v>
      </c>
      <c r="F48" t="s">
        <v>47</v>
      </c>
      <c r="G48" t="s">
        <v>202</v>
      </c>
      <c r="J48" t="s">
        <v>203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T48" t="s">
        <v>38</v>
      </c>
      <c r="U48">
        <v>0</v>
      </c>
      <c r="W48">
        <v>0</v>
      </c>
      <c r="X48">
        <v>0</v>
      </c>
      <c r="Y48">
        <v>0</v>
      </c>
      <c r="AE48">
        <f t="shared" si="0"/>
        <v>1</v>
      </c>
      <c r="AF48">
        <f>VLOOKUP(D48,especies!$A$2:$C$9,3,FALSE)</f>
        <v>1</v>
      </c>
      <c r="AG48" t="str">
        <f t="shared" si="1"/>
        <v>1-Mestizo</v>
      </c>
      <c r="AH48">
        <f>VLOOKUP('Fichas clínicas'!AG48,razas!$A$2:$D$66,3,FALSE)</f>
        <v>1</v>
      </c>
      <c r="AI48" t="str">
        <f t="shared" si="2"/>
        <v>M</v>
      </c>
    </row>
    <row r="49" spans="1:35" x14ac:dyDescent="0.2">
      <c r="A49">
        <v>48</v>
      </c>
      <c r="B49" t="s">
        <v>204</v>
      </c>
      <c r="C49" t="s">
        <v>205</v>
      </c>
      <c r="D49" t="s">
        <v>32</v>
      </c>
      <c r="E49" t="s">
        <v>206</v>
      </c>
      <c r="F49" t="s">
        <v>47</v>
      </c>
      <c r="G49" t="s">
        <v>43</v>
      </c>
      <c r="J49" t="s">
        <v>207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T49" t="s">
        <v>38</v>
      </c>
      <c r="U49">
        <v>0</v>
      </c>
      <c r="W49">
        <v>0</v>
      </c>
      <c r="X49">
        <v>0</v>
      </c>
      <c r="Y49">
        <v>0</v>
      </c>
      <c r="AE49">
        <f t="shared" si="0"/>
        <v>1</v>
      </c>
      <c r="AF49">
        <f>VLOOKUP(D49,especies!$A$2:$C$9,3,FALSE)</f>
        <v>1</v>
      </c>
      <c r="AG49" t="str">
        <f t="shared" si="1"/>
        <v>1-Chow-Chow</v>
      </c>
      <c r="AH49">
        <f>VLOOKUP('Fichas clínicas'!AG49,razas!$A$2:$D$66,3,FALSE)</f>
        <v>9</v>
      </c>
      <c r="AI49" t="str">
        <f t="shared" si="2"/>
        <v>M</v>
      </c>
    </row>
    <row r="50" spans="1:35" x14ac:dyDescent="0.2">
      <c r="A50">
        <v>49</v>
      </c>
      <c r="B50" t="s">
        <v>208</v>
      </c>
      <c r="C50" t="s">
        <v>209</v>
      </c>
      <c r="D50" t="s">
        <v>41</v>
      </c>
      <c r="E50" t="s">
        <v>93</v>
      </c>
      <c r="F50" t="s">
        <v>47</v>
      </c>
      <c r="G50" t="s">
        <v>169</v>
      </c>
      <c r="J50" t="s">
        <v>210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T50" t="s">
        <v>38</v>
      </c>
      <c r="U50">
        <v>0</v>
      </c>
      <c r="W50">
        <v>0</v>
      </c>
      <c r="X50">
        <v>0</v>
      </c>
      <c r="Y50">
        <v>0</v>
      </c>
      <c r="AE50">
        <f t="shared" si="0"/>
        <v>1</v>
      </c>
      <c r="AF50">
        <f>VLOOKUP(D50,especies!$A$2:$C$9,3,FALSE)</f>
        <v>2</v>
      </c>
      <c r="AG50" t="str">
        <f t="shared" si="1"/>
        <v>2-DPL (Doméstico de pelo Largo o DLH)</v>
      </c>
      <c r="AH50">
        <f>VLOOKUP('Fichas clínicas'!AG50,razas!$A$2:$D$66,3,FALSE)</f>
        <v>52</v>
      </c>
      <c r="AI50" t="str">
        <f t="shared" si="2"/>
        <v>M</v>
      </c>
    </row>
    <row r="51" spans="1:35" x14ac:dyDescent="0.2">
      <c r="A51">
        <v>50</v>
      </c>
      <c r="B51" t="s">
        <v>211</v>
      </c>
      <c r="C51" t="s">
        <v>212</v>
      </c>
      <c r="D51" t="s">
        <v>41</v>
      </c>
      <c r="E51" t="s">
        <v>93</v>
      </c>
      <c r="F51" t="s">
        <v>34</v>
      </c>
      <c r="G51" t="s">
        <v>213</v>
      </c>
      <c r="J51" t="s">
        <v>214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Q51">
        <v>0</v>
      </c>
      <c r="T51" t="s">
        <v>38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f t="shared" si="0"/>
        <v>1</v>
      </c>
      <c r="AF51">
        <f>VLOOKUP(D51,especies!$A$2:$C$9,3,FALSE)</f>
        <v>2</v>
      </c>
      <c r="AG51" t="str">
        <f t="shared" si="1"/>
        <v>2-DPL (Doméstico de pelo Largo o DLH)</v>
      </c>
      <c r="AH51">
        <f>VLOOKUP('Fichas clínicas'!AG51,razas!$A$2:$D$66,3,FALSE)</f>
        <v>52</v>
      </c>
      <c r="AI51" t="str">
        <f t="shared" si="2"/>
        <v>H</v>
      </c>
    </row>
    <row r="52" spans="1:35" x14ac:dyDescent="0.2">
      <c r="A52">
        <v>51</v>
      </c>
      <c r="B52" t="s">
        <v>215</v>
      </c>
      <c r="C52" t="s">
        <v>216</v>
      </c>
      <c r="D52" t="s">
        <v>32</v>
      </c>
      <c r="E52" t="s">
        <v>63</v>
      </c>
      <c r="F52" t="s">
        <v>47</v>
      </c>
      <c r="G52" t="s">
        <v>217</v>
      </c>
      <c r="J52" t="s">
        <v>218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T52" t="s">
        <v>38</v>
      </c>
      <c r="U52">
        <v>0</v>
      </c>
      <c r="W52">
        <v>0</v>
      </c>
      <c r="X52">
        <v>0</v>
      </c>
      <c r="Y52">
        <v>0</v>
      </c>
      <c r="AE52">
        <f t="shared" si="0"/>
        <v>1</v>
      </c>
      <c r="AF52">
        <f>VLOOKUP(D52,especies!$A$2:$C$9,3,FALSE)</f>
        <v>1</v>
      </c>
      <c r="AG52" t="str">
        <f t="shared" si="1"/>
        <v>1-Fox Terrier Pelo Corto</v>
      </c>
      <c r="AH52">
        <f>VLOOKUP('Fichas clínicas'!AG52,razas!$A$2:$D$66,3,FALSE)</f>
        <v>2</v>
      </c>
      <c r="AI52" t="str">
        <f t="shared" si="2"/>
        <v>M</v>
      </c>
    </row>
    <row r="53" spans="1:35" x14ac:dyDescent="0.2">
      <c r="A53">
        <v>52</v>
      </c>
      <c r="B53" t="s">
        <v>215</v>
      </c>
      <c r="C53" t="s">
        <v>219</v>
      </c>
      <c r="D53" t="s">
        <v>32</v>
      </c>
      <c r="E53" t="s">
        <v>33</v>
      </c>
      <c r="F53" t="s">
        <v>34</v>
      </c>
      <c r="G53" t="s">
        <v>220</v>
      </c>
      <c r="J53" t="s">
        <v>221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T53" t="s">
        <v>38</v>
      </c>
      <c r="U53">
        <v>0</v>
      </c>
      <c r="W53">
        <v>0</v>
      </c>
      <c r="X53">
        <v>0</v>
      </c>
      <c r="Y53">
        <v>0</v>
      </c>
      <c r="AE53">
        <f t="shared" si="0"/>
        <v>1</v>
      </c>
      <c r="AF53">
        <f>VLOOKUP(D53,especies!$A$2:$C$9,3,FALSE)</f>
        <v>1</v>
      </c>
      <c r="AG53" t="str">
        <f t="shared" si="1"/>
        <v>1-Mestizo</v>
      </c>
      <c r="AH53">
        <f>VLOOKUP('Fichas clínicas'!AG53,razas!$A$2:$D$66,3,FALSE)</f>
        <v>1</v>
      </c>
      <c r="AI53" t="str">
        <f t="shared" si="2"/>
        <v>H</v>
      </c>
    </row>
    <row r="54" spans="1:35" x14ac:dyDescent="0.2">
      <c r="A54">
        <v>53</v>
      </c>
      <c r="B54" t="s">
        <v>222</v>
      </c>
      <c r="C54" t="s">
        <v>223</v>
      </c>
      <c r="D54" t="s">
        <v>32</v>
      </c>
      <c r="E54" t="s">
        <v>33</v>
      </c>
      <c r="F54" t="s">
        <v>47</v>
      </c>
      <c r="G54" t="s">
        <v>54</v>
      </c>
      <c r="J54" t="s">
        <v>103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T54" t="s">
        <v>38</v>
      </c>
      <c r="U54">
        <v>0</v>
      </c>
      <c r="W54">
        <v>0</v>
      </c>
      <c r="X54">
        <v>0</v>
      </c>
      <c r="Y54">
        <v>0</v>
      </c>
      <c r="AE54">
        <f t="shared" si="0"/>
        <v>1</v>
      </c>
      <c r="AF54">
        <f>VLOOKUP(D54,especies!$A$2:$C$9,3,FALSE)</f>
        <v>1</v>
      </c>
      <c r="AG54" t="str">
        <f t="shared" si="1"/>
        <v>1-Mestizo</v>
      </c>
      <c r="AH54">
        <f>VLOOKUP('Fichas clínicas'!AG54,razas!$A$2:$D$66,3,FALSE)</f>
        <v>1</v>
      </c>
      <c r="AI54" t="str">
        <f t="shared" si="2"/>
        <v>M</v>
      </c>
    </row>
    <row r="55" spans="1:35" x14ac:dyDescent="0.2">
      <c r="A55">
        <v>55</v>
      </c>
      <c r="B55" t="s">
        <v>224</v>
      </c>
      <c r="C55" t="s">
        <v>225</v>
      </c>
      <c r="D55" t="s">
        <v>41</v>
      </c>
      <c r="E55" t="s">
        <v>42</v>
      </c>
      <c r="F55" t="s">
        <v>34</v>
      </c>
      <c r="G55" t="s">
        <v>226</v>
      </c>
      <c r="J55" t="s">
        <v>227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Q55">
        <v>0</v>
      </c>
      <c r="T55" t="s">
        <v>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f t="shared" si="0"/>
        <v>1</v>
      </c>
      <c r="AF55">
        <f>VLOOKUP(D55,especies!$A$2:$C$9,3,FALSE)</f>
        <v>2</v>
      </c>
      <c r="AG55" t="str">
        <f t="shared" si="1"/>
        <v>2-DPC (Doméstico de pelo corto o DSH)</v>
      </c>
      <c r="AH55">
        <f>VLOOKUP('Fichas clínicas'!AG55,razas!$A$2:$D$66,3,FALSE)</f>
        <v>51</v>
      </c>
      <c r="AI55" t="str">
        <f t="shared" si="2"/>
        <v>H</v>
      </c>
    </row>
    <row r="56" spans="1:35" x14ac:dyDescent="0.2">
      <c r="A56">
        <v>56</v>
      </c>
      <c r="B56" t="s">
        <v>224</v>
      </c>
      <c r="C56" t="s">
        <v>228</v>
      </c>
      <c r="D56" t="s">
        <v>41</v>
      </c>
      <c r="E56" t="s">
        <v>93</v>
      </c>
      <c r="F56" t="s">
        <v>47</v>
      </c>
      <c r="G56" t="s">
        <v>229</v>
      </c>
      <c r="J56" t="s">
        <v>230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Q56">
        <v>0</v>
      </c>
      <c r="T56" t="s">
        <v>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f t="shared" si="0"/>
        <v>1</v>
      </c>
      <c r="AF56">
        <f>VLOOKUP(D56,especies!$A$2:$C$9,3,FALSE)</f>
        <v>2</v>
      </c>
      <c r="AG56" t="str">
        <f t="shared" si="1"/>
        <v>2-DPL (Doméstico de pelo Largo o DLH)</v>
      </c>
      <c r="AH56">
        <f>VLOOKUP('Fichas clínicas'!AG56,razas!$A$2:$D$66,3,FALSE)</f>
        <v>52</v>
      </c>
      <c r="AI56" t="str">
        <f t="shared" si="2"/>
        <v>M</v>
      </c>
    </row>
    <row r="57" spans="1:35" x14ac:dyDescent="0.2">
      <c r="A57">
        <v>57</v>
      </c>
      <c r="B57" t="s">
        <v>231</v>
      </c>
      <c r="C57" t="s">
        <v>232</v>
      </c>
      <c r="D57" t="s">
        <v>32</v>
      </c>
      <c r="E57" t="s">
        <v>63</v>
      </c>
      <c r="F57" t="s">
        <v>47</v>
      </c>
      <c r="G57" t="s">
        <v>233</v>
      </c>
      <c r="J57" t="s">
        <v>234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Q57">
        <v>0</v>
      </c>
      <c r="T57" t="s">
        <v>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f t="shared" si="0"/>
        <v>1</v>
      </c>
      <c r="AF57">
        <f>VLOOKUP(D57,especies!$A$2:$C$9,3,FALSE)</f>
        <v>1</v>
      </c>
      <c r="AG57" t="str">
        <f t="shared" si="1"/>
        <v>1-Fox Terrier Pelo Corto</v>
      </c>
      <c r="AH57">
        <f>VLOOKUP('Fichas clínicas'!AG57,razas!$A$2:$D$66,3,FALSE)</f>
        <v>2</v>
      </c>
      <c r="AI57" t="str">
        <f t="shared" si="2"/>
        <v>M</v>
      </c>
    </row>
    <row r="58" spans="1:35" x14ac:dyDescent="0.2">
      <c r="A58">
        <v>58</v>
      </c>
      <c r="B58" t="s">
        <v>235</v>
      </c>
      <c r="C58" t="s">
        <v>236</v>
      </c>
      <c r="D58" t="s">
        <v>41</v>
      </c>
      <c r="E58" t="s">
        <v>42</v>
      </c>
      <c r="F58" t="s">
        <v>34</v>
      </c>
      <c r="G58" t="s">
        <v>237</v>
      </c>
      <c r="J58" t="s">
        <v>87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Q58">
        <v>1</v>
      </c>
      <c r="T58" t="s">
        <v>38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f t="shared" si="0"/>
        <v>1</v>
      </c>
      <c r="AF58">
        <f>VLOOKUP(D58,especies!$A$2:$C$9,3,FALSE)</f>
        <v>2</v>
      </c>
      <c r="AG58" t="str">
        <f t="shared" si="1"/>
        <v>2-DPC (Doméstico de pelo corto o DSH)</v>
      </c>
      <c r="AH58">
        <f>VLOOKUP('Fichas clínicas'!AG58,razas!$A$2:$D$66,3,FALSE)</f>
        <v>51</v>
      </c>
      <c r="AI58" t="str">
        <f t="shared" si="2"/>
        <v>H</v>
      </c>
    </row>
    <row r="59" spans="1:35" x14ac:dyDescent="0.2">
      <c r="A59">
        <v>59</v>
      </c>
      <c r="B59" t="s">
        <v>238</v>
      </c>
      <c r="C59" t="s">
        <v>239</v>
      </c>
      <c r="D59" t="s">
        <v>41</v>
      </c>
      <c r="E59" t="s">
        <v>42</v>
      </c>
      <c r="F59" t="s">
        <v>34</v>
      </c>
      <c r="G59" t="s">
        <v>169</v>
      </c>
      <c r="J59" t="s">
        <v>127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T59" t="s">
        <v>38</v>
      </c>
      <c r="U59">
        <v>0</v>
      </c>
      <c r="V59">
        <v>1</v>
      </c>
      <c r="W59">
        <v>0</v>
      </c>
      <c r="X59">
        <v>0</v>
      </c>
      <c r="Y59">
        <v>0</v>
      </c>
      <c r="AE59">
        <f t="shared" si="0"/>
        <v>1</v>
      </c>
      <c r="AF59">
        <f>VLOOKUP(D59,especies!$A$2:$C$9,3,FALSE)</f>
        <v>2</v>
      </c>
      <c r="AG59" t="str">
        <f t="shared" si="1"/>
        <v>2-DPC (Doméstico de pelo corto o DSH)</v>
      </c>
      <c r="AH59">
        <f>VLOOKUP('Fichas clínicas'!AG59,razas!$A$2:$D$66,3,FALSE)</f>
        <v>51</v>
      </c>
      <c r="AI59" t="str">
        <f t="shared" si="2"/>
        <v>H</v>
      </c>
    </row>
    <row r="60" spans="1:35" x14ac:dyDescent="0.2">
      <c r="A60">
        <v>60</v>
      </c>
      <c r="B60" t="s">
        <v>240</v>
      </c>
      <c r="C60" t="s">
        <v>241</v>
      </c>
      <c r="D60" t="s">
        <v>242</v>
      </c>
      <c r="E60" t="s">
        <v>242</v>
      </c>
      <c r="F60" t="s">
        <v>47</v>
      </c>
      <c r="G60" t="s">
        <v>199</v>
      </c>
      <c r="J60" t="s">
        <v>85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T60" t="s">
        <v>38</v>
      </c>
      <c r="U60">
        <v>0</v>
      </c>
      <c r="W60">
        <v>0</v>
      </c>
      <c r="X60">
        <v>0</v>
      </c>
      <c r="Y60">
        <v>0</v>
      </c>
      <c r="AE60">
        <f t="shared" si="0"/>
        <v>1</v>
      </c>
      <c r="AF60">
        <f>VLOOKUP(D60,especies!$A$2:$C$9,3,FALSE)</f>
        <v>3</v>
      </c>
      <c r="AG60" t="str">
        <f t="shared" si="1"/>
        <v>3-Otra</v>
      </c>
      <c r="AH60">
        <f>VLOOKUP('Fichas clínicas'!AG60,razas!$A$2:$D$66,3,FALSE)</f>
        <v>55</v>
      </c>
      <c r="AI60" t="str">
        <f t="shared" si="2"/>
        <v>M</v>
      </c>
    </row>
    <row r="61" spans="1:35" x14ac:dyDescent="0.2">
      <c r="A61">
        <v>61</v>
      </c>
      <c r="B61" t="s">
        <v>243</v>
      </c>
      <c r="C61" t="s">
        <v>40</v>
      </c>
      <c r="D61" t="s">
        <v>41</v>
      </c>
      <c r="E61" t="s">
        <v>93</v>
      </c>
      <c r="F61" t="s">
        <v>34</v>
      </c>
      <c r="G61" t="s">
        <v>244</v>
      </c>
      <c r="J61" t="s">
        <v>130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T61" t="s">
        <v>38</v>
      </c>
      <c r="U61">
        <v>0</v>
      </c>
      <c r="W61">
        <v>0</v>
      </c>
      <c r="X61">
        <v>0</v>
      </c>
      <c r="Y61">
        <v>0</v>
      </c>
      <c r="AE61">
        <f t="shared" si="0"/>
        <v>1</v>
      </c>
      <c r="AF61">
        <f>VLOOKUP(D61,especies!$A$2:$C$9,3,FALSE)</f>
        <v>2</v>
      </c>
      <c r="AG61" t="str">
        <f t="shared" si="1"/>
        <v>2-DPL (Doméstico de pelo Largo o DLH)</v>
      </c>
      <c r="AH61">
        <f>VLOOKUP('Fichas clínicas'!AG61,razas!$A$2:$D$66,3,FALSE)</f>
        <v>52</v>
      </c>
      <c r="AI61" t="str">
        <f t="shared" si="2"/>
        <v>H</v>
      </c>
    </row>
    <row r="62" spans="1:35" x14ac:dyDescent="0.2">
      <c r="A62">
        <v>62</v>
      </c>
      <c r="B62" t="s">
        <v>197</v>
      </c>
      <c r="C62" t="s">
        <v>245</v>
      </c>
      <c r="D62" t="s">
        <v>32</v>
      </c>
      <c r="E62" t="s">
        <v>33</v>
      </c>
      <c r="F62" t="s">
        <v>47</v>
      </c>
      <c r="G62" t="s">
        <v>102</v>
      </c>
      <c r="J62" t="s">
        <v>246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Q62">
        <v>0</v>
      </c>
      <c r="T62" t="s">
        <v>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f t="shared" si="0"/>
        <v>1</v>
      </c>
      <c r="AF62">
        <f>VLOOKUP(D62,especies!$A$2:$C$9,3,FALSE)</f>
        <v>1</v>
      </c>
      <c r="AG62" t="str">
        <f t="shared" si="1"/>
        <v>1-Mestizo</v>
      </c>
      <c r="AH62">
        <f>VLOOKUP('Fichas clínicas'!AG62,razas!$A$2:$D$66,3,FALSE)</f>
        <v>1</v>
      </c>
      <c r="AI62" t="str">
        <f t="shared" si="2"/>
        <v>M</v>
      </c>
    </row>
    <row r="63" spans="1:35" x14ac:dyDescent="0.2">
      <c r="A63">
        <v>63</v>
      </c>
      <c r="B63" t="s">
        <v>247</v>
      </c>
      <c r="C63" t="s">
        <v>248</v>
      </c>
      <c r="D63" t="s">
        <v>32</v>
      </c>
      <c r="E63" t="s">
        <v>150</v>
      </c>
      <c r="F63" t="s">
        <v>47</v>
      </c>
      <c r="G63" t="s">
        <v>123</v>
      </c>
      <c r="J63" t="s">
        <v>249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T63" t="s">
        <v>38</v>
      </c>
      <c r="U63">
        <v>0</v>
      </c>
      <c r="V63">
        <v>1</v>
      </c>
      <c r="W63">
        <v>0</v>
      </c>
      <c r="X63">
        <v>0</v>
      </c>
      <c r="Y63">
        <v>0</v>
      </c>
      <c r="AE63">
        <f t="shared" si="0"/>
        <v>1</v>
      </c>
      <c r="AF63">
        <f>VLOOKUP(D63,especies!$A$2:$C$9,3,FALSE)</f>
        <v>1</v>
      </c>
      <c r="AG63" t="str">
        <f t="shared" si="1"/>
        <v>1-Poodle</v>
      </c>
      <c r="AH63">
        <f>VLOOKUP('Fichas clínicas'!AG63,razas!$A$2:$D$66,3,FALSE)</f>
        <v>6</v>
      </c>
      <c r="AI63" t="str">
        <f t="shared" si="2"/>
        <v>M</v>
      </c>
    </row>
    <row r="64" spans="1:35" x14ac:dyDescent="0.2">
      <c r="A64">
        <v>64</v>
      </c>
      <c r="B64" t="s">
        <v>250</v>
      </c>
      <c r="C64" t="s">
        <v>251</v>
      </c>
      <c r="D64" t="s">
        <v>32</v>
      </c>
      <c r="E64" t="s">
        <v>150</v>
      </c>
      <c r="F64" t="s">
        <v>34</v>
      </c>
      <c r="G64" t="s">
        <v>123</v>
      </c>
      <c r="J64" t="s">
        <v>252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Q64">
        <v>0</v>
      </c>
      <c r="T64" t="s">
        <v>38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f t="shared" si="0"/>
        <v>1</v>
      </c>
      <c r="AF64">
        <f>VLOOKUP(D64,especies!$A$2:$C$9,3,FALSE)</f>
        <v>1</v>
      </c>
      <c r="AG64" t="str">
        <f t="shared" si="1"/>
        <v>1-Poodle</v>
      </c>
      <c r="AH64">
        <f>VLOOKUP('Fichas clínicas'!AG64,razas!$A$2:$D$66,3,FALSE)</f>
        <v>6</v>
      </c>
      <c r="AI64" t="str">
        <f t="shared" si="2"/>
        <v>H</v>
      </c>
    </row>
    <row r="65" spans="1:35" x14ac:dyDescent="0.2">
      <c r="A65">
        <v>65</v>
      </c>
      <c r="B65" t="s">
        <v>250</v>
      </c>
      <c r="C65" t="s">
        <v>253</v>
      </c>
      <c r="D65" t="s">
        <v>41</v>
      </c>
      <c r="E65" t="s">
        <v>42</v>
      </c>
      <c r="F65" t="s">
        <v>47</v>
      </c>
      <c r="G65" t="s">
        <v>35</v>
      </c>
      <c r="J65" t="s">
        <v>254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T65" t="s">
        <v>38</v>
      </c>
      <c r="U65">
        <v>0</v>
      </c>
      <c r="W65">
        <v>0</v>
      </c>
      <c r="X65">
        <v>0</v>
      </c>
      <c r="Y65">
        <v>0</v>
      </c>
      <c r="AE65">
        <f t="shared" si="0"/>
        <v>1</v>
      </c>
      <c r="AF65">
        <f>VLOOKUP(D65,especies!$A$2:$C$9,3,FALSE)</f>
        <v>2</v>
      </c>
      <c r="AG65" t="str">
        <f t="shared" si="1"/>
        <v>2-DPC (Doméstico de pelo corto o DSH)</v>
      </c>
      <c r="AH65">
        <f>VLOOKUP('Fichas clínicas'!AG65,razas!$A$2:$D$66,3,FALSE)</f>
        <v>51</v>
      </c>
      <c r="AI65" t="str">
        <f t="shared" si="2"/>
        <v>M</v>
      </c>
    </row>
    <row r="66" spans="1:35" x14ac:dyDescent="0.2">
      <c r="A66">
        <v>66</v>
      </c>
      <c r="B66" t="s">
        <v>255</v>
      </c>
      <c r="C66" t="s">
        <v>256</v>
      </c>
      <c r="D66" t="s">
        <v>32</v>
      </c>
      <c r="E66" t="s">
        <v>257</v>
      </c>
      <c r="F66" t="s">
        <v>34</v>
      </c>
      <c r="G66" t="s">
        <v>258</v>
      </c>
      <c r="J66" t="s">
        <v>259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T66" t="s">
        <v>38</v>
      </c>
      <c r="U66">
        <v>0</v>
      </c>
      <c r="W66">
        <v>0</v>
      </c>
      <c r="X66">
        <v>0</v>
      </c>
      <c r="Y66">
        <v>0</v>
      </c>
      <c r="AE66">
        <f t="shared" si="0"/>
        <v>1</v>
      </c>
      <c r="AF66">
        <f>VLOOKUP(D66,especies!$A$2:$C$9,3,FALSE)</f>
        <v>1</v>
      </c>
      <c r="AG66" t="str">
        <f t="shared" si="1"/>
        <v>1-Terrier Chileno</v>
      </c>
      <c r="AH66">
        <f>VLOOKUP('Fichas clínicas'!AG66,razas!$A$2:$D$66,3,FALSE)</f>
        <v>10</v>
      </c>
      <c r="AI66" t="str">
        <f t="shared" si="2"/>
        <v>H</v>
      </c>
    </row>
    <row r="67" spans="1:35" x14ac:dyDescent="0.2">
      <c r="A67">
        <v>67</v>
      </c>
      <c r="B67" t="s">
        <v>260</v>
      </c>
      <c r="C67" t="s">
        <v>261</v>
      </c>
      <c r="D67" t="s">
        <v>32</v>
      </c>
      <c r="E67" t="s">
        <v>150</v>
      </c>
      <c r="F67" t="s">
        <v>47</v>
      </c>
      <c r="G67" t="s">
        <v>123</v>
      </c>
      <c r="J67" t="s">
        <v>262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T67" t="s">
        <v>38</v>
      </c>
      <c r="U67">
        <v>0</v>
      </c>
      <c r="W67">
        <v>0</v>
      </c>
      <c r="X67">
        <v>0</v>
      </c>
      <c r="Y67">
        <v>0</v>
      </c>
      <c r="AE67">
        <f t="shared" ref="AE67:AE130" si="3">SUBTOTAL(103,E67)</f>
        <v>1</v>
      </c>
      <c r="AF67">
        <f>VLOOKUP(D67,especies!$A$2:$C$9,3,FALSE)</f>
        <v>1</v>
      </c>
      <c r="AG67" t="str">
        <f t="shared" ref="AG67:AG130" si="4">AF67&amp;"-"&amp;E67</f>
        <v>1-Poodle</v>
      </c>
      <c r="AH67">
        <f>VLOOKUP('Fichas clínicas'!AG67,razas!$A$2:$D$66,3,FALSE)</f>
        <v>6</v>
      </c>
      <c r="AI67" t="str">
        <f t="shared" ref="AI67:AI130" si="5">IF(F67="Hembra","H","M")</f>
        <v>M</v>
      </c>
    </row>
    <row r="68" spans="1:35" x14ac:dyDescent="0.2">
      <c r="A68">
        <v>68</v>
      </c>
      <c r="B68" t="s">
        <v>263</v>
      </c>
      <c r="C68" t="s">
        <v>264</v>
      </c>
      <c r="D68" t="s">
        <v>32</v>
      </c>
      <c r="E68" t="s">
        <v>33</v>
      </c>
      <c r="F68" t="s">
        <v>34</v>
      </c>
      <c r="G68" t="s">
        <v>188</v>
      </c>
      <c r="J68" t="s">
        <v>265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T68" t="s">
        <v>38</v>
      </c>
      <c r="U68">
        <v>0</v>
      </c>
      <c r="V68">
        <v>1</v>
      </c>
      <c r="W68">
        <v>0</v>
      </c>
      <c r="X68">
        <v>0</v>
      </c>
      <c r="Y68">
        <v>0</v>
      </c>
      <c r="AE68">
        <f t="shared" si="3"/>
        <v>1</v>
      </c>
      <c r="AF68">
        <f>VLOOKUP(D68,especies!$A$2:$C$9,3,FALSE)</f>
        <v>1</v>
      </c>
      <c r="AG68" t="str">
        <f t="shared" si="4"/>
        <v>1-Mestizo</v>
      </c>
      <c r="AH68">
        <f>VLOOKUP('Fichas clínicas'!AG68,razas!$A$2:$D$66,3,FALSE)</f>
        <v>1</v>
      </c>
      <c r="AI68" t="str">
        <f t="shared" si="5"/>
        <v>H</v>
      </c>
    </row>
    <row r="69" spans="1:35" x14ac:dyDescent="0.2">
      <c r="A69">
        <v>69</v>
      </c>
      <c r="B69" t="s">
        <v>266</v>
      </c>
      <c r="C69" t="s">
        <v>267</v>
      </c>
      <c r="D69" t="s">
        <v>32</v>
      </c>
      <c r="E69" t="s">
        <v>33</v>
      </c>
      <c r="F69" t="s">
        <v>34</v>
      </c>
      <c r="G69" t="s">
        <v>43</v>
      </c>
      <c r="J69" t="s">
        <v>268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T69" t="s">
        <v>38</v>
      </c>
      <c r="U69">
        <v>0</v>
      </c>
      <c r="V69">
        <v>1</v>
      </c>
      <c r="W69">
        <v>0</v>
      </c>
      <c r="X69">
        <v>0</v>
      </c>
      <c r="Y69">
        <v>0</v>
      </c>
      <c r="AE69">
        <f t="shared" si="3"/>
        <v>1</v>
      </c>
      <c r="AF69">
        <f>VLOOKUP(D69,especies!$A$2:$C$9,3,FALSE)</f>
        <v>1</v>
      </c>
      <c r="AG69" t="str">
        <f t="shared" si="4"/>
        <v>1-Mestizo</v>
      </c>
      <c r="AH69">
        <f>VLOOKUP('Fichas clínicas'!AG69,razas!$A$2:$D$66,3,FALSE)</f>
        <v>1</v>
      </c>
      <c r="AI69" t="str">
        <f t="shared" si="5"/>
        <v>H</v>
      </c>
    </row>
    <row r="70" spans="1:35" x14ac:dyDescent="0.2">
      <c r="A70">
        <v>70</v>
      </c>
      <c r="B70" t="s">
        <v>269</v>
      </c>
      <c r="C70" t="s">
        <v>270</v>
      </c>
      <c r="D70" t="s">
        <v>32</v>
      </c>
      <c r="E70" t="s">
        <v>150</v>
      </c>
      <c r="F70" t="s">
        <v>34</v>
      </c>
      <c r="G70" t="s">
        <v>123</v>
      </c>
      <c r="J70" t="s">
        <v>271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T70" t="s">
        <v>38</v>
      </c>
      <c r="U70">
        <v>0</v>
      </c>
      <c r="V70">
        <v>1</v>
      </c>
      <c r="W70">
        <v>0</v>
      </c>
      <c r="X70">
        <v>0</v>
      </c>
      <c r="Y70">
        <v>0</v>
      </c>
      <c r="AE70">
        <f t="shared" si="3"/>
        <v>1</v>
      </c>
      <c r="AF70">
        <f>VLOOKUP(D70,especies!$A$2:$C$9,3,FALSE)</f>
        <v>1</v>
      </c>
      <c r="AG70" t="str">
        <f t="shared" si="4"/>
        <v>1-Poodle</v>
      </c>
      <c r="AH70">
        <f>VLOOKUP('Fichas clínicas'!AG70,razas!$A$2:$D$66,3,FALSE)</f>
        <v>6</v>
      </c>
      <c r="AI70" t="str">
        <f t="shared" si="5"/>
        <v>H</v>
      </c>
    </row>
    <row r="71" spans="1:35" x14ac:dyDescent="0.2">
      <c r="A71">
        <v>71</v>
      </c>
      <c r="B71" t="s">
        <v>272</v>
      </c>
      <c r="C71" t="s">
        <v>273</v>
      </c>
      <c r="D71" t="s">
        <v>32</v>
      </c>
      <c r="E71" t="s">
        <v>150</v>
      </c>
      <c r="F71" t="s">
        <v>47</v>
      </c>
      <c r="G71" t="s">
        <v>123</v>
      </c>
      <c r="J71" t="s">
        <v>274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T71" t="s">
        <v>38</v>
      </c>
      <c r="U71">
        <v>0</v>
      </c>
      <c r="W71">
        <v>0</v>
      </c>
      <c r="X71">
        <v>0</v>
      </c>
      <c r="Y71">
        <v>0</v>
      </c>
      <c r="AE71">
        <f t="shared" si="3"/>
        <v>1</v>
      </c>
      <c r="AF71">
        <f>VLOOKUP(D71,especies!$A$2:$C$9,3,FALSE)</f>
        <v>1</v>
      </c>
      <c r="AG71" t="str">
        <f t="shared" si="4"/>
        <v>1-Poodle</v>
      </c>
      <c r="AH71">
        <f>VLOOKUP('Fichas clínicas'!AG71,razas!$A$2:$D$66,3,FALSE)</f>
        <v>6</v>
      </c>
      <c r="AI71" t="str">
        <f t="shared" si="5"/>
        <v>M</v>
      </c>
    </row>
    <row r="72" spans="1:35" x14ac:dyDescent="0.2">
      <c r="A72">
        <v>72</v>
      </c>
      <c r="B72" t="s">
        <v>275</v>
      </c>
      <c r="C72" t="s">
        <v>276</v>
      </c>
      <c r="D72" t="s">
        <v>41</v>
      </c>
      <c r="E72" t="s">
        <v>42</v>
      </c>
      <c r="F72" t="s">
        <v>47</v>
      </c>
      <c r="G72" t="s">
        <v>277</v>
      </c>
      <c r="J72" t="s">
        <v>278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T72" t="s">
        <v>38</v>
      </c>
      <c r="U72">
        <v>0</v>
      </c>
      <c r="W72">
        <v>0</v>
      </c>
      <c r="X72">
        <v>0</v>
      </c>
      <c r="Y72">
        <v>0</v>
      </c>
      <c r="AE72">
        <f t="shared" si="3"/>
        <v>1</v>
      </c>
      <c r="AF72">
        <f>VLOOKUP(D72,especies!$A$2:$C$9,3,FALSE)</f>
        <v>2</v>
      </c>
      <c r="AG72" t="str">
        <f t="shared" si="4"/>
        <v>2-DPC (Doméstico de pelo corto o DSH)</v>
      </c>
      <c r="AH72">
        <f>VLOOKUP('Fichas clínicas'!AG72,razas!$A$2:$D$66,3,FALSE)</f>
        <v>51</v>
      </c>
      <c r="AI72" t="str">
        <f t="shared" si="5"/>
        <v>M</v>
      </c>
    </row>
    <row r="73" spans="1:35" x14ac:dyDescent="0.2">
      <c r="A73">
        <v>73</v>
      </c>
      <c r="B73" t="s">
        <v>279</v>
      </c>
      <c r="C73" t="s">
        <v>280</v>
      </c>
      <c r="D73" t="s">
        <v>32</v>
      </c>
      <c r="E73" t="s">
        <v>33</v>
      </c>
      <c r="F73" t="s">
        <v>34</v>
      </c>
      <c r="G73" t="s">
        <v>233</v>
      </c>
      <c r="J73" t="s">
        <v>281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T73" t="s">
        <v>38</v>
      </c>
      <c r="U73">
        <v>0</v>
      </c>
      <c r="W73">
        <v>0</v>
      </c>
      <c r="X73">
        <v>0</v>
      </c>
      <c r="Y73">
        <v>0</v>
      </c>
      <c r="AE73">
        <f t="shared" si="3"/>
        <v>1</v>
      </c>
      <c r="AF73">
        <f>VLOOKUP(D73,especies!$A$2:$C$9,3,FALSE)</f>
        <v>1</v>
      </c>
      <c r="AG73" t="str">
        <f t="shared" si="4"/>
        <v>1-Mestizo</v>
      </c>
      <c r="AH73">
        <f>VLOOKUP('Fichas clínicas'!AG73,razas!$A$2:$D$66,3,FALSE)</f>
        <v>1</v>
      </c>
      <c r="AI73" t="str">
        <f t="shared" si="5"/>
        <v>H</v>
      </c>
    </row>
    <row r="74" spans="1:35" x14ac:dyDescent="0.2">
      <c r="A74">
        <v>74</v>
      </c>
      <c r="B74" t="s">
        <v>282</v>
      </c>
      <c r="C74" t="s">
        <v>283</v>
      </c>
      <c r="D74" t="s">
        <v>32</v>
      </c>
      <c r="E74" t="s">
        <v>33</v>
      </c>
      <c r="F74" t="s">
        <v>47</v>
      </c>
      <c r="G74" t="s">
        <v>284</v>
      </c>
      <c r="J74" t="s">
        <v>285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T74" t="s">
        <v>38</v>
      </c>
      <c r="U74">
        <v>0</v>
      </c>
      <c r="W74">
        <v>0</v>
      </c>
      <c r="X74">
        <v>0</v>
      </c>
      <c r="Y74">
        <v>0</v>
      </c>
      <c r="AE74">
        <f t="shared" si="3"/>
        <v>1</v>
      </c>
      <c r="AF74">
        <f>VLOOKUP(D74,especies!$A$2:$C$9,3,FALSE)</f>
        <v>1</v>
      </c>
      <c r="AG74" t="str">
        <f t="shared" si="4"/>
        <v>1-Mestizo</v>
      </c>
      <c r="AH74">
        <f>VLOOKUP('Fichas clínicas'!AG74,razas!$A$2:$D$66,3,FALSE)</f>
        <v>1</v>
      </c>
      <c r="AI74" t="str">
        <f t="shared" si="5"/>
        <v>M</v>
      </c>
    </row>
    <row r="75" spans="1:35" x14ac:dyDescent="0.2">
      <c r="A75">
        <v>75</v>
      </c>
      <c r="B75" t="s">
        <v>286</v>
      </c>
      <c r="C75" t="s">
        <v>287</v>
      </c>
      <c r="D75" t="s">
        <v>41</v>
      </c>
      <c r="E75" t="s">
        <v>42</v>
      </c>
      <c r="F75" t="s">
        <v>47</v>
      </c>
      <c r="G75" t="s">
        <v>99</v>
      </c>
      <c r="J75" t="s">
        <v>288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T75" t="s">
        <v>38</v>
      </c>
      <c r="U75">
        <v>0</v>
      </c>
      <c r="V75">
        <v>1</v>
      </c>
      <c r="W75">
        <v>0</v>
      </c>
      <c r="X75">
        <v>0</v>
      </c>
      <c r="Y75">
        <v>0</v>
      </c>
      <c r="AE75">
        <f t="shared" si="3"/>
        <v>1</v>
      </c>
      <c r="AF75">
        <f>VLOOKUP(D75,especies!$A$2:$C$9,3,FALSE)</f>
        <v>2</v>
      </c>
      <c r="AG75" t="str">
        <f t="shared" si="4"/>
        <v>2-DPC (Doméstico de pelo corto o DSH)</v>
      </c>
      <c r="AH75">
        <f>VLOOKUP('Fichas clínicas'!AG75,razas!$A$2:$D$66,3,FALSE)</f>
        <v>51</v>
      </c>
      <c r="AI75" t="str">
        <f t="shared" si="5"/>
        <v>M</v>
      </c>
    </row>
    <row r="76" spans="1:35" x14ac:dyDescent="0.2">
      <c r="A76">
        <v>76</v>
      </c>
      <c r="B76" t="s">
        <v>289</v>
      </c>
      <c r="C76" t="s">
        <v>290</v>
      </c>
      <c r="D76" t="s">
        <v>41</v>
      </c>
      <c r="E76" t="s">
        <v>93</v>
      </c>
      <c r="F76" t="s">
        <v>47</v>
      </c>
      <c r="G76" t="s">
        <v>109</v>
      </c>
      <c r="J76" t="s">
        <v>291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T76" t="s">
        <v>38</v>
      </c>
      <c r="U76">
        <v>0</v>
      </c>
      <c r="W76">
        <v>0</v>
      </c>
      <c r="X76">
        <v>0</v>
      </c>
      <c r="Y76">
        <v>0</v>
      </c>
      <c r="AE76">
        <f t="shared" si="3"/>
        <v>1</v>
      </c>
      <c r="AF76">
        <f>VLOOKUP(D76,especies!$A$2:$C$9,3,FALSE)</f>
        <v>2</v>
      </c>
      <c r="AG76" t="str">
        <f t="shared" si="4"/>
        <v>2-DPL (Doméstico de pelo Largo o DLH)</v>
      </c>
      <c r="AH76">
        <f>VLOOKUP('Fichas clínicas'!AG76,razas!$A$2:$D$66,3,FALSE)</f>
        <v>52</v>
      </c>
      <c r="AI76" t="str">
        <f t="shared" si="5"/>
        <v>M</v>
      </c>
    </row>
    <row r="77" spans="1:35" x14ac:dyDescent="0.2">
      <c r="A77">
        <v>77</v>
      </c>
      <c r="B77" t="s">
        <v>292</v>
      </c>
      <c r="C77" t="s">
        <v>293</v>
      </c>
      <c r="D77" t="s">
        <v>41</v>
      </c>
      <c r="E77" t="s">
        <v>42</v>
      </c>
      <c r="F77" t="s">
        <v>34</v>
      </c>
      <c r="G77" t="s">
        <v>123</v>
      </c>
      <c r="J77" t="s">
        <v>294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T77" t="s">
        <v>38</v>
      </c>
      <c r="U77">
        <v>0</v>
      </c>
      <c r="W77">
        <v>0</v>
      </c>
      <c r="X77">
        <v>0</v>
      </c>
      <c r="Y77">
        <v>0</v>
      </c>
      <c r="AE77">
        <f t="shared" si="3"/>
        <v>1</v>
      </c>
      <c r="AF77">
        <f>VLOOKUP(D77,especies!$A$2:$C$9,3,FALSE)</f>
        <v>2</v>
      </c>
      <c r="AG77" t="str">
        <f t="shared" si="4"/>
        <v>2-DPC (Doméstico de pelo corto o DSH)</v>
      </c>
      <c r="AH77">
        <f>VLOOKUP('Fichas clínicas'!AG77,razas!$A$2:$D$66,3,FALSE)</f>
        <v>51</v>
      </c>
      <c r="AI77" t="str">
        <f t="shared" si="5"/>
        <v>H</v>
      </c>
    </row>
    <row r="78" spans="1:35" x14ac:dyDescent="0.2">
      <c r="A78">
        <v>78</v>
      </c>
      <c r="B78" t="s">
        <v>295</v>
      </c>
      <c r="C78" t="s">
        <v>296</v>
      </c>
      <c r="D78" t="s">
        <v>41</v>
      </c>
      <c r="E78" t="s">
        <v>42</v>
      </c>
      <c r="F78" t="s">
        <v>47</v>
      </c>
      <c r="G78" t="s">
        <v>297</v>
      </c>
      <c r="J78" t="s">
        <v>58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Q78">
        <v>0</v>
      </c>
      <c r="T78" t="s">
        <v>38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f t="shared" si="3"/>
        <v>1</v>
      </c>
      <c r="AF78">
        <f>VLOOKUP(D78,especies!$A$2:$C$9,3,FALSE)</f>
        <v>2</v>
      </c>
      <c r="AG78" t="str">
        <f t="shared" si="4"/>
        <v>2-DPC (Doméstico de pelo corto o DSH)</v>
      </c>
      <c r="AH78">
        <f>VLOOKUP('Fichas clínicas'!AG78,razas!$A$2:$D$66,3,FALSE)</f>
        <v>51</v>
      </c>
      <c r="AI78" t="str">
        <f t="shared" si="5"/>
        <v>M</v>
      </c>
    </row>
    <row r="79" spans="1:35" x14ac:dyDescent="0.2">
      <c r="A79">
        <v>79</v>
      </c>
      <c r="B79" t="s">
        <v>298</v>
      </c>
      <c r="C79" t="s">
        <v>299</v>
      </c>
      <c r="D79" t="s">
        <v>32</v>
      </c>
      <c r="E79" t="s">
        <v>150</v>
      </c>
      <c r="F79" t="s">
        <v>34</v>
      </c>
      <c r="G79" t="s">
        <v>300</v>
      </c>
      <c r="J79" t="s">
        <v>301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T79" t="s">
        <v>38</v>
      </c>
      <c r="U79">
        <v>0</v>
      </c>
      <c r="V79">
        <v>1</v>
      </c>
      <c r="W79">
        <v>0</v>
      </c>
      <c r="X79">
        <v>0</v>
      </c>
      <c r="Y79">
        <v>0</v>
      </c>
      <c r="AE79">
        <f t="shared" si="3"/>
        <v>1</v>
      </c>
      <c r="AF79">
        <f>VLOOKUP(D79,especies!$A$2:$C$9,3,FALSE)</f>
        <v>1</v>
      </c>
      <c r="AG79" t="str">
        <f t="shared" si="4"/>
        <v>1-Poodle</v>
      </c>
      <c r="AH79">
        <f>VLOOKUP('Fichas clínicas'!AG79,razas!$A$2:$D$66,3,FALSE)</f>
        <v>6</v>
      </c>
      <c r="AI79" t="str">
        <f t="shared" si="5"/>
        <v>H</v>
      </c>
    </row>
    <row r="80" spans="1:35" x14ac:dyDescent="0.2">
      <c r="A80">
        <v>80</v>
      </c>
      <c r="B80" t="s">
        <v>302</v>
      </c>
      <c r="C80" t="s">
        <v>303</v>
      </c>
      <c r="D80" t="s">
        <v>41</v>
      </c>
      <c r="E80" t="s">
        <v>42</v>
      </c>
      <c r="F80" t="s">
        <v>47</v>
      </c>
      <c r="G80" t="s">
        <v>123</v>
      </c>
      <c r="J80" t="s">
        <v>304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T80" t="s">
        <v>38</v>
      </c>
      <c r="U80">
        <v>0</v>
      </c>
      <c r="V80">
        <v>1</v>
      </c>
      <c r="W80">
        <v>0</v>
      </c>
      <c r="X80">
        <v>0</v>
      </c>
      <c r="Y80">
        <v>0</v>
      </c>
      <c r="AE80">
        <f t="shared" si="3"/>
        <v>1</v>
      </c>
      <c r="AF80">
        <f>VLOOKUP(D80,especies!$A$2:$C$9,3,FALSE)</f>
        <v>2</v>
      </c>
      <c r="AG80" t="str">
        <f t="shared" si="4"/>
        <v>2-DPC (Doméstico de pelo corto o DSH)</v>
      </c>
      <c r="AH80">
        <f>VLOOKUP('Fichas clínicas'!AG80,razas!$A$2:$D$66,3,FALSE)</f>
        <v>51</v>
      </c>
      <c r="AI80" t="str">
        <f t="shared" si="5"/>
        <v>M</v>
      </c>
    </row>
    <row r="81" spans="1:35" x14ac:dyDescent="0.2">
      <c r="A81">
        <v>81</v>
      </c>
      <c r="B81" t="s">
        <v>305</v>
      </c>
      <c r="C81" t="s">
        <v>223</v>
      </c>
      <c r="D81" t="s">
        <v>32</v>
      </c>
      <c r="E81" t="s">
        <v>33</v>
      </c>
      <c r="F81" t="s">
        <v>47</v>
      </c>
      <c r="G81" t="s">
        <v>306</v>
      </c>
      <c r="J81" t="s">
        <v>281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T81" t="s">
        <v>38</v>
      </c>
      <c r="U81">
        <v>0</v>
      </c>
      <c r="W81">
        <v>0</v>
      </c>
      <c r="X81">
        <v>0</v>
      </c>
      <c r="Y81">
        <v>0</v>
      </c>
      <c r="AE81">
        <f t="shared" si="3"/>
        <v>1</v>
      </c>
      <c r="AF81">
        <f>VLOOKUP(D81,especies!$A$2:$C$9,3,FALSE)</f>
        <v>1</v>
      </c>
      <c r="AG81" t="str">
        <f t="shared" si="4"/>
        <v>1-Mestizo</v>
      </c>
      <c r="AH81">
        <f>VLOOKUP('Fichas clínicas'!AG81,razas!$A$2:$D$66,3,FALSE)</f>
        <v>1</v>
      </c>
      <c r="AI81" t="str">
        <f t="shared" si="5"/>
        <v>M</v>
      </c>
    </row>
    <row r="82" spans="1:35" x14ac:dyDescent="0.2">
      <c r="A82">
        <v>82</v>
      </c>
      <c r="B82" t="s">
        <v>307</v>
      </c>
      <c r="C82" t="s">
        <v>308</v>
      </c>
      <c r="D82" t="s">
        <v>32</v>
      </c>
      <c r="E82" t="s">
        <v>309</v>
      </c>
      <c r="F82" t="s">
        <v>34</v>
      </c>
      <c r="G82" t="s">
        <v>43</v>
      </c>
      <c r="J82" t="s">
        <v>310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T82" t="s">
        <v>38</v>
      </c>
      <c r="U82">
        <v>0</v>
      </c>
      <c r="W82">
        <v>0</v>
      </c>
      <c r="X82">
        <v>0</v>
      </c>
      <c r="Y82">
        <v>0</v>
      </c>
      <c r="AE82">
        <f t="shared" si="3"/>
        <v>1</v>
      </c>
      <c r="AF82">
        <f>VLOOKUP(D82,especies!$A$2:$C$9,3,FALSE)</f>
        <v>1</v>
      </c>
      <c r="AG82" t="str">
        <f t="shared" si="4"/>
        <v>1-Pug</v>
      </c>
      <c r="AH82">
        <f>VLOOKUP('Fichas clínicas'!AG82,razas!$A$2:$D$66,3,FALSE)</f>
        <v>11</v>
      </c>
      <c r="AI82" t="str">
        <f t="shared" si="5"/>
        <v>H</v>
      </c>
    </row>
    <row r="83" spans="1:35" x14ac:dyDescent="0.2">
      <c r="A83">
        <v>83</v>
      </c>
      <c r="B83" t="s">
        <v>311</v>
      </c>
      <c r="C83" t="s">
        <v>312</v>
      </c>
      <c r="D83" t="s">
        <v>32</v>
      </c>
      <c r="E83" t="s">
        <v>33</v>
      </c>
      <c r="F83" t="s">
        <v>47</v>
      </c>
      <c r="G83" t="s">
        <v>116</v>
      </c>
      <c r="J83" t="s">
        <v>313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T83" t="s">
        <v>38</v>
      </c>
      <c r="U83">
        <v>0</v>
      </c>
      <c r="V83">
        <v>1</v>
      </c>
      <c r="W83">
        <v>0</v>
      </c>
      <c r="X83">
        <v>0</v>
      </c>
      <c r="Y83">
        <v>0</v>
      </c>
      <c r="AE83">
        <f t="shared" si="3"/>
        <v>1</v>
      </c>
      <c r="AF83">
        <f>VLOOKUP(D83,especies!$A$2:$C$9,3,FALSE)</f>
        <v>1</v>
      </c>
      <c r="AG83" t="str">
        <f t="shared" si="4"/>
        <v>1-Mestizo</v>
      </c>
      <c r="AH83">
        <f>VLOOKUP('Fichas clínicas'!AG83,razas!$A$2:$D$66,3,FALSE)</f>
        <v>1</v>
      </c>
      <c r="AI83" t="str">
        <f t="shared" si="5"/>
        <v>M</v>
      </c>
    </row>
    <row r="84" spans="1:35" x14ac:dyDescent="0.2">
      <c r="A84">
        <v>84</v>
      </c>
      <c r="B84" t="s">
        <v>314</v>
      </c>
      <c r="C84" t="s">
        <v>315</v>
      </c>
      <c r="D84" t="s">
        <v>32</v>
      </c>
      <c r="E84" t="s">
        <v>33</v>
      </c>
      <c r="F84" t="s">
        <v>34</v>
      </c>
      <c r="G84" t="s">
        <v>116</v>
      </c>
      <c r="J84" t="s">
        <v>316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T84" t="s">
        <v>38</v>
      </c>
      <c r="U84">
        <v>0</v>
      </c>
      <c r="W84">
        <v>0</v>
      </c>
      <c r="X84">
        <v>0</v>
      </c>
      <c r="Y84">
        <v>0</v>
      </c>
      <c r="AE84">
        <f t="shared" si="3"/>
        <v>1</v>
      </c>
      <c r="AF84">
        <f>VLOOKUP(D84,especies!$A$2:$C$9,3,FALSE)</f>
        <v>1</v>
      </c>
      <c r="AG84" t="str">
        <f t="shared" si="4"/>
        <v>1-Mestizo</v>
      </c>
      <c r="AH84">
        <f>VLOOKUP('Fichas clínicas'!AG84,razas!$A$2:$D$66,3,FALSE)</f>
        <v>1</v>
      </c>
      <c r="AI84" t="str">
        <f t="shared" si="5"/>
        <v>H</v>
      </c>
    </row>
    <row r="85" spans="1:35" x14ac:dyDescent="0.2">
      <c r="A85">
        <v>85</v>
      </c>
      <c r="B85" t="s">
        <v>317</v>
      </c>
      <c r="C85" t="s">
        <v>318</v>
      </c>
      <c r="D85" t="s">
        <v>41</v>
      </c>
      <c r="E85" t="s">
        <v>93</v>
      </c>
      <c r="F85" t="s">
        <v>47</v>
      </c>
      <c r="G85" t="s">
        <v>123</v>
      </c>
      <c r="J85" t="s">
        <v>319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T85" t="s">
        <v>38</v>
      </c>
      <c r="U85">
        <v>0</v>
      </c>
      <c r="W85">
        <v>0</v>
      </c>
      <c r="X85">
        <v>0</v>
      </c>
      <c r="Y85">
        <v>0</v>
      </c>
      <c r="AE85">
        <f t="shared" si="3"/>
        <v>1</v>
      </c>
      <c r="AF85">
        <f>VLOOKUP(D85,especies!$A$2:$C$9,3,FALSE)</f>
        <v>2</v>
      </c>
      <c r="AG85" t="str">
        <f t="shared" si="4"/>
        <v>2-DPL (Doméstico de pelo Largo o DLH)</v>
      </c>
      <c r="AH85">
        <f>VLOOKUP('Fichas clínicas'!AG85,razas!$A$2:$D$66,3,FALSE)</f>
        <v>52</v>
      </c>
      <c r="AI85" t="str">
        <f t="shared" si="5"/>
        <v>M</v>
      </c>
    </row>
    <row r="86" spans="1:35" x14ac:dyDescent="0.2">
      <c r="A86">
        <v>86</v>
      </c>
      <c r="B86" t="s">
        <v>320</v>
      </c>
      <c r="C86" t="s">
        <v>321</v>
      </c>
      <c r="D86" t="s">
        <v>32</v>
      </c>
      <c r="E86" t="s">
        <v>33</v>
      </c>
      <c r="F86" t="s">
        <v>34</v>
      </c>
      <c r="G86" t="s">
        <v>322</v>
      </c>
      <c r="J86" t="s">
        <v>323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T86" t="s">
        <v>38</v>
      </c>
      <c r="U86">
        <v>0</v>
      </c>
      <c r="V86">
        <v>1</v>
      </c>
      <c r="W86">
        <v>0</v>
      </c>
      <c r="X86">
        <v>0</v>
      </c>
      <c r="Y86">
        <v>0</v>
      </c>
      <c r="AE86">
        <f t="shared" si="3"/>
        <v>1</v>
      </c>
      <c r="AF86">
        <f>VLOOKUP(D86,especies!$A$2:$C$9,3,FALSE)</f>
        <v>1</v>
      </c>
      <c r="AG86" t="str">
        <f t="shared" si="4"/>
        <v>1-Mestizo</v>
      </c>
      <c r="AH86">
        <f>VLOOKUP('Fichas clínicas'!AG86,razas!$A$2:$D$66,3,FALSE)</f>
        <v>1</v>
      </c>
      <c r="AI86" t="str">
        <f t="shared" si="5"/>
        <v>H</v>
      </c>
    </row>
    <row r="87" spans="1:35" x14ac:dyDescent="0.2">
      <c r="A87">
        <v>87</v>
      </c>
      <c r="B87" t="s">
        <v>324</v>
      </c>
      <c r="C87" t="s">
        <v>325</v>
      </c>
      <c r="D87" t="s">
        <v>41</v>
      </c>
      <c r="E87" t="s">
        <v>42</v>
      </c>
      <c r="F87" t="s">
        <v>34</v>
      </c>
      <c r="G87" t="s">
        <v>326</v>
      </c>
      <c r="J87" t="s">
        <v>55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T87" t="s">
        <v>38</v>
      </c>
      <c r="U87">
        <v>0</v>
      </c>
      <c r="V87">
        <v>1</v>
      </c>
      <c r="W87">
        <v>0</v>
      </c>
      <c r="X87">
        <v>0</v>
      </c>
      <c r="Y87">
        <v>0</v>
      </c>
      <c r="AE87">
        <f t="shared" si="3"/>
        <v>1</v>
      </c>
      <c r="AF87">
        <f>VLOOKUP(D87,especies!$A$2:$C$9,3,FALSE)</f>
        <v>2</v>
      </c>
      <c r="AG87" t="str">
        <f t="shared" si="4"/>
        <v>2-DPC (Doméstico de pelo corto o DSH)</v>
      </c>
      <c r="AH87">
        <f>VLOOKUP('Fichas clínicas'!AG87,razas!$A$2:$D$66,3,FALSE)</f>
        <v>51</v>
      </c>
      <c r="AI87" t="str">
        <f t="shared" si="5"/>
        <v>H</v>
      </c>
    </row>
    <row r="88" spans="1:35" x14ac:dyDescent="0.2">
      <c r="A88">
        <v>88</v>
      </c>
      <c r="B88" t="s">
        <v>327</v>
      </c>
      <c r="C88" t="s">
        <v>328</v>
      </c>
      <c r="D88" t="s">
        <v>32</v>
      </c>
      <c r="E88" t="s">
        <v>33</v>
      </c>
      <c r="F88" t="s">
        <v>47</v>
      </c>
      <c r="G88" t="s">
        <v>329</v>
      </c>
      <c r="J88" t="s">
        <v>330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T88" t="s">
        <v>38</v>
      </c>
      <c r="U88">
        <v>0</v>
      </c>
      <c r="W88">
        <v>0</v>
      </c>
      <c r="X88">
        <v>0</v>
      </c>
      <c r="Y88">
        <v>0</v>
      </c>
      <c r="AE88">
        <f t="shared" si="3"/>
        <v>1</v>
      </c>
      <c r="AF88">
        <f>VLOOKUP(D88,especies!$A$2:$C$9,3,FALSE)</f>
        <v>1</v>
      </c>
      <c r="AG88" t="str">
        <f t="shared" si="4"/>
        <v>1-Mestizo</v>
      </c>
      <c r="AH88">
        <f>VLOOKUP('Fichas clínicas'!AG88,razas!$A$2:$D$66,3,FALSE)</f>
        <v>1</v>
      </c>
      <c r="AI88" t="str">
        <f t="shared" si="5"/>
        <v>M</v>
      </c>
    </row>
    <row r="89" spans="1:35" x14ac:dyDescent="0.2">
      <c r="A89">
        <v>89</v>
      </c>
      <c r="B89" t="s">
        <v>331</v>
      </c>
      <c r="C89" t="s">
        <v>332</v>
      </c>
      <c r="D89" t="s">
        <v>32</v>
      </c>
      <c r="E89" t="s">
        <v>33</v>
      </c>
      <c r="F89" t="s">
        <v>47</v>
      </c>
      <c r="G89" t="s">
        <v>99</v>
      </c>
      <c r="J89" t="s">
        <v>333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T89" t="s">
        <v>38</v>
      </c>
      <c r="U89">
        <v>0</v>
      </c>
      <c r="W89">
        <v>0</v>
      </c>
      <c r="X89">
        <v>0</v>
      </c>
      <c r="Y89">
        <v>0</v>
      </c>
      <c r="AE89">
        <f t="shared" si="3"/>
        <v>1</v>
      </c>
      <c r="AF89">
        <f>VLOOKUP(D89,especies!$A$2:$C$9,3,FALSE)</f>
        <v>1</v>
      </c>
      <c r="AG89" t="str">
        <f t="shared" si="4"/>
        <v>1-Mestizo</v>
      </c>
      <c r="AH89">
        <f>VLOOKUP('Fichas clínicas'!AG89,razas!$A$2:$D$66,3,FALSE)</f>
        <v>1</v>
      </c>
      <c r="AI89" t="str">
        <f t="shared" si="5"/>
        <v>M</v>
      </c>
    </row>
    <row r="90" spans="1:35" x14ac:dyDescent="0.2">
      <c r="A90">
        <v>90</v>
      </c>
      <c r="B90" t="s">
        <v>260</v>
      </c>
      <c r="C90" t="s">
        <v>334</v>
      </c>
      <c r="D90" t="s">
        <v>32</v>
      </c>
      <c r="E90" t="s">
        <v>150</v>
      </c>
      <c r="F90" t="s">
        <v>34</v>
      </c>
      <c r="G90" t="s">
        <v>77</v>
      </c>
      <c r="J90" t="s">
        <v>335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T90" t="s">
        <v>38</v>
      </c>
      <c r="U90">
        <v>0</v>
      </c>
      <c r="V90">
        <v>1</v>
      </c>
      <c r="W90">
        <v>0</v>
      </c>
      <c r="X90">
        <v>0</v>
      </c>
      <c r="Y90">
        <v>0</v>
      </c>
      <c r="AE90">
        <f t="shared" si="3"/>
        <v>1</v>
      </c>
      <c r="AF90">
        <f>VLOOKUP(D90,especies!$A$2:$C$9,3,FALSE)</f>
        <v>1</v>
      </c>
      <c r="AG90" t="str">
        <f t="shared" si="4"/>
        <v>1-Poodle</v>
      </c>
      <c r="AH90">
        <f>VLOOKUP('Fichas clínicas'!AG90,razas!$A$2:$D$66,3,FALSE)</f>
        <v>6</v>
      </c>
      <c r="AI90" t="str">
        <f t="shared" si="5"/>
        <v>H</v>
      </c>
    </row>
    <row r="91" spans="1:35" x14ac:dyDescent="0.2">
      <c r="A91">
        <v>91</v>
      </c>
      <c r="B91" t="s">
        <v>336</v>
      </c>
      <c r="C91" t="s">
        <v>280</v>
      </c>
      <c r="D91" t="s">
        <v>32</v>
      </c>
      <c r="E91" t="s">
        <v>309</v>
      </c>
      <c r="F91" t="s">
        <v>34</v>
      </c>
      <c r="G91" t="s">
        <v>116</v>
      </c>
      <c r="J91" t="s">
        <v>181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T91" t="s">
        <v>38</v>
      </c>
      <c r="U91">
        <v>0</v>
      </c>
      <c r="W91">
        <v>0</v>
      </c>
      <c r="X91">
        <v>0</v>
      </c>
      <c r="Y91">
        <v>0</v>
      </c>
      <c r="AE91">
        <f t="shared" si="3"/>
        <v>1</v>
      </c>
      <c r="AF91">
        <f>VLOOKUP(D91,especies!$A$2:$C$9,3,FALSE)</f>
        <v>1</v>
      </c>
      <c r="AG91" t="str">
        <f t="shared" si="4"/>
        <v>1-Pug</v>
      </c>
      <c r="AH91">
        <f>VLOOKUP('Fichas clínicas'!AG91,razas!$A$2:$D$66,3,FALSE)</f>
        <v>11</v>
      </c>
      <c r="AI91" t="str">
        <f t="shared" si="5"/>
        <v>H</v>
      </c>
    </row>
    <row r="92" spans="1:35" x14ac:dyDescent="0.2">
      <c r="A92">
        <v>92</v>
      </c>
      <c r="B92" t="s">
        <v>337</v>
      </c>
      <c r="C92" t="s">
        <v>287</v>
      </c>
      <c r="D92" t="s">
        <v>41</v>
      </c>
      <c r="E92" t="s">
        <v>93</v>
      </c>
      <c r="F92" t="s">
        <v>47</v>
      </c>
      <c r="G92" t="s">
        <v>169</v>
      </c>
      <c r="J92" t="s">
        <v>338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T92" t="s">
        <v>38</v>
      </c>
      <c r="U92">
        <v>0</v>
      </c>
      <c r="W92">
        <v>0</v>
      </c>
      <c r="X92">
        <v>0</v>
      </c>
      <c r="Y92">
        <v>0</v>
      </c>
      <c r="AE92">
        <f t="shared" si="3"/>
        <v>1</v>
      </c>
      <c r="AF92">
        <f>VLOOKUP(D92,especies!$A$2:$C$9,3,FALSE)</f>
        <v>2</v>
      </c>
      <c r="AG92" t="str">
        <f t="shared" si="4"/>
        <v>2-DPL (Doméstico de pelo Largo o DLH)</v>
      </c>
      <c r="AH92">
        <f>VLOOKUP('Fichas clínicas'!AG92,razas!$A$2:$D$66,3,FALSE)</f>
        <v>52</v>
      </c>
      <c r="AI92" t="str">
        <f t="shared" si="5"/>
        <v>M</v>
      </c>
    </row>
    <row r="93" spans="1:35" x14ac:dyDescent="0.2">
      <c r="A93">
        <v>93</v>
      </c>
      <c r="B93" t="s">
        <v>337</v>
      </c>
      <c r="C93" t="s">
        <v>339</v>
      </c>
      <c r="D93" t="s">
        <v>41</v>
      </c>
      <c r="E93" t="s">
        <v>93</v>
      </c>
      <c r="F93" t="s">
        <v>47</v>
      </c>
      <c r="G93" t="s">
        <v>169</v>
      </c>
      <c r="J93" t="s">
        <v>338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  <c r="T93" t="s">
        <v>38</v>
      </c>
      <c r="U93">
        <v>0</v>
      </c>
      <c r="W93">
        <v>0</v>
      </c>
      <c r="X93">
        <v>0</v>
      </c>
      <c r="Y93">
        <v>0</v>
      </c>
      <c r="AE93">
        <f t="shared" si="3"/>
        <v>1</v>
      </c>
      <c r="AF93">
        <f>VLOOKUP(D93,especies!$A$2:$C$9,3,FALSE)</f>
        <v>2</v>
      </c>
      <c r="AG93" t="str">
        <f t="shared" si="4"/>
        <v>2-DPL (Doméstico de pelo Largo o DLH)</v>
      </c>
      <c r="AH93">
        <f>VLOOKUP('Fichas clínicas'!AG93,razas!$A$2:$D$66,3,FALSE)</f>
        <v>52</v>
      </c>
      <c r="AI93" t="str">
        <f t="shared" si="5"/>
        <v>M</v>
      </c>
    </row>
    <row r="94" spans="1:35" x14ac:dyDescent="0.2">
      <c r="A94">
        <v>94</v>
      </c>
      <c r="B94" t="s">
        <v>337</v>
      </c>
      <c r="C94" t="s">
        <v>340</v>
      </c>
      <c r="D94" t="s">
        <v>41</v>
      </c>
      <c r="E94" t="s">
        <v>93</v>
      </c>
      <c r="F94" t="s">
        <v>34</v>
      </c>
      <c r="G94" t="s">
        <v>169</v>
      </c>
      <c r="J94" t="s">
        <v>338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T94" t="s">
        <v>38</v>
      </c>
      <c r="U94">
        <v>0</v>
      </c>
      <c r="W94">
        <v>0</v>
      </c>
      <c r="X94">
        <v>0</v>
      </c>
      <c r="Y94">
        <v>0</v>
      </c>
      <c r="AE94">
        <f t="shared" si="3"/>
        <v>1</v>
      </c>
      <c r="AF94">
        <f>VLOOKUP(D94,especies!$A$2:$C$9,3,FALSE)</f>
        <v>2</v>
      </c>
      <c r="AG94" t="str">
        <f t="shared" si="4"/>
        <v>2-DPL (Doméstico de pelo Largo o DLH)</v>
      </c>
      <c r="AH94">
        <f>VLOOKUP('Fichas clínicas'!AG94,razas!$A$2:$D$66,3,FALSE)</f>
        <v>52</v>
      </c>
      <c r="AI94" t="str">
        <f t="shared" si="5"/>
        <v>H</v>
      </c>
    </row>
    <row r="95" spans="1:35" x14ac:dyDescent="0.2">
      <c r="A95">
        <v>95</v>
      </c>
      <c r="B95" t="s">
        <v>341</v>
      </c>
      <c r="C95" t="s">
        <v>342</v>
      </c>
      <c r="D95" t="s">
        <v>32</v>
      </c>
      <c r="E95" t="s">
        <v>33</v>
      </c>
      <c r="F95" t="s">
        <v>34</v>
      </c>
      <c r="G95" t="s">
        <v>116</v>
      </c>
      <c r="J95" t="s">
        <v>221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T95" t="s">
        <v>38</v>
      </c>
      <c r="U95">
        <v>0</v>
      </c>
      <c r="W95">
        <v>0</v>
      </c>
      <c r="X95">
        <v>0</v>
      </c>
      <c r="Y95">
        <v>0</v>
      </c>
      <c r="AE95">
        <f t="shared" si="3"/>
        <v>1</v>
      </c>
      <c r="AF95">
        <f>VLOOKUP(D95,especies!$A$2:$C$9,3,FALSE)</f>
        <v>1</v>
      </c>
      <c r="AG95" t="str">
        <f t="shared" si="4"/>
        <v>1-Mestizo</v>
      </c>
      <c r="AH95">
        <f>VLOOKUP('Fichas clínicas'!AG95,razas!$A$2:$D$66,3,FALSE)</f>
        <v>1</v>
      </c>
      <c r="AI95" t="str">
        <f t="shared" si="5"/>
        <v>H</v>
      </c>
    </row>
    <row r="96" spans="1:35" x14ac:dyDescent="0.2">
      <c r="A96">
        <v>96</v>
      </c>
      <c r="B96" t="s">
        <v>343</v>
      </c>
      <c r="C96" t="s">
        <v>344</v>
      </c>
      <c r="D96" t="s">
        <v>41</v>
      </c>
      <c r="E96" t="s">
        <v>93</v>
      </c>
      <c r="F96" t="s">
        <v>34</v>
      </c>
      <c r="G96" t="s">
        <v>277</v>
      </c>
      <c r="J96" t="s">
        <v>345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T96" t="s">
        <v>38</v>
      </c>
      <c r="U96">
        <v>0</v>
      </c>
      <c r="W96">
        <v>0</v>
      </c>
      <c r="X96">
        <v>0</v>
      </c>
      <c r="Y96">
        <v>0</v>
      </c>
      <c r="AE96">
        <f t="shared" si="3"/>
        <v>1</v>
      </c>
      <c r="AF96">
        <f>VLOOKUP(D96,especies!$A$2:$C$9,3,FALSE)</f>
        <v>2</v>
      </c>
      <c r="AG96" t="str">
        <f t="shared" si="4"/>
        <v>2-DPL (Doméstico de pelo Largo o DLH)</v>
      </c>
      <c r="AH96">
        <f>VLOOKUP('Fichas clínicas'!AG96,razas!$A$2:$D$66,3,FALSE)</f>
        <v>52</v>
      </c>
      <c r="AI96" t="str">
        <f t="shared" si="5"/>
        <v>H</v>
      </c>
    </row>
    <row r="97" spans="1:35" x14ac:dyDescent="0.2">
      <c r="A97">
        <v>97</v>
      </c>
      <c r="B97" t="s">
        <v>346</v>
      </c>
      <c r="C97" t="s">
        <v>347</v>
      </c>
      <c r="D97" t="s">
        <v>41</v>
      </c>
      <c r="E97" t="s">
        <v>42</v>
      </c>
      <c r="F97" t="s">
        <v>34</v>
      </c>
      <c r="G97" t="s">
        <v>169</v>
      </c>
      <c r="J97" t="s">
        <v>348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T97" t="s">
        <v>38</v>
      </c>
      <c r="U97">
        <v>0</v>
      </c>
      <c r="W97">
        <v>0</v>
      </c>
      <c r="X97">
        <v>0</v>
      </c>
      <c r="Y97">
        <v>0</v>
      </c>
      <c r="AE97">
        <f t="shared" si="3"/>
        <v>1</v>
      </c>
      <c r="AF97">
        <f>VLOOKUP(D97,especies!$A$2:$C$9,3,FALSE)</f>
        <v>2</v>
      </c>
      <c r="AG97" t="str">
        <f t="shared" si="4"/>
        <v>2-DPC (Doméstico de pelo corto o DSH)</v>
      </c>
      <c r="AH97">
        <f>VLOOKUP('Fichas clínicas'!AG97,razas!$A$2:$D$66,3,FALSE)</f>
        <v>51</v>
      </c>
      <c r="AI97" t="str">
        <f t="shared" si="5"/>
        <v>H</v>
      </c>
    </row>
    <row r="98" spans="1:35" x14ac:dyDescent="0.2">
      <c r="A98">
        <v>98</v>
      </c>
      <c r="B98" t="s">
        <v>349</v>
      </c>
      <c r="C98" t="s">
        <v>350</v>
      </c>
      <c r="D98" t="s">
        <v>32</v>
      </c>
      <c r="E98" t="s">
        <v>33</v>
      </c>
      <c r="F98" t="s">
        <v>47</v>
      </c>
      <c r="G98" t="s">
        <v>351</v>
      </c>
      <c r="J98" t="s">
        <v>352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T98" t="s">
        <v>38</v>
      </c>
      <c r="U98">
        <v>0</v>
      </c>
      <c r="W98">
        <v>0</v>
      </c>
      <c r="X98">
        <v>0</v>
      </c>
      <c r="Y98">
        <v>0</v>
      </c>
      <c r="AE98">
        <f t="shared" si="3"/>
        <v>1</v>
      </c>
      <c r="AF98">
        <f>VLOOKUP(D98,especies!$A$2:$C$9,3,FALSE)</f>
        <v>1</v>
      </c>
      <c r="AG98" t="str">
        <f t="shared" si="4"/>
        <v>1-Mestizo</v>
      </c>
      <c r="AH98">
        <f>VLOOKUP('Fichas clínicas'!AG98,razas!$A$2:$D$66,3,FALSE)</f>
        <v>1</v>
      </c>
      <c r="AI98" t="str">
        <f t="shared" si="5"/>
        <v>M</v>
      </c>
    </row>
    <row r="99" spans="1:35" x14ac:dyDescent="0.2">
      <c r="A99">
        <v>99</v>
      </c>
      <c r="B99" t="s">
        <v>349</v>
      </c>
      <c r="C99" t="s">
        <v>353</v>
      </c>
      <c r="D99" t="s">
        <v>32</v>
      </c>
      <c r="E99" t="s">
        <v>150</v>
      </c>
      <c r="F99" t="s">
        <v>47</v>
      </c>
      <c r="G99" t="s">
        <v>102</v>
      </c>
      <c r="J99" t="s">
        <v>354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T99" t="s">
        <v>38</v>
      </c>
      <c r="U99">
        <v>0</v>
      </c>
      <c r="W99">
        <v>0</v>
      </c>
      <c r="X99">
        <v>0</v>
      </c>
      <c r="Y99">
        <v>0</v>
      </c>
      <c r="AE99">
        <f t="shared" si="3"/>
        <v>1</v>
      </c>
      <c r="AF99">
        <f>VLOOKUP(D99,especies!$A$2:$C$9,3,FALSE)</f>
        <v>1</v>
      </c>
      <c r="AG99" t="str">
        <f t="shared" si="4"/>
        <v>1-Poodle</v>
      </c>
      <c r="AH99">
        <f>VLOOKUP('Fichas clínicas'!AG99,razas!$A$2:$D$66,3,FALSE)</f>
        <v>6</v>
      </c>
      <c r="AI99" t="str">
        <f t="shared" si="5"/>
        <v>M</v>
      </c>
    </row>
    <row r="100" spans="1:35" x14ac:dyDescent="0.2">
      <c r="A100">
        <v>100</v>
      </c>
      <c r="B100" t="s">
        <v>355</v>
      </c>
      <c r="C100" t="s">
        <v>236</v>
      </c>
      <c r="D100" t="s">
        <v>32</v>
      </c>
      <c r="E100" t="s">
        <v>33</v>
      </c>
      <c r="F100" t="s">
        <v>34</v>
      </c>
      <c r="G100" t="s">
        <v>258</v>
      </c>
      <c r="J100" t="s">
        <v>356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T100" t="s">
        <v>38</v>
      </c>
      <c r="U100">
        <v>0</v>
      </c>
      <c r="W100">
        <v>0</v>
      </c>
      <c r="X100">
        <v>0</v>
      </c>
      <c r="Y100">
        <v>0</v>
      </c>
      <c r="AE100">
        <f t="shared" si="3"/>
        <v>1</v>
      </c>
      <c r="AF100">
        <f>VLOOKUP(D100,especies!$A$2:$C$9,3,FALSE)</f>
        <v>1</v>
      </c>
      <c r="AG100" t="str">
        <f t="shared" si="4"/>
        <v>1-Mestizo</v>
      </c>
      <c r="AH100">
        <f>VLOOKUP('Fichas clínicas'!AG100,razas!$A$2:$D$66,3,FALSE)</f>
        <v>1</v>
      </c>
      <c r="AI100" t="str">
        <f t="shared" si="5"/>
        <v>H</v>
      </c>
    </row>
    <row r="101" spans="1:35" x14ac:dyDescent="0.2">
      <c r="A101">
        <v>101</v>
      </c>
      <c r="B101" t="s">
        <v>357</v>
      </c>
      <c r="C101" t="s">
        <v>358</v>
      </c>
      <c r="D101" t="s">
        <v>41</v>
      </c>
      <c r="E101" t="s">
        <v>93</v>
      </c>
      <c r="F101" t="s">
        <v>47</v>
      </c>
      <c r="G101" t="s">
        <v>81</v>
      </c>
      <c r="J101" t="s">
        <v>359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T101" t="s">
        <v>38</v>
      </c>
      <c r="U101">
        <v>0</v>
      </c>
      <c r="V101">
        <v>1</v>
      </c>
      <c r="W101">
        <v>0</v>
      </c>
      <c r="X101">
        <v>0</v>
      </c>
      <c r="Y101">
        <v>0</v>
      </c>
      <c r="AE101">
        <f t="shared" si="3"/>
        <v>1</v>
      </c>
      <c r="AF101">
        <f>VLOOKUP(D101,especies!$A$2:$C$9,3,FALSE)</f>
        <v>2</v>
      </c>
      <c r="AG101" t="str">
        <f t="shared" si="4"/>
        <v>2-DPL (Doméstico de pelo Largo o DLH)</v>
      </c>
      <c r="AH101">
        <f>VLOOKUP('Fichas clínicas'!AG101,razas!$A$2:$D$66,3,FALSE)</f>
        <v>52</v>
      </c>
      <c r="AI101" t="str">
        <f t="shared" si="5"/>
        <v>M</v>
      </c>
    </row>
    <row r="102" spans="1:35" x14ac:dyDescent="0.2">
      <c r="A102">
        <v>102</v>
      </c>
      <c r="B102" t="s">
        <v>360</v>
      </c>
      <c r="C102" t="s">
        <v>361</v>
      </c>
      <c r="D102" t="s">
        <v>41</v>
      </c>
      <c r="E102" t="s">
        <v>42</v>
      </c>
      <c r="F102" t="s">
        <v>34</v>
      </c>
      <c r="G102" t="s">
        <v>35</v>
      </c>
      <c r="J102" t="s">
        <v>362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T102" t="s">
        <v>38</v>
      </c>
      <c r="U102">
        <v>0</v>
      </c>
      <c r="W102">
        <v>0</v>
      </c>
      <c r="X102">
        <v>0</v>
      </c>
      <c r="Y102">
        <v>0</v>
      </c>
      <c r="AE102">
        <f t="shared" si="3"/>
        <v>1</v>
      </c>
      <c r="AF102">
        <f>VLOOKUP(D102,especies!$A$2:$C$9,3,FALSE)</f>
        <v>2</v>
      </c>
      <c r="AG102" t="str">
        <f t="shared" si="4"/>
        <v>2-DPC (Doméstico de pelo corto o DSH)</v>
      </c>
      <c r="AH102">
        <f>VLOOKUP('Fichas clínicas'!AG102,razas!$A$2:$D$66,3,FALSE)</f>
        <v>51</v>
      </c>
      <c r="AI102" t="str">
        <f t="shared" si="5"/>
        <v>H</v>
      </c>
    </row>
    <row r="103" spans="1:35" x14ac:dyDescent="0.2">
      <c r="A103">
        <v>103</v>
      </c>
      <c r="B103" t="s">
        <v>363</v>
      </c>
      <c r="C103" t="s">
        <v>364</v>
      </c>
      <c r="D103" t="s">
        <v>32</v>
      </c>
      <c r="E103" t="s">
        <v>33</v>
      </c>
      <c r="F103" t="s">
        <v>47</v>
      </c>
      <c r="G103" t="s">
        <v>258</v>
      </c>
      <c r="J103" t="s">
        <v>103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T103" t="s">
        <v>38</v>
      </c>
      <c r="U103">
        <v>0</v>
      </c>
      <c r="W103">
        <v>0</v>
      </c>
      <c r="X103">
        <v>0</v>
      </c>
      <c r="Y103">
        <v>0</v>
      </c>
      <c r="AE103">
        <f t="shared" si="3"/>
        <v>1</v>
      </c>
      <c r="AF103">
        <f>VLOOKUP(D103,especies!$A$2:$C$9,3,FALSE)</f>
        <v>1</v>
      </c>
      <c r="AG103" t="str">
        <f t="shared" si="4"/>
        <v>1-Mestizo</v>
      </c>
      <c r="AH103">
        <f>VLOOKUP('Fichas clínicas'!AG103,razas!$A$2:$D$66,3,FALSE)</f>
        <v>1</v>
      </c>
      <c r="AI103" t="str">
        <f t="shared" si="5"/>
        <v>M</v>
      </c>
    </row>
    <row r="104" spans="1:35" x14ac:dyDescent="0.2">
      <c r="A104">
        <v>104</v>
      </c>
      <c r="B104" t="s">
        <v>365</v>
      </c>
      <c r="C104" t="s">
        <v>280</v>
      </c>
      <c r="D104" t="s">
        <v>32</v>
      </c>
      <c r="E104" t="s">
        <v>33</v>
      </c>
      <c r="F104" t="s">
        <v>34</v>
      </c>
      <c r="G104" t="s">
        <v>199</v>
      </c>
      <c r="J104" t="s">
        <v>366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T104" t="s">
        <v>38</v>
      </c>
      <c r="U104">
        <v>0</v>
      </c>
      <c r="W104">
        <v>0</v>
      </c>
      <c r="X104">
        <v>0</v>
      </c>
      <c r="Y104">
        <v>0</v>
      </c>
      <c r="AE104">
        <f t="shared" si="3"/>
        <v>1</v>
      </c>
      <c r="AF104">
        <f>VLOOKUP(D104,especies!$A$2:$C$9,3,FALSE)</f>
        <v>1</v>
      </c>
      <c r="AG104" t="str">
        <f t="shared" si="4"/>
        <v>1-Mestizo</v>
      </c>
      <c r="AH104">
        <f>VLOOKUP('Fichas clínicas'!AG104,razas!$A$2:$D$66,3,FALSE)</f>
        <v>1</v>
      </c>
      <c r="AI104" t="str">
        <f t="shared" si="5"/>
        <v>H</v>
      </c>
    </row>
    <row r="105" spans="1:35" x14ac:dyDescent="0.2">
      <c r="A105">
        <v>105</v>
      </c>
      <c r="B105" t="s">
        <v>367</v>
      </c>
      <c r="C105" t="s">
        <v>368</v>
      </c>
      <c r="D105" t="s">
        <v>41</v>
      </c>
      <c r="E105" t="s">
        <v>42</v>
      </c>
      <c r="F105" t="s">
        <v>34</v>
      </c>
      <c r="G105" t="s">
        <v>199</v>
      </c>
      <c r="J105" t="s">
        <v>369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Q105">
        <v>0</v>
      </c>
      <c r="T105" t="s">
        <v>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f t="shared" si="3"/>
        <v>1</v>
      </c>
      <c r="AF105">
        <f>VLOOKUP(D105,especies!$A$2:$C$9,3,FALSE)</f>
        <v>2</v>
      </c>
      <c r="AG105" t="str">
        <f t="shared" si="4"/>
        <v>2-DPC (Doméstico de pelo corto o DSH)</v>
      </c>
      <c r="AH105">
        <f>VLOOKUP('Fichas clínicas'!AG105,razas!$A$2:$D$66,3,FALSE)</f>
        <v>51</v>
      </c>
      <c r="AI105" t="str">
        <f t="shared" si="5"/>
        <v>H</v>
      </c>
    </row>
    <row r="106" spans="1:35" x14ac:dyDescent="0.2">
      <c r="A106">
        <v>106</v>
      </c>
      <c r="B106" t="s">
        <v>79</v>
      </c>
      <c r="C106" t="s">
        <v>76</v>
      </c>
      <c r="D106" t="s">
        <v>41</v>
      </c>
      <c r="E106" t="s">
        <v>42</v>
      </c>
      <c r="F106" t="s">
        <v>47</v>
      </c>
      <c r="G106" t="s">
        <v>370</v>
      </c>
      <c r="J106" t="s">
        <v>371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T106" t="s">
        <v>38</v>
      </c>
      <c r="U106">
        <v>0</v>
      </c>
      <c r="W106">
        <v>0</v>
      </c>
      <c r="X106">
        <v>0</v>
      </c>
      <c r="Y106">
        <v>0</v>
      </c>
      <c r="AE106">
        <f t="shared" si="3"/>
        <v>1</v>
      </c>
      <c r="AF106">
        <f>VLOOKUP(D106,especies!$A$2:$C$9,3,FALSE)</f>
        <v>2</v>
      </c>
      <c r="AG106" t="str">
        <f t="shared" si="4"/>
        <v>2-DPC (Doméstico de pelo corto o DSH)</v>
      </c>
      <c r="AH106">
        <f>VLOOKUP('Fichas clínicas'!AG106,razas!$A$2:$D$66,3,FALSE)</f>
        <v>51</v>
      </c>
      <c r="AI106" t="str">
        <f t="shared" si="5"/>
        <v>M</v>
      </c>
    </row>
    <row r="107" spans="1:35" x14ac:dyDescent="0.2">
      <c r="A107">
        <v>107</v>
      </c>
      <c r="B107" t="s">
        <v>372</v>
      </c>
      <c r="C107" t="s">
        <v>373</v>
      </c>
      <c r="D107" t="s">
        <v>32</v>
      </c>
      <c r="E107" t="s">
        <v>33</v>
      </c>
      <c r="F107" t="s">
        <v>34</v>
      </c>
      <c r="G107" t="s">
        <v>220</v>
      </c>
      <c r="J107" t="s">
        <v>374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T107" t="s">
        <v>38</v>
      </c>
      <c r="U107">
        <v>0</v>
      </c>
      <c r="W107">
        <v>0</v>
      </c>
      <c r="X107">
        <v>0</v>
      </c>
      <c r="Y107">
        <v>0</v>
      </c>
      <c r="AE107">
        <f t="shared" si="3"/>
        <v>1</v>
      </c>
      <c r="AF107">
        <f>VLOOKUP(D107,especies!$A$2:$C$9,3,FALSE)</f>
        <v>1</v>
      </c>
      <c r="AG107" t="str">
        <f t="shared" si="4"/>
        <v>1-Mestizo</v>
      </c>
      <c r="AH107">
        <f>VLOOKUP('Fichas clínicas'!AG107,razas!$A$2:$D$66,3,FALSE)</f>
        <v>1</v>
      </c>
      <c r="AI107" t="str">
        <f t="shared" si="5"/>
        <v>H</v>
      </c>
    </row>
    <row r="108" spans="1:35" x14ac:dyDescent="0.2">
      <c r="A108">
        <v>108</v>
      </c>
      <c r="B108" t="s">
        <v>375</v>
      </c>
      <c r="C108" t="s">
        <v>376</v>
      </c>
      <c r="D108" t="s">
        <v>32</v>
      </c>
      <c r="E108" t="s">
        <v>33</v>
      </c>
      <c r="F108" t="s">
        <v>34</v>
      </c>
      <c r="G108" t="s">
        <v>284</v>
      </c>
      <c r="J108" t="s">
        <v>85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T108" t="s">
        <v>38</v>
      </c>
      <c r="U108">
        <v>0</v>
      </c>
      <c r="W108">
        <v>0</v>
      </c>
      <c r="X108">
        <v>0</v>
      </c>
      <c r="Y108">
        <v>0</v>
      </c>
      <c r="AE108">
        <f t="shared" si="3"/>
        <v>1</v>
      </c>
      <c r="AF108">
        <f>VLOOKUP(D108,especies!$A$2:$C$9,3,FALSE)</f>
        <v>1</v>
      </c>
      <c r="AG108" t="str">
        <f t="shared" si="4"/>
        <v>1-Mestizo</v>
      </c>
      <c r="AH108">
        <f>VLOOKUP('Fichas clínicas'!AG108,razas!$A$2:$D$66,3,FALSE)</f>
        <v>1</v>
      </c>
      <c r="AI108" t="str">
        <f t="shared" si="5"/>
        <v>H</v>
      </c>
    </row>
    <row r="109" spans="1:35" x14ac:dyDescent="0.2">
      <c r="A109">
        <v>109</v>
      </c>
      <c r="B109" t="s">
        <v>377</v>
      </c>
      <c r="C109" t="s">
        <v>378</v>
      </c>
      <c r="D109" t="s">
        <v>41</v>
      </c>
      <c r="E109" t="s">
        <v>42</v>
      </c>
      <c r="F109" t="s">
        <v>34</v>
      </c>
      <c r="G109" t="s">
        <v>277</v>
      </c>
      <c r="J109" t="s">
        <v>87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T109" t="s">
        <v>38</v>
      </c>
      <c r="U109">
        <v>0</v>
      </c>
      <c r="W109">
        <v>0</v>
      </c>
      <c r="X109">
        <v>0</v>
      </c>
      <c r="Y109">
        <v>0</v>
      </c>
      <c r="AE109">
        <f t="shared" si="3"/>
        <v>1</v>
      </c>
      <c r="AF109">
        <f>VLOOKUP(D109,especies!$A$2:$C$9,3,FALSE)</f>
        <v>2</v>
      </c>
      <c r="AG109" t="str">
        <f t="shared" si="4"/>
        <v>2-DPC (Doméstico de pelo corto o DSH)</v>
      </c>
      <c r="AH109">
        <f>VLOOKUP('Fichas clínicas'!AG109,razas!$A$2:$D$66,3,FALSE)</f>
        <v>51</v>
      </c>
      <c r="AI109" t="str">
        <f t="shared" si="5"/>
        <v>H</v>
      </c>
    </row>
    <row r="110" spans="1:35" x14ac:dyDescent="0.2">
      <c r="A110">
        <v>110</v>
      </c>
      <c r="B110" t="s">
        <v>379</v>
      </c>
      <c r="C110" t="s">
        <v>380</v>
      </c>
      <c r="D110" t="s">
        <v>41</v>
      </c>
      <c r="E110" t="s">
        <v>93</v>
      </c>
      <c r="F110" t="s">
        <v>34</v>
      </c>
      <c r="G110" t="s">
        <v>77</v>
      </c>
      <c r="J110" t="s">
        <v>130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T110" t="s">
        <v>38</v>
      </c>
      <c r="U110">
        <v>0</v>
      </c>
      <c r="W110">
        <v>0</v>
      </c>
      <c r="X110">
        <v>0</v>
      </c>
      <c r="Y110">
        <v>0</v>
      </c>
      <c r="AE110">
        <f t="shared" si="3"/>
        <v>1</v>
      </c>
      <c r="AF110">
        <f>VLOOKUP(D110,especies!$A$2:$C$9,3,FALSE)</f>
        <v>2</v>
      </c>
      <c r="AG110" t="str">
        <f t="shared" si="4"/>
        <v>2-DPL (Doméstico de pelo Largo o DLH)</v>
      </c>
      <c r="AH110">
        <f>VLOOKUP('Fichas clínicas'!AG110,razas!$A$2:$D$66,3,FALSE)</f>
        <v>52</v>
      </c>
      <c r="AI110" t="str">
        <f t="shared" si="5"/>
        <v>H</v>
      </c>
    </row>
    <row r="111" spans="1:35" x14ac:dyDescent="0.2">
      <c r="A111">
        <v>111</v>
      </c>
      <c r="B111" t="s">
        <v>381</v>
      </c>
      <c r="C111" t="s">
        <v>382</v>
      </c>
      <c r="D111" t="s">
        <v>32</v>
      </c>
      <c r="E111" t="s">
        <v>150</v>
      </c>
      <c r="F111" t="s">
        <v>34</v>
      </c>
      <c r="G111" t="s">
        <v>123</v>
      </c>
      <c r="J111" t="s">
        <v>383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T111" t="s">
        <v>38</v>
      </c>
      <c r="U111">
        <v>0</v>
      </c>
      <c r="V111">
        <v>1</v>
      </c>
      <c r="W111">
        <v>0</v>
      </c>
      <c r="X111">
        <v>0</v>
      </c>
      <c r="Y111">
        <v>0</v>
      </c>
      <c r="AE111">
        <f t="shared" si="3"/>
        <v>1</v>
      </c>
      <c r="AF111">
        <f>VLOOKUP(D111,especies!$A$2:$C$9,3,FALSE)</f>
        <v>1</v>
      </c>
      <c r="AG111" t="str">
        <f t="shared" si="4"/>
        <v>1-Poodle</v>
      </c>
      <c r="AH111">
        <f>VLOOKUP('Fichas clínicas'!AG111,razas!$A$2:$D$66,3,FALSE)</f>
        <v>6</v>
      </c>
      <c r="AI111" t="str">
        <f t="shared" si="5"/>
        <v>H</v>
      </c>
    </row>
    <row r="112" spans="1:35" x14ac:dyDescent="0.2">
      <c r="A112">
        <v>112</v>
      </c>
      <c r="B112" t="s">
        <v>384</v>
      </c>
      <c r="C112" t="s">
        <v>385</v>
      </c>
      <c r="D112" t="s">
        <v>32</v>
      </c>
      <c r="E112" t="s">
        <v>143</v>
      </c>
      <c r="F112" t="s">
        <v>47</v>
      </c>
      <c r="G112" t="s">
        <v>54</v>
      </c>
      <c r="J112" t="s">
        <v>386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T112" t="s">
        <v>38</v>
      </c>
      <c r="U112">
        <v>0</v>
      </c>
      <c r="W112">
        <v>0</v>
      </c>
      <c r="X112">
        <v>0</v>
      </c>
      <c r="Y112">
        <v>0</v>
      </c>
      <c r="AE112">
        <f t="shared" si="3"/>
        <v>1</v>
      </c>
      <c r="AF112">
        <f>VLOOKUP(D112,especies!$A$2:$C$9,3,FALSE)</f>
        <v>1</v>
      </c>
      <c r="AG112" t="str">
        <f t="shared" si="4"/>
        <v>1-Yorkshire Terrier</v>
      </c>
      <c r="AH112">
        <f>VLOOKUP('Fichas clínicas'!AG112,razas!$A$2:$D$66,3,FALSE)</f>
        <v>5</v>
      </c>
      <c r="AI112" t="str">
        <f t="shared" si="5"/>
        <v>M</v>
      </c>
    </row>
    <row r="113" spans="1:35" x14ac:dyDescent="0.2">
      <c r="A113">
        <v>113</v>
      </c>
      <c r="B113" t="s">
        <v>292</v>
      </c>
      <c r="C113" t="s">
        <v>387</v>
      </c>
      <c r="D113" t="s">
        <v>41</v>
      </c>
      <c r="E113" t="s">
        <v>42</v>
      </c>
      <c r="F113" t="s">
        <v>47</v>
      </c>
      <c r="G113" t="s">
        <v>370</v>
      </c>
      <c r="J113" t="s">
        <v>386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T113" t="s">
        <v>38</v>
      </c>
      <c r="U113">
        <v>0</v>
      </c>
      <c r="W113">
        <v>0</v>
      </c>
      <c r="X113">
        <v>0</v>
      </c>
      <c r="Y113">
        <v>0</v>
      </c>
      <c r="AE113">
        <f t="shared" si="3"/>
        <v>1</v>
      </c>
      <c r="AF113">
        <f>VLOOKUP(D113,especies!$A$2:$C$9,3,FALSE)</f>
        <v>2</v>
      </c>
      <c r="AG113" t="str">
        <f t="shared" si="4"/>
        <v>2-DPC (Doméstico de pelo corto o DSH)</v>
      </c>
      <c r="AH113">
        <f>VLOOKUP('Fichas clínicas'!AG113,razas!$A$2:$D$66,3,FALSE)</f>
        <v>51</v>
      </c>
      <c r="AI113" t="str">
        <f t="shared" si="5"/>
        <v>M</v>
      </c>
    </row>
    <row r="114" spans="1:35" x14ac:dyDescent="0.2">
      <c r="A114">
        <v>114</v>
      </c>
      <c r="B114" t="s">
        <v>292</v>
      </c>
      <c r="C114" t="s">
        <v>388</v>
      </c>
      <c r="D114" t="s">
        <v>41</v>
      </c>
      <c r="E114" t="s">
        <v>93</v>
      </c>
      <c r="F114" t="s">
        <v>34</v>
      </c>
      <c r="G114" t="s">
        <v>123</v>
      </c>
      <c r="J114" t="s">
        <v>386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T114" t="s">
        <v>38</v>
      </c>
      <c r="U114">
        <v>0</v>
      </c>
      <c r="W114">
        <v>0</v>
      </c>
      <c r="X114">
        <v>0</v>
      </c>
      <c r="Y114">
        <v>0</v>
      </c>
      <c r="AE114">
        <f t="shared" si="3"/>
        <v>1</v>
      </c>
      <c r="AF114">
        <f>VLOOKUP(D114,especies!$A$2:$C$9,3,FALSE)</f>
        <v>2</v>
      </c>
      <c r="AG114" t="str">
        <f t="shared" si="4"/>
        <v>2-DPL (Doméstico de pelo Largo o DLH)</v>
      </c>
      <c r="AH114">
        <f>VLOOKUP('Fichas clínicas'!AG114,razas!$A$2:$D$66,3,FALSE)</f>
        <v>52</v>
      </c>
      <c r="AI114" t="str">
        <f t="shared" si="5"/>
        <v>H</v>
      </c>
    </row>
    <row r="115" spans="1:35" x14ac:dyDescent="0.2">
      <c r="A115">
        <v>115</v>
      </c>
      <c r="B115" t="s">
        <v>292</v>
      </c>
      <c r="C115" t="s">
        <v>389</v>
      </c>
      <c r="D115" t="s">
        <v>41</v>
      </c>
      <c r="E115" t="s">
        <v>42</v>
      </c>
      <c r="F115" t="s">
        <v>34</v>
      </c>
      <c r="G115" t="s">
        <v>390</v>
      </c>
      <c r="J115" t="s">
        <v>386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Q115">
        <v>0</v>
      </c>
      <c r="T115" t="s">
        <v>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f t="shared" si="3"/>
        <v>1</v>
      </c>
      <c r="AF115">
        <f>VLOOKUP(D115,especies!$A$2:$C$9,3,FALSE)</f>
        <v>2</v>
      </c>
      <c r="AG115" t="str">
        <f t="shared" si="4"/>
        <v>2-DPC (Doméstico de pelo corto o DSH)</v>
      </c>
      <c r="AH115">
        <f>VLOOKUP('Fichas clínicas'!AG115,razas!$A$2:$D$66,3,FALSE)</f>
        <v>51</v>
      </c>
      <c r="AI115" t="str">
        <f t="shared" si="5"/>
        <v>H</v>
      </c>
    </row>
    <row r="116" spans="1:35" x14ac:dyDescent="0.2">
      <c r="A116">
        <v>116</v>
      </c>
      <c r="B116" t="s">
        <v>292</v>
      </c>
      <c r="C116" t="s">
        <v>391</v>
      </c>
      <c r="D116" t="s">
        <v>41</v>
      </c>
      <c r="E116" t="s">
        <v>42</v>
      </c>
      <c r="F116" t="s">
        <v>47</v>
      </c>
      <c r="G116" t="s">
        <v>284</v>
      </c>
      <c r="J116" t="s">
        <v>386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Q116">
        <v>0</v>
      </c>
      <c r="T116" t="s">
        <v>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f t="shared" si="3"/>
        <v>1</v>
      </c>
      <c r="AF116">
        <f>VLOOKUP(D116,especies!$A$2:$C$9,3,FALSE)</f>
        <v>2</v>
      </c>
      <c r="AG116" t="str">
        <f t="shared" si="4"/>
        <v>2-DPC (Doméstico de pelo corto o DSH)</v>
      </c>
      <c r="AH116">
        <f>VLOOKUP('Fichas clínicas'!AG116,razas!$A$2:$D$66,3,FALSE)</f>
        <v>51</v>
      </c>
      <c r="AI116" t="str">
        <f t="shared" si="5"/>
        <v>M</v>
      </c>
    </row>
    <row r="117" spans="1:35" x14ac:dyDescent="0.2">
      <c r="A117">
        <v>117</v>
      </c>
      <c r="B117" t="s">
        <v>392</v>
      </c>
      <c r="C117" t="s">
        <v>308</v>
      </c>
      <c r="D117" t="s">
        <v>32</v>
      </c>
      <c r="E117" t="s">
        <v>33</v>
      </c>
      <c r="F117" t="s">
        <v>34</v>
      </c>
      <c r="G117" t="s">
        <v>99</v>
      </c>
      <c r="J117" t="s">
        <v>338</v>
      </c>
      <c r="K117" t="s">
        <v>393</v>
      </c>
      <c r="L117" t="s">
        <v>38</v>
      </c>
      <c r="M117" t="s">
        <v>38</v>
      </c>
      <c r="N117" t="s">
        <v>38</v>
      </c>
      <c r="O117" t="s">
        <v>38</v>
      </c>
      <c r="Q117">
        <v>0</v>
      </c>
      <c r="T117" t="s">
        <v>38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f t="shared" si="3"/>
        <v>1</v>
      </c>
      <c r="AF117">
        <f>VLOOKUP(D117,especies!$A$2:$C$9,3,FALSE)</f>
        <v>1</v>
      </c>
      <c r="AG117" t="str">
        <f t="shared" si="4"/>
        <v>1-Mestizo</v>
      </c>
      <c r="AH117">
        <f>VLOOKUP('Fichas clínicas'!AG117,razas!$A$2:$D$66,3,FALSE)</f>
        <v>1</v>
      </c>
      <c r="AI117" t="str">
        <f t="shared" si="5"/>
        <v>H</v>
      </c>
    </row>
    <row r="118" spans="1:35" x14ac:dyDescent="0.2">
      <c r="A118">
        <v>118</v>
      </c>
      <c r="B118" t="s">
        <v>394</v>
      </c>
      <c r="C118" t="s">
        <v>395</v>
      </c>
      <c r="D118" t="s">
        <v>41</v>
      </c>
      <c r="E118" t="s">
        <v>42</v>
      </c>
      <c r="F118" t="s">
        <v>47</v>
      </c>
      <c r="G118" t="s">
        <v>35</v>
      </c>
      <c r="J118" t="s">
        <v>396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T118" t="s">
        <v>38</v>
      </c>
      <c r="U118">
        <v>0</v>
      </c>
      <c r="W118">
        <v>0</v>
      </c>
      <c r="X118">
        <v>0</v>
      </c>
      <c r="Y118">
        <v>0</v>
      </c>
      <c r="AE118">
        <f t="shared" si="3"/>
        <v>1</v>
      </c>
      <c r="AF118">
        <f>VLOOKUP(D118,especies!$A$2:$C$9,3,FALSE)</f>
        <v>2</v>
      </c>
      <c r="AG118" t="str">
        <f t="shared" si="4"/>
        <v>2-DPC (Doméstico de pelo corto o DSH)</v>
      </c>
      <c r="AH118">
        <f>VLOOKUP('Fichas clínicas'!AG118,razas!$A$2:$D$66,3,FALSE)</f>
        <v>51</v>
      </c>
      <c r="AI118" t="str">
        <f t="shared" si="5"/>
        <v>M</v>
      </c>
    </row>
    <row r="119" spans="1:35" x14ac:dyDescent="0.2">
      <c r="A119">
        <v>119</v>
      </c>
      <c r="B119" t="s">
        <v>397</v>
      </c>
      <c r="C119" t="s">
        <v>398</v>
      </c>
      <c r="D119" t="s">
        <v>32</v>
      </c>
      <c r="E119" t="s">
        <v>150</v>
      </c>
      <c r="F119" t="s">
        <v>47</v>
      </c>
      <c r="G119" t="s">
        <v>116</v>
      </c>
      <c r="J119" t="s">
        <v>399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Q119">
        <v>0</v>
      </c>
      <c r="T119" t="s">
        <v>38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f t="shared" si="3"/>
        <v>1</v>
      </c>
      <c r="AF119">
        <f>VLOOKUP(D119,especies!$A$2:$C$9,3,FALSE)</f>
        <v>1</v>
      </c>
      <c r="AG119" t="str">
        <f t="shared" si="4"/>
        <v>1-Poodle</v>
      </c>
      <c r="AH119">
        <f>VLOOKUP('Fichas clínicas'!AG119,razas!$A$2:$D$66,3,FALSE)</f>
        <v>6</v>
      </c>
      <c r="AI119" t="str">
        <f t="shared" si="5"/>
        <v>M</v>
      </c>
    </row>
    <row r="120" spans="1:35" x14ac:dyDescent="0.2">
      <c r="A120">
        <v>120</v>
      </c>
      <c r="B120" t="s">
        <v>400</v>
      </c>
      <c r="C120" t="s">
        <v>401</v>
      </c>
      <c r="D120" t="s">
        <v>32</v>
      </c>
      <c r="E120" t="s">
        <v>150</v>
      </c>
      <c r="F120" t="s">
        <v>34</v>
      </c>
      <c r="G120" t="s">
        <v>123</v>
      </c>
      <c r="J120" t="s">
        <v>402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T120" t="s">
        <v>38</v>
      </c>
      <c r="U120">
        <v>0</v>
      </c>
      <c r="V120">
        <v>1</v>
      </c>
      <c r="W120">
        <v>0</v>
      </c>
      <c r="X120">
        <v>0</v>
      </c>
      <c r="Y120">
        <v>0</v>
      </c>
      <c r="AE120">
        <f t="shared" si="3"/>
        <v>1</v>
      </c>
      <c r="AF120">
        <f>VLOOKUP(D120,especies!$A$2:$C$9,3,FALSE)</f>
        <v>1</v>
      </c>
      <c r="AG120" t="str">
        <f t="shared" si="4"/>
        <v>1-Poodle</v>
      </c>
      <c r="AH120">
        <f>VLOOKUP('Fichas clínicas'!AG120,razas!$A$2:$D$66,3,FALSE)</f>
        <v>6</v>
      </c>
      <c r="AI120" t="str">
        <f t="shared" si="5"/>
        <v>H</v>
      </c>
    </row>
    <row r="121" spans="1:35" x14ac:dyDescent="0.2">
      <c r="A121">
        <v>121</v>
      </c>
      <c r="B121" t="s">
        <v>403</v>
      </c>
      <c r="C121" t="s">
        <v>401</v>
      </c>
      <c r="D121" t="s">
        <v>41</v>
      </c>
      <c r="E121" t="s">
        <v>93</v>
      </c>
      <c r="F121" t="s">
        <v>47</v>
      </c>
      <c r="G121" t="s">
        <v>297</v>
      </c>
      <c r="J121" t="s">
        <v>259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Q121">
        <v>0</v>
      </c>
      <c r="T121" t="s">
        <v>38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f t="shared" si="3"/>
        <v>1</v>
      </c>
      <c r="AF121">
        <f>VLOOKUP(D121,especies!$A$2:$C$9,3,FALSE)</f>
        <v>2</v>
      </c>
      <c r="AG121" t="str">
        <f t="shared" si="4"/>
        <v>2-DPL (Doméstico de pelo Largo o DLH)</v>
      </c>
      <c r="AH121">
        <f>VLOOKUP('Fichas clínicas'!AG121,razas!$A$2:$D$66,3,FALSE)</f>
        <v>52</v>
      </c>
      <c r="AI121" t="str">
        <f t="shared" si="5"/>
        <v>M</v>
      </c>
    </row>
    <row r="122" spans="1:35" x14ac:dyDescent="0.2">
      <c r="A122">
        <v>122</v>
      </c>
      <c r="B122" t="s">
        <v>148</v>
      </c>
      <c r="C122" t="s">
        <v>71</v>
      </c>
      <c r="D122" t="s">
        <v>32</v>
      </c>
      <c r="E122" t="s">
        <v>150</v>
      </c>
      <c r="F122" t="s">
        <v>47</v>
      </c>
      <c r="G122" t="s">
        <v>404</v>
      </c>
      <c r="J122" t="s">
        <v>405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T122" t="s">
        <v>38</v>
      </c>
      <c r="U122">
        <v>0</v>
      </c>
      <c r="W122">
        <v>0</v>
      </c>
      <c r="X122">
        <v>0</v>
      </c>
      <c r="Y122">
        <v>0</v>
      </c>
      <c r="AE122">
        <f t="shared" si="3"/>
        <v>1</v>
      </c>
      <c r="AF122">
        <f>VLOOKUP(D122,especies!$A$2:$C$9,3,FALSE)</f>
        <v>1</v>
      </c>
      <c r="AG122" t="str">
        <f t="shared" si="4"/>
        <v>1-Poodle</v>
      </c>
      <c r="AH122">
        <f>VLOOKUP('Fichas clínicas'!AG122,razas!$A$2:$D$66,3,FALSE)</f>
        <v>6</v>
      </c>
      <c r="AI122" t="str">
        <f t="shared" si="5"/>
        <v>M</v>
      </c>
    </row>
    <row r="123" spans="1:35" x14ac:dyDescent="0.2">
      <c r="A123">
        <v>123</v>
      </c>
      <c r="B123" t="s">
        <v>148</v>
      </c>
      <c r="C123" t="s">
        <v>406</v>
      </c>
      <c r="D123" t="s">
        <v>32</v>
      </c>
      <c r="E123" t="s">
        <v>150</v>
      </c>
      <c r="F123" t="s">
        <v>34</v>
      </c>
      <c r="G123" t="s">
        <v>123</v>
      </c>
      <c r="I123">
        <v>982000356227495</v>
      </c>
      <c r="J123" t="s">
        <v>407</v>
      </c>
      <c r="K123" t="s">
        <v>408</v>
      </c>
      <c r="L123" t="s">
        <v>38</v>
      </c>
      <c r="M123" t="s">
        <v>409</v>
      </c>
      <c r="N123" t="s">
        <v>410</v>
      </c>
      <c r="O123" t="s">
        <v>38</v>
      </c>
      <c r="Q123">
        <v>0</v>
      </c>
      <c r="T123" t="s">
        <v>38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f t="shared" si="3"/>
        <v>1</v>
      </c>
      <c r="AF123">
        <f>VLOOKUP(D123,especies!$A$2:$C$9,3,FALSE)</f>
        <v>1</v>
      </c>
      <c r="AG123" t="str">
        <f t="shared" si="4"/>
        <v>1-Poodle</v>
      </c>
      <c r="AH123">
        <f>VLOOKUP('Fichas clínicas'!AG123,razas!$A$2:$D$66,3,FALSE)</f>
        <v>6</v>
      </c>
      <c r="AI123" t="str">
        <f t="shared" si="5"/>
        <v>H</v>
      </c>
    </row>
    <row r="124" spans="1:35" x14ac:dyDescent="0.2">
      <c r="A124">
        <v>124</v>
      </c>
      <c r="B124" t="s">
        <v>411</v>
      </c>
      <c r="C124" t="s">
        <v>412</v>
      </c>
      <c r="D124" t="s">
        <v>32</v>
      </c>
      <c r="E124" t="s">
        <v>150</v>
      </c>
      <c r="F124" t="s">
        <v>34</v>
      </c>
      <c r="G124" t="s">
        <v>123</v>
      </c>
      <c r="J124" t="s">
        <v>413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T124" t="s">
        <v>38</v>
      </c>
      <c r="U124">
        <v>0</v>
      </c>
      <c r="W124">
        <v>0</v>
      </c>
      <c r="X124">
        <v>0</v>
      </c>
      <c r="Y124">
        <v>0</v>
      </c>
      <c r="AE124">
        <f t="shared" si="3"/>
        <v>1</v>
      </c>
      <c r="AF124">
        <f>VLOOKUP(D124,especies!$A$2:$C$9,3,FALSE)</f>
        <v>1</v>
      </c>
      <c r="AG124" t="str">
        <f t="shared" si="4"/>
        <v>1-Poodle</v>
      </c>
      <c r="AH124">
        <f>VLOOKUP('Fichas clínicas'!AG124,razas!$A$2:$D$66,3,FALSE)</f>
        <v>6</v>
      </c>
      <c r="AI124" t="str">
        <f t="shared" si="5"/>
        <v>H</v>
      </c>
    </row>
    <row r="125" spans="1:35" x14ac:dyDescent="0.2">
      <c r="A125">
        <v>125</v>
      </c>
      <c r="B125" t="s">
        <v>367</v>
      </c>
      <c r="C125" t="s">
        <v>414</v>
      </c>
      <c r="D125" t="s">
        <v>41</v>
      </c>
      <c r="E125" t="s">
        <v>42</v>
      </c>
      <c r="F125" t="s">
        <v>34</v>
      </c>
      <c r="G125" t="s">
        <v>237</v>
      </c>
      <c r="J125" t="s">
        <v>90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T125" t="s">
        <v>38</v>
      </c>
      <c r="U125">
        <v>0</v>
      </c>
      <c r="W125">
        <v>0</v>
      </c>
      <c r="X125">
        <v>0</v>
      </c>
      <c r="Y125">
        <v>0</v>
      </c>
      <c r="AE125">
        <f t="shared" si="3"/>
        <v>1</v>
      </c>
      <c r="AF125">
        <f>VLOOKUP(D125,especies!$A$2:$C$9,3,FALSE)</f>
        <v>2</v>
      </c>
      <c r="AG125" t="str">
        <f t="shared" si="4"/>
        <v>2-DPC (Doméstico de pelo corto o DSH)</v>
      </c>
      <c r="AH125">
        <f>VLOOKUP('Fichas clínicas'!AG125,razas!$A$2:$D$66,3,FALSE)</f>
        <v>51</v>
      </c>
      <c r="AI125" t="str">
        <f t="shared" si="5"/>
        <v>H</v>
      </c>
    </row>
    <row r="126" spans="1:35" x14ac:dyDescent="0.2">
      <c r="A126">
        <v>126</v>
      </c>
      <c r="B126" t="s">
        <v>415</v>
      </c>
      <c r="C126" t="s">
        <v>416</v>
      </c>
      <c r="D126" t="s">
        <v>41</v>
      </c>
      <c r="E126" t="s">
        <v>93</v>
      </c>
      <c r="F126" t="s">
        <v>34</v>
      </c>
      <c r="G126" t="s">
        <v>169</v>
      </c>
      <c r="J126" t="s">
        <v>417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T126" t="s">
        <v>38</v>
      </c>
      <c r="U126">
        <v>0</v>
      </c>
      <c r="V126">
        <v>1</v>
      </c>
      <c r="W126">
        <v>0</v>
      </c>
      <c r="X126">
        <v>0</v>
      </c>
      <c r="Y126">
        <v>0</v>
      </c>
      <c r="AE126">
        <f t="shared" si="3"/>
        <v>1</v>
      </c>
      <c r="AF126">
        <f>VLOOKUP(D126,especies!$A$2:$C$9,3,FALSE)</f>
        <v>2</v>
      </c>
      <c r="AG126" t="str">
        <f t="shared" si="4"/>
        <v>2-DPL (Doméstico de pelo Largo o DLH)</v>
      </c>
      <c r="AH126">
        <f>VLOOKUP('Fichas clínicas'!AG126,razas!$A$2:$D$66,3,FALSE)</f>
        <v>52</v>
      </c>
      <c r="AI126" t="str">
        <f t="shared" si="5"/>
        <v>H</v>
      </c>
    </row>
    <row r="127" spans="1:35" x14ac:dyDescent="0.2">
      <c r="A127">
        <v>127</v>
      </c>
      <c r="B127" t="s">
        <v>418</v>
      </c>
      <c r="C127" t="s">
        <v>280</v>
      </c>
      <c r="D127" t="s">
        <v>41</v>
      </c>
      <c r="E127" t="s">
        <v>42</v>
      </c>
      <c r="F127" t="s">
        <v>34</v>
      </c>
      <c r="G127" t="s">
        <v>43</v>
      </c>
      <c r="J127" t="s">
        <v>419</v>
      </c>
      <c r="K127" t="s">
        <v>420</v>
      </c>
      <c r="L127" t="s">
        <v>38</v>
      </c>
      <c r="M127" t="s">
        <v>421</v>
      </c>
      <c r="N127" t="s">
        <v>422</v>
      </c>
      <c r="O127" t="s">
        <v>38</v>
      </c>
      <c r="Q127">
        <v>0</v>
      </c>
      <c r="T127" t="s">
        <v>38</v>
      </c>
      <c r="U127">
        <v>0</v>
      </c>
      <c r="V127">
        <v>1</v>
      </c>
      <c r="W127">
        <v>0</v>
      </c>
      <c r="X127">
        <v>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f t="shared" si="3"/>
        <v>1</v>
      </c>
      <c r="AF127">
        <f>VLOOKUP(D127,especies!$A$2:$C$9,3,FALSE)</f>
        <v>2</v>
      </c>
      <c r="AG127" t="str">
        <f t="shared" si="4"/>
        <v>2-DPC (Doméstico de pelo corto o DSH)</v>
      </c>
      <c r="AH127">
        <f>VLOOKUP('Fichas clínicas'!AG127,razas!$A$2:$D$66,3,FALSE)</f>
        <v>51</v>
      </c>
      <c r="AI127" t="str">
        <f t="shared" si="5"/>
        <v>H</v>
      </c>
    </row>
    <row r="128" spans="1:35" x14ac:dyDescent="0.2">
      <c r="A128">
        <v>128</v>
      </c>
      <c r="B128" t="s">
        <v>423</v>
      </c>
      <c r="C128" t="s">
        <v>424</v>
      </c>
      <c r="D128" t="s">
        <v>41</v>
      </c>
      <c r="E128" t="s">
        <v>42</v>
      </c>
      <c r="F128" t="s">
        <v>34</v>
      </c>
      <c r="G128" t="s">
        <v>425</v>
      </c>
      <c r="J128" t="s">
        <v>426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T128" t="s">
        <v>38</v>
      </c>
      <c r="U128">
        <v>0</v>
      </c>
      <c r="W128">
        <v>0</v>
      </c>
      <c r="X128">
        <v>0</v>
      </c>
      <c r="Y128">
        <v>0</v>
      </c>
      <c r="AE128">
        <f t="shared" si="3"/>
        <v>1</v>
      </c>
      <c r="AF128">
        <f>VLOOKUP(D128,especies!$A$2:$C$9,3,FALSE)</f>
        <v>2</v>
      </c>
      <c r="AG128" t="str">
        <f t="shared" si="4"/>
        <v>2-DPC (Doméstico de pelo corto o DSH)</v>
      </c>
      <c r="AH128">
        <f>VLOOKUP('Fichas clínicas'!AG128,razas!$A$2:$D$66,3,FALSE)</f>
        <v>51</v>
      </c>
      <c r="AI128" t="str">
        <f t="shared" si="5"/>
        <v>H</v>
      </c>
    </row>
    <row r="129" spans="1:35" x14ac:dyDescent="0.2">
      <c r="A129">
        <v>129</v>
      </c>
      <c r="B129" t="s">
        <v>427</v>
      </c>
      <c r="C129" t="s">
        <v>428</v>
      </c>
      <c r="D129" t="s">
        <v>41</v>
      </c>
      <c r="E129" t="s">
        <v>42</v>
      </c>
      <c r="F129" t="s">
        <v>47</v>
      </c>
      <c r="G129" t="s">
        <v>284</v>
      </c>
      <c r="J129" t="s">
        <v>130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T129" t="s">
        <v>38</v>
      </c>
      <c r="U129">
        <v>0</v>
      </c>
      <c r="W129">
        <v>0</v>
      </c>
      <c r="X129">
        <v>0</v>
      </c>
      <c r="Y129">
        <v>0</v>
      </c>
      <c r="AE129">
        <f t="shared" si="3"/>
        <v>1</v>
      </c>
      <c r="AF129">
        <f>VLOOKUP(D129,especies!$A$2:$C$9,3,FALSE)</f>
        <v>2</v>
      </c>
      <c r="AG129" t="str">
        <f t="shared" si="4"/>
        <v>2-DPC (Doméstico de pelo corto o DSH)</v>
      </c>
      <c r="AH129">
        <f>VLOOKUP('Fichas clínicas'!AG129,razas!$A$2:$D$66,3,FALSE)</f>
        <v>51</v>
      </c>
      <c r="AI129" t="str">
        <f t="shared" si="5"/>
        <v>M</v>
      </c>
    </row>
    <row r="130" spans="1:35" x14ac:dyDescent="0.2">
      <c r="A130">
        <v>130</v>
      </c>
      <c r="B130" t="s">
        <v>429</v>
      </c>
      <c r="C130" t="s">
        <v>430</v>
      </c>
      <c r="D130" t="s">
        <v>41</v>
      </c>
      <c r="E130" t="s">
        <v>93</v>
      </c>
      <c r="F130" t="s">
        <v>34</v>
      </c>
      <c r="G130" t="s">
        <v>431</v>
      </c>
      <c r="J130" t="s">
        <v>432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T130" t="s">
        <v>38</v>
      </c>
      <c r="U130">
        <v>0</v>
      </c>
      <c r="W130">
        <v>0</v>
      </c>
      <c r="X130">
        <v>0</v>
      </c>
      <c r="Y130">
        <v>0</v>
      </c>
      <c r="AE130">
        <f t="shared" si="3"/>
        <v>1</v>
      </c>
      <c r="AF130">
        <f>VLOOKUP(D130,especies!$A$2:$C$9,3,FALSE)</f>
        <v>2</v>
      </c>
      <c r="AG130" t="str">
        <f t="shared" si="4"/>
        <v>2-DPL (Doméstico de pelo Largo o DLH)</v>
      </c>
      <c r="AH130">
        <f>VLOOKUP('Fichas clínicas'!AG130,razas!$A$2:$D$66,3,FALSE)</f>
        <v>52</v>
      </c>
      <c r="AI130" t="str">
        <f t="shared" si="5"/>
        <v>H</v>
      </c>
    </row>
    <row r="131" spans="1:35" x14ac:dyDescent="0.2">
      <c r="A131">
        <v>131</v>
      </c>
      <c r="B131" t="s">
        <v>433</v>
      </c>
      <c r="C131" t="s">
        <v>434</v>
      </c>
      <c r="D131" t="s">
        <v>41</v>
      </c>
      <c r="E131" t="s">
        <v>42</v>
      </c>
      <c r="F131" t="s">
        <v>34</v>
      </c>
      <c r="G131" t="s">
        <v>123</v>
      </c>
      <c r="J131" t="s">
        <v>435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Q131">
        <v>0</v>
      </c>
      <c r="T131" t="s">
        <v>38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f t="shared" ref="AE131:AE194" si="6">SUBTOTAL(103,E131)</f>
        <v>1</v>
      </c>
      <c r="AF131">
        <f>VLOOKUP(D131,especies!$A$2:$C$9,3,FALSE)</f>
        <v>2</v>
      </c>
      <c r="AG131" t="str">
        <f t="shared" ref="AG131:AG194" si="7">AF131&amp;"-"&amp;E131</f>
        <v>2-DPC (Doméstico de pelo corto o DSH)</v>
      </c>
      <c r="AH131">
        <f>VLOOKUP('Fichas clínicas'!AG131,razas!$A$2:$D$66,3,FALSE)</f>
        <v>51</v>
      </c>
      <c r="AI131" t="str">
        <f t="shared" ref="AI131:AI194" si="8">IF(F131="Hembra","H","M")</f>
        <v>H</v>
      </c>
    </row>
    <row r="132" spans="1:35" x14ac:dyDescent="0.2">
      <c r="A132">
        <v>132</v>
      </c>
      <c r="B132" t="s">
        <v>436</v>
      </c>
      <c r="C132" t="s">
        <v>437</v>
      </c>
      <c r="D132" t="s">
        <v>32</v>
      </c>
      <c r="E132" t="s">
        <v>438</v>
      </c>
      <c r="F132" t="s">
        <v>34</v>
      </c>
      <c r="G132" t="s">
        <v>329</v>
      </c>
      <c r="J132" t="s">
        <v>439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Q132">
        <v>0</v>
      </c>
      <c r="T132" t="s">
        <v>38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f t="shared" si="6"/>
        <v>1</v>
      </c>
      <c r="AF132">
        <f>VLOOKUP(D132,especies!$A$2:$C$9,3,FALSE)</f>
        <v>1</v>
      </c>
      <c r="AG132" t="str">
        <f t="shared" si="7"/>
        <v>1-Ovejero Alemán</v>
      </c>
      <c r="AH132">
        <f>VLOOKUP('Fichas clínicas'!AG132,razas!$A$2:$D$66,3,FALSE)</f>
        <v>12</v>
      </c>
      <c r="AI132" t="str">
        <f t="shared" si="8"/>
        <v>H</v>
      </c>
    </row>
    <row r="133" spans="1:35" x14ac:dyDescent="0.2">
      <c r="A133">
        <v>133</v>
      </c>
      <c r="B133" t="s">
        <v>436</v>
      </c>
      <c r="C133" t="s">
        <v>440</v>
      </c>
      <c r="D133" t="s">
        <v>32</v>
      </c>
      <c r="E133" t="s">
        <v>33</v>
      </c>
      <c r="F133" t="s">
        <v>34</v>
      </c>
      <c r="G133" t="s">
        <v>73</v>
      </c>
      <c r="J133" t="s">
        <v>441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T133" t="s">
        <v>38</v>
      </c>
      <c r="U133">
        <v>0</v>
      </c>
      <c r="V133">
        <v>1</v>
      </c>
      <c r="W133">
        <v>0</v>
      </c>
      <c r="X133">
        <v>0</v>
      </c>
      <c r="Y133">
        <v>0</v>
      </c>
      <c r="AE133">
        <f t="shared" si="6"/>
        <v>1</v>
      </c>
      <c r="AF133">
        <f>VLOOKUP(D133,especies!$A$2:$C$9,3,FALSE)</f>
        <v>1</v>
      </c>
      <c r="AG133" t="str">
        <f t="shared" si="7"/>
        <v>1-Mestizo</v>
      </c>
      <c r="AH133">
        <f>VLOOKUP('Fichas clínicas'!AG133,razas!$A$2:$D$66,3,FALSE)</f>
        <v>1</v>
      </c>
      <c r="AI133" t="str">
        <f t="shared" si="8"/>
        <v>H</v>
      </c>
    </row>
    <row r="134" spans="1:35" x14ac:dyDescent="0.2">
      <c r="A134">
        <v>134</v>
      </c>
      <c r="B134" t="s">
        <v>442</v>
      </c>
      <c r="C134" t="s">
        <v>60</v>
      </c>
      <c r="D134" t="s">
        <v>32</v>
      </c>
      <c r="E134" t="s">
        <v>33</v>
      </c>
      <c r="F134" t="s">
        <v>47</v>
      </c>
      <c r="G134" t="s">
        <v>123</v>
      </c>
      <c r="J134" t="s">
        <v>443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T134" t="s">
        <v>38</v>
      </c>
      <c r="U134">
        <v>0</v>
      </c>
      <c r="W134">
        <v>0</v>
      </c>
      <c r="X134">
        <v>0</v>
      </c>
      <c r="Y134">
        <v>0</v>
      </c>
      <c r="AE134">
        <f t="shared" si="6"/>
        <v>1</v>
      </c>
      <c r="AF134">
        <f>VLOOKUP(D134,especies!$A$2:$C$9,3,FALSE)</f>
        <v>1</v>
      </c>
      <c r="AG134" t="str">
        <f t="shared" si="7"/>
        <v>1-Mestizo</v>
      </c>
      <c r="AH134">
        <f>VLOOKUP('Fichas clínicas'!AG134,razas!$A$2:$D$66,3,FALSE)</f>
        <v>1</v>
      </c>
      <c r="AI134" t="str">
        <f t="shared" si="8"/>
        <v>M</v>
      </c>
    </row>
    <row r="135" spans="1:35" x14ac:dyDescent="0.2">
      <c r="A135">
        <v>135</v>
      </c>
      <c r="B135" t="s">
        <v>444</v>
      </c>
      <c r="C135" t="s">
        <v>445</v>
      </c>
      <c r="D135" t="s">
        <v>32</v>
      </c>
      <c r="E135" t="s">
        <v>33</v>
      </c>
      <c r="F135" t="s">
        <v>47</v>
      </c>
      <c r="G135" t="s">
        <v>446</v>
      </c>
      <c r="J135" t="s">
        <v>447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T135" t="s">
        <v>38</v>
      </c>
      <c r="U135">
        <v>0</v>
      </c>
      <c r="W135">
        <v>0</v>
      </c>
      <c r="X135">
        <v>0</v>
      </c>
      <c r="Y135">
        <v>0</v>
      </c>
      <c r="AE135">
        <f t="shared" si="6"/>
        <v>1</v>
      </c>
      <c r="AF135">
        <f>VLOOKUP(D135,especies!$A$2:$C$9,3,FALSE)</f>
        <v>1</v>
      </c>
      <c r="AG135" t="str">
        <f t="shared" si="7"/>
        <v>1-Mestizo</v>
      </c>
      <c r="AH135">
        <f>VLOOKUP('Fichas clínicas'!AG135,razas!$A$2:$D$66,3,FALSE)</f>
        <v>1</v>
      </c>
      <c r="AI135" t="str">
        <f t="shared" si="8"/>
        <v>M</v>
      </c>
    </row>
    <row r="136" spans="1:35" x14ac:dyDescent="0.2">
      <c r="A136">
        <v>136</v>
      </c>
      <c r="B136" t="s">
        <v>448</v>
      </c>
      <c r="C136" t="s">
        <v>449</v>
      </c>
      <c r="D136" t="s">
        <v>41</v>
      </c>
      <c r="E136" t="s">
        <v>42</v>
      </c>
      <c r="F136" t="s">
        <v>47</v>
      </c>
      <c r="G136" t="s">
        <v>123</v>
      </c>
      <c r="J136" t="s">
        <v>338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T136" t="s">
        <v>38</v>
      </c>
      <c r="U136">
        <v>0</v>
      </c>
      <c r="W136">
        <v>0</v>
      </c>
      <c r="X136">
        <v>0</v>
      </c>
      <c r="Y136">
        <v>0</v>
      </c>
      <c r="AE136">
        <f t="shared" si="6"/>
        <v>1</v>
      </c>
      <c r="AF136">
        <f>VLOOKUP(D136,especies!$A$2:$C$9,3,FALSE)</f>
        <v>2</v>
      </c>
      <c r="AG136" t="str">
        <f t="shared" si="7"/>
        <v>2-DPC (Doméstico de pelo corto o DSH)</v>
      </c>
      <c r="AH136">
        <f>VLOOKUP('Fichas clínicas'!AG136,razas!$A$2:$D$66,3,FALSE)</f>
        <v>51</v>
      </c>
      <c r="AI136" t="str">
        <f t="shared" si="8"/>
        <v>M</v>
      </c>
    </row>
    <row r="137" spans="1:35" x14ac:dyDescent="0.2">
      <c r="A137">
        <v>137</v>
      </c>
      <c r="B137" t="s">
        <v>450</v>
      </c>
      <c r="C137" t="s">
        <v>451</v>
      </c>
      <c r="D137" t="s">
        <v>41</v>
      </c>
      <c r="E137" t="s">
        <v>93</v>
      </c>
      <c r="F137" t="s">
        <v>34</v>
      </c>
      <c r="G137" t="s">
        <v>452</v>
      </c>
      <c r="J137" t="s">
        <v>90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T137" t="s">
        <v>38</v>
      </c>
      <c r="U137">
        <v>0</v>
      </c>
      <c r="W137">
        <v>0</v>
      </c>
      <c r="X137">
        <v>0</v>
      </c>
      <c r="Y137">
        <v>0</v>
      </c>
      <c r="AE137">
        <f t="shared" si="6"/>
        <v>1</v>
      </c>
      <c r="AF137">
        <f>VLOOKUP(D137,especies!$A$2:$C$9,3,FALSE)</f>
        <v>2</v>
      </c>
      <c r="AG137" t="str">
        <f t="shared" si="7"/>
        <v>2-DPL (Doméstico de pelo Largo o DLH)</v>
      </c>
      <c r="AH137">
        <f>VLOOKUP('Fichas clínicas'!AG137,razas!$A$2:$D$66,3,FALSE)</f>
        <v>52</v>
      </c>
      <c r="AI137" t="str">
        <f t="shared" si="8"/>
        <v>H</v>
      </c>
    </row>
    <row r="138" spans="1:35" x14ac:dyDescent="0.2">
      <c r="A138">
        <v>138</v>
      </c>
      <c r="B138" t="s">
        <v>453</v>
      </c>
      <c r="C138" t="s">
        <v>454</v>
      </c>
      <c r="D138" t="s">
        <v>32</v>
      </c>
      <c r="E138" t="s">
        <v>33</v>
      </c>
      <c r="F138" t="s">
        <v>47</v>
      </c>
      <c r="G138" t="s">
        <v>116</v>
      </c>
      <c r="J138" t="s">
        <v>455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T138" t="s">
        <v>38</v>
      </c>
      <c r="U138">
        <v>0</v>
      </c>
      <c r="W138">
        <v>0</v>
      </c>
      <c r="X138">
        <v>0</v>
      </c>
      <c r="Y138">
        <v>0</v>
      </c>
      <c r="AE138">
        <f t="shared" si="6"/>
        <v>1</v>
      </c>
      <c r="AF138">
        <f>VLOOKUP(D138,especies!$A$2:$C$9,3,FALSE)</f>
        <v>1</v>
      </c>
      <c r="AG138" t="str">
        <f t="shared" si="7"/>
        <v>1-Mestizo</v>
      </c>
      <c r="AH138">
        <f>VLOOKUP('Fichas clínicas'!AG138,razas!$A$2:$D$66,3,FALSE)</f>
        <v>1</v>
      </c>
      <c r="AI138" t="str">
        <f t="shared" si="8"/>
        <v>M</v>
      </c>
    </row>
    <row r="139" spans="1:35" x14ac:dyDescent="0.2">
      <c r="A139">
        <v>139</v>
      </c>
      <c r="B139" t="s">
        <v>456</v>
      </c>
      <c r="C139" t="s">
        <v>457</v>
      </c>
      <c r="D139" t="s">
        <v>32</v>
      </c>
      <c r="E139" t="s">
        <v>458</v>
      </c>
      <c r="F139" t="s">
        <v>47</v>
      </c>
      <c r="G139" t="s">
        <v>258</v>
      </c>
      <c r="I139">
        <v>939000007188485</v>
      </c>
      <c r="J139" t="s">
        <v>399</v>
      </c>
      <c r="K139" t="s">
        <v>459</v>
      </c>
      <c r="L139" t="s">
        <v>38</v>
      </c>
      <c r="M139" t="s">
        <v>38</v>
      </c>
      <c r="N139" t="s">
        <v>38</v>
      </c>
      <c r="O139" t="s">
        <v>38</v>
      </c>
      <c r="Q139">
        <v>0</v>
      </c>
      <c r="T139" t="s">
        <v>38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f t="shared" si="6"/>
        <v>1</v>
      </c>
      <c r="AF139">
        <f>VLOOKUP(D139,especies!$A$2:$C$9,3,FALSE)</f>
        <v>1</v>
      </c>
      <c r="AG139" t="str">
        <f t="shared" si="7"/>
        <v>1-Beagle</v>
      </c>
      <c r="AH139">
        <f>VLOOKUP('Fichas clínicas'!AG139,razas!$A$2:$D$66,3,FALSE)</f>
        <v>13</v>
      </c>
      <c r="AI139" t="str">
        <f t="shared" si="8"/>
        <v>M</v>
      </c>
    </row>
    <row r="140" spans="1:35" x14ac:dyDescent="0.2">
      <c r="A140">
        <v>140</v>
      </c>
      <c r="B140" t="s">
        <v>460</v>
      </c>
      <c r="C140" t="s">
        <v>461</v>
      </c>
      <c r="D140" t="s">
        <v>41</v>
      </c>
      <c r="E140" t="s">
        <v>42</v>
      </c>
      <c r="F140" t="s">
        <v>34</v>
      </c>
      <c r="G140" t="s">
        <v>194</v>
      </c>
      <c r="J140" t="s">
        <v>288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T140" t="s">
        <v>38</v>
      </c>
      <c r="U140">
        <v>0</v>
      </c>
      <c r="V140">
        <v>1</v>
      </c>
      <c r="W140">
        <v>0</v>
      </c>
      <c r="X140">
        <v>0</v>
      </c>
      <c r="Y140">
        <v>0</v>
      </c>
      <c r="AE140">
        <f t="shared" si="6"/>
        <v>1</v>
      </c>
      <c r="AF140">
        <f>VLOOKUP(D140,especies!$A$2:$C$9,3,FALSE)</f>
        <v>2</v>
      </c>
      <c r="AG140" t="str">
        <f t="shared" si="7"/>
        <v>2-DPC (Doméstico de pelo corto o DSH)</v>
      </c>
      <c r="AH140">
        <f>VLOOKUP('Fichas clínicas'!AG140,razas!$A$2:$D$66,3,FALSE)</f>
        <v>51</v>
      </c>
      <c r="AI140" t="str">
        <f t="shared" si="8"/>
        <v>H</v>
      </c>
    </row>
    <row r="141" spans="1:35" x14ac:dyDescent="0.2">
      <c r="A141">
        <v>141</v>
      </c>
      <c r="B141" t="s">
        <v>462</v>
      </c>
      <c r="C141" t="s">
        <v>315</v>
      </c>
      <c r="D141" t="s">
        <v>41</v>
      </c>
      <c r="E141" t="s">
        <v>42</v>
      </c>
      <c r="F141" t="s">
        <v>34</v>
      </c>
      <c r="G141" t="s">
        <v>463</v>
      </c>
      <c r="I141">
        <v>939000004265086</v>
      </c>
      <c r="J141" t="s">
        <v>464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Q141">
        <v>0</v>
      </c>
      <c r="T141" t="s">
        <v>38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f t="shared" si="6"/>
        <v>1</v>
      </c>
      <c r="AF141">
        <f>VLOOKUP(D141,especies!$A$2:$C$9,3,FALSE)</f>
        <v>2</v>
      </c>
      <c r="AG141" t="str">
        <f t="shared" si="7"/>
        <v>2-DPC (Doméstico de pelo corto o DSH)</v>
      </c>
      <c r="AH141">
        <f>VLOOKUP('Fichas clínicas'!AG141,razas!$A$2:$D$66,3,FALSE)</f>
        <v>51</v>
      </c>
      <c r="AI141" t="str">
        <f t="shared" si="8"/>
        <v>H</v>
      </c>
    </row>
    <row r="142" spans="1:35" x14ac:dyDescent="0.2">
      <c r="A142">
        <v>142</v>
      </c>
      <c r="B142" t="s">
        <v>460</v>
      </c>
      <c r="C142" t="s">
        <v>465</v>
      </c>
      <c r="D142" t="s">
        <v>32</v>
      </c>
      <c r="E142" t="s">
        <v>33</v>
      </c>
      <c r="F142" t="s">
        <v>34</v>
      </c>
      <c r="G142" t="s">
        <v>123</v>
      </c>
      <c r="J142" t="s">
        <v>58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T142" t="s">
        <v>38</v>
      </c>
      <c r="U142">
        <v>0</v>
      </c>
      <c r="V142">
        <v>1</v>
      </c>
      <c r="W142">
        <v>0</v>
      </c>
      <c r="X142">
        <v>0</v>
      </c>
      <c r="Y142">
        <v>0</v>
      </c>
      <c r="AE142">
        <f t="shared" si="6"/>
        <v>1</v>
      </c>
      <c r="AF142">
        <f>VLOOKUP(D142,especies!$A$2:$C$9,3,FALSE)</f>
        <v>1</v>
      </c>
      <c r="AG142" t="str">
        <f t="shared" si="7"/>
        <v>1-Mestizo</v>
      </c>
      <c r="AH142">
        <f>VLOOKUP('Fichas clínicas'!AG142,razas!$A$2:$D$66,3,FALSE)</f>
        <v>1</v>
      </c>
      <c r="AI142" t="str">
        <f t="shared" si="8"/>
        <v>H</v>
      </c>
    </row>
    <row r="143" spans="1:35" x14ac:dyDescent="0.2">
      <c r="A143">
        <v>143</v>
      </c>
      <c r="B143" t="s">
        <v>466</v>
      </c>
      <c r="C143" t="s">
        <v>76</v>
      </c>
      <c r="D143" t="s">
        <v>32</v>
      </c>
      <c r="E143" t="s">
        <v>33</v>
      </c>
      <c r="F143" t="s">
        <v>47</v>
      </c>
      <c r="G143" t="s">
        <v>467</v>
      </c>
      <c r="J143" t="s">
        <v>468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T143" t="s">
        <v>38</v>
      </c>
      <c r="U143">
        <v>0</v>
      </c>
      <c r="W143">
        <v>0</v>
      </c>
      <c r="X143">
        <v>0</v>
      </c>
      <c r="Y143">
        <v>0</v>
      </c>
      <c r="AE143">
        <f t="shared" si="6"/>
        <v>1</v>
      </c>
      <c r="AF143">
        <f>VLOOKUP(D143,especies!$A$2:$C$9,3,FALSE)</f>
        <v>1</v>
      </c>
      <c r="AG143" t="str">
        <f t="shared" si="7"/>
        <v>1-Mestizo</v>
      </c>
      <c r="AH143">
        <f>VLOOKUP('Fichas clínicas'!AG143,razas!$A$2:$D$66,3,FALSE)</f>
        <v>1</v>
      </c>
      <c r="AI143" t="str">
        <f t="shared" si="8"/>
        <v>M</v>
      </c>
    </row>
    <row r="144" spans="1:35" x14ac:dyDescent="0.2">
      <c r="A144">
        <v>144</v>
      </c>
      <c r="B144" t="s">
        <v>317</v>
      </c>
      <c r="C144" t="s">
        <v>469</v>
      </c>
      <c r="D144" t="s">
        <v>41</v>
      </c>
      <c r="E144" t="s">
        <v>42</v>
      </c>
      <c r="F144" t="s">
        <v>34</v>
      </c>
      <c r="G144" t="s">
        <v>470</v>
      </c>
      <c r="J144" t="s">
        <v>471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T144" t="s">
        <v>38</v>
      </c>
      <c r="U144">
        <v>0</v>
      </c>
      <c r="W144">
        <v>0</v>
      </c>
      <c r="X144">
        <v>0</v>
      </c>
      <c r="Y144">
        <v>0</v>
      </c>
      <c r="AE144">
        <f t="shared" si="6"/>
        <v>1</v>
      </c>
      <c r="AF144">
        <f>VLOOKUP(D144,especies!$A$2:$C$9,3,FALSE)</f>
        <v>2</v>
      </c>
      <c r="AG144" t="str">
        <f t="shared" si="7"/>
        <v>2-DPC (Doméstico de pelo corto o DSH)</v>
      </c>
      <c r="AH144">
        <f>VLOOKUP('Fichas clínicas'!AG144,razas!$A$2:$D$66,3,FALSE)</f>
        <v>51</v>
      </c>
      <c r="AI144" t="str">
        <f t="shared" si="8"/>
        <v>H</v>
      </c>
    </row>
    <row r="145" spans="1:35" x14ac:dyDescent="0.2">
      <c r="A145">
        <v>145</v>
      </c>
      <c r="B145" t="s">
        <v>472</v>
      </c>
      <c r="C145" t="s">
        <v>53</v>
      </c>
      <c r="D145" t="s">
        <v>32</v>
      </c>
      <c r="E145" t="s">
        <v>473</v>
      </c>
      <c r="F145" t="s">
        <v>34</v>
      </c>
      <c r="G145" t="s">
        <v>474</v>
      </c>
      <c r="J145" t="s">
        <v>58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Q145">
        <v>0</v>
      </c>
      <c r="T145" t="s">
        <v>38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f t="shared" si="6"/>
        <v>1</v>
      </c>
      <c r="AF145">
        <f>VLOOKUP(D145,especies!$A$2:$C$9,3,FALSE)</f>
        <v>1</v>
      </c>
      <c r="AG145" t="str">
        <f t="shared" si="7"/>
        <v>1-Boxer</v>
      </c>
      <c r="AH145">
        <f>VLOOKUP('Fichas clínicas'!AG145,razas!$A$2:$D$66,3,FALSE)</f>
        <v>14</v>
      </c>
      <c r="AI145" t="str">
        <f t="shared" si="8"/>
        <v>H</v>
      </c>
    </row>
    <row r="146" spans="1:35" x14ac:dyDescent="0.2">
      <c r="A146">
        <v>146</v>
      </c>
      <c r="B146" t="s">
        <v>475</v>
      </c>
      <c r="C146" t="s">
        <v>476</v>
      </c>
      <c r="D146" t="s">
        <v>41</v>
      </c>
      <c r="E146" t="s">
        <v>42</v>
      </c>
      <c r="F146" t="s">
        <v>34</v>
      </c>
      <c r="G146" t="s">
        <v>477</v>
      </c>
      <c r="J146" t="s">
        <v>478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T146" t="s">
        <v>38</v>
      </c>
      <c r="U146">
        <v>0</v>
      </c>
      <c r="V146">
        <v>1</v>
      </c>
      <c r="W146">
        <v>0</v>
      </c>
      <c r="X146">
        <v>0</v>
      </c>
      <c r="Y146">
        <v>0</v>
      </c>
      <c r="AE146">
        <f t="shared" si="6"/>
        <v>1</v>
      </c>
      <c r="AF146">
        <f>VLOOKUP(D146,especies!$A$2:$C$9,3,FALSE)</f>
        <v>2</v>
      </c>
      <c r="AG146" t="str">
        <f t="shared" si="7"/>
        <v>2-DPC (Doméstico de pelo corto o DSH)</v>
      </c>
      <c r="AH146">
        <f>VLOOKUP('Fichas clínicas'!AG146,razas!$A$2:$D$66,3,FALSE)</f>
        <v>51</v>
      </c>
      <c r="AI146" t="str">
        <f t="shared" si="8"/>
        <v>H</v>
      </c>
    </row>
    <row r="147" spans="1:35" x14ac:dyDescent="0.2">
      <c r="A147">
        <v>147</v>
      </c>
      <c r="B147" t="s">
        <v>475</v>
      </c>
      <c r="C147" t="s">
        <v>479</v>
      </c>
      <c r="D147" t="s">
        <v>41</v>
      </c>
      <c r="E147" t="s">
        <v>42</v>
      </c>
      <c r="F147" t="s">
        <v>34</v>
      </c>
      <c r="G147" t="s">
        <v>300</v>
      </c>
      <c r="J147" t="s">
        <v>480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Q147">
        <v>0</v>
      </c>
      <c r="T147" t="s">
        <v>38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f t="shared" si="6"/>
        <v>1</v>
      </c>
      <c r="AF147">
        <f>VLOOKUP(D147,especies!$A$2:$C$9,3,FALSE)</f>
        <v>2</v>
      </c>
      <c r="AG147" t="str">
        <f t="shared" si="7"/>
        <v>2-DPC (Doméstico de pelo corto o DSH)</v>
      </c>
      <c r="AH147">
        <f>VLOOKUP('Fichas clínicas'!AG147,razas!$A$2:$D$66,3,FALSE)</f>
        <v>51</v>
      </c>
      <c r="AI147" t="str">
        <f t="shared" si="8"/>
        <v>H</v>
      </c>
    </row>
    <row r="148" spans="1:35" x14ac:dyDescent="0.2">
      <c r="A148">
        <v>148</v>
      </c>
      <c r="B148" t="s">
        <v>481</v>
      </c>
      <c r="C148" t="s">
        <v>308</v>
      </c>
      <c r="D148" t="s">
        <v>32</v>
      </c>
      <c r="E148" t="s">
        <v>33</v>
      </c>
      <c r="F148" t="s">
        <v>34</v>
      </c>
      <c r="G148" t="s">
        <v>116</v>
      </c>
      <c r="J148" t="s">
        <v>113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T148" t="s">
        <v>38</v>
      </c>
      <c r="U148">
        <v>0</v>
      </c>
      <c r="V148">
        <v>1</v>
      </c>
      <c r="W148">
        <v>0</v>
      </c>
      <c r="X148">
        <v>0</v>
      </c>
      <c r="Y148">
        <v>0</v>
      </c>
      <c r="AE148">
        <f t="shared" si="6"/>
        <v>1</v>
      </c>
      <c r="AF148">
        <f>VLOOKUP(D148,especies!$A$2:$C$9,3,FALSE)</f>
        <v>1</v>
      </c>
      <c r="AG148" t="str">
        <f t="shared" si="7"/>
        <v>1-Mestizo</v>
      </c>
      <c r="AH148">
        <f>VLOOKUP('Fichas clínicas'!AG148,razas!$A$2:$D$66,3,FALSE)</f>
        <v>1</v>
      </c>
      <c r="AI148" t="str">
        <f t="shared" si="8"/>
        <v>H</v>
      </c>
    </row>
    <row r="149" spans="1:35" x14ac:dyDescent="0.2">
      <c r="A149">
        <v>149</v>
      </c>
      <c r="B149" t="s">
        <v>482</v>
      </c>
      <c r="C149" t="s">
        <v>483</v>
      </c>
      <c r="D149" t="s">
        <v>41</v>
      </c>
      <c r="E149" t="s">
        <v>42</v>
      </c>
      <c r="F149" t="s">
        <v>47</v>
      </c>
      <c r="G149" t="s">
        <v>116</v>
      </c>
      <c r="J149" t="s">
        <v>484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Q149">
        <v>0</v>
      </c>
      <c r="T149" t="s">
        <v>38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f t="shared" si="6"/>
        <v>1</v>
      </c>
      <c r="AF149">
        <f>VLOOKUP(D149,especies!$A$2:$C$9,3,FALSE)</f>
        <v>2</v>
      </c>
      <c r="AG149" t="str">
        <f t="shared" si="7"/>
        <v>2-DPC (Doméstico de pelo corto o DSH)</v>
      </c>
      <c r="AH149">
        <f>VLOOKUP('Fichas clínicas'!AG149,razas!$A$2:$D$66,3,FALSE)</f>
        <v>51</v>
      </c>
      <c r="AI149" t="str">
        <f t="shared" si="8"/>
        <v>M</v>
      </c>
    </row>
    <row r="150" spans="1:35" x14ac:dyDescent="0.2">
      <c r="A150">
        <v>150</v>
      </c>
      <c r="B150" t="s">
        <v>485</v>
      </c>
      <c r="C150" t="s">
        <v>486</v>
      </c>
      <c r="D150" t="s">
        <v>41</v>
      </c>
      <c r="E150" t="s">
        <v>42</v>
      </c>
      <c r="F150" t="s">
        <v>34</v>
      </c>
      <c r="G150" t="s">
        <v>487</v>
      </c>
      <c r="J150" t="s">
        <v>90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Q150">
        <v>0</v>
      </c>
      <c r="T150" t="s">
        <v>38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f t="shared" si="6"/>
        <v>1</v>
      </c>
      <c r="AF150">
        <f>VLOOKUP(D150,especies!$A$2:$C$9,3,FALSE)</f>
        <v>2</v>
      </c>
      <c r="AG150" t="str">
        <f t="shared" si="7"/>
        <v>2-DPC (Doméstico de pelo corto o DSH)</v>
      </c>
      <c r="AH150">
        <f>VLOOKUP('Fichas clínicas'!AG150,razas!$A$2:$D$66,3,FALSE)</f>
        <v>51</v>
      </c>
      <c r="AI150" t="str">
        <f t="shared" si="8"/>
        <v>H</v>
      </c>
    </row>
    <row r="151" spans="1:35" x14ac:dyDescent="0.2">
      <c r="A151">
        <v>151</v>
      </c>
      <c r="B151" t="s">
        <v>488</v>
      </c>
      <c r="C151" t="s">
        <v>315</v>
      </c>
      <c r="D151" t="s">
        <v>32</v>
      </c>
      <c r="E151" t="s">
        <v>33</v>
      </c>
      <c r="F151" t="s">
        <v>34</v>
      </c>
      <c r="G151" t="s">
        <v>116</v>
      </c>
      <c r="J151" t="s">
        <v>489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Q151">
        <v>0</v>
      </c>
      <c r="T151" t="s">
        <v>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f t="shared" si="6"/>
        <v>1</v>
      </c>
      <c r="AF151">
        <f>VLOOKUP(D151,especies!$A$2:$C$9,3,FALSE)</f>
        <v>1</v>
      </c>
      <c r="AG151" t="str">
        <f t="shared" si="7"/>
        <v>1-Mestizo</v>
      </c>
      <c r="AH151">
        <f>VLOOKUP('Fichas clínicas'!AG151,razas!$A$2:$D$66,3,FALSE)</f>
        <v>1</v>
      </c>
      <c r="AI151" t="str">
        <f t="shared" si="8"/>
        <v>H</v>
      </c>
    </row>
    <row r="152" spans="1:35" x14ac:dyDescent="0.2">
      <c r="A152">
        <v>152</v>
      </c>
      <c r="B152" t="s">
        <v>490</v>
      </c>
      <c r="C152" t="s">
        <v>491</v>
      </c>
      <c r="D152" t="s">
        <v>41</v>
      </c>
      <c r="E152" t="s">
        <v>42</v>
      </c>
      <c r="F152" t="s">
        <v>34</v>
      </c>
      <c r="G152" t="s">
        <v>492</v>
      </c>
      <c r="J152" t="s">
        <v>493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T152" t="s">
        <v>38</v>
      </c>
      <c r="U152">
        <v>0</v>
      </c>
      <c r="V152">
        <v>1</v>
      </c>
      <c r="W152">
        <v>0</v>
      </c>
      <c r="X152">
        <v>0</v>
      </c>
      <c r="Y152">
        <v>0</v>
      </c>
      <c r="AE152">
        <f t="shared" si="6"/>
        <v>1</v>
      </c>
      <c r="AF152">
        <f>VLOOKUP(D152,especies!$A$2:$C$9,3,FALSE)</f>
        <v>2</v>
      </c>
      <c r="AG152" t="str">
        <f t="shared" si="7"/>
        <v>2-DPC (Doméstico de pelo corto o DSH)</v>
      </c>
      <c r="AH152">
        <f>VLOOKUP('Fichas clínicas'!AG152,razas!$A$2:$D$66,3,FALSE)</f>
        <v>51</v>
      </c>
      <c r="AI152" t="str">
        <f t="shared" si="8"/>
        <v>H</v>
      </c>
    </row>
    <row r="153" spans="1:35" x14ac:dyDescent="0.2">
      <c r="A153">
        <v>153</v>
      </c>
      <c r="B153" t="s">
        <v>211</v>
      </c>
      <c r="C153" t="s">
        <v>280</v>
      </c>
      <c r="D153" t="s">
        <v>32</v>
      </c>
      <c r="E153" t="s">
        <v>33</v>
      </c>
      <c r="F153" t="s">
        <v>34</v>
      </c>
      <c r="G153" t="s">
        <v>43</v>
      </c>
      <c r="J153" t="s">
        <v>494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T153" t="s">
        <v>38</v>
      </c>
      <c r="U153">
        <v>0</v>
      </c>
      <c r="V153">
        <v>1</v>
      </c>
      <c r="W153">
        <v>0</v>
      </c>
      <c r="X153">
        <v>0</v>
      </c>
      <c r="Y153">
        <v>0</v>
      </c>
      <c r="AE153">
        <f t="shared" si="6"/>
        <v>1</v>
      </c>
      <c r="AF153">
        <f>VLOOKUP(D153,especies!$A$2:$C$9,3,FALSE)</f>
        <v>1</v>
      </c>
      <c r="AG153" t="str">
        <f t="shared" si="7"/>
        <v>1-Mestizo</v>
      </c>
      <c r="AH153">
        <f>VLOOKUP('Fichas clínicas'!AG153,razas!$A$2:$D$66,3,FALSE)</f>
        <v>1</v>
      </c>
      <c r="AI153" t="str">
        <f t="shared" si="8"/>
        <v>H</v>
      </c>
    </row>
    <row r="154" spans="1:35" x14ac:dyDescent="0.2">
      <c r="A154">
        <v>154</v>
      </c>
      <c r="B154" t="s">
        <v>495</v>
      </c>
      <c r="C154" t="s">
        <v>496</v>
      </c>
      <c r="D154" t="s">
        <v>32</v>
      </c>
      <c r="E154" t="s">
        <v>33</v>
      </c>
      <c r="F154" t="s">
        <v>47</v>
      </c>
      <c r="G154" t="s">
        <v>284</v>
      </c>
      <c r="J154" t="s">
        <v>497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Q154">
        <v>0</v>
      </c>
      <c r="T154" t="s">
        <v>38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f t="shared" si="6"/>
        <v>1</v>
      </c>
      <c r="AF154">
        <f>VLOOKUP(D154,especies!$A$2:$C$9,3,FALSE)</f>
        <v>1</v>
      </c>
      <c r="AG154" t="str">
        <f t="shared" si="7"/>
        <v>1-Mestizo</v>
      </c>
      <c r="AH154">
        <f>VLOOKUP('Fichas clínicas'!AG154,razas!$A$2:$D$66,3,FALSE)</f>
        <v>1</v>
      </c>
      <c r="AI154" t="str">
        <f t="shared" si="8"/>
        <v>M</v>
      </c>
    </row>
    <row r="155" spans="1:35" x14ac:dyDescent="0.2">
      <c r="A155">
        <v>155</v>
      </c>
      <c r="B155" t="s">
        <v>498</v>
      </c>
      <c r="C155" t="s">
        <v>499</v>
      </c>
      <c r="D155" t="s">
        <v>32</v>
      </c>
      <c r="E155" t="s">
        <v>150</v>
      </c>
      <c r="F155" t="s">
        <v>34</v>
      </c>
      <c r="G155" t="s">
        <v>123</v>
      </c>
      <c r="J155" t="s">
        <v>131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Q155">
        <v>0</v>
      </c>
      <c r="T155" t="s">
        <v>38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f t="shared" si="6"/>
        <v>1</v>
      </c>
      <c r="AF155">
        <f>VLOOKUP(D155,especies!$A$2:$C$9,3,FALSE)</f>
        <v>1</v>
      </c>
      <c r="AG155" t="str">
        <f t="shared" si="7"/>
        <v>1-Poodle</v>
      </c>
      <c r="AH155">
        <f>VLOOKUP('Fichas clínicas'!AG155,razas!$A$2:$D$66,3,FALSE)</f>
        <v>6</v>
      </c>
      <c r="AI155" t="str">
        <f t="shared" si="8"/>
        <v>H</v>
      </c>
    </row>
    <row r="156" spans="1:35" x14ac:dyDescent="0.2">
      <c r="A156">
        <v>156</v>
      </c>
      <c r="B156" t="s">
        <v>500</v>
      </c>
      <c r="C156" t="s">
        <v>501</v>
      </c>
      <c r="D156" t="s">
        <v>41</v>
      </c>
      <c r="E156" t="s">
        <v>42</v>
      </c>
      <c r="F156" t="s">
        <v>34</v>
      </c>
      <c r="G156" t="s">
        <v>370</v>
      </c>
      <c r="J156" t="s">
        <v>502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T156" t="s">
        <v>38</v>
      </c>
      <c r="U156">
        <v>0</v>
      </c>
      <c r="W156">
        <v>0</v>
      </c>
      <c r="X156">
        <v>0</v>
      </c>
      <c r="Y156">
        <v>0</v>
      </c>
      <c r="AE156">
        <f t="shared" si="6"/>
        <v>1</v>
      </c>
      <c r="AF156">
        <f>VLOOKUP(D156,especies!$A$2:$C$9,3,FALSE)</f>
        <v>2</v>
      </c>
      <c r="AG156" t="str">
        <f t="shared" si="7"/>
        <v>2-DPC (Doméstico de pelo corto o DSH)</v>
      </c>
      <c r="AH156">
        <f>VLOOKUP('Fichas clínicas'!AG156,razas!$A$2:$D$66,3,FALSE)</f>
        <v>51</v>
      </c>
      <c r="AI156" t="str">
        <f t="shared" si="8"/>
        <v>H</v>
      </c>
    </row>
    <row r="157" spans="1:35" x14ac:dyDescent="0.2">
      <c r="A157">
        <v>157</v>
      </c>
      <c r="B157" t="s">
        <v>503</v>
      </c>
      <c r="C157" t="s">
        <v>504</v>
      </c>
      <c r="D157" t="s">
        <v>32</v>
      </c>
      <c r="E157" t="s">
        <v>33</v>
      </c>
      <c r="F157" t="s">
        <v>47</v>
      </c>
      <c r="G157" t="s">
        <v>220</v>
      </c>
      <c r="J157" t="s">
        <v>505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Q157">
        <v>0</v>
      </c>
      <c r="T157" t="s">
        <v>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f t="shared" si="6"/>
        <v>1</v>
      </c>
      <c r="AF157">
        <f>VLOOKUP(D157,especies!$A$2:$C$9,3,FALSE)</f>
        <v>1</v>
      </c>
      <c r="AG157" t="str">
        <f t="shared" si="7"/>
        <v>1-Mestizo</v>
      </c>
      <c r="AH157">
        <f>VLOOKUP('Fichas clínicas'!AG157,razas!$A$2:$D$66,3,FALSE)</f>
        <v>1</v>
      </c>
      <c r="AI157" t="str">
        <f t="shared" si="8"/>
        <v>M</v>
      </c>
    </row>
    <row r="158" spans="1:35" x14ac:dyDescent="0.2">
      <c r="A158">
        <v>158</v>
      </c>
      <c r="B158" t="s">
        <v>506</v>
      </c>
      <c r="C158" t="s">
        <v>507</v>
      </c>
      <c r="D158" t="s">
        <v>32</v>
      </c>
      <c r="E158" t="s">
        <v>508</v>
      </c>
      <c r="F158" t="s">
        <v>34</v>
      </c>
      <c r="G158" t="s">
        <v>284</v>
      </c>
      <c r="I158">
        <v>939000007188514</v>
      </c>
      <c r="J158" t="s">
        <v>140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Q158">
        <v>0</v>
      </c>
      <c r="T158" t="s">
        <v>38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f t="shared" si="6"/>
        <v>1</v>
      </c>
      <c r="AF158">
        <f>VLOOKUP(D158,especies!$A$2:$C$9,3,FALSE)</f>
        <v>1</v>
      </c>
      <c r="AG158" t="str">
        <f t="shared" si="7"/>
        <v>1-Akita Americano</v>
      </c>
      <c r="AH158">
        <f>VLOOKUP('Fichas clínicas'!AG158,razas!$A$2:$D$66,3,FALSE)</f>
        <v>15</v>
      </c>
      <c r="AI158" t="str">
        <f t="shared" si="8"/>
        <v>H</v>
      </c>
    </row>
    <row r="159" spans="1:35" x14ac:dyDescent="0.2">
      <c r="A159">
        <v>159</v>
      </c>
      <c r="B159" t="s">
        <v>509</v>
      </c>
      <c r="C159" t="s">
        <v>510</v>
      </c>
      <c r="D159" t="s">
        <v>41</v>
      </c>
      <c r="E159" t="s">
        <v>42</v>
      </c>
      <c r="F159" t="s">
        <v>34</v>
      </c>
      <c r="G159" t="s">
        <v>511</v>
      </c>
      <c r="J159" t="s">
        <v>512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T159" t="s">
        <v>38</v>
      </c>
      <c r="U159">
        <v>0</v>
      </c>
      <c r="W159">
        <v>0</v>
      </c>
      <c r="X159">
        <v>0</v>
      </c>
      <c r="Y159">
        <v>0</v>
      </c>
      <c r="AE159">
        <f t="shared" si="6"/>
        <v>1</v>
      </c>
      <c r="AF159">
        <f>VLOOKUP(D159,especies!$A$2:$C$9,3,FALSE)</f>
        <v>2</v>
      </c>
      <c r="AG159" t="str">
        <f t="shared" si="7"/>
        <v>2-DPC (Doméstico de pelo corto o DSH)</v>
      </c>
      <c r="AH159">
        <f>VLOOKUP('Fichas clínicas'!AG159,razas!$A$2:$D$66,3,FALSE)</f>
        <v>51</v>
      </c>
      <c r="AI159" t="str">
        <f t="shared" si="8"/>
        <v>H</v>
      </c>
    </row>
    <row r="160" spans="1:35" x14ac:dyDescent="0.2">
      <c r="A160">
        <v>160</v>
      </c>
      <c r="B160" t="s">
        <v>513</v>
      </c>
      <c r="C160" t="s">
        <v>514</v>
      </c>
      <c r="D160" t="s">
        <v>242</v>
      </c>
      <c r="E160" t="s">
        <v>242</v>
      </c>
      <c r="F160" t="s">
        <v>34</v>
      </c>
      <c r="G160" t="s">
        <v>515</v>
      </c>
      <c r="J160" t="s">
        <v>516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T160" t="s">
        <v>38</v>
      </c>
      <c r="U160">
        <v>0</v>
      </c>
      <c r="W160">
        <v>0</v>
      </c>
      <c r="X160">
        <v>0</v>
      </c>
      <c r="Y160">
        <v>0</v>
      </c>
      <c r="AE160">
        <f t="shared" si="6"/>
        <v>1</v>
      </c>
      <c r="AF160">
        <f>VLOOKUP(D160,especies!$A$2:$C$9,3,FALSE)</f>
        <v>3</v>
      </c>
      <c r="AG160" t="str">
        <f t="shared" si="7"/>
        <v>3-Otra</v>
      </c>
      <c r="AH160">
        <f>VLOOKUP('Fichas clínicas'!AG160,razas!$A$2:$D$66,3,FALSE)</f>
        <v>55</v>
      </c>
      <c r="AI160" t="str">
        <f t="shared" si="8"/>
        <v>H</v>
      </c>
    </row>
    <row r="161" spans="1:35" x14ac:dyDescent="0.2">
      <c r="A161">
        <v>161</v>
      </c>
      <c r="B161" t="s">
        <v>517</v>
      </c>
      <c r="C161" t="s">
        <v>518</v>
      </c>
      <c r="D161" t="s">
        <v>32</v>
      </c>
      <c r="E161" t="s">
        <v>33</v>
      </c>
      <c r="F161" t="s">
        <v>34</v>
      </c>
      <c r="G161" t="s">
        <v>351</v>
      </c>
      <c r="J161" t="s">
        <v>519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T161" t="s">
        <v>38</v>
      </c>
      <c r="U161">
        <v>0</v>
      </c>
      <c r="V161">
        <v>1</v>
      </c>
      <c r="W161">
        <v>0</v>
      </c>
      <c r="X161">
        <v>0</v>
      </c>
      <c r="Y161">
        <v>0</v>
      </c>
      <c r="AE161">
        <f t="shared" si="6"/>
        <v>1</v>
      </c>
      <c r="AF161">
        <f>VLOOKUP(D161,especies!$A$2:$C$9,3,FALSE)</f>
        <v>1</v>
      </c>
      <c r="AG161" t="str">
        <f t="shared" si="7"/>
        <v>1-Mestizo</v>
      </c>
      <c r="AH161">
        <f>VLOOKUP('Fichas clínicas'!AG161,razas!$A$2:$D$66,3,FALSE)</f>
        <v>1</v>
      </c>
      <c r="AI161" t="str">
        <f t="shared" si="8"/>
        <v>H</v>
      </c>
    </row>
    <row r="162" spans="1:35" x14ac:dyDescent="0.2">
      <c r="A162">
        <v>162</v>
      </c>
      <c r="B162" t="s">
        <v>520</v>
      </c>
      <c r="C162" t="s">
        <v>521</v>
      </c>
      <c r="D162" t="s">
        <v>32</v>
      </c>
      <c r="E162" t="s">
        <v>150</v>
      </c>
      <c r="F162" t="s">
        <v>34</v>
      </c>
      <c r="G162" t="s">
        <v>102</v>
      </c>
      <c r="J162" t="s">
        <v>493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T162" t="s">
        <v>38</v>
      </c>
      <c r="U162">
        <v>0</v>
      </c>
      <c r="W162">
        <v>0</v>
      </c>
      <c r="X162">
        <v>0</v>
      </c>
      <c r="Y162">
        <v>0</v>
      </c>
      <c r="AE162">
        <f t="shared" si="6"/>
        <v>1</v>
      </c>
      <c r="AF162">
        <f>VLOOKUP(D162,especies!$A$2:$C$9,3,FALSE)</f>
        <v>1</v>
      </c>
      <c r="AG162" t="str">
        <f t="shared" si="7"/>
        <v>1-Poodle</v>
      </c>
      <c r="AH162">
        <f>VLOOKUP('Fichas clínicas'!AG162,razas!$A$2:$D$66,3,FALSE)</f>
        <v>6</v>
      </c>
      <c r="AI162" t="str">
        <f t="shared" si="8"/>
        <v>H</v>
      </c>
    </row>
    <row r="163" spans="1:35" x14ac:dyDescent="0.2">
      <c r="A163">
        <v>163</v>
      </c>
      <c r="B163" t="s">
        <v>520</v>
      </c>
      <c r="C163" t="s">
        <v>522</v>
      </c>
      <c r="D163" t="s">
        <v>32</v>
      </c>
      <c r="E163" t="s">
        <v>150</v>
      </c>
      <c r="F163" t="s">
        <v>34</v>
      </c>
      <c r="G163" t="s">
        <v>102</v>
      </c>
      <c r="J163" t="s">
        <v>523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T163" t="s">
        <v>38</v>
      </c>
      <c r="U163">
        <v>0</v>
      </c>
      <c r="W163">
        <v>0</v>
      </c>
      <c r="X163">
        <v>0</v>
      </c>
      <c r="Y163">
        <v>0</v>
      </c>
      <c r="AE163">
        <f t="shared" si="6"/>
        <v>1</v>
      </c>
      <c r="AF163">
        <f>VLOOKUP(D163,especies!$A$2:$C$9,3,FALSE)</f>
        <v>1</v>
      </c>
      <c r="AG163" t="str">
        <f t="shared" si="7"/>
        <v>1-Poodle</v>
      </c>
      <c r="AH163">
        <f>VLOOKUP('Fichas clínicas'!AG163,razas!$A$2:$D$66,3,FALSE)</f>
        <v>6</v>
      </c>
      <c r="AI163" t="str">
        <f t="shared" si="8"/>
        <v>H</v>
      </c>
    </row>
    <row r="164" spans="1:35" x14ac:dyDescent="0.2">
      <c r="A164">
        <v>164</v>
      </c>
      <c r="B164" t="s">
        <v>524</v>
      </c>
      <c r="C164" t="s">
        <v>525</v>
      </c>
      <c r="D164" t="s">
        <v>32</v>
      </c>
      <c r="E164" t="s">
        <v>63</v>
      </c>
      <c r="F164" t="s">
        <v>47</v>
      </c>
      <c r="G164" t="s">
        <v>526</v>
      </c>
      <c r="J164" t="s">
        <v>527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T164" t="s">
        <v>38</v>
      </c>
      <c r="U164">
        <v>0</v>
      </c>
      <c r="V164">
        <v>1</v>
      </c>
      <c r="W164">
        <v>0</v>
      </c>
      <c r="X164">
        <v>0</v>
      </c>
      <c r="Y164">
        <v>0</v>
      </c>
      <c r="AE164">
        <f t="shared" si="6"/>
        <v>1</v>
      </c>
      <c r="AF164">
        <f>VLOOKUP(D164,especies!$A$2:$C$9,3,FALSE)</f>
        <v>1</v>
      </c>
      <c r="AG164" t="str">
        <f t="shared" si="7"/>
        <v>1-Fox Terrier Pelo Corto</v>
      </c>
      <c r="AH164">
        <f>VLOOKUP('Fichas clínicas'!AG164,razas!$A$2:$D$66,3,FALSE)</f>
        <v>2</v>
      </c>
      <c r="AI164" t="str">
        <f t="shared" si="8"/>
        <v>M</v>
      </c>
    </row>
    <row r="165" spans="1:35" x14ac:dyDescent="0.2">
      <c r="A165">
        <v>165</v>
      </c>
      <c r="B165" t="s">
        <v>528</v>
      </c>
      <c r="C165" t="s">
        <v>529</v>
      </c>
      <c r="D165" t="s">
        <v>41</v>
      </c>
      <c r="E165" t="s">
        <v>42</v>
      </c>
      <c r="F165" t="s">
        <v>34</v>
      </c>
      <c r="G165" t="s">
        <v>329</v>
      </c>
      <c r="J165" t="s">
        <v>530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T165" t="s">
        <v>38</v>
      </c>
      <c r="U165">
        <v>0</v>
      </c>
      <c r="V165">
        <v>1</v>
      </c>
      <c r="W165">
        <v>0</v>
      </c>
      <c r="X165">
        <v>0</v>
      </c>
      <c r="Y165">
        <v>0</v>
      </c>
      <c r="AE165">
        <f t="shared" si="6"/>
        <v>1</v>
      </c>
      <c r="AF165">
        <f>VLOOKUP(D165,especies!$A$2:$C$9,3,FALSE)</f>
        <v>2</v>
      </c>
      <c r="AG165" t="str">
        <f t="shared" si="7"/>
        <v>2-DPC (Doméstico de pelo corto o DSH)</v>
      </c>
      <c r="AH165">
        <f>VLOOKUP('Fichas clínicas'!AG165,razas!$A$2:$D$66,3,FALSE)</f>
        <v>51</v>
      </c>
      <c r="AI165" t="str">
        <f t="shared" si="8"/>
        <v>H</v>
      </c>
    </row>
    <row r="166" spans="1:35" x14ac:dyDescent="0.2">
      <c r="A166">
        <v>166</v>
      </c>
      <c r="B166" t="s">
        <v>531</v>
      </c>
      <c r="C166" t="s">
        <v>532</v>
      </c>
      <c r="D166" t="s">
        <v>41</v>
      </c>
      <c r="E166" t="s">
        <v>42</v>
      </c>
      <c r="F166" t="s">
        <v>34</v>
      </c>
      <c r="G166" t="s">
        <v>226</v>
      </c>
      <c r="J166" t="s">
        <v>533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T166" t="s">
        <v>38</v>
      </c>
      <c r="U166">
        <v>0</v>
      </c>
      <c r="W166">
        <v>0</v>
      </c>
      <c r="X166">
        <v>0</v>
      </c>
      <c r="Y166">
        <v>0</v>
      </c>
      <c r="AE166">
        <f t="shared" si="6"/>
        <v>1</v>
      </c>
      <c r="AF166">
        <f>VLOOKUP(D166,especies!$A$2:$C$9,3,FALSE)</f>
        <v>2</v>
      </c>
      <c r="AG166" t="str">
        <f t="shared" si="7"/>
        <v>2-DPC (Doméstico de pelo corto o DSH)</v>
      </c>
      <c r="AH166">
        <f>VLOOKUP('Fichas clínicas'!AG166,razas!$A$2:$D$66,3,FALSE)</f>
        <v>51</v>
      </c>
      <c r="AI166" t="str">
        <f t="shared" si="8"/>
        <v>H</v>
      </c>
    </row>
    <row r="167" spans="1:35" x14ac:dyDescent="0.2">
      <c r="A167">
        <v>167</v>
      </c>
      <c r="B167" t="s">
        <v>534</v>
      </c>
      <c r="C167" t="s">
        <v>101</v>
      </c>
      <c r="D167" t="s">
        <v>32</v>
      </c>
      <c r="E167" t="s">
        <v>150</v>
      </c>
      <c r="F167" t="s">
        <v>47</v>
      </c>
      <c r="G167" t="s">
        <v>102</v>
      </c>
      <c r="J167" t="s">
        <v>535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T167" t="s">
        <v>38</v>
      </c>
      <c r="U167">
        <v>0</v>
      </c>
      <c r="W167">
        <v>0</v>
      </c>
      <c r="X167">
        <v>0</v>
      </c>
      <c r="Y167">
        <v>0</v>
      </c>
      <c r="AE167">
        <f t="shared" si="6"/>
        <v>1</v>
      </c>
      <c r="AF167">
        <f>VLOOKUP(D167,especies!$A$2:$C$9,3,FALSE)</f>
        <v>1</v>
      </c>
      <c r="AG167" t="str">
        <f t="shared" si="7"/>
        <v>1-Poodle</v>
      </c>
      <c r="AH167">
        <f>VLOOKUP('Fichas clínicas'!AG167,razas!$A$2:$D$66,3,FALSE)</f>
        <v>6</v>
      </c>
      <c r="AI167" t="str">
        <f t="shared" si="8"/>
        <v>M</v>
      </c>
    </row>
    <row r="168" spans="1:35" x14ac:dyDescent="0.2">
      <c r="A168">
        <v>168</v>
      </c>
      <c r="B168" t="s">
        <v>536</v>
      </c>
      <c r="C168" t="s">
        <v>537</v>
      </c>
      <c r="D168" t="s">
        <v>41</v>
      </c>
      <c r="E168" t="s">
        <v>93</v>
      </c>
      <c r="F168" t="s">
        <v>34</v>
      </c>
      <c r="G168" t="s">
        <v>81</v>
      </c>
      <c r="J168" t="s">
        <v>538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T168" t="s">
        <v>38</v>
      </c>
      <c r="U168">
        <v>0</v>
      </c>
      <c r="V168">
        <v>1</v>
      </c>
      <c r="W168">
        <v>0</v>
      </c>
      <c r="X168">
        <v>0</v>
      </c>
      <c r="Y168">
        <v>0</v>
      </c>
      <c r="AE168">
        <f t="shared" si="6"/>
        <v>1</v>
      </c>
      <c r="AF168">
        <f>VLOOKUP(D168,especies!$A$2:$C$9,3,FALSE)</f>
        <v>2</v>
      </c>
      <c r="AG168" t="str">
        <f t="shared" si="7"/>
        <v>2-DPL (Doméstico de pelo Largo o DLH)</v>
      </c>
      <c r="AH168">
        <f>VLOOKUP('Fichas clínicas'!AG168,razas!$A$2:$D$66,3,FALSE)</f>
        <v>52</v>
      </c>
      <c r="AI168" t="str">
        <f t="shared" si="8"/>
        <v>H</v>
      </c>
    </row>
    <row r="169" spans="1:35" x14ac:dyDescent="0.2">
      <c r="A169">
        <v>169</v>
      </c>
      <c r="B169" t="s">
        <v>539</v>
      </c>
      <c r="C169" t="s">
        <v>540</v>
      </c>
      <c r="D169" t="s">
        <v>32</v>
      </c>
      <c r="E169" t="s">
        <v>33</v>
      </c>
      <c r="F169" t="s">
        <v>34</v>
      </c>
      <c r="G169" t="s">
        <v>297</v>
      </c>
      <c r="J169" t="s">
        <v>441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T169" t="s">
        <v>38</v>
      </c>
      <c r="U169">
        <v>0</v>
      </c>
      <c r="W169">
        <v>0</v>
      </c>
      <c r="X169">
        <v>0</v>
      </c>
      <c r="Y169">
        <v>0</v>
      </c>
      <c r="AE169">
        <f t="shared" si="6"/>
        <v>1</v>
      </c>
      <c r="AF169">
        <f>VLOOKUP(D169,especies!$A$2:$C$9,3,FALSE)</f>
        <v>1</v>
      </c>
      <c r="AG169" t="str">
        <f t="shared" si="7"/>
        <v>1-Mestizo</v>
      </c>
      <c r="AH169">
        <f>VLOOKUP('Fichas clínicas'!AG169,razas!$A$2:$D$66,3,FALSE)</f>
        <v>1</v>
      </c>
      <c r="AI169" t="str">
        <f t="shared" si="8"/>
        <v>H</v>
      </c>
    </row>
    <row r="170" spans="1:35" x14ac:dyDescent="0.2">
      <c r="A170">
        <v>170</v>
      </c>
      <c r="B170" t="s">
        <v>541</v>
      </c>
      <c r="C170" t="s">
        <v>542</v>
      </c>
      <c r="D170" t="s">
        <v>41</v>
      </c>
      <c r="E170" t="s">
        <v>42</v>
      </c>
      <c r="F170" t="s">
        <v>34</v>
      </c>
      <c r="G170" t="s">
        <v>543</v>
      </c>
      <c r="J170" t="s">
        <v>85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T170" t="s">
        <v>38</v>
      </c>
      <c r="U170">
        <v>0</v>
      </c>
      <c r="W170">
        <v>0</v>
      </c>
      <c r="X170">
        <v>0</v>
      </c>
      <c r="Y170">
        <v>0</v>
      </c>
      <c r="AE170">
        <f t="shared" si="6"/>
        <v>1</v>
      </c>
      <c r="AF170">
        <f>VLOOKUP(D170,especies!$A$2:$C$9,3,FALSE)</f>
        <v>2</v>
      </c>
      <c r="AG170" t="str">
        <f t="shared" si="7"/>
        <v>2-DPC (Doméstico de pelo corto o DSH)</v>
      </c>
      <c r="AH170">
        <f>VLOOKUP('Fichas clínicas'!AG170,razas!$A$2:$D$66,3,FALSE)</f>
        <v>51</v>
      </c>
      <c r="AI170" t="str">
        <f t="shared" si="8"/>
        <v>H</v>
      </c>
    </row>
    <row r="171" spans="1:35" x14ac:dyDescent="0.2">
      <c r="A171">
        <v>171</v>
      </c>
      <c r="B171" t="s">
        <v>544</v>
      </c>
      <c r="C171" t="s">
        <v>149</v>
      </c>
      <c r="D171" t="s">
        <v>32</v>
      </c>
      <c r="E171" t="s">
        <v>545</v>
      </c>
      <c r="F171" t="s">
        <v>34</v>
      </c>
      <c r="G171" t="s">
        <v>546</v>
      </c>
      <c r="J171" t="s">
        <v>547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T171" t="s">
        <v>38</v>
      </c>
      <c r="U171">
        <v>0</v>
      </c>
      <c r="W171">
        <v>0</v>
      </c>
      <c r="X171">
        <v>0</v>
      </c>
      <c r="Y171">
        <v>0</v>
      </c>
      <c r="AE171">
        <f t="shared" si="6"/>
        <v>1</v>
      </c>
      <c r="AF171">
        <f>VLOOKUP(D171,especies!$A$2:$C$9,3,FALSE)</f>
        <v>1</v>
      </c>
      <c r="AG171" t="str">
        <f t="shared" si="7"/>
        <v>1-Golden Retriever</v>
      </c>
      <c r="AH171">
        <f>VLOOKUP('Fichas clínicas'!AG171,razas!$A$2:$D$66,3,FALSE)</f>
        <v>16</v>
      </c>
      <c r="AI171" t="str">
        <f t="shared" si="8"/>
        <v>H</v>
      </c>
    </row>
    <row r="172" spans="1:35" x14ac:dyDescent="0.2">
      <c r="A172">
        <v>172</v>
      </c>
      <c r="B172" t="s">
        <v>548</v>
      </c>
      <c r="C172" t="s">
        <v>251</v>
      </c>
      <c r="D172" t="s">
        <v>32</v>
      </c>
      <c r="E172" t="s">
        <v>33</v>
      </c>
      <c r="F172" t="s">
        <v>34</v>
      </c>
      <c r="G172" t="s">
        <v>116</v>
      </c>
      <c r="J172" t="s">
        <v>55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T172" t="s">
        <v>38</v>
      </c>
      <c r="U172">
        <v>0</v>
      </c>
      <c r="W172">
        <v>0</v>
      </c>
      <c r="X172">
        <v>0</v>
      </c>
      <c r="Y172">
        <v>0</v>
      </c>
      <c r="AE172">
        <f t="shared" si="6"/>
        <v>1</v>
      </c>
      <c r="AF172">
        <f>VLOOKUP(D172,especies!$A$2:$C$9,3,FALSE)</f>
        <v>1</v>
      </c>
      <c r="AG172" t="str">
        <f t="shared" si="7"/>
        <v>1-Mestizo</v>
      </c>
      <c r="AH172">
        <f>VLOOKUP('Fichas clínicas'!AG172,razas!$A$2:$D$66,3,FALSE)</f>
        <v>1</v>
      </c>
      <c r="AI172" t="str">
        <f t="shared" si="8"/>
        <v>H</v>
      </c>
    </row>
    <row r="173" spans="1:35" x14ac:dyDescent="0.2">
      <c r="A173">
        <v>173</v>
      </c>
      <c r="B173" t="s">
        <v>549</v>
      </c>
      <c r="C173" t="s">
        <v>328</v>
      </c>
      <c r="D173" t="s">
        <v>41</v>
      </c>
      <c r="E173" t="s">
        <v>42</v>
      </c>
      <c r="F173" t="s">
        <v>47</v>
      </c>
      <c r="G173" t="s">
        <v>550</v>
      </c>
      <c r="J173" t="s">
        <v>523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T173" t="s">
        <v>38</v>
      </c>
      <c r="U173">
        <v>0</v>
      </c>
      <c r="W173">
        <v>0</v>
      </c>
      <c r="X173">
        <v>0</v>
      </c>
      <c r="Y173">
        <v>0</v>
      </c>
      <c r="AE173">
        <f t="shared" si="6"/>
        <v>1</v>
      </c>
      <c r="AF173">
        <f>VLOOKUP(D173,especies!$A$2:$C$9,3,FALSE)</f>
        <v>2</v>
      </c>
      <c r="AG173" t="str">
        <f t="shared" si="7"/>
        <v>2-DPC (Doméstico de pelo corto o DSH)</v>
      </c>
      <c r="AH173">
        <f>VLOOKUP('Fichas clínicas'!AG173,razas!$A$2:$D$66,3,FALSE)</f>
        <v>51</v>
      </c>
      <c r="AI173" t="str">
        <f t="shared" si="8"/>
        <v>M</v>
      </c>
    </row>
    <row r="174" spans="1:35" x14ac:dyDescent="0.2">
      <c r="A174">
        <v>174</v>
      </c>
      <c r="B174" t="s">
        <v>549</v>
      </c>
      <c r="C174" t="s">
        <v>551</v>
      </c>
      <c r="D174" t="s">
        <v>41</v>
      </c>
      <c r="E174" t="s">
        <v>42</v>
      </c>
      <c r="F174" t="s">
        <v>34</v>
      </c>
      <c r="G174" t="s">
        <v>552</v>
      </c>
      <c r="J174" t="s">
        <v>553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T174" t="s">
        <v>38</v>
      </c>
      <c r="U174">
        <v>0</v>
      </c>
      <c r="W174">
        <v>0</v>
      </c>
      <c r="X174">
        <v>0</v>
      </c>
      <c r="Y174">
        <v>0</v>
      </c>
      <c r="AE174">
        <f t="shared" si="6"/>
        <v>1</v>
      </c>
      <c r="AF174">
        <f>VLOOKUP(D174,especies!$A$2:$C$9,3,FALSE)</f>
        <v>2</v>
      </c>
      <c r="AG174" t="str">
        <f t="shared" si="7"/>
        <v>2-DPC (Doméstico de pelo corto o DSH)</v>
      </c>
      <c r="AH174">
        <f>VLOOKUP('Fichas clínicas'!AG174,razas!$A$2:$D$66,3,FALSE)</f>
        <v>51</v>
      </c>
      <c r="AI174" t="str">
        <f t="shared" si="8"/>
        <v>H</v>
      </c>
    </row>
    <row r="175" spans="1:35" x14ac:dyDescent="0.2">
      <c r="A175">
        <v>175</v>
      </c>
      <c r="B175" t="s">
        <v>554</v>
      </c>
      <c r="C175" t="s">
        <v>555</v>
      </c>
      <c r="D175" t="s">
        <v>32</v>
      </c>
      <c r="E175" t="s">
        <v>33</v>
      </c>
      <c r="F175" t="s">
        <v>47</v>
      </c>
      <c r="G175" t="s">
        <v>556</v>
      </c>
      <c r="J175" t="s">
        <v>557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Q175">
        <v>0</v>
      </c>
      <c r="T175" t="s">
        <v>38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f t="shared" si="6"/>
        <v>1</v>
      </c>
      <c r="AF175">
        <f>VLOOKUP(D175,especies!$A$2:$C$9,3,FALSE)</f>
        <v>1</v>
      </c>
      <c r="AG175" t="str">
        <f t="shared" si="7"/>
        <v>1-Mestizo</v>
      </c>
      <c r="AH175">
        <f>VLOOKUP('Fichas clínicas'!AG175,razas!$A$2:$D$66,3,FALSE)</f>
        <v>1</v>
      </c>
      <c r="AI175" t="str">
        <f t="shared" si="8"/>
        <v>M</v>
      </c>
    </row>
    <row r="176" spans="1:35" x14ac:dyDescent="0.2">
      <c r="A176">
        <v>176</v>
      </c>
      <c r="B176" t="s">
        <v>558</v>
      </c>
      <c r="C176" t="s">
        <v>559</v>
      </c>
      <c r="D176" t="s">
        <v>32</v>
      </c>
      <c r="E176" t="s">
        <v>164</v>
      </c>
      <c r="F176" t="s">
        <v>34</v>
      </c>
      <c r="G176" t="s">
        <v>560</v>
      </c>
      <c r="J176" t="s">
        <v>561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Q176">
        <v>0</v>
      </c>
      <c r="T176" t="s">
        <v>38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f t="shared" si="6"/>
        <v>1</v>
      </c>
      <c r="AF176">
        <f>VLOOKUP(D176,especies!$A$2:$C$9,3,FALSE)</f>
        <v>1</v>
      </c>
      <c r="AG176" t="str">
        <f t="shared" si="7"/>
        <v>1-Teckel</v>
      </c>
      <c r="AH176">
        <f>VLOOKUP('Fichas clínicas'!AG176,razas!$A$2:$D$66,3,FALSE)</f>
        <v>8</v>
      </c>
      <c r="AI176" t="str">
        <f t="shared" si="8"/>
        <v>H</v>
      </c>
    </row>
    <row r="177" spans="1:35" x14ac:dyDescent="0.2">
      <c r="A177">
        <v>177</v>
      </c>
      <c r="B177" t="s">
        <v>415</v>
      </c>
      <c r="C177" t="s">
        <v>562</v>
      </c>
      <c r="D177" t="s">
        <v>41</v>
      </c>
      <c r="E177" t="s">
        <v>93</v>
      </c>
      <c r="F177" t="s">
        <v>34</v>
      </c>
      <c r="G177" t="s">
        <v>81</v>
      </c>
      <c r="J177" t="s">
        <v>563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T177" t="s">
        <v>38</v>
      </c>
      <c r="U177">
        <v>0</v>
      </c>
      <c r="W177">
        <v>0</v>
      </c>
      <c r="X177">
        <v>0</v>
      </c>
      <c r="Y177">
        <v>0</v>
      </c>
      <c r="AE177">
        <f t="shared" si="6"/>
        <v>1</v>
      </c>
      <c r="AF177">
        <f>VLOOKUP(D177,especies!$A$2:$C$9,3,FALSE)</f>
        <v>2</v>
      </c>
      <c r="AG177" t="str">
        <f t="shared" si="7"/>
        <v>2-DPL (Doméstico de pelo Largo o DLH)</v>
      </c>
      <c r="AH177">
        <f>VLOOKUP('Fichas clínicas'!AG177,razas!$A$2:$D$66,3,FALSE)</f>
        <v>52</v>
      </c>
      <c r="AI177" t="str">
        <f t="shared" si="8"/>
        <v>H</v>
      </c>
    </row>
    <row r="178" spans="1:35" x14ac:dyDescent="0.2">
      <c r="A178">
        <v>178</v>
      </c>
      <c r="B178" t="s">
        <v>564</v>
      </c>
      <c r="C178" t="s">
        <v>565</v>
      </c>
      <c r="D178" t="s">
        <v>41</v>
      </c>
      <c r="E178" t="s">
        <v>42</v>
      </c>
      <c r="F178" t="s">
        <v>47</v>
      </c>
      <c r="G178" t="s">
        <v>566</v>
      </c>
      <c r="J178" t="s">
        <v>37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Q178">
        <v>0</v>
      </c>
      <c r="T178" t="s">
        <v>38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f t="shared" si="6"/>
        <v>1</v>
      </c>
      <c r="AF178">
        <f>VLOOKUP(D178,especies!$A$2:$C$9,3,FALSE)</f>
        <v>2</v>
      </c>
      <c r="AG178" t="str">
        <f t="shared" si="7"/>
        <v>2-DPC (Doméstico de pelo corto o DSH)</v>
      </c>
      <c r="AH178">
        <f>VLOOKUP('Fichas clínicas'!AG178,razas!$A$2:$D$66,3,FALSE)</f>
        <v>51</v>
      </c>
      <c r="AI178" t="str">
        <f t="shared" si="8"/>
        <v>M</v>
      </c>
    </row>
    <row r="179" spans="1:35" x14ac:dyDescent="0.2">
      <c r="A179">
        <v>179</v>
      </c>
      <c r="B179" t="s">
        <v>567</v>
      </c>
      <c r="C179" t="s">
        <v>232</v>
      </c>
      <c r="D179" t="s">
        <v>32</v>
      </c>
      <c r="E179" t="s">
        <v>33</v>
      </c>
      <c r="F179" t="s">
        <v>47</v>
      </c>
      <c r="G179" t="s">
        <v>43</v>
      </c>
      <c r="J179" t="s">
        <v>568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Q179">
        <v>0</v>
      </c>
      <c r="T179" t="s">
        <v>38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f t="shared" si="6"/>
        <v>1</v>
      </c>
      <c r="AF179">
        <f>VLOOKUP(D179,especies!$A$2:$C$9,3,FALSE)</f>
        <v>1</v>
      </c>
      <c r="AG179" t="str">
        <f t="shared" si="7"/>
        <v>1-Mestizo</v>
      </c>
      <c r="AH179">
        <f>VLOOKUP('Fichas clínicas'!AG179,razas!$A$2:$D$66,3,FALSE)</f>
        <v>1</v>
      </c>
      <c r="AI179" t="str">
        <f t="shared" si="8"/>
        <v>M</v>
      </c>
    </row>
    <row r="180" spans="1:35" x14ac:dyDescent="0.2">
      <c r="A180">
        <v>180</v>
      </c>
      <c r="B180" t="s">
        <v>569</v>
      </c>
      <c r="C180" t="s">
        <v>570</v>
      </c>
      <c r="D180" t="s">
        <v>32</v>
      </c>
      <c r="E180" t="s">
        <v>33</v>
      </c>
      <c r="F180" t="s">
        <v>34</v>
      </c>
      <c r="G180" t="s">
        <v>467</v>
      </c>
      <c r="J180" t="s">
        <v>571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T180" t="s">
        <v>38</v>
      </c>
      <c r="U180">
        <v>0</v>
      </c>
      <c r="V180">
        <v>1</v>
      </c>
      <c r="W180">
        <v>0</v>
      </c>
      <c r="X180">
        <v>0</v>
      </c>
      <c r="Y180">
        <v>0</v>
      </c>
      <c r="AE180">
        <f t="shared" si="6"/>
        <v>1</v>
      </c>
      <c r="AF180">
        <f>VLOOKUP(D180,especies!$A$2:$C$9,3,FALSE)</f>
        <v>1</v>
      </c>
      <c r="AG180" t="str">
        <f t="shared" si="7"/>
        <v>1-Mestizo</v>
      </c>
      <c r="AH180">
        <f>VLOOKUP('Fichas clínicas'!AG180,razas!$A$2:$D$66,3,FALSE)</f>
        <v>1</v>
      </c>
      <c r="AI180" t="str">
        <f t="shared" si="8"/>
        <v>H</v>
      </c>
    </row>
    <row r="181" spans="1:35" x14ac:dyDescent="0.2">
      <c r="A181">
        <v>181</v>
      </c>
      <c r="B181" t="s">
        <v>572</v>
      </c>
      <c r="C181" t="s">
        <v>573</v>
      </c>
      <c r="D181" t="s">
        <v>41</v>
      </c>
      <c r="E181" t="s">
        <v>42</v>
      </c>
      <c r="F181" t="s">
        <v>47</v>
      </c>
      <c r="G181" t="s">
        <v>574</v>
      </c>
      <c r="J181" t="s">
        <v>48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T181" t="s">
        <v>38</v>
      </c>
      <c r="U181">
        <v>0</v>
      </c>
      <c r="W181">
        <v>0</v>
      </c>
      <c r="X181">
        <v>0</v>
      </c>
      <c r="Y181">
        <v>0</v>
      </c>
      <c r="AE181">
        <f t="shared" si="6"/>
        <v>1</v>
      </c>
      <c r="AF181">
        <f>VLOOKUP(D181,especies!$A$2:$C$9,3,FALSE)</f>
        <v>2</v>
      </c>
      <c r="AG181" t="str">
        <f t="shared" si="7"/>
        <v>2-DPC (Doméstico de pelo corto o DSH)</v>
      </c>
      <c r="AH181">
        <f>VLOOKUP('Fichas clínicas'!AG181,razas!$A$2:$D$66,3,FALSE)</f>
        <v>51</v>
      </c>
      <c r="AI181" t="str">
        <f t="shared" si="8"/>
        <v>M</v>
      </c>
    </row>
    <row r="182" spans="1:35" x14ac:dyDescent="0.2">
      <c r="A182">
        <v>182</v>
      </c>
      <c r="B182" t="s">
        <v>575</v>
      </c>
      <c r="C182" t="s">
        <v>576</v>
      </c>
      <c r="D182" t="s">
        <v>41</v>
      </c>
      <c r="E182" t="s">
        <v>42</v>
      </c>
      <c r="F182" t="s">
        <v>47</v>
      </c>
      <c r="G182" t="s">
        <v>277</v>
      </c>
      <c r="J182" t="s">
        <v>577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Q182">
        <v>0</v>
      </c>
      <c r="T182" t="s">
        <v>38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f t="shared" si="6"/>
        <v>1</v>
      </c>
      <c r="AF182">
        <f>VLOOKUP(D182,especies!$A$2:$C$9,3,FALSE)</f>
        <v>2</v>
      </c>
      <c r="AG182" t="str">
        <f t="shared" si="7"/>
        <v>2-DPC (Doméstico de pelo corto o DSH)</v>
      </c>
      <c r="AH182">
        <f>VLOOKUP('Fichas clínicas'!AG182,razas!$A$2:$D$66,3,FALSE)</f>
        <v>51</v>
      </c>
      <c r="AI182" t="str">
        <f t="shared" si="8"/>
        <v>M</v>
      </c>
    </row>
    <row r="183" spans="1:35" x14ac:dyDescent="0.2">
      <c r="A183">
        <v>183</v>
      </c>
      <c r="B183" t="s">
        <v>578</v>
      </c>
      <c r="C183" t="s">
        <v>579</v>
      </c>
      <c r="D183" t="s">
        <v>32</v>
      </c>
      <c r="E183" t="s">
        <v>33</v>
      </c>
      <c r="F183" t="s">
        <v>47</v>
      </c>
      <c r="G183" t="s">
        <v>452</v>
      </c>
      <c r="J183" t="s">
        <v>580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T183" t="s">
        <v>38</v>
      </c>
      <c r="U183">
        <v>0</v>
      </c>
      <c r="W183">
        <v>0</v>
      </c>
      <c r="X183">
        <v>0</v>
      </c>
      <c r="Y183">
        <v>0</v>
      </c>
      <c r="AE183">
        <f t="shared" si="6"/>
        <v>1</v>
      </c>
      <c r="AF183">
        <f>VLOOKUP(D183,especies!$A$2:$C$9,3,FALSE)</f>
        <v>1</v>
      </c>
      <c r="AG183" t="str">
        <f t="shared" si="7"/>
        <v>1-Mestizo</v>
      </c>
      <c r="AH183">
        <f>VLOOKUP('Fichas clínicas'!AG183,razas!$A$2:$D$66,3,FALSE)</f>
        <v>1</v>
      </c>
      <c r="AI183" t="str">
        <f t="shared" si="8"/>
        <v>M</v>
      </c>
    </row>
    <row r="184" spans="1:35" x14ac:dyDescent="0.2">
      <c r="A184">
        <v>184</v>
      </c>
      <c r="B184" t="s">
        <v>581</v>
      </c>
      <c r="C184" t="s">
        <v>582</v>
      </c>
      <c r="D184" t="s">
        <v>32</v>
      </c>
      <c r="E184" t="s">
        <v>164</v>
      </c>
      <c r="F184" t="s">
        <v>47</v>
      </c>
      <c r="G184" t="s">
        <v>583</v>
      </c>
      <c r="J184" t="s">
        <v>561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Q184">
        <v>0</v>
      </c>
      <c r="T184" t="s">
        <v>38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f t="shared" si="6"/>
        <v>1</v>
      </c>
      <c r="AF184">
        <f>VLOOKUP(D184,especies!$A$2:$C$9,3,FALSE)</f>
        <v>1</v>
      </c>
      <c r="AG184" t="str">
        <f t="shared" si="7"/>
        <v>1-Teckel</v>
      </c>
      <c r="AH184">
        <f>VLOOKUP('Fichas clínicas'!AG184,razas!$A$2:$D$66,3,FALSE)</f>
        <v>8</v>
      </c>
      <c r="AI184" t="str">
        <f t="shared" si="8"/>
        <v>M</v>
      </c>
    </row>
    <row r="185" spans="1:35" x14ac:dyDescent="0.2">
      <c r="A185">
        <v>185</v>
      </c>
      <c r="B185" t="s">
        <v>584</v>
      </c>
      <c r="C185" t="s">
        <v>180</v>
      </c>
      <c r="D185" t="s">
        <v>41</v>
      </c>
      <c r="E185" t="s">
        <v>42</v>
      </c>
      <c r="F185" t="s">
        <v>47</v>
      </c>
      <c r="G185" t="s">
        <v>109</v>
      </c>
      <c r="J185" t="s">
        <v>399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T185" t="s">
        <v>38</v>
      </c>
      <c r="U185">
        <v>0</v>
      </c>
      <c r="W185">
        <v>0</v>
      </c>
      <c r="X185">
        <v>0</v>
      </c>
      <c r="Y185">
        <v>0</v>
      </c>
      <c r="AE185">
        <f t="shared" si="6"/>
        <v>1</v>
      </c>
      <c r="AF185">
        <f>VLOOKUP(D185,especies!$A$2:$C$9,3,FALSE)</f>
        <v>2</v>
      </c>
      <c r="AG185" t="str">
        <f t="shared" si="7"/>
        <v>2-DPC (Doméstico de pelo corto o DSH)</v>
      </c>
      <c r="AH185">
        <f>VLOOKUP('Fichas clínicas'!AG185,razas!$A$2:$D$66,3,FALSE)</f>
        <v>51</v>
      </c>
      <c r="AI185" t="str">
        <f t="shared" si="8"/>
        <v>M</v>
      </c>
    </row>
    <row r="186" spans="1:35" x14ac:dyDescent="0.2">
      <c r="A186">
        <v>186</v>
      </c>
      <c r="B186" t="s">
        <v>585</v>
      </c>
      <c r="C186" t="s">
        <v>586</v>
      </c>
      <c r="D186" t="s">
        <v>41</v>
      </c>
      <c r="E186" t="s">
        <v>42</v>
      </c>
      <c r="F186" t="s">
        <v>34</v>
      </c>
      <c r="G186" t="s">
        <v>587</v>
      </c>
      <c r="J186" t="s">
        <v>493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T186" t="s">
        <v>38</v>
      </c>
      <c r="U186">
        <v>0</v>
      </c>
      <c r="W186">
        <v>0</v>
      </c>
      <c r="X186">
        <v>0</v>
      </c>
      <c r="Y186">
        <v>0</v>
      </c>
      <c r="AE186">
        <f t="shared" si="6"/>
        <v>1</v>
      </c>
      <c r="AF186">
        <f>VLOOKUP(D186,especies!$A$2:$C$9,3,FALSE)</f>
        <v>2</v>
      </c>
      <c r="AG186" t="str">
        <f t="shared" si="7"/>
        <v>2-DPC (Doméstico de pelo corto o DSH)</v>
      </c>
      <c r="AH186">
        <f>VLOOKUP('Fichas clínicas'!AG186,razas!$A$2:$D$66,3,FALSE)</f>
        <v>51</v>
      </c>
      <c r="AI186" t="str">
        <f t="shared" si="8"/>
        <v>H</v>
      </c>
    </row>
    <row r="187" spans="1:35" x14ac:dyDescent="0.2">
      <c r="A187">
        <v>187</v>
      </c>
      <c r="B187" t="s">
        <v>588</v>
      </c>
      <c r="C187" t="s">
        <v>53</v>
      </c>
      <c r="D187" t="s">
        <v>41</v>
      </c>
      <c r="E187" t="s">
        <v>42</v>
      </c>
      <c r="F187" t="s">
        <v>34</v>
      </c>
      <c r="G187" t="s">
        <v>169</v>
      </c>
      <c r="J187" t="s">
        <v>563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Q187">
        <v>1</v>
      </c>
      <c r="T187" t="s">
        <v>38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f t="shared" si="6"/>
        <v>1</v>
      </c>
      <c r="AF187">
        <f>VLOOKUP(D187,especies!$A$2:$C$9,3,FALSE)</f>
        <v>2</v>
      </c>
      <c r="AG187" t="str">
        <f t="shared" si="7"/>
        <v>2-DPC (Doméstico de pelo corto o DSH)</v>
      </c>
      <c r="AH187">
        <f>VLOOKUP('Fichas clínicas'!AG187,razas!$A$2:$D$66,3,FALSE)</f>
        <v>51</v>
      </c>
      <c r="AI187" t="str">
        <f t="shared" si="8"/>
        <v>H</v>
      </c>
    </row>
    <row r="188" spans="1:35" x14ac:dyDescent="0.2">
      <c r="A188">
        <v>188</v>
      </c>
      <c r="B188" t="s">
        <v>589</v>
      </c>
      <c r="C188" t="s">
        <v>590</v>
      </c>
      <c r="D188" t="s">
        <v>32</v>
      </c>
      <c r="E188" t="s">
        <v>33</v>
      </c>
      <c r="F188" t="s">
        <v>47</v>
      </c>
      <c r="G188" t="s">
        <v>99</v>
      </c>
      <c r="I188">
        <v>900079000665527</v>
      </c>
      <c r="J188" t="s">
        <v>591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Q188">
        <v>0</v>
      </c>
      <c r="T188" t="s">
        <v>38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f t="shared" si="6"/>
        <v>1</v>
      </c>
      <c r="AF188">
        <f>VLOOKUP(D188,especies!$A$2:$C$9,3,FALSE)</f>
        <v>1</v>
      </c>
      <c r="AG188" t="str">
        <f t="shared" si="7"/>
        <v>1-Mestizo</v>
      </c>
      <c r="AH188">
        <f>VLOOKUP('Fichas clínicas'!AG188,razas!$A$2:$D$66,3,FALSE)</f>
        <v>1</v>
      </c>
      <c r="AI188" t="str">
        <f t="shared" si="8"/>
        <v>M</v>
      </c>
    </row>
    <row r="189" spans="1:35" x14ac:dyDescent="0.2">
      <c r="A189">
        <v>189</v>
      </c>
      <c r="B189" t="s">
        <v>592</v>
      </c>
      <c r="C189" t="s">
        <v>593</v>
      </c>
      <c r="D189" t="s">
        <v>41</v>
      </c>
      <c r="E189" t="s">
        <v>93</v>
      </c>
      <c r="F189" t="s">
        <v>34</v>
      </c>
      <c r="G189" t="s">
        <v>594</v>
      </c>
      <c r="J189" t="s">
        <v>595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Q189">
        <v>0</v>
      </c>
      <c r="T189" t="s">
        <v>38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f t="shared" si="6"/>
        <v>1</v>
      </c>
      <c r="AF189">
        <f>VLOOKUP(D189,especies!$A$2:$C$9,3,FALSE)</f>
        <v>2</v>
      </c>
      <c r="AG189" t="str">
        <f t="shared" si="7"/>
        <v>2-DPL (Doméstico de pelo Largo o DLH)</v>
      </c>
      <c r="AH189">
        <f>VLOOKUP('Fichas clínicas'!AG189,razas!$A$2:$D$66,3,FALSE)</f>
        <v>52</v>
      </c>
      <c r="AI189" t="str">
        <f t="shared" si="8"/>
        <v>H</v>
      </c>
    </row>
    <row r="190" spans="1:35" x14ac:dyDescent="0.2">
      <c r="A190">
        <v>190</v>
      </c>
      <c r="B190" t="s">
        <v>596</v>
      </c>
      <c r="C190" t="s">
        <v>597</v>
      </c>
      <c r="D190" t="s">
        <v>32</v>
      </c>
      <c r="E190" t="s">
        <v>143</v>
      </c>
      <c r="F190" t="s">
        <v>34</v>
      </c>
      <c r="G190" t="s">
        <v>598</v>
      </c>
      <c r="J190" t="s">
        <v>386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Q190">
        <v>0</v>
      </c>
      <c r="T190" t="s">
        <v>38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f t="shared" si="6"/>
        <v>1</v>
      </c>
      <c r="AF190">
        <f>VLOOKUP(D190,especies!$A$2:$C$9,3,FALSE)</f>
        <v>1</v>
      </c>
      <c r="AG190" t="str">
        <f t="shared" si="7"/>
        <v>1-Yorkshire Terrier</v>
      </c>
      <c r="AH190">
        <f>VLOOKUP('Fichas clínicas'!AG190,razas!$A$2:$D$66,3,FALSE)</f>
        <v>5</v>
      </c>
      <c r="AI190" t="str">
        <f t="shared" si="8"/>
        <v>H</v>
      </c>
    </row>
    <row r="191" spans="1:35" x14ac:dyDescent="0.2">
      <c r="A191">
        <v>191</v>
      </c>
      <c r="B191" t="s">
        <v>596</v>
      </c>
      <c r="C191" t="s">
        <v>599</v>
      </c>
      <c r="D191" t="s">
        <v>32</v>
      </c>
      <c r="E191" t="s">
        <v>143</v>
      </c>
      <c r="F191" t="s">
        <v>34</v>
      </c>
      <c r="G191" t="s">
        <v>600</v>
      </c>
      <c r="J191" t="s">
        <v>601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T191" t="s">
        <v>38</v>
      </c>
      <c r="U191">
        <v>0</v>
      </c>
      <c r="W191">
        <v>0</v>
      </c>
      <c r="X191">
        <v>0</v>
      </c>
      <c r="Y191">
        <v>0</v>
      </c>
      <c r="AE191">
        <f t="shared" si="6"/>
        <v>1</v>
      </c>
      <c r="AF191">
        <f>VLOOKUP(D191,especies!$A$2:$C$9,3,FALSE)</f>
        <v>1</v>
      </c>
      <c r="AG191" t="str">
        <f t="shared" si="7"/>
        <v>1-Yorkshire Terrier</v>
      </c>
      <c r="AH191">
        <f>VLOOKUP('Fichas clínicas'!AG191,razas!$A$2:$D$66,3,FALSE)</f>
        <v>5</v>
      </c>
      <c r="AI191" t="str">
        <f t="shared" si="8"/>
        <v>H</v>
      </c>
    </row>
    <row r="192" spans="1:35" x14ac:dyDescent="0.2">
      <c r="A192">
        <v>192</v>
      </c>
      <c r="B192" t="s">
        <v>602</v>
      </c>
      <c r="C192" t="s">
        <v>603</v>
      </c>
      <c r="D192" t="s">
        <v>32</v>
      </c>
      <c r="E192" t="s">
        <v>33</v>
      </c>
      <c r="F192" t="s">
        <v>34</v>
      </c>
      <c r="G192" t="s">
        <v>123</v>
      </c>
      <c r="J192" t="s">
        <v>338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T192" t="s">
        <v>38</v>
      </c>
      <c r="U192">
        <v>0</v>
      </c>
      <c r="W192">
        <v>0</v>
      </c>
      <c r="X192">
        <v>0</v>
      </c>
      <c r="Y192">
        <v>0</v>
      </c>
      <c r="AE192">
        <f t="shared" si="6"/>
        <v>1</v>
      </c>
      <c r="AF192">
        <f>VLOOKUP(D192,especies!$A$2:$C$9,3,FALSE)</f>
        <v>1</v>
      </c>
      <c r="AG192" t="str">
        <f t="shared" si="7"/>
        <v>1-Mestizo</v>
      </c>
      <c r="AH192">
        <f>VLOOKUP('Fichas clínicas'!AG192,razas!$A$2:$D$66,3,FALSE)</f>
        <v>1</v>
      </c>
      <c r="AI192" t="str">
        <f t="shared" si="8"/>
        <v>H</v>
      </c>
    </row>
    <row r="193" spans="1:35" x14ac:dyDescent="0.2">
      <c r="A193">
        <v>193</v>
      </c>
      <c r="B193" t="s">
        <v>604</v>
      </c>
      <c r="C193" t="s">
        <v>605</v>
      </c>
      <c r="D193" t="s">
        <v>32</v>
      </c>
      <c r="E193" t="s">
        <v>164</v>
      </c>
      <c r="F193" t="s">
        <v>47</v>
      </c>
      <c r="G193" t="s">
        <v>583</v>
      </c>
      <c r="J193" t="s">
        <v>561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Q193">
        <v>0</v>
      </c>
      <c r="T193" t="s">
        <v>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f t="shared" si="6"/>
        <v>1</v>
      </c>
      <c r="AF193">
        <f>VLOOKUP(D193,especies!$A$2:$C$9,3,FALSE)</f>
        <v>1</v>
      </c>
      <c r="AG193" t="str">
        <f t="shared" si="7"/>
        <v>1-Teckel</v>
      </c>
      <c r="AH193">
        <f>VLOOKUP('Fichas clínicas'!AG193,razas!$A$2:$D$66,3,FALSE)</f>
        <v>8</v>
      </c>
      <c r="AI193" t="str">
        <f t="shared" si="8"/>
        <v>M</v>
      </c>
    </row>
    <row r="194" spans="1:35" x14ac:dyDescent="0.2">
      <c r="A194">
        <v>194</v>
      </c>
      <c r="B194" t="s">
        <v>606</v>
      </c>
      <c r="C194" t="s">
        <v>607</v>
      </c>
      <c r="D194" t="s">
        <v>32</v>
      </c>
      <c r="E194" t="s">
        <v>33</v>
      </c>
      <c r="F194" t="s">
        <v>47</v>
      </c>
      <c r="G194" t="s">
        <v>43</v>
      </c>
      <c r="J194" t="s">
        <v>181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T194" t="s">
        <v>38</v>
      </c>
      <c r="U194">
        <v>0</v>
      </c>
      <c r="W194">
        <v>0</v>
      </c>
      <c r="X194">
        <v>0</v>
      </c>
      <c r="Y194">
        <v>0</v>
      </c>
      <c r="AE194">
        <f t="shared" si="6"/>
        <v>1</v>
      </c>
      <c r="AF194">
        <f>VLOOKUP(D194,especies!$A$2:$C$9,3,FALSE)</f>
        <v>1</v>
      </c>
      <c r="AG194" t="str">
        <f t="shared" si="7"/>
        <v>1-Mestizo</v>
      </c>
      <c r="AH194">
        <f>VLOOKUP('Fichas clínicas'!AG194,razas!$A$2:$D$66,3,FALSE)</f>
        <v>1</v>
      </c>
      <c r="AI194" t="str">
        <f t="shared" si="8"/>
        <v>M</v>
      </c>
    </row>
    <row r="195" spans="1:35" x14ac:dyDescent="0.2">
      <c r="A195">
        <v>195</v>
      </c>
      <c r="B195" t="s">
        <v>608</v>
      </c>
      <c r="C195" t="s">
        <v>40</v>
      </c>
      <c r="D195" t="s">
        <v>32</v>
      </c>
      <c r="E195" t="s">
        <v>33</v>
      </c>
      <c r="F195" t="s">
        <v>34</v>
      </c>
      <c r="G195" t="s">
        <v>123</v>
      </c>
      <c r="J195" t="s">
        <v>609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Q195">
        <v>0</v>
      </c>
      <c r="T195" t="s">
        <v>38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f t="shared" ref="AE195:AE258" si="9">SUBTOTAL(103,E195)</f>
        <v>1</v>
      </c>
      <c r="AF195">
        <f>VLOOKUP(D195,especies!$A$2:$C$9,3,FALSE)</f>
        <v>1</v>
      </c>
      <c r="AG195" t="str">
        <f t="shared" ref="AG195:AG258" si="10">AF195&amp;"-"&amp;E195</f>
        <v>1-Mestizo</v>
      </c>
      <c r="AH195">
        <f>VLOOKUP('Fichas clínicas'!AG195,razas!$A$2:$D$66,3,FALSE)</f>
        <v>1</v>
      </c>
      <c r="AI195" t="str">
        <f t="shared" ref="AI195:AI258" si="11">IF(F195="Hembra","H","M")</f>
        <v>H</v>
      </c>
    </row>
    <row r="196" spans="1:35" x14ac:dyDescent="0.2">
      <c r="A196">
        <v>196</v>
      </c>
      <c r="B196" t="s">
        <v>610</v>
      </c>
      <c r="C196" t="s">
        <v>611</v>
      </c>
      <c r="D196" t="s">
        <v>32</v>
      </c>
      <c r="E196" t="s">
        <v>33</v>
      </c>
      <c r="F196" t="s">
        <v>34</v>
      </c>
      <c r="G196" t="s">
        <v>99</v>
      </c>
      <c r="J196" t="s">
        <v>419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Q196">
        <v>0</v>
      </c>
      <c r="T196" t="s">
        <v>38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f t="shared" si="9"/>
        <v>1</v>
      </c>
      <c r="AF196">
        <f>VLOOKUP(D196,especies!$A$2:$C$9,3,FALSE)</f>
        <v>1</v>
      </c>
      <c r="AG196" t="str">
        <f t="shared" si="10"/>
        <v>1-Mestizo</v>
      </c>
      <c r="AH196">
        <f>VLOOKUP('Fichas clínicas'!AG196,razas!$A$2:$D$66,3,FALSE)</f>
        <v>1</v>
      </c>
      <c r="AI196" t="str">
        <f t="shared" si="11"/>
        <v>H</v>
      </c>
    </row>
    <row r="197" spans="1:35" x14ac:dyDescent="0.2">
      <c r="A197">
        <v>197</v>
      </c>
      <c r="B197" t="s">
        <v>305</v>
      </c>
      <c r="C197" t="s">
        <v>389</v>
      </c>
      <c r="D197" t="s">
        <v>41</v>
      </c>
      <c r="E197" t="s">
        <v>42</v>
      </c>
      <c r="F197" t="s">
        <v>34</v>
      </c>
      <c r="G197" t="s">
        <v>81</v>
      </c>
      <c r="J197" t="s">
        <v>612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T197" t="s">
        <v>38</v>
      </c>
      <c r="U197">
        <v>0</v>
      </c>
      <c r="W197">
        <v>0</v>
      </c>
      <c r="X197">
        <v>0</v>
      </c>
      <c r="Y197">
        <v>0</v>
      </c>
      <c r="AE197">
        <f t="shared" si="9"/>
        <v>1</v>
      </c>
      <c r="AF197">
        <f>VLOOKUP(D197,especies!$A$2:$C$9,3,FALSE)</f>
        <v>2</v>
      </c>
      <c r="AG197" t="str">
        <f t="shared" si="10"/>
        <v>2-DPC (Doméstico de pelo corto o DSH)</v>
      </c>
      <c r="AH197">
        <f>VLOOKUP('Fichas clínicas'!AG197,razas!$A$2:$D$66,3,FALSE)</f>
        <v>51</v>
      </c>
      <c r="AI197" t="str">
        <f t="shared" si="11"/>
        <v>H</v>
      </c>
    </row>
    <row r="198" spans="1:35" x14ac:dyDescent="0.2">
      <c r="A198">
        <v>198</v>
      </c>
      <c r="B198" t="s">
        <v>305</v>
      </c>
      <c r="C198" t="s">
        <v>613</v>
      </c>
      <c r="D198" t="s">
        <v>41</v>
      </c>
      <c r="E198" t="s">
        <v>42</v>
      </c>
      <c r="F198" t="s">
        <v>34</v>
      </c>
      <c r="G198" t="s">
        <v>614</v>
      </c>
      <c r="J198" t="s">
        <v>523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T198" t="s">
        <v>38</v>
      </c>
      <c r="U198">
        <v>0</v>
      </c>
      <c r="W198">
        <v>0</v>
      </c>
      <c r="X198">
        <v>0</v>
      </c>
      <c r="Y198">
        <v>0</v>
      </c>
      <c r="AE198">
        <f t="shared" si="9"/>
        <v>1</v>
      </c>
      <c r="AF198">
        <f>VLOOKUP(D198,especies!$A$2:$C$9,3,FALSE)</f>
        <v>2</v>
      </c>
      <c r="AG198" t="str">
        <f t="shared" si="10"/>
        <v>2-DPC (Doméstico de pelo corto o DSH)</v>
      </c>
      <c r="AH198">
        <f>VLOOKUP('Fichas clínicas'!AG198,razas!$A$2:$D$66,3,FALSE)</f>
        <v>51</v>
      </c>
      <c r="AI198" t="str">
        <f t="shared" si="11"/>
        <v>H</v>
      </c>
    </row>
    <row r="199" spans="1:35" x14ac:dyDescent="0.2">
      <c r="A199">
        <v>199</v>
      </c>
      <c r="B199" t="s">
        <v>615</v>
      </c>
      <c r="C199" t="s">
        <v>347</v>
      </c>
      <c r="D199" t="s">
        <v>41</v>
      </c>
      <c r="E199" t="s">
        <v>42</v>
      </c>
      <c r="F199" t="s">
        <v>34</v>
      </c>
      <c r="G199" t="s">
        <v>81</v>
      </c>
      <c r="J199" t="s">
        <v>386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T199" t="s">
        <v>38</v>
      </c>
      <c r="U199">
        <v>0</v>
      </c>
      <c r="W199">
        <v>0</v>
      </c>
      <c r="X199">
        <v>0</v>
      </c>
      <c r="Y199">
        <v>0</v>
      </c>
      <c r="AE199">
        <f t="shared" si="9"/>
        <v>1</v>
      </c>
      <c r="AF199">
        <f>VLOOKUP(D199,especies!$A$2:$C$9,3,FALSE)</f>
        <v>2</v>
      </c>
      <c r="AG199" t="str">
        <f t="shared" si="10"/>
        <v>2-DPC (Doméstico de pelo corto o DSH)</v>
      </c>
      <c r="AH199">
        <f>VLOOKUP('Fichas clínicas'!AG199,razas!$A$2:$D$66,3,FALSE)</f>
        <v>51</v>
      </c>
      <c r="AI199" t="str">
        <f t="shared" si="11"/>
        <v>H</v>
      </c>
    </row>
    <row r="200" spans="1:35" x14ac:dyDescent="0.2">
      <c r="A200">
        <v>200</v>
      </c>
      <c r="B200" t="s">
        <v>615</v>
      </c>
      <c r="C200" t="s">
        <v>315</v>
      </c>
      <c r="D200" t="s">
        <v>41</v>
      </c>
      <c r="E200" t="s">
        <v>42</v>
      </c>
      <c r="F200" t="s">
        <v>34</v>
      </c>
      <c r="G200" t="s">
        <v>616</v>
      </c>
      <c r="J200" t="s">
        <v>443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Q200">
        <v>0</v>
      </c>
      <c r="T200" t="s">
        <v>38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f t="shared" si="9"/>
        <v>1</v>
      </c>
      <c r="AF200">
        <f>VLOOKUP(D200,especies!$A$2:$C$9,3,FALSE)</f>
        <v>2</v>
      </c>
      <c r="AG200" t="str">
        <f t="shared" si="10"/>
        <v>2-DPC (Doméstico de pelo corto o DSH)</v>
      </c>
      <c r="AH200">
        <f>VLOOKUP('Fichas clínicas'!AG200,razas!$A$2:$D$66,3,FALSE)</f>
        <v>51</v>
      </c>
      <c r="AI200" t="str">
        <f t="shared" si="11"/>
        <v>H</v>
      </c>
    </row>
    <row r="201" spans="1:35" x14ac:dyDescent="0.2">
      <c r="A201">
        <v>201</v>
      </c>
      <c r="B201" t="s">
        <v>617</v>
      </c>
      <c r="C201" t="s">
        <v>618</v>
      </c>
      <c r="D201" t="s">
        <v>32</v>
      </c>
      <c r="E201" t="s">
        <v>473</v>
      </c>
      <c r="F201" t="s">
        <v>47</v>
      </c>
      <c r="G201" t="s">
        <v>619</v>
      </c>
      <c r="J201" t="s">
        <v>505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T201" t="s">
        <v>38</v>
      </c>
      <c r="U201">
        <v>0</v>
      </c>
      <c r="W201">
        <v>0</v>
      </c>
      <c r="X201">
        <v>0</v>
      </c>
      <c r="Y201">
        <v>0</v>
      </c>
      <c r="AE201">
        <f t="shared" si="9"/>
        <v>1</v>
      </c>
      <c r="AF201">
        <f>VLOOKUP(D201,especies!$A$2:$C$9,3,FALSE)</f>
        <v>1</v>
      </c>
      <c r="AG201" t="str">
        <f t="shared" si="10"/>
        <v>1-Boxer</v>
      </c>
      <c r="AH201">
        <f>VLOOKUP('Fichas clínicas'!AG201,razas!$A$2:$D$66,3,FALSE)</f>
        <v>14</v>
      </c>
      <c r="AI201" t="str">
        <f t="shared" si="11"/>
        <v>M</v>
      </c>
    </row>
    <row r="202" spans="1:35" x14ac:dyDescent="0.2">
      <c r="A202">
        <v>202</v>
      </c>
      <c r="B202" t="s">
        <v>620</v>
      </c>
      <c r="C202" t="s">
        <v>621</v>
      </c>
      <c r="D202" t="s">
        <v>32</v>
      </c>
      <c r="E202" t="s">
        <v>33</v>
      </c>
      <c r="F202" t="s">
        <v>34</v>
      </c>
      <c r="G202" t="s">
        <v>587</v>
      </c>
      <c r="I202">
        <v>900215000318733</v>
      </c>
      <c r="J202" t="s">
        <v>130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Q202">
        <v>0</v>
      </c>
      <c r="T202" t="s">
        <v>38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f t="shared" si="9"/>
        <v>1</v>
      </c>
      <c r="AF202">
        <f>VLOOKUP(D202,especies!$A$2:$C$9,3,FALSE)</f>
        <v>1</v>
      </c>
      <c r="AG202" t="str">
        <f t="shared" si="10"/>
        <v>1-Mestizo</v>
      </c>
      <c r="AH202">
        <f>VLOOKUP('Fichas clínicas'!AG202,razas!$A$2:$D$66,3,FALSE)</f>
        <v>1</v>
      </c>
      <c r="AI202" t="str">
        <f t="shared" si="11"/>
        <v>H</v>
      </c>
    </row>
    <row r="203" spans="1:35" x14ac:dyDescent="0.2">
      <c r="A203">
        <v>203</v>
      </c>
      <c r="B203" t="s">
        <v>622</v>
      </c>
      <c r="C203" t="s">
        <v>623</v>
      </c>
      <c r="D203" t="s">
        <v>32</v>
      </c>
      <c r="E203" t="s">
        <v>33</v>
      </c>
      <c r="F203" t="s">
        <v>47</v>
      </c>
      <c r="G203" t="s">
        <v>467</v>
      </c>
      <c r="I203">
        <v>939000007188436</v>
      </c>
      <c r="J203" t="s">
        <v>37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Q203">
        <v>1</v>
      </c>
      <c r="T203" t="s">
        <v>38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f t="shared" si="9"/>
        <v>1</v>
      </c>
      <c r="AF203">
        <f>VLOOKUP(D203,especies!$A$2:$C$9,3,FALSE)</f>
        <v>1</v>
      </c>
      <c r="AG203" t="str">
        <f t="shared" si="10"/>
        <v>1-Mestizo</v>
      </c>
      <c r="AH203">
        <f>VLOOKUP('Fichas clínicas'!AG203,razas!$A$2:$D$66,3,FALSE)</f>
        <v>1</v>
      </c>
      <c r="AI203" t="str">
        <f t="shared" si="11"/>
        <v>M</v>
      </c>
    </row>
    <row r="204" spans="1:35" x14ac:dyDescent="0.2">
      <c r="A204">
        <v>204</v>
      </c>
      <c r="B204" t="s">
        <v>624</v>
      </c>
      <c r="C204" t="s">
        <v>625</v>
      </c>
      <c r="D204" t="s">
        <v>32</v>
      </c>
      <c r="E204" t="s">
        <v>150</v>
      </c>
      <c r="F204" t="s">
        <v>47</v>
      </c>
      <c r="G204" t="s">
        <v>123</v>
      </c>
      <c r="J204" t="s">
        <v>626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Q204">
        <v>0</v>
      </c>
      <c r="T204" t="s">
        <v>38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f t="shared" si="9"/>
        <v>1</v>
      </c>
      <c r="AF204">
        <f>VLOOKUP(D204,especies!$A$2:$C$9,3,FALSE)</f>
        <v>1</v>
      </c>
      <c r="AG204" t="str">
        <f t="shared" si="10"/>
        <v>1-Poodle</v>
      </c>
      <c r="AH204">
        <f>VLOOKUP('Fichas clínicas'!AG204,razas!$A$2:$D$66,3,FALSE)</f>
        <v>6</v>
      </c>
      <c r="AI204" t="str">
        <f t="shared" si="11"/>
        <v>M</v>
      </c>
    </row>
    <row r="205" spans="1:35" x14ac:dyDescent="0.2">
      <c r="A205">
        <v>205</v>
      </c>
      <c r="B205" t="s">
        <v>394</v>
      </c>
      <c r="C205" t="s">
        <v>627</v>
      </c>
      <c r="D205" t="s">
        <v>32</v>
      </c>
      <c r="E205" t="s">
        <v>33</v>
      </c>
      <c r="F205" t="s">
        <v>34</v>
      </c>
      <c r="G205" t="s">
        <v>99</v>
      </c>
      <c r="J205" t="s">
        <v>628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Q205">
        <v>0</v>
      </c>
      <c r="T205" t="s">
        <v>38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f t="shared" si="9"/>
        <v>1</v>
      </c>
      <c r="AF205">
        <f>VLOOKUP(D205,especies!$A$2:$C$9,3,FALSE)</f>
        <v>1</v>
      </c>
      <c r="AG205" t="str">
        <f t="shared" si="10"/>
        <v>1-Mestizo</v>
      </c>
      <c r="AH205">
        <f>VLOOKUP('Fichas clínicas'!AG205,razas!$A$2:$D$66,3,FALSE)</f>
        <v>1</v>
      </c>
      <c r="AI205" t="str">
        <f t="shared" si="11"/>
        <v>H</v>
      </c>
    </row>
    <row r="206" spans="1:35" x14ac:dyDescent="0.2">
      <c r="A206">
        <v>206</v>
      </c>
      <c r="B206" t="s">
        <v>629</v>
      </c>
      <c r="C206" t="s">
        <v>46</v>
      </c>
      <c r="D206" t="s">
        <v>32</v>
      </c>
      <c r="E206" t="s">
        <v>33</v>
      </c>
      <c r="F206" t="s">
        <v>47</v>
      </c>
      <c r="G206" t="s">
        <v>630</v>
      </c>
      <c r="J206" t="s">
        <v>37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Q206">
        <v>0</v>
      </c>
      <c r="T206" t="s">
        <v>38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f t="shared" si="9"/>
        <v>1</v>
      </c>
      <c r="AF206">
        <f>VLOOKUP(D206,especies!$A$2:$C$9,3,FALSE)</f>
        <v>1</v>
      </c>
      <c r="AG206" t="str">
        <f t="shared" si="10"/>
        <v>1-Mestizo</v>
      </c>
      <c r="AH206">
        <f>VLOOKUP('Fichas clínicas'!AG206,razas!$A$2:$D$66,3,FALSE)</f>
        <v>1</v>
      </c>
      <c r="AI206" t="str">
        <f t="shared" si="11"/>
        <v>M</v>
      </c>
    </row>
    <row r="207" spans="1:35" x14ac:dyDescent="0.2">
      <c r="A207">
        <v>207</v>
      </c>
      <c r="B207" t="s">
        <v>631</v>
      </c>
      <c r="C207" t="s">
        <v>632</v>
      </c>
      <c r="D207" t="s">
        <v>41</v>
      </c>
      <c r="E207" t="s">
        <v>42</v>
      </c>
      <c r="F207" t="s">
        <v>47</v>
      </c>
      <c r="G207" t="s">
        <v>277</v>
      </c>
      <c r="J207" t="s">
        <v>633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T207" t="s">
        <v>38</v>
      </c>
      <c r="U207">
        <v>0</v>
      </c>
      <c r="W207">
        <v>0</v>
      </c>
      <c r="X207">
        <v>0</v>
      </c>
      <c r="Y207">
        <v>0</v>
      </c>
      <c r="AE207">
        <f t="shared" si="9"/>
        <v>1</v>
      </c>
      <c r="AF207">
        <f>VLOOKUP(D207,especies!$A$2:$C$9,3,FALSE)</f>
        <v>2</v>
      </c>
      <c r="AG207" t="str">
        <f t="shared" si="10"/>
        <v>2-DPC (Doméstico de pelo corto o DSH)</v>
      </c>
      <c r="AH207">
        <f>VLOOKUP('Fichas clínicas'!AG207,razas!$A$2:$D$66,3,FALSE)</f>
        <v>51</v>
      </c>
      <c r="AI207" t="str">
        <f t="shared" si="11"/>
        <v>M</v>
      </c>
    </row>
    <row r="208" spans="1:35" x14ac:dyDescent="0.2">
      <c r="A208">
        <v>208</v>
      </c>
      <c r="B208" t="s">
        <v>634</v>
      </c>
      <c r="C208" t="s">
        <v>635</v>
      </c>
      <c r="D208" t="s">
        <v>32</v>
      </c>
      <c r="E208" t="s">
        <v>164</v>
      </c>
      <c r="F208" t="s">
        <v>47</v>
      </c>
      <c r="G208" t="s">
        <v>583</v>
      </c>
      <c r="J208" t="s">
        <v>561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Q208">
        <v>1</v>
      </c>
      <c r="T208" t="s">
        <v>38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f t="shared" si="9"/>
        <v>1</v>
      </c>
      <c r="AF208">
        <f>VLOOKUP(D208,especies!$A$2:$C$9,3,FALSE)</f>
        <v>1</v>
      </c>
      <c r="AG208" t="str">
        <f t="shared" si="10"/>
        <v>1-Teckel</v>
      </c>
      <c r="AH208">
        <f>VLOOKUP('Fichas clínicas'!AG208,razas!$A$2:$D$66,3,FALSE)</f>
        <v>8</v>
      </c>
      <c r="AI208" t="str">
        <f t="shared" si="11"/>
        <v>M</v>
      </c>
    </row>
    <row r="209" spans="1:35" x14ac:dyDescent="0.2">
      <c r="A209">
        <v>209</v>
      </c>
      <c r="B209" t="s">
        <v>636</v>
      </c>
      <c r="C209" t="s">
        <v>637</v>
      </c>
      <c r="D209" t="s">
        <v>32</v>
      </c>
      <c r="E209" t="s">
        <v>638</v>
      </c>
      <c r="F209" t="s">
        <v>34</v>
      </c>
      <c r="G209" t="s">
        <v>639</v>
      </c>
      <c r="J209" t="s">
        <v>366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T209" t="s">
        <v>38</v>
      </c>
      <c r="U209">
        <v>0</v>
      </c>
      <c r="W209">
        <v>0</v>
      </c>
      <c r="X209">
        <v>0</v>
      </c>
      <c r="Y209">
        <v>0</v>
      </c>
      <c r="AE209">
        <f t="shared" si="9"/>
        <v>1</v>
      </c>
      <c r="AF209">
        <f>VLOOKUP(D209,especies!$A$2:$C$9,3,FALSE)</f>
        <v>1</v>
      </c>
      <c r="AG209" t="str">
        <f t="shared" si="10"/>
        <v>1-Malamute de Alaska</v>
      </c>
      <c r="AH209">
        <f>VLOOKUP('Fichas clínicas'!AG209,razas!$A$2:$D$66,3,FALSE)</f>
        <v>17</v>
      </c>
      <c r="AI209" t="str">
        <f t="shared" si="11"/>
        <v>H</v>
      </c>
    </row>
    <row r="210" spans="1:35" x14ac:dyDescent="0.2">
      <c r="A210">
        <v>210</v>
      </c>
      <c r="B210" t="s">
        <v>588</v>
      </c>
      <c r="C210" t="s">
        <v>280</v>
      </c>
      <c r="D210" t="s">
        <v>41</v>
      </c>
      <c r="E210" t="s">
        <v>42</v>
      </c>
      <c r="F210" t="s">
        <v>34</v>
      </c>
      <c r="G210" t="s">
        <v>640</v>
      </c>
      <c r="J210" t="s">
        <v>641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Q210">
        <v>0</v>
      </c>
      <c r="T210" t="s">
        <v>38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f t="shared" si="9"/>
        <v>1</v>
      </c>
      <c r="AF210">
        <f>VLOOKUP(D210,especies!$A$2:$C$9,3,FALSE)</f>
        <v>2</v>
      </c>
      <c r="AG210" t="str">
        <f t="shared" si="10"/>
        <v>2-DPC (Doméstico de pelo corto o DSH)</v>
      </c>
      <c r="AH210">
        <f>VLOOKUP('Fichas clínicas'!AG210,razas!$A$2:$D$66,3,FALSE)</f>
        <v>51</v>
      </c>
      <c r="AI210" t="str">
        <f t="shared" si="11"/>
        <v>H</v>
      </c>
    </row>
    <row r="211" spans="1:35" x14ac:dyDescent="0.2">
      <c r="A211">
        <v>211</v>
      </c>
      <c r="B211" t="s">
        <v>642</v>
      </c>
      <c r="C211" t="s">
        <v>643</v>
      </c>
      <c r="D211" t="s">
        <v>41</v>
      </c>
      <c r="E211" t="s">
        <v>42</v>
      </c>
      <c r="F211" t="s">
        <v>34</v>
      </c>
      <c r="G211" t="s">
        <v>644</v>
      </c>
      <c r="J211" t="s">
        <v>645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T211" t="s">
        <v>38</v>
      </c>
      <c r="U211">
        <v>0</v>
      </c>
      <c r="W211">
        <v>0</v>
      </c>
      <c r="X211">
        <v>0</v>
      </c>
      <c r="Y211">
        <v>0</v>
      </c>
      <c r="AE211">
        <f t="shared" si="9"/>
        <v>1</v>
      </c>
      <c r="AF211">
        <f>VLOOKUP(D211,especies!$A$2:$C$9,3,FALSE)</f>
        <v>2</v>
      </c>
      <c r="AG211" t="str">
        <f t="shared" si="10"/>
        <v>2-DPC (Doméstico de pelo corto o DSH)</v>
      </c>
      <c r="AH211">
        <f>VLOOKUP('Fichas clínicas'!AG211,razas!$A$2:$D$66,3,FALSE)</f>
        <v>51</v>
      </c>
      <c r="AI211" t="str">
        <f t="shared" si="11"/>
        <v>H</v>
      </c>
    </row>
    <row r="212" spans="1:35" x14ac:dyDescent="0.2">
      <c r="A212">
        <v>212</v>
      </c>
      <c r="B212" t="s">
        <v>642</v>
      </c>
      <c r="C212" t="s">
        <v>646</v>
      </c>
      <c r="D212" t="s">
        <v>41</v>
      </c>
      <c r="E212" t="s">
        <v>42</v>
      </c>
      <c r="F212" t="s">
        <v>34</v>
      </c>
      <c r="G212" t="s">
        <v>647</v>
      </c>
      <c r="J212" t="s">
        <v>645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T212" t="s">
        <v>38</v>
      </c>
      <c r="U212">
        <v>0</v>
      </c>
      <c r="W212">
        <v>0</v>
      </c>
      <c r="X212">
        <v>0</v>
      </c>
      <c r="Y212">
        <v>0</v>
      </c>
      <c r="AE212">
        <f t="shared" si="9"/>
        <v>1</v>
      </c>
      <c r="AF212">
        <f>VLOOKUP(D212,especies!$A$2:$C$9,3,FALSE)</f>
        <v>2</v>
      </c>
      <c r="AG212" t="str">
        <f t="shared" si="10"/>
        <v>2-DPC (Doméstico de pelo corto o DSH)</v>
      </c>
      <c r="AH212">
        <f>VLOOKUP('Fichas clínicas'!AG212,razas!$A$2:$D$66,3,FALSE)</f>
        <v>51</v>
      </c>
      <c r="AI212" t="str">
        <f t="shared" si="11"/>
        <v>H</v>
      </c>
    </row>
    <row r="213" spans="1:35" x14ac:dyDescent="0.2">
      <c r="A213">
        <v>213</v>
      </c>
      <c r="B213" t="s">
        <v>642</v>
      </c>
      <c r="C213" t="s">
        <v>648</v>
      </c>
      <c r="D213" t="s">
        <v>41</v>
      </c>
      <c r="E213" t="s">
        <v>93</v>
      </c>
      <c r="F213" t="s">
        <v>34</v>
      </c>
      <c r="G213" t="s">
        <v>297</v>
      </c>
      <c r="J213" t="s">
        <v>649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Q213">
        <v>0</v>
      </c>
      <c r="T213" t="s">
        <v>38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f t="shared" si="9"/>
        <v>1</v>
      </c>
      <c r="AF213">
        <f>VLOOKUP(D213,especies!$A$2:$C$9,3,FALSE)</f>
        <v>2</v>
      </c>
      <c r="AG213" t="str">
        <f t="shared" si="10"/>
        <v>2-DPL (Doméstico de pelo Largo o DLH)</v>
      </c>
      <c r="AH213">
        <f>VLOOKUP('Fichas clínicas'!AG213,razas!$A$2:$D$66,3,FALSE)</f>
        <v>52</v>
      </c>
      <c r="AI213" t="str">
        <f t="shared" si="11"/>
        <v>H</v>
      </c>
    </row>
    <row r="214" spans="1:35" x14ac:dyDescent="0.2">
      <c r="A214">
        <v>214</v>
      </c>
      <c r="B214" t="s">
        <v>650</v>
      </c>
      <c r="C214" t="s">
        <v>651</v>
      </c>
      <c r="D214" t="s">
        <v>41</v>
      </c>
      <c r="E214" t="s">
        <v>42</v>
      </c>
      <c r="F214" t="s">
        <v>47</v>
      </c>
      <c r="G214" t="s">
        <v>652</v>
      </c>
      <c r="J214" t="s">
        <v>356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Q214">
        <v>0</v>
      </c>
      <c r="T214" t="s">
        <v>38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f t="shared" si="9"/>
        <v>1</v>
      </c>
      <c r="AF214">
        <f>VLOOKUP(D214,especies!$A$2:$C$9,3,FALSE)</f>
        <v>2</v>
      </c>
      <c r="AG214" t="str">
        <f t="shared" si="10"/>
        <v>2-DPC (Doméstico de pelo corto o DSH)</v>
      </c>
      <c r="AH214">
        <f>VLOOKUP('Fichas clínicas'!AG214,razas!$A$2:$D$66,3,FALSE)</f>
        <v>51</v>
      </c>
      <c r="AI214" t="str">
        <f t="shared" si="11"/>
        <v>M</v>
      </c>
    </row>
    <row r="215" spans="1:35" x14ac:dyDescent="0.2">
      <c r="A215">
        <v>215</v>
      </c>
      <c r="B215" t="s">
        <v>653</v>
      </c>
      <c r="C215" t="s">
        <v>654</v>
      </c>
      <c r="D215" t="s">
        <v>41</v>
      </c>
      <c r="E215" t="s">
        <v>93</v>
      </c>
      <c r="F215" t="s">
        <v>34</v>
      </c>
      <c r="G215" t="s">
        <v>640</v>
      </c>
      <c r="J215" t="s">
        <v>90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T215" t="s">
        <v>38</v>
      </c>
      <c r="U215">
        <v>0</v>
      </c>
      <c r="W215">
        <v>0</v>
      </c>
      <c r="X215">
        <v>0</v>
      </c>
      <c r="Y215">
        <v>0</v>
      </c>
      <c r="AE215">
        <f t="shared" si="9"/>
        <v>1</v>
      </c>
      <c r="AF215">
        <f>VLOOKUP(D215,especies!$A$2:$C$9,3,FALSE)</f>
        <v>2</v>
      </c>
      <c r="AG215" t="str">
        <f t="shared" si="10"/>
        <v>2-DPL (Doméstico de pelo Largo o DLH)</v>
      </c>
      <c r="AH215">
        <f>VLOOKUP('Fichas clínicas'!AG215,razas!$A$2:$D$66,3,FALSE)</f>
        <v>52</v>
      </c>
      <c r="AI215" t="str">
        <f t="shared" si="11"/>
        <v>H</v>
      </c>
    </row>
    <row r="216" spans="1:35" x14ac:dyDescent="0.2">
      <c r="A216">
        <v>216</v>
      </c>
      <c r="B216" t="s">
        <v>655</v>
      </c>
      <c r="C216" t="s">
        <v>216</v>
      </c>
      <c r="D216" t="s">
        <v>32</v>
      </c>
      <c r="E216" t="s">
        <v>33</v>
      </c>
      <c r="F216" t="s">
        <v>47</v>
      </c>
      <c r="G216" t="s">
        <v>656</v>
      </c>
      <c r="J216" t="s">
        <v>405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T216" t="s">
        <v>38</v>
      </c>
      <c r="U216">
        <v>0</v>
      </c>
      <c r="W216">
        <v>0</v>
      </c>
      <c r="X216">
        <v>0</v>
      </c>
      <c r="Y216">
        <v>0</v>
      </c>
      <c r="AE216">
        <f t="shared" si="9"/>
        <v>1</v>
      </c>
      <c r="AF216">
        <f>VLOOKUP(D216,especies!$A$2:$C$9,3,FALSE)</f>
        <v>1</v>
      </c>
      <c r="AG216" t="str">
        <f t="shared" si="10"/>
        <v>1-Mestizo</v>
      </c>
      <c r="AH216">
        <f>VLOOKUP('Fichas clínicas'!AG216,razas!$A$2:$D$66,3,FALSE)</f>
        <v>1</v>
      </c>
      <c r="AI216" t="str">
        <f t="shared" si="11"/>
        <v>M</v>
      </c>
    </row>
    <row r="217" spans="1:35" x14ac:dyDescent="0.2">
      <c r="A217">
        <v>217</v>
      </c>
      <c r="B217" t="s">
        <v>657</v>
      </c>
      <c r="C217" t="s">
        <v>658</v>
      </c>
      <c r="D217" t="s">
        <v>41</v>
      </c>
      <c r="E217" t="s">
        <v>42</v>
      </c>
      <c r="F217" t="s">
        <v>47</v>
      </c>
      <c r="G217" t="s">
        <v>169</v>
      </c>
      <c r="J217" t="s">
        <v>659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T217" t="s">
        <v>38</v>
      </c>
      <c r="U217">
        <v>0</v>
      </c>
      <c r="W217">
        <v>0</v>
      </c>
      <c r="X217">
        <v>0</v>
      </c>
      <c r="Y217">
        <v>0</v>
      </c>
      <c r="AE217">
        <f t="shared" si="9"/>
        <v>1</v>
      </c>
      <c r="AF217">
        <f>VLOOKUP(D217,especies!$A$2:$C$9,3,FALSE)</f>
        <v>2</v>
      </c>
      <c r="AG217" t="str">
        <f t="shared" si="10"/>
        <v>2-DPC (Doméstico de pelo corto o DSH)</v>
      </c>
      <c r="AH217">
        <f>VLOOKUP('Fichas clínicas'!AG217,razas!$A$2:$D$66,3,FALSE)</f>
        <v>51</v>
      </c>
      <c r="AI217" t="str">
        <f t="shared" si="11"/>
        <v>M</v>
      </c>
    </row>
    <row r="218" spans="1:35" x14ac:dyDescent="0.2">
      <c r="A218">
        <v>218</v>
      </c>
      <c r="B218" t="s">
        <v>660</v>
      </c>
      <c r="C218" t="s">
        <v>661</v>
      </c>
      <c r="D218" t="s">
        <v>41</v>
      </c>
      <c r="E218" t="s">
        <v>42</v>
      </c>
      <c r="F218" t="s">
        <v>34</v>
      </c>
      <c r="G218" t="s">
        <v>662</v>
      </c>
      <c r="J218" t="s">
        <v>131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T218" t="s">
        <v>38</v>
      </c>
      <c r="U218">
        <v>0</v>
      </c>
      <c r="W218">
        <v>0</v>
      </c>
      <c r="X218">
        <v>0</v>
      </c>
      <c r="Y218">
        <v>0</v>
      </c>
      <c r="AE218">
        <f t="shared" si="9"/>
        <v>1</v>
      </c>
      <c r="AF218">
        <f>VLOOKUP(D218,especies!$A$2:$C$9,3,FALSE)</f>
        <v>2</v>
      </c>
      <c r="AG218" t="str">
        <f t="shared" si="10"/>
        <v>2-DPC (Doméstico de pelo corto o DSH)</v>
      </c>
      <c r="AH218">
        <f>VLOOKUP('Fichas clínicas'!AG218,razas!$A$2:$D$66,3,FALSE)</f>
        <v>51</v>
      </c>
      <c r="AI218" t="str">
        <f t="shared" si="11"/>
        <v>H</v>
      </c>
    </row>
    <row r="219" spans="1:35" x14ac:dyDescent="0.2">
      <c r="A219">
        <v>219</v>
      </c>
      <c r="B219" t="s">
        <v>663</v>
      </c>
      <c r="C219" t="s">
        <v>115</v>
      </c>
      <c r="D219" t="s">
        <v>41</v>
      </c>
      <c r="E219" t="s">
        <v>42</v>
      </c>
      <c r="F219" t="s">
        <v>47</v>
      </c>
      <c r="G219" t="s">
        <v>277</v>
      </c>
      <c r="J219" t="s">
        <v>664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T219" t="s">
        <v>38</v>
      </c>
      <c r="U219">
        <v>0</v>
      </c>
      <c r="W219">
        <v>0</v>
      </c>
      <c r="X219">
        <v>0</v>
      </c>
      <c r="Y219">
        <v>0</v>
      </c>
      <c r="AE219">
        <f t="shared" si="9"/>
        <v>1</v>
      </c>
      <c r="AF219">
        <f>VLOOKUP(D219,especies!$A$2:$C$9,3,FALSE)</f>
        <v>2</v>
      </c>
      <c r="AG219" t="str">
        <f t="shared" si="10"/>
        <v>2-DPC (Doméstico de pelo corto o DSH)</v>
      </c>
      <c r="AH219">
        <f>VLOOKUP('Fichas clínicas'!AG219,razas!$A$2:$D$66,3,FALSE)</f>
        <v>51</v>
      </c>
      <c r="AI219" t="str">
        <f t="shared" si="11"/>
        <v>M</v>
      </c>
    </row>
    <row r="220" spans="1:35" x14ac:dyDescent="0.2">
      <c r="A220">
        <v>220</v>
      </c>
      <c r="B220" t="s">
        <v>665</v>
      </c>
      <c r="C220" t="s">
        <v>666</v>
      </c>
      <c r="D220" t="s">
        <v>32</v>
      </c>
      <c r="E220" t="s">
        <v>33</v>
      </c>
      <c r="F220" t="s">
        <v>47</v>
      </c>
      <c r="G220" t="s">
        <v>116</v>
      </c>
      <c r="J220" t="s">
        <v>136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T220" t="s">
        <v>38</v>
      </c>
      <c r="U220">
        <v>0</v>
      </c>
      <c r="W220">
        <v>0</v>
      </c>
      <c r="X220">
        <v>0</v>
      </c>
      <c r="Y220">
        <v>0</v>
      </c>
      <c r="AE220">
        <f t="shared" si="9"/>
        <v>1</v>
      </c>
      <c r="AF220">
        <f>VLOOKUP(D220,especies!$A$2:$C$9,3,FALSE)</f>
        <v>1</v>
      </c>
      <c r="AG220" t="str">
        <f t="shared" si="10"/>
        <v>1-Mestizo</v>
      </c>
      <c r="AH220">
        <f>VLOOKUP('Fichas clínicas'!AG220,razas!$A$2:$D$66,3,FALSE)</f>
        <v>1</v>
      </c>
      <c r="AI220" t="str">
        <f t="shared" si="11"/>
        <v>M</v>
      </c>
    </row>
    <row r="221" spans="1:35" x14ac:dyDescent="0.2">
      <c r="A221">
        <v>221</v>
      </c>
      <c r="B221" t="s">
        <v>558</v>
      </c>
      <c r="C221" t="s">
        <v>667</v>
      </c>
      <c r="D221" t="s">
        <v>41</v>
      </c>
      <c r="E221" t="s">
        <v>42</v>
      </c>
      <c r="F221" t="s">
        <v>34</v>
      </c>
      <c r="G221" t="s">
        <v>668</v>
      </c>
      <c r="J221" t="s">
        <v>90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T221" t="s">
        <v>38</v>
      </c>
      <c r="U221">
        <v>0</v>
      </c>
      <c r="V221">
        <v>1</v>
      </c>
      <c r="W221">
        <v>0</v>
      </c>
      <c r="X221">
        <v>0</v>
      </c>
      <c r="Y221">
        <v>0</v>
      </c>
      <c r="AE221">
        <f t="shared" si="9"/>
        <v>1</v>
      </c>
      <c r="AF221">
        <f>VLOOKUP(D221,especies!$A$2:$C$9,3,FALSE)</f>
        <v>2</v>
      </c>
      <c r="AG221" t="str">
        <f t="shared" si="10"/>
        <v>2-DPC (Doméstico de pelo corto o DSH)</v>
      </c>
      <c r="AH221">
        <f>VLOOKUP('Fichas clínicas'!AG221,razas!$A$2:$D$66,3,FALSE)</f>
        <v>51</v>
      </c>
      <c r="AI221" t="str">
        <f t="shared" si="11"/>
        <v>H</v>
      </c>
    </row>
    <row r="222" spans="1:35" x14ac:dyDescent="0.2">
      <c r="A222">
        <v>222</v>
      </c>
      <c r="B222" t="s">
        <v>669</v>
      </c>
      <c r="C222" t="s">
        <v>670</v>
      </c>
      <c r="D222" t="s">
        <v>41</v>
      </c>
      <c r="E222" t="s">
        <v>42</v>
      </c>
      <c r="F222" t="s">
        <v>47</v>
      </c>
      <c r="G222" t="s">
        <v>134</v>
      </c>
      <c r="J222" t="s">
        <v>671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T222" t="s">
        <v>38</v>
      </c>
      <c r="U222">
        <v>0</v>
      </c>
      <c r="V222">
        <v>1</v>
      </c>
      <c r="W222">
        <v>0</v>
      </c>
      <c r="X222">
        <v>0</v>
      </c>
      <c r="Y222">
        <v>0</v>
      </c>
      <c r="AE222">
        <f t="shared" si="9"/>
        <v>1</v>
      </c>
      <c r="AF222">
        <f>VLOOKUP(D222,especies!$A$2:$C$9,3,FALSE)</f>
        <v>2</v>
      </c>
      <c r="AG222" t="str">
        <f t="shared" si="10"/>
        <v>2-DPC (Doméstico de pelo corto o DSH)</v>
      </c>
      <c r="AH222">
        <f>VLOOKUP('Fichas clínicas'!AG222,razas!$A$2:$D$66,3,FALSE)</f>
        <v>51</v>
      </c>
      <c r="AI222" t="str">
        <f t="shared" si="11"/>
        <v>M</v>
      </c>
    </row>
    <row r="223" spans="1:35" x14ac:dyDescent="0.2">
      <c r="A223">
        <v>223</v>
      </c>
      <c r="B223" t="s">
        <v>672</v>
      </c>
      <c r="C223" t="s">
        <v>412</v>
      </c>
      <c r="D223" t="s">
        <v>41</v>
      </c>
      <c r="E223" t="s">
        <v>42</v>
      </c>
      <c r="F223" t="s">
        <v>34</v>
      </c>
      <c r="G223" t="s">
        <v>673</v>
      </c>
      <c r="J223" t="s">
        <v>338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T223" t="s">
        <v>38</v>
      </c>
      <c r="U223">
        <v>0</v>
      </c>
      <c r="W223">
        <v>0</v>
      </c>
      <c r="X223">
        <v>0</v>
      </c>
      <c r="Y223">
        <v>0</v>
      </c>
      <c r="AE223">
        <f t="shared" si="9"/>
        <v>1</v>
      </c>
      <c r="AF223">
        <f>VLOOKUP(D223,especies!$A$2:$C$9,3,FALSE)</f>
        <v>2</v>
      </c>
      <c r="AG223" t="str">
        <f t="shared" si="10"/>
        <v>2-DPC (Doméstico de pelo corto o DSH)</v>
      </c>
      <c r="AH223">
        <f>VLOOKUP('Fichas clínicas'!AG223,razas!$A$2:$D$66,3,FALSE)</f>
        <v>51</v>
      </c>
      <c r="AI223" t="str">
        <f t="shared" si="11"/>
        <v>H</v>
      </c>
    </row>
    <row r="224" spans="1:35" x14ac:dyDescent="0.2">
      <c r="A224">
        <v>224</v>
      </c>
      <c r="B224" t="s">
        <v>674</v>
      </c>
      <c r="C224" t="s">
        <v>675</v>
      </c>
      <c r="D224" t="s">
        <v>41</v>
      </c>
      <c r="E224" t="s">
        <v>42</v>
      </c>
      <c r="F224" t="s">
        <v>47</v>
      </c>
      <c r="G224" t="s">
        <v>277</v>
      </c>
      <c r="J224" t="s">
        <v>676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T224" t="s">
        <v>38</v>
      </c>
      <c r="U224">
        <v>0</v>
      </c>
      <c r="V224">
        <v>1</v>
      </c>
      <c r="W224">
        <v>0</v>
      </c>
      <c r="X224">
        <v>0</v>
      </c>
      <c r="Y224">
        <v>0</v>
      </c>
      <c r="AE224">
        <f t="shared" si="9"/>
        <v>1</v>
      </c>
      <c r="AF224">
        <f>VLOOKUP(D224,especies!$A$2:$C$9,3,FALSE)</f>
        <v>2</v>
      </c>
      <c r="AG224" t="str">
        <f t="shared" si="10"/>
        <v>2-DPC (Doméstico de pelo corto o DSH)</v>
      </c>
      <c r="AH224">
        <f>VLOOKUP('Fichas clínicas'!AG224,razas!$A$2:$D$66,3,FALSE)</f>
        <v>51</v>
      </c>
      <c r="AI224" t="str">
        <f t="shared" si="11"/>
        <v>M</v>
      </c>
    </row>
    <row r="225" spans="1:35" x14ac:dyDescent="0.2">
      <c r="A225">
        <v>225</v>
      </c>
      <c r="B225" t="s">
        <v>677</v>
      </c>
      <c r="C225" t="s">
        <v>678</v>
      </c>
      <c r="D225" t="s">
        <v>32</v>
      </c>
      <c r="E225" t="s">
        <v>33</v>
      </c>
      <c r="F225" t="s">
        <v>34</v>
      </c>
      <c r="G225" t="s">
        <v>284</v>
      </c>
      <c r="J225" t="s">
        <v>679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Q225">
        <v>0</v>
      </c>
      <c r="T225" t="s">
        <v>38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f t="shared" si="9"/>
        <v>1</v>
      </c>
      <c r="AF225">
        <f>VLOOKUP(D225,especies!$A$2:$C$9,3,FALSE)</f>
        <v>1</v>
      </c>
      <c r="AG225" t="str">
        <f t="shared" si="10"/>
        <v>1-Mestizo</v>
      </c>
      <c r="AH225">
        <f>VLOOKUP('Fichas clínicas'!AG225,razas!$A$2:$D$66,3,FALSE)</f>
        <v>1</v>
      </c>
      <c r="AI225" t="str">
        <f t="shared" si="11"/>
        <v>H</v>
      </c>
    </row>
    <row r="226" spans="1:35" x14ac:dyDescent="0.2">
      <c r="A226">
        <v>226</v>
      </c>
      <c r="B226" t="s">
        <v>677</v>
      </c>
      <c r="C226" t="s">
        <v>680</v>
      </c>
      <c r="D226" t="s">
        <v>41</v>
      </c>
      <c r="E226" t="s">
        <v>42</v>
      </c>
      <c r="F226" t="s">
        <v>47</v>
      </c>
      <c r="G226" t="s">
        <v>43</v>
      </c>
      <c r="J226" t="s">
        <v>90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Q226">
        <v>0</v>
      </c>
      <c r="T226" t="s">
        <v>38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f t="shared" si="9"/>
        <v>1</v>
      </c>
      <c r="AF226">
        <f>VLOOKUP(D226,especies!$A$2:$C$9,3,FALSE)</f>
        <v>2</v>
      </c>
      <c r="AG226" t="str">
        <f t="shared" si="10"/>
        <v>2-DPC (Doméstico de pelo corto o DSH)</v>
      </c>
      <c r="AH226">
        <f>VLOOKUP('Fichas clínicas'!AG226,razas!$A$2:$D$66,3,FALSE)</f>
        <v>51</v>
      </c>
      <c r="AI226" t="str">
        <f t="shared" si="11"/>
        <v>M</v>
      </c>
    </row>
    <row r="227" spans="1:35" x14ac:dyDescent="0.2">
      <c r="A227">
        <v>227</v>
      </c>
      <c r="B227" t="s">
        <v>681</v>
      </c>
      <c r="C227" t="s">
        <v>76</v>
      </c>
      <c r="D227" t="s">
        <v>32</v>
      </c>
      <c r="E227" t="s">
        <v>33</v>
      </c>
      <c r="F227" t="s">
        <v>47</v>
      </c>
      <c r="G227" t="s">
        <v>467</v>
      </c>
      <c r="J227" t="s">
        <v>130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T227" t="s">
        <v>38</v>
      </c>
      <c r="U227">
        <v>0</v>
      </c>
      <c r="W227">
        <v>0</v>
      </c>
      <c r="X227">
        <v>0</v>
      </c>
      <c r="Y227">
        <v>0</v>
      </c>
      <c r="AE227">
        <f t="shared" si="9"/>
        <v>1</v>
      </c>
      <c r="AF227">
        <f>VLOOKUP(D227,especies!$A$2:$C$9,3,FALSE)</f>
        <v>1</v>
      </c>
      <c r="AG227" t="str">
        <f t="shared" si="10"/>
        <v>1-Mestizo</v>
      </c>
      <c r="AH227">
        <f>VLOOKUP('Fichas clínicas'!AG227,razas!$A$2:$D$66,3,FALSE)</f>
        <v>1</v>
      </c>
      <c r="AI227" t="str">
        <f t="shared" si="11"/>
        <v>M</v>
      </c>
    </row>
    <row r="228" spans="1:35" x14ac:dyDescent="0.2">
      <c r="A228">
        <v>228</v>
      </c>
      <c r="B228" t="s">
        <v>624</v>
      </c>
      <c r="C228" t="s">
        <v>682</v>
      </c>
      <c r="D228" t="s">
        <v>32</v>
      </c>
      <c r="E228" t="s">
        <v>33</v>
      </c>
      <c r="F228" t="s">
        <v>34</v>
      </c>
      <c r="G228" t="s">
        <v>220</v>
      </c>
      <c r="J228" t="s">
        <v>683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T228" t="s">
        <v>38</v>
      </c>
      <c r="U228">
        <v>0</v>
      </c>
      <c r="V228">
        <v>1</v>
      </c>
      <c r="W228">
        <v>0</v>
      </c>
      <c r="X228">
        <v>0</v>
      </c>
      <c r="Y228">
        <v>0</v>
      </c>
      <c r="AE228">
        <f t="shared" si="9"/>
        <v>1</v>
      </c>
      <c r="AF228">
        <f>VLOOKUP(D228,especies!$A$2:$C$9,3,FALSE)</f>
        <v>1</v>
      </c>
      <c r="AG228" t="str">
        <f t="shared" si="10"/>
        <v>1-Mestizo</v>
      </c>
      <c r="AH228">
        <f>VLOOKUP('Fichas clínicas'!AG228,razas!$A$2:$D$66,3,FALSE)</f>
        <v>1</v>
      </c>
      <c r="AI228" t="str">
        <f t="shared" si="11"/>
        <v>H</v>
      </c>
    </row>
    <row r="229" spans="1:35" x14ac:dyDescent="0.2">
      <c r="A229">
        <v>229</v>
      </c>
      <c r="B229" t="s">
        <v>684</v>
      </c>
      <c r="C229" t="s">
        <v>685</v>
      </c>
      <c r="D229" t="s">
        <v>41</v>
      </c>
      <c r="E229" t="s">
        <v>42</v>
      </c>
      <c r="F229" t="s">
        <v>47</v>
      </c>
      <c r="G229" t="s">
        <v>277</v>
      </c>
      <c r="J229" t="s">
        <v>686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T229" t="s">
        <v>38</v>
      </c>
      <c r="U229">
        <v>0</v>
      </c>
      <c r="V229">
        <v>1</v>
      </c>
      <c r="W229">
        <v>0</v>
      </c>
      <c r="X229">
        <v>0</v>
      </c>
      <c r="Y229">
        <v>0</v>
      </c>
      <c r="AE229">
        <f t="shared" si="9"/>
        <v>1</v>
      </c>
      <c r="AF229">
        <f>VLOOKUP(D229,especies!$A$2:$C$9,3,FALSE)</f>
        <v>2</v>
      </c>
      <c r="AG229" t="str">
        <f t="shared" si="10"/>
        <v>2-DPC (Doméstico de pelo corto o DSH)</v>
      </c>
      <c r="AH229">
        <f>VLOOKUP('Fichas clínicas'!AG229,razas!$A$2:$D$66,3,FALSE)</f>
        <v>51</v>
      </c>
      <c r="AI229" t="str">
        <f t="shared" si="11"/>
        <v>M</v>
      </c>
    </row>
    <row r="230" spans="1:35" x14ac:dyDescent="0.2">
      <c r="A230">
        <v>230</v>
      </c>
      <c r="B230" t="s">
        <v>687</v>
      </c>
      <c r="C230" t="s">
        <v>373</v>
      </c>
      <c r="D230" t="s">
        <v>32</v>
      </c>
      <c r="E230" t="s">
        <v>33</v>
      </c>
      <c r="F230" t="s">
        <v>34</v>
      </c>
      <c r="G230" t="s">
        <v>688</v>
      </c>
      <c r="J230" t="s">
        <v>689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Q230">
        <v>1</v>
      </c>
      <c r="T230" t="s">
        <v>38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f t="shared" si="9"/>
        <v>1</v>
      </c>
      <c r="AF230">
        <f>VLOOKUP(D230,especies!$A$2:$C$9,3,FALSE)</f>
        <v>1</v>
      </c>
      <c r="AG230" t="str">
        <f t="shared" si="10"/>
        <v>1-Mestizo</v>
      </c>
      <c r="AH230">
        <f>VLOOKUP('Fichas clínicas'!AG230,razas!$A$2:$D$66,3,FALSE)</f>
        <v>1</v>
      </c>
      <c r="AI230" t="str">
        <f t="shared" si="11"/>
        <v>H</v>
      </c>
    </row>
    <row r="231" spans="1:35" x14ac:dyDescent="0.2">
      <c r="A231">
        <v>231</v>
      </c>
      <c r="B231" t="s">
        <v>690</v>
      </c>
      <c r="C231" t="s">
        <v>691</v>
      </c>
      <c r="D231" t="s">
        <v>32</v>
      </c>
      <c r="E231" t="s">
        <v>33</v>
      </c>
      <c r="F231" t="s">
        <v>34</v>
      </c>
      <c r="G231" t="s">
        <v>587</v>
      </c>
      <c r="J231" t="s">
        <v>338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T231" t="s">
        <v>38</v>
      </c>
      <c r="U231">
        <v>0</v>
      </c>
      <c r="W231">
        <v>0</v>
      </c>
      <c r="X231">
        <v>0</v>
      </c>
      <c r="Y231">
        <v>0</v>
      </c>
      <c r="AE231">
        <f t="shared" si="9"/>
        <v>1</v>
      </c>
      <c r="AF231">
        <f>VLOOKUP(D231,especies!$A$2:$C$9,3,FALSE)</f>
        <v>1</v>
      </c>
      <c r="AG231" t="str">
        <f t="shared" si="10"/>
        <v>1-Mestizo</v>
      </c>
      <c r="AH231">
        <f>VLOOKUP('Fichas clínicas'!AG231,razas!$A$2:$D$66,3,FALSE)</f>
        <v>1</v>
      </c>
      <c r="AI231" t="str">
        <f t="shared" si="11"/>
        <v>H</v>
      </c>
    </row>
    <row r="232" spans="1:35" x14ac:dyDescent="0.2">
      <c r="A232">
        <v>232</v>
      </c>
      <c r="B232" t="s">
        <v>692</v>
      </c>
      <c r="C232" t="s">
        <v>693</v>
      </c>
      <c r="D232" t="s">
        <v>32</v>
      </c>
      <c r="E232" t="s">
        <v>438</v>
      </c>
      <c r="F232" t="s">
        <v>34</v>
      </c>
      <c r="G232" t="s">
        <v>694</v>
      </c>
      <c r="I232">
        <v>939000001956013</v>
      </c>
      <c r="J232" t="s">
        <v>695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Q232">
        <v>0</v>
      </c>
      <c r="T232" t="s">
        <v>38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f t="shared" si="9"/>
        <v>1</v>
      </c>
      <c r="AF232">
        <f>VLOOKUP(D232,especies!$A$2:$C$9,3,FALSE)</f>
        <v>1</v>
      </c>
      <c r="AG232" t="str">
        <f t="shared" si="10"/>
        <v>1-Ovejero Alemán</v>
      </c>
      <c r="AH232">
        <f>VLOOKUP('Fichas clínicas'!AG232,razas!$A$2:$D$66,3,FALSE)</f>
        <v>12</v>
      </c>
      <c r="AI232" t="str">
        <f t="shared" si="11"/>
        <v>H</v>
      </c>
    </row>
    <row r="233" spans="1:35" x14ac:dyDescent="0.2">
      <c r="A233">
        <v>233</v>
      </c>
      <c r="B233" t="s">
        <v>696</v>
      </c>
      <c r="C233" t="s">
        <v>697</v>
      </c>
      <c r="D233" t="s">
        <v>32</v>
      </c>
      <c r="E233" t="s">
        <v>438</v>
      </c>
      <c r="F233" t="s">
        <v>47</v>
      </c>
      <c r="G233" t="s">
        <v>698</v>
      </c>
      <c r="I233">
        <v>939000001956060</v>
      </c>
      <c r="J233" t="s">
        <v>695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Q233">
        <v>0</v>
      </c>
      <c r="T233" t="s">
        <v>38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f t="shared" si="9"/>
        <v>1</v>
      </c>
      <c r="AF233">
        <f>VLOOKUP(D233,especies!$A$2:$C$9,3,FALSE)</f>
        <v>1</v>
      </c>
      <c r="AG233" t="str">
        <f t="shared" si="10"/>
        <v>1-Ovejero Alemán</v>
      </c>
      <c r="AH233">
        <f>VLOOKUP('Fichas clínicas'!AG233,razas!$A$2:$D$66,3,FALSE)</f>
        <v>12</v>
      </c>
      <c r="AI233" t="str">
        <f t="shared" si="11"/>
        <v>M</v>
      </c>
    </row>
    <row r="234" spans="1:35" x14ac:dyDescent="0.2">
      <c r="A234">
        <v>234</v>
      </c>
      <c r="B234" t="s">
        <v>699</v>
      </c>
      <c r="C234" t="s">
        <v>700</v>
      </c>
      <c r="D234" t="s">
        <v>41</v>
      </c>
      <c r="E234" t="s">
        <v>42</v>
      </c>
      <c r="F234" t="s">
        <v>34</v>
      </c>
      <c r="G234" t="s">
        <v>81</v>
      </c>
      <c r="J234" t="s">
        <v>426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T234" t="s">
        <v>38</v>
      </c>
      <c r="U234">
        <v>0</v>
      </c>
      <c r="W234">
        <v>0</v>
      </c>
      <c r="X234">
        <v>0</v>
      </c>
      <c r="Y234">
        <v>0</v>
      </c>
      <c r="AE234">
        <f t="shared" si="9"/>
        <v>1</v>
      </c>
      <c r="AF234">
        <f>VLOOKUP(D234,especies!$A$2:$C$9,3,FALSE)</f>
        <v>2</v>
      </c>
      <c r="AG234" t="str">
        <f t="shared" si="10"/>
        <v>2-DPC (Doméstico de pelo corto o DSH)</v>
      </c>
      <c r="AH234">
        <f>VLOOKUP('Fichas clínicas'!AG234,razas!$A$2:$D$66,3,FALSE)</f>
        <v>51</v>
      </c>
      <c r="AI234" t="str">
        <f t="shared" si="11"/>
        <v>H</v>
      </c>
    </row>
    <row r="235" spans="1:35" x14ac:dyDescent="0.2">
      <c r="A235">
        <v>235</v>
      </c>
      <c r="B235" t="s">
        <v>701</v>
      </c>
      <c r="C235" t="s">
        <v>347</v>
      </c>
      <c r="D235" t="s">
        <v>41</v>
      </c>
      <c r="E235" t="s">
        <v>42</v>
      </c>
      <c r="F235" t="s">
        <v>34</v>
      </c>
      <c r="G235" t="s">
        <v>702</v>
      </c>
      <c r="J235" t="s">
        <v>703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T235" t="s">
        <v>38</v>
      </c>
      <c r="U235">
        <v>0</v>
      </c>
      <c r="V235">
        <v>1</v>
      </c>
      <c r="W235">
        <v>0</v>
      </c>
      <c r="X235">
        <v>0</v>
      </c>
      <c r="Y235">
        <v>0</v>
      </c>
      <c r="AE235">
        <f t="shared" si="9"/>
        <v>1</v>
      </c>
      <c r="AF235">
        <f>VLOOKUP(D235,especies!$A$2:$C$9,3,FALSE)</f>
        <v>2</v>
      </c>
      <c r="AG235" t="str">
        <f t="shared" si="10"/>
        <v>2-DPC (Doméstico de pelo corto o DSH)</v>
      </c>
      <c r="AH235">
        <f>VLOOKUP('Fichas clínicas'!AG235,razas!$A$2:$D$66,3,FALSE)</f>
        <v>51</v>
      </c>
      <c r="AI235" t="str">
        <f t="shared" si="11"/>
        <v>H</v>
      </c>
    </row>
    <row r="236" spans="1:35" x14ac:dyDescent="0.2">
      <c r="A236">
        <v>236</v>
      </c>
      <c r="B236" t="s">
        <v>704</v>
      </c>
      <c r="C236" t="s">
        <v>705</v>
      </c>
      <c r="D236" t="s">
        <v>32</v>
      </c>
      <c r="E236" t="s">
        <v>33</v>
      </c>
      <c r="F236" t="s">
        <v>34</v>
      </c>
      <c r="G236" t="s">
        <v>583</v>
      </c>
      <c r="J236" t="s">
        <v>706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T236" t="s">
        <v>38</v>
      </c>
      <c r="U236">
        <v>0</v>
      </c>
      <c r="V236">
        <v>1</v>
      </c>
      <c r="W236">
        <v>0</v>
      </c>
      <c r="X236">
        <v>0</v>
      </c>
      <c r="Y236">
        <v>0</v>
      </c>
      <c r="AE236">
        <f t="shared" si="9"/>
        <v>1</v>
      </c>
      <c r="AF236">
        <f>VLOOKUP(D236,especies!$A$2:$C$9,3,FALSE)</f>
        <v>1</v>
      </c>
      <c r="AG236" t="str">
        <f t="shared" si="10"/>
        <v>1-Mestizo</v>
      </c>
      <c r="AH236">
        <f>VLOOKUP('Fichas clínicas'!AG236,razas!$A$2:$D$66,3,FALSE)</f>
        <v>1</v>
      </c>
      <c r="AI236" t="str">
        <f t="shared" si="11"/>
        <v>H</v>
      </c>
    </row>
    <row r="237" spans="1:35" x14ac:dyDescent="0.2">
      <c r="A237">
        <v>237</v>
      </c>
      <c r="B237" t="s">
        <v>707</v>
      </c>
      <c r="C237" t="s">
        <v>708</v>
      </c>
      <c r="D237" t="s">
        <v>41</v>
      </c>
      <c r="E237" t="s">
        <v>42</v>
      </c>
      <c r="F237" t="s">
        <v>34</v>
      </c>
      <c r="G237" t="s">
        <v>43</v>
      </c>
      <c r="J237" t="s">
        <v>709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Q237">
        <v>0</v>
      </c>
      <c r="T237" t="s">
        <v>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f t="shared" si="9"/>
        <v>1</v>
      </c>
      <c r="AF237">
        <f>VLOOKUP(D237,especies!$A$2:$C$9,3,FALSE)</f>
        <v>2</v>
      </c>
      <c r="AG237" t="str">
        <f t="shared" si="10"/>
        <v>2-DPC (Doméstico de pelo corto o DSH)</v>
      </c>
      <c r="AH237">
        <f>VLOOKUP('Fichas clínicas'!AG237,razas!$A$2:$D$66,3,FALSE)</f>
        <v>51</v>
      </c>
      <c r="AI237" t="str">
        <f t="shared" si="11"/>
        <v>H</v>
      </c>
    </row>
    <row r="238" spans="1:35" x14ac:dyDescent="0.2">
      <c r="A238">
        <v>238</v>
      </c>
      <c r="B238" t="s">
        <v>114</v>
      </c>
      <c r="C238" t="s">
        <v>280</v>
      </c>
      <c r="D238" t="s">
        <v>32</v>
      </c>
      <c r="E238" t="s">
        <v>33</v>
      </c>
      <c r="F238" t="s">
        <v>34</v>
      </c>
      <c r="G238" t="s">
        <v>116</v>
      </c>
      <c r="J238" t="s">
        <v>710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T238" t="s">
        <v>38</v>
      </c>
      <c r="U238">
        <v>0</v>
      </c>
      <c r="V238">
        <v>1</v>
      </c>
      <c r="W238">
        <v>0</v>
      </c>
      <c r="X238">
        <v>0</v>
      </c>
      <c r="Y238">
        <v>0</v>
      </c>
      <c r="AE238">
        <f t="shared" si="9"/>
        <v>1</v>
      </c>
      <c r="AF238">
        <f>VLOOKUP(D238,especies!$A$2:$C$9,3,FALSE)</f>
        <v>1</v>
      </c>
      <c r="AG238" t="str">
        <f t="shared" si="10"/>
        <v>1-Mestizo</v>
      </c>
      <c r="AH238">
        <f>VLOOKUP('Fichas clínicas'!AG238,razas!$A$2:$D$66,3,FALSE)</f>
        <v>1</v>
      </c>
      <c r="AI238" t="str">
        <f t="shared" si="11"/>
        <v>H</v>
      </c>
    </row>
    <row r="239" spans="1:35" x14ac:dyDescent="0.2">
      <c r="A239">
        <v>239</v>
      </c>
      <c r="B239" t="s">
        <v>711</v>
      </c>
      <c r="C239" t="s">
        <v>712</v>
      </c>
      <c r="D239" t="s">
        <v>32</v>
      </c>
      <c r="E239" t="s">
        <v>33</v>
      </c>
      <c r="F239" t="s">
        <v>34</v>
      </c>
      <c r="G239" t="s">
        <v>220</v>
      </c>
      <c r="J239" t="s">
        <v>612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Q239">
        <v>0</v>
      </c>
      <c r="T239" t="s">
        <v>38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f t="shared" si="9"/>
        <v>1</v>
      </c>
      <c r="AF239">
        <f>VLOOKUP(D239,especies!$A$2:$C$9,3,FALSE)</f>
        <v>1</v>
      </c>
      <c r="AG239" t="str">
        <f t="shared" si="10"/>
        <v>1-Mestizo</v>
      </c>
      <c r="AH239">
        <f>VLOOKUP('Fichas clínicas'!AG239,razas!$A$2:$D$66,3,FALSE)</f>
        <v>1</v>
      </c>
      <c r="AI239" t="str">
        <f t="shared" si="11"/>
        <v>H</v>
      </c>
    </row>
    <row r="240" spans="1:35" x14ac:dyDescent="0.2">
      <c r="A240">
        <v>240</v>
      </c>
      <c r="B240" t="s">
        <v>713</v>
      </c>
      <c r="C240" t="s">
        <v>401</v>
      </c>
      <c r="D240" t="s">
        <v>32</v>
      </c>
      <c r="E240" t="s">
        <v>33</v>
      </c>
      <c r="F240" t="s">
        <v>34</v>
      </c>
      <c r="G240" t="s">
        <v>300</v>
      </c>
      <c r="J240" t="s">
        <v>87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T240" t="s">
        <v>38</v>
      </c>
      <c r="U240">
        <v>0</v>
      </c>
      <c r="W240">
        <v>0</v>
      </c>
      <c r="X240">
        <v>0</v>
      </c>
      <c r="Y240">
        <v>0</v>
      </c>
      <c r="AE240">
        <f t="shared" si="9"/>
        <v>1</v>
      </c>
      <c r="AF240">
        <f>VLOOKUP(D240,especies!$A$2:$C$9,3,FALSE)</f>
        <v>1</v>
      </c>
      <c r="AG240" t="str">
        <f t="shared" si="10"/>
        <v>1-Mestizo</v>
      </c>
      <c r="AH240">
        <f>VLOOKUP('Fichas clínicas'!AG240,razas!$A$2:$D$66,3,FALSE)</f>
        <v>1</v>
      </c>
      <c r="AI240" t="str">
        <f t="shared" si="11"/>
        <v>H</v>
      </c>
    </row>
    <row r="241" spans="1:35" x14ac:dyDescent="0.2">
      <c r="A241">
        <v>241</v>
      </c>
      <c r="B241" t="s">
        <v>713</v>
      </c>
      <c r="C241" t="s">
        <v>714</v>
      </c>
      <c r="D241" t="s">
        <v>32</v>
      </c>
      <c r="E241" t="s">
        <v>33</v>
      </c>
      <c r="F241" t="s">
        <v>34</v>
      </c>
      <c r="G241" t="s">
        <v>329</v>
      </c>
      <c r="J241" t="s">
        <v>87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T241" t="s">
        <v>38</v>
      </c>
      <c r="U241">
        <v>0</v>
      </c>
      <c r="W241">
        <v>0</v>
      </c>
      <c r="X241">
        <v>0</v>
      </c>
      <c r="Y241">
        <v>0</v>
      </c>
      <c r="AE241">
        <f t="shared" si="9"/>
        <v>1</v>
      </c>
      <c r="AF241">
        <f>VLOOKUP(D241,especies!$A$2:$C$9,3,FALSE)</f>
        <v>1</v>
      </c>
      <c r="AG241" t="str">
        <f t="shared" si="10"/>
        <v>1-Mestizo</v>
      </c>
      <c r="AH241">
        <f>VLOOKUP('Fichas clínicas'!AG241,razas!$A$2:$D$66,3,FALSE)</f>
        <v>1</v>
      </c>
      <c r="AI241" t="str">
        <f t="shared" si="11"/>
        <v>H</v>
      </c>
    </row>
    <row r="242" spans="1:35" x14ac:dyDescent="0.2">
      <c r="A242">
        <v>242</v>
      </c>
      <c r="B242" t="s">
        <v>715</v>
      </c>
      <c r="C242" t="s">
        <v>716</v>
      </c>
      <c r="D242" t="s">
        <v>32</v>
      </c>
      <c r="E242" t="s">
        <v>33</v>
      </c>
      <c r="F242" t="s">
        <v>47</v>
      </c>
      <c r="G242" t="s">
        <v>123</v>
      </c>
      <c r="J242" t="s">
        <v>717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T242" t="s">
        <v>38</v>
      </c>
      <c r="U242">
        <v>0</v>
      </c>
      <c r="V242">
        <v>1</v>
      </c>
      <c r="W242">
        <v>0</v>
      </c>
      <c r="X242">
        <v>0</v>
      </c>
      <c r="Y242">
        <v>0</v>
      </c>
      <c r="AE242">
        <f t="shared" si="9"/>
        <v>1</v>
      </c>
      <c r="AF242">
        <f>VLOOKUP(D242,especies!$A$2:$C$9,3,FALSE)</f>
        <v>1</v>
      </c>
      <c r="AG242" t="str">
        <f t="shared" si="10"/>
        <v>1-Mestizo</v>
      </c>
      <c r="AH242">
        <f>VLOOKUP('Fichas clínicas'!AG242,razas!$A$2:$D$66,3,FALSE)</f>
        <v>1</v>
      </c>
      <c r="AI242" t="str">
        <f t="shared" si="11"/>
        <v>M</v>
      </c>
    </row>
    <row r="243" spans="1:35" x14ac:dyDescent="0.2">
      <c r="A243">
        <v>243</v>
      </c>
      <c r="B243" t="s">
        <v>255</v>
      </c>
      <c r="C243" t="s">
        <v>718</v>
      </c>
      <c r="D243" t="s">
        <v>41</v>
      </c>
      <c r="E243" t="s">
        <v>42</v>
      </c>
      <c r="F243" t="s">
        <v>34</v>
      </c>
      <c r="G243" t="s">
        <v>81</v>
      </c>
      <c r="J243" t="s">
        <v>719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Q243">
        <v>0</v>
      </c>
      <c r="T243" t="s">
        <v>38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f t="shared" si="9"/>
        <v>1</v>
      </c>
      <c r="AF243">
        <f>VLOOKUP(D243,especies!$A$2:$C$9,3,FALSE)</f>
        <v>2</v>
      </c>
      <c r="AG243" t="str">
        <f t="shared" si="10"/>
        <v>2-DPC (Doméstico de pelo corto o DSH)</v>
      </c>
      <c r="AH243">
        <f>VLOOKUP('Fichas clínicas'!AG243,razas!$A$2:$D$66,3,FALSE)</f>
        <v>51</v>
      </c>
      <c r="AI243" t="str">
        <f t="shared" si="11"/>
        <v>H</v>
      </c>
    </row>
    <row r="244" spans="1:35" x14ac:dyDescent="0.2">
      <c r="A244">
        <v>244</v>
      </c>
      <c r="B244" t="s">
        <v>720</v>
      </c>
      <c r="C244" t="s">
        <v>721</v>
      </c>
      <c r="D244" t="s">
        <v>32</v>
      </c>
      <c r="E244" t="s">
        <v>33</v>
      </c>
      <c r="F244" t="s">
        <v>34</v>
      </c>
      <c r="G244" t="s">
        <v>116</v>
      </c>
      <c r="J244" t="s">
        <v>348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T244" t="s">
        <v>38</v>
      </c>
      <c r="U244">
        <v>0</v>
      </c>
      <c r="V244">
        <v>1</v>
      </c>
      <c r="W244">
        <v>0</v>
      </c>
      <c r="X244">
        <v>0</v>
      </c>
      <c r="Y244">
        <v>0</v>
      </c>
      <c r="AE244">
        <f t="shared" si="9"/>
        <v>1</v>
      </c>
      <c r="AF244">
        <f>VLOOKUP(D244,especies!$A$2:$C$9,3,FALSE)</f>
        <v>1</v>
      </c>
      <c r="AG244" t="str">
        <f t="shared" si="10"/>
        <v>1-Mestizo</v>
      </c>
      <c r="AH244">
        <f>VLOOKUP('Fichas clínicas'!AG244,razas!$A$2:$D$66,3,FALSE)</f>
        <v>1</v>
      </c>
      <c r="AI244" t="str">
        <f t="shared" si="11"/>
        <v>H</v>
      </c>
    </row>
    <row r="245" spans="1:35" x14ac:dyDescent="0.2">
      <c r="A245">
        <v>245</v>
      </c>
      <c r="B245" t="s">
        <v>722</v>
      </c>
      <c r="C245" t="s">
        <v>723</v>
      </c>
      <c r="D245" t="s">
        <v>32</v>
      </c>
      <c r="E245" t="s">
        <v>458</v>
      </c>
      <c r="F245" t="s">
        <v>34</v>
      </c>
      <c r="G245" t="s">
        <v>724</v>
      </c>
      <c r="J245" t="s">
        <v>725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Q245">
        <v>0</v>
      </c>
      <c r="T245" t="s">
        <v>38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f t="shared" si="9"/>
        <v>1</v>
      </c>
      <c r="AF245">
        <f>VLOOKUP(D245,especies!$A$2:$C$9,3,FALSE)</f>
        <v>1</v>
      </c>
      <c r="AG245" t="str">
        <f t="shared" si="10"/>
        <v>1-Beagle</v>
      </c>
      <c r="AH245">
        <f>VLOOKUP('Fichas clínicas'!AG245,razas!$A$2:$D$66,3,FALSE)</f>
        <v>13</v>
      </c>
      <c r="AI245" t="str">
        <f t="shared" si="11"/>
        <v>H</v>
      </c>
    </row>
    <row r="246" spans="1:35" x14ac:dyDescent="0.2">
      <c r="A246">
        <v>246</v>
      </c>
      <c r="B246" t="s">
        <v>726</v>
      </c>
      <c r="C246" t="s">
        <v>727</v>
      </c>
      <c r="D246" t="s">
        <v>41</v>
      </c>
      <c r="E246" t="s">
        <v>42</v>
      </c>
      <c r="F246" t="s">
        <v>34</v>
      </c>
      <c r="G246" t="s">
        <v>728</v>
      </c>
      <c r="J246" t="s">
        <v>136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T246" t="s">
        <v>38</v>
      </c>
      <c r="U246">
        <v>0</v>
      </c>
      <c r="W246">
        <v>0</v>
      </c>
      <c r="X246">
        <v>0</v>
      </c>
      <c r="Y246">
        <v>0</v>
      </c>
      <c r="AE246">
        <f t="shared" si="9"/>
        <v>1</v>
      </c>
      <c r="AF246">
        <f>VLOOKUP(D246,especies!$A$2:$C$9,3,FALSE)</f>
        <v>2</v>
      </c>
      <c r="AG246" t="str">
        <f t="shared" si="10"/>
        <v>2-DPC (Doméstico de pelo corto o DSH)</v>
      </c>
      <c r="AH246">
        <f>VLOOKUP('Fichas clínicas'!AG246,razas!$A$2:$D$66,3,FALSE)</f>
        <v>51</v>
      </c>
      <c r="AI246" t="str">
        <f t="shared" si="11"/>
        <v>H</v>
      </c>
    </row>
    <row r="247" spans="1:35" x14ac:dyDescent="0.2">
      <c r="A247">
        <v>247</v>
      </c>
      <c r="B247" t="s">
        <v>726</v>
      </c>
      <c r="C247" t="s">
        <v>115</v>
      </c>
      <c r="D247" t="s">
        <v>41</v>
      </c>
      <c r="E247" t="s">
        <v>93</v>
      </c>
      <c r="F247" t="s">
        <v>47</v>
      </c>
      <c r="G247" t="s">
        <v>729</v>
      </c>
      <c r="J247" t="s">
        <v>136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T247" t="s">
        <v>38</v>
      </c>
      <c r="U247">
        <v>0</v>
      </c>
      <c r="W247">
        <v>0</v>
      </c>
      <c r="X247">
        <v>0</v>
      </c>
      <c r="Y247">
        <v>0</v>
      </c>
      <c r="AE247">
        <f t="shared" si="9"/>
        <v>1</v>
      </c>
      <c r="AF247">
        <f>VLOOKUP(D247,especies!$A$2:$C$9,3,FALSE)</f>
        <v>2</v>
      </c>
      <c r="AG247" t="str">
        <f t="shared" si="10"/>
        <v>2-DPL (Doméstico de pelo Largo o DLH)</v>
      </c>
      <c r="AH247">
        <f>VLOOKUP('Fichas clínicas'!AG247,razas!$A$2:$D$66,3,FALSE)</f>
        <v>52</v>
      </c>
      <c r="AI247" t="str">
        <f t="shared" si="11"/>
        <v>M</v>
      </c>
    </row>
    <row r="248" spans="1:35" x14ac:dyDescent="0.2">
      <c r="A248">
        <v>248</v>
      </c>
      <c r="B248" t="s">
        <v>726</v>
      </c>
      <c r="C248" t="s">
        <v>730</v>
      </c>
      <c r="D248" t="s">
        <v>41</v>
      </c>
      <c r="E248" t="s">
        <v>42</v>
      </c>
      <c r="F248" t="s">
        <v>34</v>
      </c>
      <c r="G248" t="s">
        <v>731</v>
      </c>
      <c r="J248" t="s">
        <v>732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T248" t="s">
        <v>38</v>
      </c>
      <c r="U248">
        <v>0</v>
      </c>
      <c r="W248">
        <v>0</v>
      </c>
      <c r="X248">
        <v>0</v>
      </c>
      <c r="Y248">
        <v>0</v>
      </c>
      <c r="AE248">
        <f t="shared" si="9"/>
        <v>1</v>
      </c>
      <c r="AF248">
        <f>VLOOKUP(D248,especies!$A$2:$C$9,3,FALSE)</f>
        <v>2</v>
      </c>
      <c r="AG248" t="str">
        <f t="shared" si="10"/>
        <v>2-DPC (Doméstico de pelo corto o DSH)</v>
      </c>
      <c r="AH248">
        <f>VLOOKUP('Fichas clínicas'!AG248,razas!$A$2:$D$66,3,FALSE)</f>
        <v>51</v>
      </c>
      <c r="AI248" t="str">
        <f t="shared" si="11"/>
        <v>H</v>
      </c>
    </row>
    <row r="249" spans="1:35" x14ac:dyDescent="0.2">
      <c r="A249">
        <v>249</v>
      </c>
      <c r="B249" t="s">
        <v>733</v>
      </c>
      <c r="C249" t="s">
        <v>121</v>
      </c>
      <c r="D249" t="s">
        <v>32</v>
      </c>
      <c r="E249" t="s">
        <v>150</v>
      </c>
      <c r="F249" t="s">
        <v>34</v>
      </c>
      <c r="G249" t="s">
        <v>123</v>
      </c>
      <c r="J249" t="s">
        <v>734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T249" t="s">
        <v>38</v>
      </c>
      <c r="U249">
        <v>0</v>
      </c>
      <c r="W249">
        <v>0</v>
      </c>
      <c r="X249">
        <v>0</v>
      </c>
      <c r="Y249">
        <v>0</v>
      </c>
      <c r="AE249">
        <f t="shared" si="9"/>
        <v>1</v>
      </c>
      <c r="AF249">
        <f>VLOOKUP(D249,especies!$A$2:$C$9,3,FALSE)</f>
        <v>1</v>
      </c>
      <c r="AG249" t="str">
        <f t="shared" si="10"/>
        <v>1-Poodle</v>
      </c>
      <c r="AH249">
        <f>VLOOKUP('Fichas clínicas'!AG249,razas!$A$2:$D$66,3,FALSE)</f>
        <v>6</v>
      </c>
      <c r="AI249" t="str">
        <f t="shared" si="11"/>
        <v>H</v>
      </c>
    </row>
    <row r="250" spans="1:35" x14ac:dyDescent="0.2">
      <c r="A250">
        <v>250</v>
      </c>
      <c r="B250" t="s">
        <v>735</v>
      </c>
      <c r="C250" t="s">
        <v>358</v>
      </c>
      <c r="D250" t="s">
        <v>41</v>
      </c>
      <c r="E250" t="s">
        <v>42</v>
      </c>
      <c r="F250" t="s">
        <v>47</v>
      </c>
      <c r="G250" t="s">
        <v>277</v>
      </c>
      <c r="J250" t="s">
        <v>577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T250" t="s">
        <v>38</v>
      </c>
      <c r="U250">
        <v>0</v>
      </c>
      <c r="W250">
        <v>0</v>
      </c>
      <c r="X250">
        <v>0</v>
      </c>
      <c r="Y250">
        <v>0</v>
      </c>
      <c r="AE250">
        <f t="shared" si="9"/>
        <v>1</v>
      </c>
      <c r="AF250">
        <f>VLOOKUP(D250,especies!$A$2:$C$9,3,FALSE)</f>
        <v>2</v>
      </c>
      <c r="AG250" t="str">
        <f t="shared" si="10"/>
        <v>2-DPC (Doméstico de pelo corto o DSH)</v>
      </c>
      <c r="AH250">
        <f>VLOOKUP('Fichas clínicas'!AG250,razas!$A$2:$D$66,3,FALSE)</f>
        <v>51</v>
      </c>
      <c r="AI250" t="str">
        <f t="shared" si="11"/>
        <v>M</v>
      </c>
    </row>
    <row r="251" spans="1:35" x14ac:dyDescent="0.2">
      <c r="A251">
        <v>251</v>
      </c>
      <c r="B251" t="s">
        <v>736</v>
      </c>
      <c r="C251" t="s">
        <v>276</v>
      </c>
      <c r="D251" t="s">
        <v>32</v>
      </c>
      <c r="E251" t="s">
        <v>33</v>
      </c>
      <c r="F251" t="s">
        <v>47</v>
      </c>
      <c r="G251" t="s">
        <v>165</v>
      </c>
      <c r="J251" t="s">
        <v>737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T251" t="s">
        <v>38</v>
      </c>
      <c r="U251">
        <v>0</v>
      </c>
      <c r="W251">
        <v>0</v>
      </c>
      <c r="X251">
        <v>0</v>
      </c>
      <c r="Y251">
        <v>0</v>
      </c>
      <c r="AE251">
        <f t="shared" si="9"/>
        <v>1</v>
      </c>
      <c r="AF251">
        <f>VLOOKUP(D251,especies!$A$2:$C$9,3,FALSE)</f>
        <v>1</v>
      </c>
      <c r="AG251" t="str">
        <f t="shared" si="10"/>
        <v>1-Mestizo</v>
      </c>
      <c r="AH251">
        <f>VLOOKUP('Fichas clínicas'!AG251,razas!$A$2:$D$66,3,FALSE)</f>
        <v>1</v>
      </c>
      <c r="AI251" t="str">
        <f t="shared" si="11"/>
        <v>M</v>
      </c>
    </row>
    <row r="252" spans="1:35" x14ac:dyDescent="0.2">
      <c r="A252">
        <v>252</v>
      </c>
      <c r="B252" t="s">
        <v>738</v>
      </c>
      <c r="C252" t="s">
        <v>739</v>
      </c>
      <c r="D252" t="s">
        <v>32</v>
      </c>
      <c r="E252" t="s">
        <v>473</v>
      </c>
      <c r="F252" t="s">
        <v>47</v>
      </c>
      <c r="G252" t="s">
        <v>740</v>
      </c>
      <c r="J252" t="s">
        <v>741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T252" t="s">
        <v>38</v>
      </c>
      <c r="U252">
        <v>0</v>
      </c>
      <c r="W252">
        <v>0</v>
      </c>
      <c r="X252">
        <v>0</v>
      </c>
      <c r="Y252">
        <v>0</v>
      </c>
      <c r="AE252">
        <f t="shared" si="9"/>
        <v>1</v>
      </c>
      <c r="AF252">
        <f>VLOOKUP(D252,especies!$A$2:$C$9,3,FALSE)</f>
        <v>1</v>
      </c>
      <c r="AG252" t="str">
        <f t="shared" si="10"/>
        <v>1-Boxer</v>
      </c>
      <c r="AH252">
        <f>VLOOKUP('Fichas clínicas'!AG252,razas!$A$2:$D$66,3,FALSE)</f>
        <v>14</v>
      </c>
      <c r="AI252" t="str">
        <f t="shared" si="11"/>
        <v>M</v>
      </c>
    </row>
    <row r="253" spans="1:35" x14ac:dyDescent="0.2">
      <c r="A253">
        <v>253</v>
      </c>
      <c r="B253" t="s">
        <v>742</v>
      </c>
      <c r="C253" t="s">
        <v>156</v>
      </c>
      <c r="D253" t="s">
        <v>32</v>
      </c>
      <c r="E253" t="s">
        <v>33</v>
      </c>
      <c r="F253" t="s">
        <v>47</v>
      </c>
      <c r="G253" t="s">
        <v>284</v>
      </c>
      <c r="J253" t="s">
        <v>505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T253" t="s">
        <v>38</v>
      </c>
      <c r="U253">
        <v>0</v>
      </c>
      <c r="W253">
        <v>0</v>
      </c>
      <c r="X253">
        <v>0</v>
      </c>
      <c r="Y253">
        <v>0</v>
      </c>
      <c r="AE253">
        <f t="shared" si="9"/>
        <v>1</v>
      </c>
      <c r="AF253">
        <f>VLOOKUP(D253,especies!$A$2:$C$9,3,FALSE)</f>
        <v>1</v>
      </c>
      <c r="AG253" t="str">
        <f t="shared" si="10"/>
        <v>1-Mestizo</v>
      </c>
      <c r="AH253">
        <f>VLOOKUP('Fichas clínicas'!AG253,razas!$A$2:$D$66,3,FALSE)</f>
        <v>1</v>
      </c>
      <c r="AI253" t="str">
        <f t="shared" si="11"/>
        <v>M</v>
      </c>
    </row>
    <row r="254" spans="1:35" x14ac:dyDescent="0.2">
      <c r="A254">
        <v>254</v>
      </c>
      <c r="B254" t="s">
        <v>743</v>
      </c>
      <c r="C254" t="s">
        <v>744</v>
      </c>
      <c r="D254" t="s">
        <v>41</v>
      </c>
      <c r="E254" t="s">
        <v>42</v>
      </c>
      <c r="F254" t="s">
        <v>34</v>
      </c>
      <c r="G254" t="s">
        <v>169</v>
      </c>
      <c r="J254" t="s">
        <v>745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T254" t="s">
        <v>38</v>
      </c>
      <c r="U254">
        <v>0</v>
      </c>
      <c r="V254">
        <v>1</v>
      </c>
      <c r="W254">
        <v>0</v>
      </c>
      <c r="X254">
        <v>0</v>
      </c>
      <c r="Y254">
        <v>0</v>
      </c>
      <c r="AE254">
        <f t="shared" si="9"/>
        <v>1</v>
      </c>
      <c r="AF254">
        <f>VLOOKUP(D254,especies!$A$2:$C$9,3,FALSE)</f>
        <v>2</v>
      </c>
      <c r="AG254" t="str">
        <f t="shared" si="10"/>
        <v>2-DPC (Doméstico de pelo corto o DSH)</v>
      </c>
      <c r="AH254">
        <f>VLOOKUP('Fichas clínicas'!AG254,razas!$A$2:$D$66,3,FALSE)</f>
        <v>51</v>
      </c>
      <c r="AI254" t="str">
        <f t="shared" si="11"/>
        <v>H</v>
      </c>
    </row>
    <row r="255" spans="1:35" x14ac:dyDescent="0.2">
      <c r="A255">
        <v>255</v>
      </c>
      <c r="B255" t="s">
        <v>746</v>
      </c>
      <c r="C255" t="s">
        <v>747</v>
      </c>
      <c r="D255" t="s">
        <v>41</v>
      </c>
      <c r="E255" t="s">
        <v>42</v>
      </c>
      <c r="F255" t="s">
        <v>47</v>
      </c>
      <c r="G255" t="s">
        <v>550</v>
      </c>
      <c r="J255" t="s">
        <v>748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T255" t="s">
        <v>38</v>
      </c>
      <c r="U255">
        <v>0</v>
      </c>
      <c r="W255">
        <v>0</v>
      </c>
      <c r="X255">
        <v>0</v>
      </c>
      <c r="Y255">
        <v>0</v>
      </c>
      <c r="AE255">
        <f t="shared" si="9"/>
        <v>1</v>
      </c>
      <c r="AF255">
        <f>VLOOKUP(D255,especies!$A$2:$C$9,3,FALSE)</f>
        <v>2</v>
      </c>
      <c r="AG255" t="str">
        <f t="shared" si="10"/>
        <v>2-DPC (Doméstico de pelo corto o DSH)</v>
      </c>
      <c r="AH255">
        <f>VLOOKUP('Fichas clínicas'!AG255,razas!$A$2:$D$66,3,FALSE)</f>
        <v>51</v>
      </c>
      <c r="AI255" t="str">
        <f t="shared" si="11"/>
        <v>M</v>
      </c>
    </row>
    <row r="256" spans="1:35" x14ac:dyDescent="0.2">
      <c r="A256">
        <v>256</v>
      </c>
      <c r="B256" t="s">
        <v>746</v>
      </c>
      <c r="C256" t="s">
        <v>280</v>
      </c>
      <c r="D256" t="s">
        <v>41</v>
      </c>
      <c r="E256" t="s">
        <v>42</v>
      </c>
      <c r="F256" t="s">
        <v>34</v>
      </c>
      <c r="G256" t="s">
        <v>749</v>
      </c>
      <c r="J256" t="s">
        <v>748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T256" t="s">
        <v>38</v>
      </c>
      <c r="U256">
        <v>0</v>
      </c>
      <c r="W256">
        <v>0</v>
      </c>
      <c r="X256">
        <v>0</v>
      </c>
      <c r="Y256">
        <v>0</v>
      </c>
      <c r="AE256">
        <f t="shared" si="9"/>
        <v>1</v>
      </c>
      <c r="AF256">
        <f>VLOOKUP(D256,especies!$A$2:$C$9,3,FALSE)</f>
        <v>2</v>
      </c>
      <c r="AG256" t="str">
        <f t="shared" si="10"/>
        <v>2-DPC (Doméstico de pelo corto o DSH)</v>
      </c>
      <c r="AH256">
        <f>VLOOKUP('Fichas clínicas'!AG256,razas!$A$2:$D$66,3,FALSE)</f>
        <v>51</v>
      </c>
      <c r="AI256" t="str">
        <f t="shared" si="11"/>
        <v>H</v>
      </c>
    </row>
    <row r="257" spans="1:35" x14ac:dyDescent="0.2">
      <c r="A257">
        <v>257</v>
      </c>
      <c r="B257" t="s">
        <v>750</v>
      </c>
      <c r="C257" t="s">
        <v>751</v>
      </c>
      <c r="D257" t="s">
        <v>41</v>
      </c>
      <c r="E257" t="s">
        <v>93</v>
      </c>
      <c r="F257" t="s">
        <v>34</v>
      </c>
      <c r="G257" t="s">
        <v>77</v>
      </c>
      <c r="J257" t="s">
        <v>752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T257" t="s">
        <v>38</v>
      </c>
      <c r="U257">
        <v>0</v>
      </c>
      <c r="W257">
        <v>0</v>
      </c>
      <c r="X257">
        <v>0</v>
      </c>
      <c r="Y257">
        <v>0</v>
      </c>
      <c r="AE257">
        <f t="shared" si="9"/>
        <v>1</v>
      </c>
      <c r="AF257">
        <f>VLOOKUP(D257,especies!$A$2:$C$9,3,FALSE)</f>
        <v>2</v>
      </c>
      <c r="AG257" t="str">
        <f t="shared" si="10"/>
        <v>2-DPL (Doméstico de pelo Largo o DLH)</v>
      </c>
      <c r="AH257">
        <f>VLOOKUP('Fichas clínicas'!AG257,razas!$A$2:$D$66,3,FALSE)</f>
        <v>52</v>
      </c>
      <c r="AI257" t="str">
        <f t="shared" si="11"/>
        <v>H</v>
      </c>
    </row>
    <row r="258" spans="1:35" x14ac:dyDescent="0.2">
      <c r="A258">
        <v>258</v>
      </c>
      <c r="B258" t="s">
        <v>295</v>
      </c>
      <c r="C258" t="s">
        <v>753</v>
      </c>
      <c r="D258" t="s">
        <v>32</v>
      </c>
      <c r="E258" t="s">
        <v>33</v>
      </c>
      <c r="F258" t="s">
        <v>34</v>
      </c>
      <c r="G258" t="s">
        <v>43</v>
      </c>
      <c r="I258">
        <v>939000007228045</v>
      </c>
      <c r="J258" t="s">
        <v>348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Q258">
        <v>0</v>
      </c>
      <c r="T258" t="s">
        <v>38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f t="shared" si="9"/>
        <v>1</v>
      </c>
      <c r="AF258">
        <f>VLOOKUP(D258,especies!$A$2:$C$9,3,FALSE)</f>
        <v>1</v>
      </c>
      <c r="AG258" t="str">
        <f t="shared" si="10"/>
        <v>1-Mestizo</v>
      </c>
      <c r="AH258">
        <f>VLOOKUP('Fichas clínicas'!AG258,razas!$A$2:$D$66,3,FALSE)</f>
        <v>1</v>
      </c>
      <c r="AI258" t="str">
        <f t="shared" si="11"/>
        <v>H</v>
      </c>
    </row>
    <row r="259" spans="1:35" x14ac:dyDescent="0.2">
      <c r="A259">
        <v>259</v>
      </c>
      <c r="B259" t="s">
        <v>754</v>
      </c>
      <c r="C259" t="s">
        <v>342</v>
      </c>
      <c r="D259" t="s">
        <v>41</v>
      </c>
      <c r="E259" t="s">
        <v>42</v>
      </c>
      <c r="F259" t="s">
        <v>34</v>
      </c>
      <c r="G259" t="s">
        <v>755</v>
      </c>
      <c r="J259" t="s">
        <v>645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Q259">
        <v>1</v>
      </c>
      <c r="T259" t="s">
        <v>38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f t="shared" ref="AE259:AE322" si="12">SUBTOTAL(103,E259)</f>
        <v>1</v>
      </c>
      <c r="AF259">
        <f>VLOOKUP(D259,especies!$A$2:$C$9,3,FALSE)</f>
        <v>2</v>
      </c>
      <c r="AG259" t="str">
        <f t="shared" ref="AG259:AG322" si="13">AF259&amp;"-"&amp;E259</f>
        <v>2-DPC (Doméstico de pelo corto o DSH)</v>
      </c>
      <c r="AH259">
        <f>VLOOKUP('Fichas clínicas'!AG259,razas!$A$2:$D$66,3,FALSE)</f>
        <v>51</v>
      </c>
      <c r="AI259" t="str">
        <f t="shared" ref="AI259:AI322" si="14">IF(F259="Hembra","H","M")</f>
        <v>H</v>
      </c>
    </row>
    <row r="260" spans="1:35" x14ac:dyDescent="0.2">
      <c r="A260">
        <v>260</v>
      </c>
      <c r="B260" t="s">
        <v>756</v>
      </c>
      <c r="C260" t="s">
        <v>757</v>
      </c>
      <c r="D260" t="s">
        <v>32</v>
      </c>
      <c r="E260" t="s">
        <v>33</v>
      </c>
      <c r="F260" t="s">
        <v>47</v>
      </c>
      <c r="G260" t="s">
        <v>284</v>
      </c>
      <c r="J260" t="s">
        <v>181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T260" t="s">
        <v>38</v>
      </c>
      <c r="U260">
        <v>0</v>
      </c>
      <c r="W260">
        <v>0</v>
      </c>
      <c r="X260">
        <v>0</v>
      </c>
      <c r="Y260">
        <v>0</v>
      </c>
      <c r="AE260">
        <f t="shared" si="12"/>
        <v>1</v>
      </c>
      <c r="AF260">
        <f>VLOOKUP(D260,especies!$A$2:$C$9,3,FALSE)</f>
        <v>1</v>
      </c>
      <c r="AG260" t="str">
        <f t="shared" si="13"/>
        <v>1-Mestizo</v>
      </c>
      <c r="AH260">
        <f>VLOOKUP('Fichas clínicas'!AG260,razas!$A$2:$D$66,3,FALSE)</f>
        <v>1</v>
      </c>
      <c r="AI260" t="str">
        <f t="shared" si="14"/>
        <v>M</v>
      </c>
    </row>
    <row r="261" spans="1:35" x14ac:dyDescent="0.2">
      <c r="A261">
        <v>261</v>
      </c>
      <c r="B261" t="s">
        <v>758</v>
      </c>
      <c r="C261" t="s">
        <v>759</v>
      </c>
      <c r="D261" t="s">
        <v>41</v>
      </c>
      <c r="E261" t="s">
        <v>42</v>
      </c>
      <c r="F261" t="s">
        <v>34</v>
      </c>
      <c r="G261" t="s">
        <v>760</v>
      </c>
      <c r="J261" t="s">
        <v>761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T261" t="s">
        <v>38</v>
      </c>
      <c r="U261">
        <v>0</v>
      </c>
      <c r="W261">
        <v>0</v>
      </c>
      <c r="X261">
        <v>0</v>
      </c>
      <c r="Y261">
        <v>0</v>
      </c>
      <c r="AE261">
        <f t="shared" si="12"/>
        <v>1</v>
      </c>
      <c r="AF261">
        <f>VLOOKUP(D261,especies!$A$2:$C$9,3,FALSE)</f>
        <v>2</v>
      </c>
      <c r="AG261" t="str">
        <f t="shared" si="13"/>
        <v>2-DPC (Doméstico de pelo corto o DSH)</v>
      </c>
      <c r="AH261">
        <f>VLOOKUP('Fichas clínicas'!AG261,razas!$A$2:$D$66,3,FALSE)</f>
        <v>51</v>
      </c>
      <c r="AI261" t="str">
        <f t="shared" si="14"/>
        <v>H</v>
      </c>
    </row>
    <row r="262" spans="1:35" x14ac:dyDescent="0.2">
      <c r="A262">
        <v>262</v>
      </c>
      <c r="B262" t="s">
        <v>762</v>
      </c>
      <c r="C262" t="s">
        <v>763</v>
      </c>
      <c r="D262" t="s">
        <v>32</v>
      </c>
      <c r="E262" t="s">
        <v>33</v>
      </c>
      <c r="F262" t="s">
        <v>34</v>
      </c>
      <c r="G262" t="s">
        <v>116</v>
      </c>
      <c r="J262" t="s">
        <v>764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T262" t="s">
        <v>38</v>
      </c>
      <c r="U262">
        <v>0</v>
      </c>
      <c r="V262">
        <v>1</v>
      </c>
      <c r="W262">
        <v>0</v>
      </c>
      <c r="X262">
        <v>0</v>
      </c>
      <c r="Y262">
        <v>0</v>
      </c>
      <c r="AE262">
        <f t="shared" si="12"/>
        <v>1</v>
      </c>
      <c r="AF262">
        <f>VLOOKUP(D262,especies!$A$2:$C$9,3,FALSE)</f>
        <v>1</v>
      </c>
      <c r="AG262" t="str">
        <f t="shared" si="13"/>
        <v>1-Mestizo</v>
      </c>
      <c r="AH262">
        <f>VLOOKUP('Fichas clínicas'!AG262,razas!$A$2:$D$66,3,FALSE)</f>
        <v>1</v>
      </c>
      <c r="AI262" t="str">
        <f t="shared" si="14"/>
        <v>H</v>
      </c>
    </row>
    <row r="263" spans="1:35" x14ac:dyDescent="0.2">
      <c r="A263">
        <v>263</v>
      </c>
      <c r="B263" t="s">
        <v>687</v>
      </c>
      <c r="C263" t="s">
        <v>765</v>
      </c>
      <c r="D263" t="s">
        <v>32</v>
      </c>
      <c r="E263" t="s">
        <v>33</v>
      </c>
      <c r="F263" t="s">
        <v>47</v>
      </c>
      <c r="G263" t="s">
        <v>54</v>
      </c>
      <c r="J263" t="s">
        <v>359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T263" t="s">
        <v>38</v>
      </c>
      <c r="U263">
        <v>0</v>
      </c>
      <c r="V263">
        <v>1</v>
      </c>
      <c r="W263">
        <v>0</v>
      </c>
      <c r="X263">
        <v>0</v>
      </c>
      <c r="Y263">
        <v>0</v>
      </c>
      <c r="AE263">
        <f t="shared" si="12"/>
        <v>1</v>
      </c>
      <c r="AF263">
        <f>VLOOKUP(D263,especies!$A$2:$C$9,3,FALSE)</f>
        <v>1</v>
      </c>
      <c r="AG263" t="str">
        <f t="shared" si="13"/>
        <v>1-Mestizo</v>
      </c>
      <c r="AH263">
        <f>VLOOKUP('Fichas clínicas'!AG263,razas!$A$2:$D$66,3,FALSE)</f>
        <v>1</v>
      </c>
      <c r="AI263" t="str">
        <f t="shared" si="14"/>
        <v>M</v>
      </c>
    </row>
    <row r="264" spans="1:35" x14ac:dyDescent="0.2">
      <c r="A264">
        <v>264</v>
      </c>
      <c r="B264" t="s">
        <v>766</v>
      </c>
      <c r="C264" t="s">
        <v>767</v>
      </c>
      <c r="D264" t="s">
        <v>32</v>
      </c>
      <c r="E264" t="s">
        <v>33</v>
      </c>
      <c r="F264" t="s">
        <v>34</v>
      </c>
      <c r="G264" t="s">
        <v>123</v>
      </c>
      <c r="J264" t="s">
        <v>768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T264" t="s">
        <v>38</v>
      </c>
      <c r="U264">
        <v>0</v>
      </c>
      <c r="W264">
        <v>0</v>
      </c>
      <c r="X264">
        <v>0</v>
      </c>
      <c r="Y264">
        <v>0</v>
      </c>
      <c r="AE264">
        <f t="shared" si="12"/>
        <v>1</v>
      </c>
      <c r="AF264">
        <f>VLOOKUP(D264,especies!$A$2:$C$9,3,FALSE)</f>
        <v>1</v>
      </c>
      <c r="AG264" t="str">
        <f t="shared" si="13"/>
        <v>1-Mestizo</v>
      </c>
      <c r="AH264">
        <f>VLOOKUP('Fichas clínicas'!AG264,razas!$A$2:$D$66,3,FALSE)</f>
        <v>1</v>
      </c>
      <c r="AI264" t="str">
        <f t="shared" si="14"/>
        <v>H</v>
      </c>
    </row>
    <row r="265" spans="1:35" x14ac:dyDescent="0.2">
      <c r="A265">
        <v>265</v>
      </c>
      <c r="B265" t="s">
        <v>769</v>
      </c>
      <c r="C265" t="s">
        <v>43</v>
      </c>
      <c r="D265" t="s">
        <v>41</v>
      </c>
      <c r="E265" t="s">
        <v>42</v>
      </c>
      <c r="F265" t="s">
        <v>47</v>
      </c>
      <c r="G265" t="s">
        <v>43</v>
      </c>
      <c r="J265" t="s">
        <v>37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T265" t="s">
        <v>38</v>
      </c>
      <c r="U265">
        <v>0</v>
      </c>
      <c r="W265">
        <v>0</v>
      </c>
      <c r="X265">
        <v>0</v>
      </c>
      <c r="Y265">
        <v>0</v>
      </c>
      <c r="AE265">
        <f t="shared" si="12"/>
        <v>1</v>
      </c>
      <c r="AF265">
        <f>VLOOKUP(D265,especies!$A$2:$C$9,3,FALSE)</f>
        <v>2</v>
      </c>
      <c r="AG265" t="str">
        <f t="shared" si="13"/>
        <v>2-DPC (Doméstico de pelo corto o DSH)</v>
      </c>
      <c r="AH265">
        <f>VLOOKUP('Fichas clínicas'!AG265,razas!$A$2:$D$66,3,FALSE)</f>
        <v>51</v>
      </c>
      <c r="AI265" t="str">
        <f t="shared" si="14"/>
        <v>M</v>
      </c>
    </row>
    <row r="266" spans="1:35" x14ac:dyDescent="0.2">
      <c r="A266">
        <v>266</v>
      </c>
      <c r="B266" t="s">
        <v>769</v>
      </c>
      <c r="C266" t="s">
        <v>582</v>
      </c>
      <c r="D266" t="s">
        <v>32</v>
      </c>
      <c r="E266" t="s">
        <v>33</v>
      </c>
      <c r="F266" t="s">
        <v>47</v>
      </c>
      <c r="G266" t="s">
        <v>770</v>
      </c>
      <c r="J266" t="s">
        <v>130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Q266">
        <v>0</v>
      </c>
      <c r="T266" t="s">
        <v>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f t="shared" si="12"/>
        <v>1</v>
      </c>
      <c r="AF266">
        <f>VLOOKUP(D266,especies!$A$2:$C$9,3,FALSE)</f>
        <v>1</v>
      </c>
      <c r="AG266" t="str">
        <f t="shared" si="13"/>
        <v>1-Mestizo</v>
      </c>
      <c r="AH266">
        <f>VLOOKUP('Fichas clínicas'!AG266,razas!$A$2:$D$66,3,FALSE)</f>
        <v>1</v>
      </c>
      <c r="AI266" t="str">
        <f t="shared" si="14"/>
        <v>M</v>
      </c>
    </row>
    <row r="267" spans="1:35" x14ac:dyDescent="0.2">
      <c r="A267">
        <v>267</v>
      </c>
      <c r="B267" t="s">
        <v>771</v>
      </c>
      <c r="C267" t="s">
        <v>264</v>
      </c>
      <c r="D267" t="s">
        <v>32</v>
      </c>
      <c r="E267" t="s">
        <v>638</v>
      </c>
      <c r="F267" t="s">
        <v>34</v>
      </c>
      <c r="G267" t="s">
        <v>220</v>
      </c>
      <c r="J267" t="s">
        <v>772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Q267">
        <v>0</v>
      </c>
      <c r="T267" t="s">
        <v>38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f t="shared" si="12"/>
        <v>1</v>
      </c>
      <c r="AF267">
        <f>VLOOKUP(D267,especies!$A$2:$C$9,3,FALSE)</f>
        <v>1</v>
      </c>
      <c r="AG267" t="str">
        <f t="shared" si="13"/>
        <v>1-Malamute de Alaska</v>
      </c>
      <c r="AH267">
        <f>VLOOKUP('Fichas clínicas'!AG267,razas!$A$2:$D$66,3,FALSE)</f>
        <v>17</v>
      </c>
      <c r="AI267" t="str">
        <f t="shared" si="14"/>
        <v>H</v>
      </c>
    </row>
    <row r="268" spans="1:35" x14ac:dyDescent="0.2">
      <c r="A268">
        <v>268</v>
      </c>
      <c r="B268" t="s">
        <v>773</v>
      </c>
      <c r="C268" t="s">
        <v>774</v>
      </c>
      <c r="D268" t="s">
        <v>41</v>
      </c>
      <c r="E268" t="s">
        <v>42</v>
      </c>
      <c r="F268" t="s">
        <v>34</v>
      </c>
      <c r="G268" t="s">
        <v>116</v>
      </c>
      <c r="J268" t="s">
        <v>37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T268" t="s">
        <v>38</v>
      </c>
      <c r="U268">
        <v>0</v>
      </c>
      <c r="W268">
        <v>0</v>
      </c>
      <c r="X268">
        <v>0</v>
      </c>
      <c r="Y268">
        <v>0</v>
      </c>
      <c r="AE268">
        <f t="shared" si="12"/>
        <v>1</v>
      </c>
      <c r="AF268">
        <f>VLOOKUP(D268,especies!$A$2:$C$9,3,FALSE)</f>
        <v>2</v>
      </c>
      <c r="AG268" t="str">
        <f t="shared" si="13"/>
        <v>2-DPC (Doméstico de pelo corto o DSH)</v>
      </c>
      <c r="AH268">
        <f>VLOOKUP('Fichas clínicas'!AG268,razas!$A$2:$D$66,3,FALSE)</f>
        <v>51</v>
      </c>
      <c r="AI268" t="str">
        <f t="shared" si="14"/>
        <v>H</v>
      </c>
    </row>
    <row r="269" spans="1:35" x14ac:dyDescent="0.2">
      <c r="A269">
        <v>269</v>
      </c>
      <c r="B269" t="s">
        <v>775</v>
      </c>
      <c r="C269" t="s">
        <v>776</v>
      </c>
      <c r="D269" t="s">
        <v>41</v>
      </c>
      <c r="E269" t="s">
        <v>93</v>
      </c>
      <c r="F269" t="s">
        <v>34</v>
      </c>
      <c r="G269" t="s">
        <v>226</v>
      </c>
      <c r="I269">
        <v>939000007188796</v>
      </c>
      <c r="J269" t="s">
        <v>777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Q269">
        <v>0</v>
      </c>
      <c r="T269" t="s">
        <v>38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f t="shared" si="12"/>
        <v>1</v>
      </c>
      <c r="AF269">
        <f>VLOOKUP(D269,especies!$A$2:$C$9,3,FALSE)</f>
        <v>2</v>
      </c>
      <c r="AG269" t="str">
        <f t="shared" si="13"/>
        <v>2-DPL (Doméstico de pelo Largo o DLH)</v>
      </c>
      <c r="AH269">
        <f>VLOOKUP('Fichas clínicas'!AG269,razas!$A$2:$D$66,3,FALSE)</f>
        <v>52</v>
      </c>
      <c r="AI269" t="str">
        <f t="shared" si="14"/>
        <v>H</v>
      </c>
    </row>
    <row r="270" spans="1:35" x14ac:dyDescent="0.2">
      <c r="A270">
        <v>270</v>
      </c>
      <c r="B270" t="s">
        <v>778</v>
      </c>
      <c r="C270" t="s">
        <v>779</v>
      </c>
      <c r="D270" t="s">
        <v>32</v>
      </c>
      <c r="E270" t="s">
        <v>33</v>
      </c>
      <c r="F270" t="s">
        <v>34</v>
      </c>
      <c r="G270" t="s">
        <v>587</v>
      </c>
      <c r="J270" t="s">
        <v>780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T270" t="s">
        <v>38</v>
      </c>
      <c r="U270">
        <v>0</v>
      </c>
      <c r="W270">
        <v>0</v>
      </c>
      <c r="X270">
        <v>0</v>
      </c>
      <c r="Y270">
        <v>0</v>
      </c>
      <c r="AE270">
        <f t="shared" si="12"/>
        <v>1</v>
      </c>
      <c r="AF270">
        <f>VLOOKUP(D270,especies!$A$2:$C$9,3,FALSE)</f>
        <v>1</v>
      </c>
      <c r="AG270" t="str">
        <f t="shared" si="13"/>
        <v>1-Mestizo</v>
      </c>
      <c r="AH270">
        <f>VLOOKUP('Fichas clínicas'!AG270,razas!$A$2:$D$66,3,FALSE)</f>
        <v>1</v>
      </c>
      <c r="AI270" t="str">
        <f t="shared" si="14"/>
        <v>H</v>
      </c>
    </row>
    <row r="271" spans="1:35" x14ac:dyDescent="0.2">
      <c r="A271">
        <v>271</v>
      </c>
      <c r="B271" t="s">
        <v>589</v>
      </c>
      <c r="C271" t="s">
        <v>781</v>
      </c>
      <c r="D271" t="s">
        <v>32</v>
      </c>
      <c r="E271" t="s">
        <v>33</v>
      </c>
      <c r="F271" t="s">
        <v>34</v>
      </c>
      <c r="G271" t="s">
        <v>284</v>
      </c>
      <c r="J271" t="s">
        <v>752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Q271">
        <v>0</v>
      </c>
      <c r="T271" t="s">
        <v>38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f t="shared" si="12"/>
        <v>1</v>
      </c>
      <c r="AF271">
        <f>VLOOKUP(D271,especies!$A$2:$C$9,3,FALSE)</f>
        <v>1</v>
      </c>
      <c r="AG271" t="str">
        <f t="shared" si="13"/>
        <v>1-Mestizo</v>
      </c>
      <c r="AH271">
        <f>VLOOKUP('Fichas clínicas'!AG271,razas!$A$2:$D$66,3,FALSE)</f>
        <v>1</v>
      </c>
      <c r="AI271" t="str">
        <f t="shared" si="14"/>
        <v>H</v>
      </c>
    </row>
    <row r="272" spans="1:35" x14ac:dyDescent="0.2">
      <c r="A272">
        <v>272</v>
      </c>
      <c r="B272" t="s">
        <v>782</v>
      </c>
      <c r="C272" t="s">
        <v>783</v>
      </c>
      <c r="D272" t="s">
        <v>32</v>
      </c>
      <c r="E272" t="s">
        <v>33</v>
      </c>
      <c r="F272" t="s">
        <v>47</v>
      </c>
      <c r="G272" t="s">
        <v>220</v>
      </c>
      <c r="J272" t="s">
        <v>784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T272" t="s">
        <v>38</v>
      </c>
      <c r="U272">
        <v>0</v>
      </c>
      <c r="W272">
        <v>0</v>
      </c>
      <c r="X272">
        <v>0</v>
      </c>
      <c r="Y272">
        <v>0</v>
      </c>
      <c r="AE272">
        <f t="shared" si="12"/>
        <v>1</v>
      </c>
      <c r="AF272">
        <f>VLOOKUP(D272,especies!$A$2:$C$9,3,FALSE)</f>
        <v>1</v>
      </c>
      <c r="AG272" t="str">
        <f t="shared" si="13"/>
        <v>1-Mestizo</v>
      </c>
      <c r="AH272">
        <f>VLOOKUP('Fichas clínicas'!AG272,razas!$A$2:$D$66,3,FALSE)</f>
        <v>1</v>
      </c>
      <c r="AI272" t="str">
        <f t="shared" si="14"/>
        <v>M</v>
      </c>
    </row>
    <row r="273" spans="1:35" x14ac:dyDescent="0.2">
      <c r="A273">
        <v>273</v>
      </c>
      <c r="B273" t="s">
        <v>782</v>
      </c>
      <c r="C273" t="s">
        <v>126</v>
      </c>
      <c r="D273" t="s">
        <v>32</v>
      </c>
      <c r="E273" t="s">
        <v>33</v>
      </c>
      <c r="F273" t="s">
        <v>47</v>
      </c>
      <c r="G273" t="s">
        <v>220</v>
      </c>
      <c r="J273" t="s">
        <v>784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T273" t="s">
        <v>38</v>
      </c>
      <c r="U273">
        <v>0</v>
      </c>
      <c r="W273">
        <v>0</v>
      </c>
      <c r="X273">
        <v>0</v>
      </c>
      <c r="Y273">
        <v>0</v>
      </c>
      <c r="AE273">
        <f t="shared" si="12"/>
        <v>1</v>
      </c>
      <c r="AF273">
        <f>VLOOKUP(D273,especies!$A$2:$C$9,3,FALSE)</f>
        <v>1</v>
      </c>
      <c r="AG273" t="str">
        <f t="shared" si="13"/>
        <v>1-Mestizo</v>
      </c>
      <c r="AH273">
        <f>VLOOKUP('Fichas clínicas'!AG273,razas!$A$2:$D$66,3,FALSE)</f>
        <v>1</v>
      </c>
      <c r="AI273" t="str">
        <f t="shared" si="14"/>
        <v>M</v>
      </c>
    </row>
    <row r="274" spans="1:35" x14ac:dyDescent="0.2">
      <c r="A274">
        <v>274</v>
      </c>
      <c r="B274" t="s">
        <v>782</v>
      </c>
      <c r="C274" t="s">
        <v>785</v>
      </c>
      <c r="D274" t="s">
        <v>32</v>
      </c>
      <c r="E274" t="s">
        <v>638</v>
      </c>
      <c r="F274" t="s">
        <v>47</v>
      </c>
      <c r="G274" t="s">
        <v>220</v>
      </c>
      <c r="J274" t="s">
        <v>784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T274" t="s">
        <v>38</v>
      </c>
      <c r="U274">
        <v>0</v>
      </c>
      <c r="W274">
        <v>0</v>
      </c>
      <c r="X274">
        <v>0</v>
      </c>
      <c r="Y274">
        <v>0</v>
      </c>
      <c r="AE274">
        <f t="shared" si="12"/>
        <v>1</v>
      </c>
      <c r="AF274">
        <f>VLOOKUP(D274,especies!$A$2:$C$9,3,FALSE)</f>
        <v>1</v>
      </c>
      <c r="AG274" t="str">
        <f t="shared" si="13"/>
        <v>1-Malamute de Alaska</v>
      </c>
      <c r="AH274">
        <f>VLOOKUP('Fichas clínicas'!AG274,razas!$A$2:$D$66,3,FALSE)</f>
        <v>17</v>
      </c>
      <c r="AI274" t="str">
        <f t="shared" si="14"/>
        <v>M</v>
      </c>
    </row>
    <row r="275" spans="1:35" x14ac:dyDescent="0.2">
      <c r="A275">
        <v>275</v>
      </c>
      <c r="B275" t="s">
        <v>786</v>
      </c>
      <c r="C275" t="s">
        <v>787</v>
      </c>
      <c r="D275" t="s">
        <v>32</v>
      </c>
      <c r="E275" t="s">
        <v>63</v>
      </c>
      <c r="F275" t="s">
        <v>34</v>
      </c>
      <c r="G275" t="s">
        <v>724</v>
      </c>
      <c r="J275" t="s">
        <v>788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T275" t="s">
        <v>38</v>
      </c>
      <c r="U275">
        <v>0</v>
      </c>
      <c r="V275">
        <v>1</v>
      </c>
      <c r="W275">
        <v>0</v>
      </c>
      <c r="X275">
        <v>0</v>
      </c>
      <c r="Y275">
        <v>0</v>
      </c>
      <c r="AE275">
        <f t="shared" si="12"/>
        <v>1</v>
      </c>
      <c r="AF275">
        <f>VLOOKUP(D275,especies!$A$2:$C$9,3,FALSE)</f>
        <v>1</v>
      </c>
      <c r="AG275" t="str">
        <f t="shared" si="13"/>
        <v>1-Fox Terrier Pelo Corto</v>
      </c>
      <c r="AH275">
        <f>VLOOKUP('Fichas clínicas'!AG275,razas!$A$2:$D$66,3,FALSE)</f>
        <v>2</v>
      </c>
      <c r="AI275" t="str">
        <f t="shared" si="14"/>
        <v>H</v>
      </c>
    </row>
    <row r="276" spans="1:35" x14ac:dyDescent="0.2">
      <c r="A276">
        <v>276</v>
      </c>
      <c r="B276" t="s">
        <v>789</v>
      </c>
      <c r="C276" t="s">
        <v>790</v>
      </c>
      <c r="D276" t="s">
        <v>41</v>
      </c>
      <c r="E276" t="s">
        <v>42</v>
      </c>
      <c r="F276" t="s">
        <v>47</v>
      </c>
      <c r="G276" t="s">
        <v>297</v>
      </c>
      <c r="J276" t="s">
        <v>37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Q276">
        <v>0</v>
      </c>
      <c r="T276" t="s">
        <v>38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f t="shared" si="12"/>
        <v>1</v>
      </c>
      <c r="AF276">
        <f>VLOOKUP(D276,especies!$A$2:$C$9,3,FALSE)</f>
        <v>2</v>
      </c>
      <c r="AG276" t="str">
        <f t="shared" si="13"/>
        <v>2-DPC (Doméstico de pelo corto o DSH)</v>
      </c>
      <c r="AH276">
        <f>VLOOKUP('Fichas clínicas'!AG276,razas!$A$2:$D$66,3,FALSE)</f>
        <v>51</v>
      </c>
      <c r="AI276" t="str">
        <f t="shared" si="14"/>
        <v>M</v>
      </c>
    </row>
    <row r="277" spans="1:35" x14ac:dyDescent="0.2">
      <c r="A277">
        <v>277</v>
      </c>
      <c r="B277" t="s">
        <v>791</v>
      </c>
      <c r="C277" t="s">
        <v>792</v>
      </c>
      <c r="D277" t="s">
        <v>41</v>
      </c>
      <c r="E277" t="s">
        <v>42</v>
      </c>
      <c r="F277" t="s">
        <v>47</v>
      </c>
      <c r="G277" t="s">
        <v>306</v>
      </c>
      <c r="J277" t="s">
        <v>793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T277" t="s">
        <v>38</v>
      </c>
      <c r="U277">
        <v>0</v>
      </c>
      <c r="V277">
        <v>1</v>
      </c>
      <c r="W277">
        <v>0</v>
      </c>
      <c r="X277">
        <v>0</v>
      </c>
      <c r="Y277">
        <v>0</v>
      </c>
      <c r="AE277">
        <f t="shared" si="12"/>
        <v>1</v>
      </c>
      <c r="AF277">
        <f>VLOOKUP(D277,especies!$A$2:$C$9,3,FALSE)</f>
        <v>2</v>
      </c>
      <c r="AG277" t="str">
        <f t="shared" si="13"/>
        <v>2-DPC (Doméstico de pelo corto o DSH)</v>
      </c>
      <c r="AH277">
        <f>VLOOKUP('Fichas clínicas'!AG277,razas!$A$2:$D$66,3,FALSE)</f>
        <v>51</v>
      </c>
      <c r="AI277" t="str">
        <f t="shared" si="14"/>
        <v>M</v>
      </c>
    </row>
    <row r="278" spans="1:35" x14ac:dyDescent="0.2">
      <c r="A278">
        <v>278</v>
      </c>
      <c r="B278" t="s">
        <v>794</v>
      </c>
      <c r="C278" t="s">
        <v>795</v>
      </c>
      <c r="D278" t="s">
        <v>41</v>
      </c>
      <c r="E278" t="s">
        <v>42</v>
      </c>
      <c r="F278" t="s">
        <v>47</v>
      </c>
      <c r="G278" t="s">
        <v>43</v>
      </c>
      <c r="J278" t="s">
        <v>796</v>
      </c>
      <c r="K278" t="s">
        <v>797</v>
      </c>
      <c r="L278" t="s">
        <v>38</v>
      </c>
      <c r="M278" t="s">
        <v>38</v>
      </c>
      <c r="N278" t="s">
        <v>38</v>
      </c>
      <c r="O278" t="s">
        <v>38</v>
      </c>
      <c r="Q278">
        <v>0</v>
      </c>
      <c r="T278" t="s">
        <v>38</v>
      </c>
      <c r="U278">
        <v>0</v>
      </c>
      <c r="V278">
        <v>0</v>
      </c>
      <c r="W278">
        <v>0</v>
      </c>
      <c r="X278">
        <v>3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f t="shared" si="12"/>
        <v>1</v>
      </c>
      <c r="AF278">
        <f>VLOOKUP(D278,especies!$A$2:$C$9,3,FALSE)</f>
        <v>2</v>
      </c>
      <c r="AG278" t="str">
        <f t="shared" si="13"/>
        <v>2-DPC (Doméstico de pelo corto o DSH)</v>
      </c>
      <c r="AH278">
        <f>VLOOKUP('Fichas clínicas'!AG278,razas!$A$2:$D$66,3,FALSE)</f>
        <v>51</v>
      </c>
      <c r="AI278" t="str">
        <f t="shared" si="14"/>
        <v>M</v>
      </c>
    </row>
    <row r="279" spans="1:35" x14ac:dyDescent="0.2">
      <c r="A279">
        <v>279</v>
      </c>
      <c r="B279" t="s">
        <v>798</v>
      </c>
      <c r="C279" t="s">
        <v>551</v>
      </c>
      <c r="D279" t="s">
        <v>41</v>
      </c>
      <c r="E279" t="s">
        <v>42</v>
      </c>
      <c r="F279" t="s">
        <v>34</v>
      </c>
      <c r="G279" t="s">
        <v>799</v>
      </c>
      <c r="J279" t="s">
        <v>641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T279" t="s">
        <v>38</v>
      </c>
      <c r="U279">
        <v>0</v>
      </c>
      <c r="W279">
        <v>0</v>
      </c>
      <c r="X279">
        <v>0</v>
      </c>
      <c r="Y279">
        <v>0</v>
      </c>
      <c r="AE279">
        <f t="shared" si="12"/>
        <v>1</v>
      </c>
      <c r="AF279">
        <f>VLOOKUP(D279,especies!$A$2:$C$9,3,FALSE)</f>
        <v>2</v>
      </c>
      <c r="AG279" t="str">
        <f t="shared" si="13"/>
        <v>2-DPC (Doméstico de pelo corto o DSH)</v>
      </c>
      <c r="AH279">
        <f>VLOOKUP('Fichas clínicas'!AG279,razas!$A$2:$D$66,3,FALSE)</f>
        <v>51</v>
      </c>
      <c r="AI279" t="str">
        <f t="shared" si="14"/>
        <v>H</v>
      </c>
    </row>
    <row r="280" spans="1:35" x14ac:dyDescent="0.2">
      <c r="A280">
        <v>280</v>
      </c>
      <c r="B280" t="s">
        <v>800</v>
      </c>
      <c r="C280" t="s">
        <v>40</v>
      </c>
      <c r="D280" t="s">
        <v>32</v>
      </c>
      <c r="E280" t="s">
        <v>33</v>
      </c>
      <c r="F280" t="s">
        <v>34</v>
      </c>
      <c r="G280" t="s">
        <v>801</v>
      </c>
      <c r="J280" t="s">
        <v>802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Q280">
        <v>0</v>
      </c>
      <c r="T280" t="s">
        <v>38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f t="shared" si="12"/>
        <v>1</v>
      </c>
      <c r="AF280">
        <f>VLOOKUP(D280,especies!$A$2:$C$9,3,FALSE)</f>
        <v>1</v>
      </c>
      <c r="AG280" t="str">
        <f t="shared" si="13"/>
        <v>1-Mestizo</v>
      </c>
      <c r="AH280">
        <f>VLOOKUP('Fichas clínicas'!AG280,razas!$A$2:$D$66,3,FALSE)</f>
        <v>1</v>
      </c>
      <c r="AI280" t="str">
        <f t="shared" si="14"/>
        <v>H</v>
      </c>
    </row>
    <row r="281" spans="1:35" x14ac:dyDescent="0.2">
      <c r="A281">
        <v>281</v>
      </c>
      <c r="B281" t="s">
        <v>803</v>
      </c>
      <c r="C281" t="s">
        <v>667</v>
      </c>
      <c r="D281" t="s">
        <v>41</v>
      </c>
      <c r="E281" t="s">
        <v>93</v>
      </c>
      <c r="F281" t="s">
        <v>34</v>
      </c>
      <c r="G281" t="s">
        <v>804</v>
      </c>
      <c r="J281" t="s">
        <v>103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T281" t="s">
        <v>38</v>
      </c>
      <c r="U281">
        <v>0</v>
      </c>
      <c r="W281">
        <v>0</v>
      </c>
      <c r="X281">
        <v>0</v>
      </c>
      <c r="Y281">
        <v>0</v>
      </c>
      <c r="AE281">
        <f t="shared" si="12"/>
        <v>1</v>
      </c>
      <c r="AF281">
        <f>VLOOKUP(D281,especies!$A$2:$C$9,3,FALSE)</f>
        <v>2</v>
      </c>
      <c r="AG281" t="str">
        <f t="shared" si="13"/>
        <v>2-DPL (Doméstico de pelo Largo o DLH)</v>
      </c>
      <c r="AH281">
        <f>VLOOKUP('Fichas clínicas'!AG281,razas!$A$2:$D$66,3,FALSE)</f>
        <v>52</v>
      </c>
      <c r="AI281" t="str">
        <f t="shared" si="14"/>
        <v>H</v>
      </c>
    </row>
    <row r="282" spans="1:35" x14ac:dyDescent="0.2">
      <c r="A282">
        <v>282</v>
      </c>
      <c r="B282" t="s">
        <v>805</v>
      </c>
      <c r="C282" t="s">
        <v>806</v>
      </c>
      <c r="D282" t="s">
        <v>41</v>
      </c>
      <c r="E282" t="s">
        <v>42</v>
      </c>
      <c r="F282" t="s">
        <v>34</v>
      </c>
      <c r="G282" t="s">
        <v>807</v>
      </c>
      <c r="J282" t="s">
        <v>259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T282" t="s">
        <v>38</v>
      </c>
      <c r="U282">
        <v>0</v>
      </c>
      <c r="W282">
        <v>0</v>
      </c>
      <c r="X282">
        <v>0</v>
      </c>
      <c r="Y282">
        <v>0</v>
      </c>
      <c r="AE282">
        <f t="shared" si="12"/>
        <v>1</v>
      </c>
      <c r="AF282">
        <f>VLOOKUP(D282,especies!$A$2:$C$9,3,FALSE)</f>
        <v>2</v>
      </c>
      <c r="AG282" t="str">
        <f t="shared" si="13"/>
        <v>2-DPC (Doméstico de pelo corto o DSH)</v>
      </c>
      <c r="AH282">
        <f>VLOOKUP('Fichas clínicas'!AG282,razas!$A$2:$D$66,3,FALSE)</f>
        <v>51</v>
      </c>
      <c r="AI282" t="str">
        <f t="shared" si="14"/>
        <v>H</v>
      </c>
    </row>
    <row r="283" spans="1:35" x14ac:dyDescent="0.2">
      <c r="A283">
        <v>283</v>
      </c>
      <c r="B283" t="s">
        <v>808</v>
      </c>
      <c r="C283" t="s">
        <v>790</v>
      </c>
      <c r="D283" t="s">
        <v>32</v>
      </c>
      <c r="E283" t="s">
        <v>33</v>
      </c>
      <c r="F283" t="s">
        <v>47</v>
      </c>
      <c r="G283" t="s">
        <v>587</v>
      </c>
      <c r="J283" t="s">
        <v>809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T283" t="s">
        <v>38</v>
      </c>
      <c r="U283">
        <v>0</v>
      </c>
      <c r="W283">
        <v>0</v>
      </c>
      <c r="X283">
        <v>0</v>
      </c>
      <c r="Y283">
        <v>0</v>
      </c>
      <c r="AE283">
        <f t="shared" si="12"/>
        <v>1</v>
      </c>
      <c r="AF283">
        <f>VLOOKUP(D283,especies!$A$2:$C$9,3,FALSE)</f>
        <v>1</v>
      </c>
      <c r="AG283" t="str">
        <f t="shared" si="13"/>
        <v>1-Mestizo</v>
      </c>
      <c r="AH283">
        <f>VLOOKUP('Fichas clínicas'!AG283,razas!$A$2:$D$66,3,FALSE)</f>
        <v>1</v>
      </c>
      <c r="AI283" t="str">
        <f t="shared" si="14"/>
        <v>M</v>
      </c>
    </row>
    <row r="284" spans="1:35" x14ac:dyDescent="0.2">
      <c r="A284">
        <v>284</v>
      </c>
      <c r="B284" t="s">
        <v>810</v>
      </c>
      <c r="C284" t="s">
        <v>811</v>
      </c>
      <c r="D284" t="s">
        <v>32</v>
      </c>
      <c r="E284" t="s">
        <v>812</v>
      </c>
      <c r="F284" t="s">
        <v>34</v>
      </c>
      <c r="G284" t="s">
        <v>724</v>
      </c>
      <c r="J284" t="s">
        <v>813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T284" t="s">
        <v>38</v>
      </c>
      <c r="U284">
        <v>0</v>
      </c>
      <c r="V284">
        <v>1</v>
      </c>
      <c r="W284">
        <v>0</v>
      </c>
      <c r="X284">
        <v>0</v>
      </c>
      <c r="Y284">
        <v>0</v>
      </c>
      <c r="AE284">
        <f t="shared" si="12"/>
        <v>1</v>
      </c>
      <c r="AF284">
        <f>VLOOKUP(D284,especies!$A$2:$C$9,3,FALSE)</f>
        <v>1</v>
      </c>
      <c r="AG284" t="str">
        <f t="shared" si="13"/>
        <v>1-Fox Terrier de Pelo Duro</v>
      </c>
      <c r="AH284">
        <f>VLOOKUP('Fichas clínicas'!AG284,razas!$A$2:$D$66,3,FALSE)</f>
        <v>18</v>
      </c>
      <c r="AI284" t="str">
        <f t="shared" si="14"/>
        <v>H</v>
      </c>
    </row>
    <row r="285" spans="1:35" x14ac:dyDescent="0.2">
      <c r="A285">
        <v>285</v>
      </c>
      <c r="B285" t="s">
        <v>814</v>
      </c>
      <c r="C285" t="s">
        <v>514</v>
      </c>
      <c r="D285" t="s">
        <v>41</v>
      </c>
      <c r="E285" t="s">
        <v>42</v>
      </c>
      <c r="F285" t="s">
        <v>34</v>
      </c>
      <c r="G285" t="s">
        <v>815</v>
      </c>
      <c r="J285" t="s">
        <v>809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T285" t="s">
        <v>38</v>
      </c>
      <c r="U285">
        <v>0</v>
      </c>
      <c r="W285">
        <v>0</v>
      </c>
      <c r="X285">
        <v>0</v>
      </c>
      <c r="Y285">
        <v>0</v>
      </c>
      <c r="AE285">
        <f t="shared" si="12"/>
        <v>1</v>
      </c>
      <c r="AF285">
        <f>VLOOKUP(D285,especies!$A$2:$C$9,3,FALSE)</f>
        <v>2</v>
      </c>
      <c r="AG285" t="str">
        <f t="shared" si="13"/>
        <v>2-DPC (Doméstico de pelo corto o DSH)</v>
      </c>
      <c r="AH285">
        <f>VLOOKUP('Fichas clínicas'!AG285,razas!$A$2:$D$66,3,FALSE)</f>
        <v>51</v>
      </c>
      <c r="AI285" t="str">
        <f t="shared" si="14"/>
        <v>H</v>
      </c>
    </row>
    <row r="286" spans="1:35" x14ac:dyDescent="0.2">
      <c r="A286">
        <v>286</v>
      </c>
      <c r="B286" t="s">
        <v>816</v>
      </c>
      <c r="C286" t="s">
        <v>817</v>
      </c>
      <c r="D286" t="s">
        <v>32</v>
      </c>
      <c r="E286" t="s">
        <v>63</v>
      </c>
      <c r="F286" t="s">
        <v>47</v>
      </c>
      <c r="G286" t="s">
        <v>724</v>
      </c>
      <c r="J286" t="s">
        <v>818</v>
      </c>
      <c r="K286" t="s">
        <v>38</v>
      </c>
      <c r="L286" t="s">
        <v>38</v>
      </c>
      <c r="M286" t="s">
        <v>38</v>
      </c>
      <c r="N286" t="s">
        <v>38</v>
      </c>
      <c r="O286" t="s">
        <v>38</v>
      </c>
      <c r="T286" t="s">
        <v>38</v>
      </c>
      <c r="U286">
        <v>0</v>
      </c>
      <c r="W286">
        <v>0</v>
      </c>
      <c r="X286">
        <v>0</v>
      </c>
      <c r="Y286">
        <v>0</v>
      </c>
      <c r="AE286">
        <f t="shared" si="12"/>
        <v>1</v>
      </c>
      <c r="AF286">
        <f>VLOOKUP(D286,especies!$A$2:$C$9,3,FALSE)</f>
        <v>1</v>
      </c>
      <c r="AG286" t="str">
        <f t="shared" si="13"/>
        <v>1-Fox Terrier Pelo Corto</v>
      </c>
      <c r="AH286">
        <f>VLOOKUP('Fichas clínicas'!AG286,razas!$A$2:$D$66,3,FALSE)</f>
        <v>2</v>
      </c>
      <c r="AI286" t="str">
        <f t="shared" si="14"/>
        <v>M</v>
      </c>
    </row>
    <row r="287" spans="1:35" x14ac:dyDescent="0.2">
      <c r="A287">
        <v>287</v>
      </c>
      <c r="B287" t="s">
        <v>819</v>
      </c>
      <c r="C287" t="s">
        <v>342</v>
      </c>
      <c r="D287" t="s">
        <v>32</v>
      </c>
      <c r="E287" t="s">
        <v>33</v>
      </c>
      <c r="F287" t="s">
        <v>34</v>
      </c>
      <c r="G287" t="s">
        <v>54</v>
      </c>
      <c r="J287" t="s">
        <v>820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T287" t="s">
        <v>38</v>
      </c>
      <c r="U287">
        <v>0</v>
      </c>
      <c r="V287">
        <v>1</v>
      </c>
      <c r="W287">
        <v>0</v>
      </c>
      <c r="X287">
        <v>0</v>
      </c>
      <c r="Y287">
        <v>0</v>
      </c>
      <c r="AE287">
        <f t="shared" si="12"/>
        <v>1</v>
      </c>
      <c r="AF287">
        <f>VLOOKUP(D287,especies!$A$2:$C$9,3,FALSE)</f>
        <v>1</v>
      </c>
      <c r="AG287" t="str">
        <f t="shared" si="13"/>
        <v>1-Mestizo</v>
      </c>
      <c r="AH287">
        <f>VLOOKUP('Fichas clínicas'!AG287,razas!$A$2:$D$66,3,FALSE)</f>
        <v>1</v>
      </c>
      <c r="AI287" t="str">
        <f t="shared" si="14"/>
        <v>H</v>
      </c>
    </row>
    <row r="288" spans="1:35" x14ac:dyDescent="0.2">
      <c r="A288">
        <v>288</v>
      </c>
      <c r="B288" t="s">
        <v>821</v>
      </c>
      <c r="C288" t="s">
        <v>822</v>
      </c>
      <c r="D288" t="s">
        <v>32</v>
      </c>
      <c r="E288" t="s">
        <v>823</v>
      </c>
      <c r="F288" t="s">
        <v>47</v>
      </c>
      <c r="G288" t="s">
        <v>351</v>
      </c>
      <c r="J288" t="s">
        <v>784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T288" t="s">
        <v>38</v>
      </c>
      <c r="U288">
        <v>0</v>
      </c>
      <c r="W288">
        <v>0</v>
      </c>
      <c r="X288">
        <v>0</v>
      </c>
      <c r="Y288">
        <v>0</v>
      </c>
      <c r="AE288">
        <f t="shared" si="12"/>
        <v>1</v>
      </c>
      <c r="AF288">
        <f>VLOOKUP(D288,especies!$A$2:$C$9,3,FALSE)</f>
        <v>1</v>
      </c>
      <c r="AG288" t="str">
        <f t="shared" si="13"/>
        <v>1-Dogo Argentino</v>
      </c>
      <c r="AH288">
        <f>VLOOKUP('Fichas clínicas'!AG288,razas!$A$2:$D$66,3,FALSE)</f>
        <v>19</v>
      </c>
      <c r="AI288" t="str">
        <f t="shared" si="14"/>
        <v>M</v>
      </c>
    </row>
    <row r="289" spans="1:35" x14ac:dyDescent="0.2">
      <c r="A289">
        <v>289</v>
      </c>
      <c r="B289" t="s">
        <v>824</v>
      </c>
      <c r="C289" t="s">
        <v>264</v>
      </c>
      <c r="D289" t="s">
        <v>41</v>
      </c>
      <c r="E289" t="s">
        <v>42</v>
      </c>
      <c r="F289" t="s">
        <v>34</v>
      </c>
      <c r="G289" t="s">
        <v>825</v>
      </c>
      <c r="I289">
        <v>939000007188771</v>
      </c>
      <c r="J289" t="s">
        <v>826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Q289">
        <v>0</v>
      </c>
      <c r="T289" t="s">
        <v>38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f t="shared" si="12"/>
        <v>1</v>
      </c>
      <c r="AF289">
        <f>VLOOKUP(D289,especies!$A$2:$C$9,3,FALSE)</f>
        <v>2</v>
      </c>
      <c r="AG289" t="str">
        <f t="shared" si="13"/>
        <v>2-DPC (Doméstico de pelo corto o DSH)</v>
      </c>
      <c r="AH289">
        <f>VLOOKUP('Fichas clínicas'!AG289,razas!$A$2:$D$66,3,FALSE)</f>
        <v>51</v>
      </c>
      <c r="AI289" t="str">
        <f t="shared" si="14"/>
        <v>H</v>
      </c>
    </row>
    <row r="290" spans="1:35" x14ac:dyDescent="0.2">
      <c r="A290">
        <v>290</v>
      </c>
      <c r="B290" t="s">
        <v>827</v>
      </c>
      <c r="C290" t="s">
        <v>828</v>
      </c>
      <c r="D290" t="s">
        <v>32</v>
      </c>
      <c r="E290" t="s">
        <v>63</v>
      </c>
      <c r="F290" t="s">
        <v>47</v>
      </c>
      <c r="G290" t="s">
        <v>724</v>
      </c>
      <c r="J290" t="s">
        <v>628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T290" t="s">
        <v>38</v>
      </c>
      <c r="U290">
        <v>0</v>
      </c>
      <c r="W290">
        <v>0</v>
      </c>
      <c r="X290">
        <v>0</v>
      </c>
      <c r="Y290">
        <v>0</v>
      </c>
      <c r="AE290">
        <f t="shared" si="12"/>
        <v>1</v>
      </c>
      <c r="AF290">
        <f>VLOOKUP(D290,especies!$A$2:$C$9,3,FALSE)</f>
        <v>1</v>
      </c>
      <c r="AG290" t="str">
        <f t="shared" si="13"/>
        <v>1-Fox Terrier Pelo Corto</v>
      </c>
      <c r="AH290">
        <f>VLOOKUP('Fichas clínicas'!AG290,razas!$A$2:$D$66,3,FALSE)</f>
        <v>2</v>
      </c>
      <c r="AI290" t="str">
        <f t="shared" si="14"/>
        <v>M</v>
      </c>
    </row>
    <row r="291" spans="1:35" x14ac:dyDescent="0.2">
      <c r="A291">
        <v>291</v>
      </c>
      <c r="B291" t="s">
        <v>829</v>
      </c>
      <c r="C291" t="s">
        <v>280</v>
      </c>
      <c r="D291" t="s">
        <v>32</v>
      </c>
      <c r="E291" t="s">
        <v>150</v>
      </c>
      <c r="F291" t="s">
        <v>34</v>
      </c>
      <c r="G291" t="s">
        <v>102</v>
      </c>
      <c r="J291" t="s">
        <v>830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T291" t="s">
        <v>38</v>
      </c>
      <c r="U291">
        <v>0</v>
      </c>
      <c r="W291">
        <v>0</v>
      </c>
      <c r="X291">
        <v>0</v>
      </c>
      <c r="Y291">
        <v>0</v>
      </c>
      <c r="AE291">
        <f t="shared" si="12"/>
        <v>1</v>
      </c>
      <c r="AF291">
        <f>VLOOKUP(D291,especies!$A$2:$C$9,3,FALSE)</f>
        <v>1</v>
      </c>
      <c r="AG291" t="str">
        <f t="shared" si="13"/>
        <v>1-Poodle</v>
      </c>
      <c r="AH291">
        <f>VLOOKUP('Fichas clínicas'!AG291,razas!$A$2:$D$66,3,FALSE)</f>
        <v>6</v>
      </c>
      <c r="AI291" t="str">
        <f t="shared" si="14"/>
        <v>H</v>
      </c>
    </row>
    <row r="292" spans="1:35" x14ac:dyDescent="0.2">
      <c r="A292">
        <v>292</v>
      </c>
      <c r="B292" t="s">
        <v>831</v>
      </c>
      <c r="C292" t="s">
        <v>832</v>
      </c>
      <c r="D292" t="s">
        <v>41</v>
      </c>
      <c r="E292" t="s">
        <v>42</v>
      </c>
      <c r="F292" t="s">
        <v>47</v>
      </c>
      <c r="G292" t="s">
        <v>54</v>
      </c>
      <c r="J292" t="s">
        <v>833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Q292">
        <v>0</v>
      </c>
      <c r="T292" t="s">
        <v>38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f t="shared" si="12"/>
        <v>1</v>
      </c>
      <c r="AF292">
        <f>VLOOKUP(D292,especies!$A$2:$C$9,3,FALSE)</f>
        <v>2</v>
      </c>
      <c r="AG292" t="str">
        <f t="shared" si="13"/>
        <v>2-DPC (Doméstico de pelo corto o DSH)</v>
      </c>
      <c r="AH292">
        <f>VLOOKUP('Fichas clínicas'!AG292,razas!$A$2:$D$66,3,FALSE)</f>
        <v>51</v>
      </c>
      <c r="AI292" t="str">
        <f t="shared" si="14"/>
        <v>M</v>
      </c>
    </row>
    <row r="293" spans="1:35" x14ac:dyDescent="0.2">
      <c r="A293">
        <v>293</v>
      </c>
      <c r="B293" t="s">
        <v>831</v>
      </c>
      <c r="C293" t="s">
        <v>834</v>
      </c>
      <c r="D293" t="s">
        <v>41</v>
      </c>
      <c r="E293" t="s">
        <v>42</v>
      </c>
      <c r="F293" t="s">
        <v>47</v>
      </c>
      <c r="G293" t="s">
        <v>297</v>
      </c>
      <c r="J293" t="s">
        <v>835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Q293">
        <v>0</v>
      </c>
      <c r="T293" t="s">
        <v>38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f t="shared" si="12"/>
        <v>1</v>
      </c>
      <c r="AF293">
        <f>VLOOKUP(D293,especies!$A$2:$C$9,3,FALSE)</f>
        <v>2</v>
      </c>
      <c r="AG293" t="str">
        <f t="shared" si="13"/>
        <v>2-DPC (Doméstico de pelo corto o DSH)</v>
      </c>
      <c r="AH293">
        <f>VLOOKUP('Fichas clínicas'!AG293,razas!$A$2:$D$66,3,FALSE)</f>
        <v>51</v>
      </c>
      <c r="AI293" t="str">
        <f t="shared" si="14"/>
        <v>M</v>
      </c>
    </row>
    <row r="294" spans="1:35" x14ac:dyDescent="0.2">
      <c r="A294">
        <v>294</v>
      </c>
      <c r="B294" t="s">
        <v>836</v>
      </c>
      <c r="C294" t="s">
        <v>142</v>
      </c>
      <c r="D294" t="s">
        <v>32</v>
      </c>
      <c r="E294" t="s">
        <v>150</v>
      </c>
      <c r="F294" t="s">
        <v>47</v>
      </c>
      <c r="G294" t="s">
        <v>123</v>
      </c>
      <c r="J294" t="s">
        <v>837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Q294">
        <v>0</v>
      </c>
      <c r="T294" t="s">
        <v>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f t="shared" si="12"/>
        <v>1</v>
      </c>
      <c r="AF294">
        <f>VLOOKUP(D294,especies!$A$2:$C$9,3,FALSE)</f>
        <v>1</v>
      </c>
      <c r="AG294" t="str">
        <f t="shared" si="13"/>
        <v>1-Poodle</v>
      </c>
      <c r="AH294">
        <f>VLOOKUP('Fichas clínicas'!AG294,razas!$A$2:$D$66,3,FALSE)</f>
        <v>6</v>
      </c>
      <c r="AI294" t="str">
        <f t="shared" si="14"/>
        <v>M</v>
      </c>
    </row>
    <row r="295" spans="1:35" x14ac:dyDescent="0.2">
      <c r="A295">
        <v>295</v>
      </c>
      <c r="B295" t="s">
        <v>608</v>
      </c>
      <c r="C295" t="s">
        <v>838</v>
      </c>
      <c r="D295" t="s">
        <v>41</v>
      </c>
      <c r="E295" t="s">
        <v>42</v>
      </c>
      <c r="F295" t="s">
        <v>34</v>
      </c>
      <c r="G295" t="s">
        <v>43</v>
      </c>
      <c r="J295" t="s">
        <v>271</v>
      </c>
      <c r="K295" t="s">
        <v>38</v>
      </c>
      <c r="L295" t="s">
        <v>38</v>
      </c>
      <c r="M295" t="s">
        <v>38</v>
      </c>
      <c r="N295" t="s">
        <v>38</v>
      </c>
      <c r="O295" t="s">
        <v>38</v>
      </c>
      <c r="T295" t="s">
        <v>38</v>
      </c>
      <c r="U295">
        <v>0</v>
      </c>
      <c r="V295">
        <v>1</v>
      </c>
      <c r="W295">
        <v>0</v>
      </c>
      <c r="X295">
        <v>0</v>
      </c>
      <c r="Y295">
        <v>0</v>
      </c>
      <c r="AE295">
        <f t="shared" si="12"/>
        <v>1</v>
      </c>
      <c r="AF295">
        <f>VLOOKUP(D295,especies!$A$2:$C$9,3,FALSE)</f>
        <v>2</v>
      </c>
      <c r="AG295" t="str">
        <f t="shared" si="13"/>
        <v>2-DPC (Doméstico de pelo corto o DSH)</v>
      </c>
      <c r="AH295">
        <f>VLOOKUP('Fichas clínicas'!AG295,razas!$A$2:$D$66,3,FALSE)</f>
        <v>51</v>
      </c>
      <c r="AI295" t="str">
        <f t="shared" si="14"/>
        <v>H</v>
      </c>
    </row>
    <row r="296" spans="1:35" x14ac:dyDescent="0.2">
      <c r="A296">
        <v>296</v>
      </c>
      <c r="B296" t="s">
        <v>839</v>
      </c>
      <c r="C296" t="s">
        <v>389</v>
      </c>
      <c r="D296" t="s">
        <v>242</v>
      </c>
      <c r="E296" t="s">
        <v>242</v>
      </c>
      <c r="F296" t="s">
        <v>34</v>
      </c>
      <c r="G296" t="s">
        <v>840</v>
      </c>
      <c r="J296" t="s">
        <v>841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T296" t="s">
        <v>38</v>
      </c>
      <c r="U296">
        <v>0</v>
      </c>
      <c r="W296">
        <v>0</v>
      </c>
      <c r="X296">
        <v>0</v>
      </c>
      <c r="Y296">
        <v>0</v>
      </c>
      <c r="AE296">
        <f t="shared" si="12"/>
        <v>1</v>
      </c>
      <c r="AF296">
        <f>VLOOKUP(D296,especies!$A$2:$C$9,3,FALSE)</f>
        <v>3</v>
      </c>
      <c r="AG296" t="str">
        <f t="shared" si="13"/>
        <v>3-Otra</v>
      </c>
      <c r="AH296">
        <f>VLOOKUP('Fichas clínicas'!AG296,razas!$A$2:$D$66,3,FALSE)</f>
        <v>55</v>
      </c>
      <c r="AI296" t="str">
        <f t="shared" si="14"/>
        <v>H</v>
      </c>
    </row>
    <row r="297" spans="1:35" x14ac:dyDescent="0.2">
      <c r="A297">
        <v>297</v>
      </c>
      <c r="B297" t="s">
        <v>842</v>
      </c>
      <c r="C297" t="s">
        <v>843</v>
      </c>
      <c r="D297" t="s">
        <v>41</v>
      </c>
      <c r="E297" t="s">
        <v>42</v>
      </c>
      <c r="F297" t="s">
        <v>47</v>
      </c>
      <c r="G297" t="s">
        <v>844</v>
      </c>
      <c r="J297" t="s">
        <v>139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T297" t="s">
        <v>38</v>
      </c>
      <c r="U297">
        <v>0</v>
      </c>
      <c r="W297">
        <v>0</v>
      </c>
      <c r="X297">
        <v>0</v>
      </c>
      <c r="Y297">
        <v>0</v>
      </c>
      <c r="AE297">
        <f t="shared" si="12"/>
        <v>1</v>
      </c>
      <c r="AF297">
        <f>VLOOKUP(D297,especies!$A$2:$C$9,3,FALSE)</f>
        <v>2</v>
      </c>
      <c r="AG297" t="str">
        <f t="shared" si="13"/>
        <v>2-DPC (Doméstico de pelo corto o DSH)</v>
      </c>
      <c r="AH297">
        <f>VLOOKUP('Fichas clínicas'!AG297,razas!$A$2:$D$66,3,FALSE)</f>
        <v>51</v>
      </c>
      <c r="AI297" t="str">
        <f t="shared" si="14"/>
        <v>M</v>
      </c>
    </row>
    <row r="298" spans="1:35" x14ac:dyDescent="0.2">
      <c r="A298">
        <v>298</v>
      </c>
      <c r="B298" t="s">
        <v>845</v>
      </c>
      <c r="C298" t="s">
        <v>787</v>
      </c>
      <c r="D298" t="s">
        <v>32</v>
      </c>
      <c r="E298" t="s">
        <v>33</v>
      </c>
      <c r="F298" t="s">
        <v>34</v>
      </c>
      <c r="G298" t="s">
        <v>116</v>
      </c>
      <c r="J298" t="s">
        <v>846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T298" t="s">
        <v>38</v>
      </c>
      <c r="U298">
        <v>0</v>
      </c>
      <c r="V298">
        <v>1</v>
      </c>
      <c r="W298">
        <v>0</v>
      </c>
      <c r="X298">
        <v>0</v>
      </c>
      <c r="Y298">
        <v>0</v>
      </c>
      <c r="AE298">
        <f t="shared" si="12"/>
        <v>1</v>
      </c>
      <c r="AF298">
        <f>VLOOKUP(D298,especies!$A$2:$C$9,3,FALSE)</f>
        <v>1</v>
      </c>
      <c r="AG298" t="str">
        <f t="shared" si="13"/>
        <v>1-Mestizo</v>
      </c>
      <c r="AH298">
        <f>VLOOKUP('Fichas clínicas'!AG298,razas!$A$2:$D$66,3,FALSE)</f>
        <v>1</v>
      </c>
      <c r="AI298" t="str">
        <f t="shared" si="14"/>
        <v>H</v>
      </c>
    </row>
    <row r="299" spans="1:35" x14ac:dyDescent="0.2">
      <c r="A299">
        <v>299</v>
      </c>
      <c r="B299" t="s">
        <v>847</v>
      </c>
      <c r="C299" t="s">
        <v>700</v>
      </c>
      <c r="D299" t="s">
        <v>41</v>
      </c>
      <c r="E299" t="s">
        <v>42</v>
      </c>
      <c r="F299" t="s">
        <v>34</v>
      </c>
      <c r="G299" t="s">
        <v>233</v>
      </c>
      <c r="J299" t="s">
        <v>848</v>
      </c>
      <c r="K299" t="s">
        <v>38</v>
      </c>
      <c r="L299" t="s">
        <v>38</v>
      </c>
      <c r="M299" t="s">
        <v>38</v>
      </c>
      <c r="N299" t="s">
        <v>38</v>
      </c>
      <c r="O299" t="s">
        <v>38</v>
      </c>
      <c r="T299" t="s">
        <v>38</v>
      </c>
      <c r="U299">
        <v>0</v>
      </c>
      <c r="V299">
        <v>1</v>
      </c>
      <c r="W299">
        <v>0</v>
      </c>
      <c r="X299">
        <v>0</v>
      </c>
      <c r="Y299">
        <v>0</v>
      </c>
      <c r="AE299">
        <f t="shared" si="12"/>
        <v>1</v>
      </c>
      <c r="AF299">
        <f>VLOOKUP(D299,especies!$A$2:$C$9,3,FALSE)</f>
        <v>2</v>
      </c>
      <c r="AG299" t="str">
        <f t="shared" si="13"/>
        <v>2-DPC (Doméstico de pelo corto o DSH)</v>
      </c>
      <c r="AH299">
        <f>VLOOKUP('Fichas clínicas'!AG299,razas!$A$2:$D$66,3,FALSE)</f>
        <v>51</v>
      </c>
      <c r="AI299" t="str">
        <f t="shared" si="14"/>
        <v>H</v>
      </c>
    </row>
    <row r="300" spans="1:35" x14ac:dyDescent="0.2">
      <c r="A300">
        <v>300</v>
      </c>
      <c r="B300" t="s">
        <v>849</v>
      </c>
      <c r="C300" t="s">
        <v>850</v>
      </c>
      <c r="D300" t="s">
        <v>32</v>
      </c>
      <c r="E300" t="s">
        <v>150</v>
      </c>
      <c r="F300" t="s">
        <v>34</v>
      </c>
      <c r="G300" t="s">
        <v>123</v>
      </c>
      <c r="I300">
        <v>956000004353507</v>
      </c>
      <c r="J300" t="s">
        <v>851</v>
      </c>
      <c r="K300" t="s">
        <v>38</v>
      </c>
      <c r="L300" t="s">
        <v>38</v>
      </c>
      <c r="M300" t="s">
        <v>38</v>
      </c>
      <c r="N300" t="s">
        <v>38</v>
      </c>
      <c r="O300" t="s">
        <v>38</v>
      </c>
      <c r="Q300">
        <v>0</v>
      </c>
      <c r="T300" t="s">
        <v>38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f t="shared" si="12"/>
        <v>1</v>
      </c>
      <c r="AF300">
        <f>VLOOKUP(D300,especies!$A$2:$C$9,3,FALSE)</f>
        <v>1</v>
      </c>
      <c r="AG300" t="str">
        <f t="shared" si="13"/>
        <v>1-Poodle</v>
      </c>
      <c r="AH300">
        <f>VLOOKUP('Fichas clínicas'!AG300,razas!$A$2:$D$66,3,FALSE)</f>
        <v>6</v>
      </c>
      <c r="AI300" t="str">
        <f t="shared" si="14"/>
        <v>H</v>
      </c>
    </row>
    <row r="301" spans="1:35" x14ac:dyDescent="0.2">
      <c r="A301">
        <v>301</v>
      </c>
      <c r="B301" t="s">
        <v>852</v>
      </c>
      <c r="C301" t="s">
        <v>637</v>
      </c>
      <c r="D301" t="s">
        <v>41</v>
      </c>
      <c r="E301" t="s">
        <v>42</v>
      </c>
      <c r="F301" t="s">
        <v>34</v>
      </c>
      <c r="G301" t="s">
        <v>277</v>
      </c>
      <c r="I301">
        <v>939900000718853</v>
      </c>
      <c r="J301" t="s">
        <v>853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Q301">
        <v>0</v>
      </c>
      <c r="T301" t="s">
        <v>38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f t="shared" si="12"/>
        <v>1</v>
      </c>
      <c r="AF301">
        <f>VLOOKUP(D301,especies!$A$2:$C$9,3,FALSE)</f>
        <v>2</v>
      </c>
      <c r="AG301" t="str">
        <f t="shared" si="13"/>
        <v>2-DPC (Doméstico de pelo corto o DSH)</v>
      </c>
      <c r="AH301">
        <f>VLOOKUP('Fichas clínicas'!AG301,razas!$A$2:$D$66,3,FALSE)</f>
        <v>51</v>
      </c>
      <c r="AI301" t="str">
        <f t="shared" si="14"/>
        <v>H</v>
      </c>
    </row>
    <row r="302" spans="1:35" x14ac:dyDescent="0.2">
      <c r="A302">
        <v>302</v>
      </c>
      <c r="B302" t="s">
        <v>854</v>
      </c>
      <c r="C302" t="s">
        <v>223</v>
      </c>
      <c r="D302" t="s">
        <v>32</v>
      </c>
      <c r="E302" t="s">
        <v>855</v>
      </c>
      <c r="F302" t="s">
        <v>47</v>
      </c>
      <c r="G302" t="s">
        <v>54</v>
      </c>
      <c r="J302" t="s">
        <v>856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T302" t="s">
        <v>38</v>
      </c>
      <c r="U302">
        <v>0</v>
      </c>
      <c r="W302">
        <v>0</v>
      </c>
      <c r="X302">
        <v>0</v>
      </c>
      <c r="Y302">
        <v>0</v>
      </c>
      <c r="AE302">
        <f t="shared" si="12"/>
        <v>1</v>
      </c>
      <c r="AF302">
        <f>VLOOKUP(D302,especies!$A$2:$C$9,3,FALSE)</f>
        <v>1</v>
      </c>
      <c r="AG302" t="str">
        <f t="shared" si="13"/>
        <v>1-Rottweiler</v>
      </c>
      <c r="AH302">
        <f>VLOOKUP('Fichas clínicas'!AG302,razas!$A$2:$D$66,3,FALSE)</f>
        <v>20</v>
      </c>
      <c r="AI302" t="str">
        <f t="shared" si="14"/>
        <v>M</v>
      </c>
    </row>
    <row r="303" spans="1:35" x14ac:dyDescent="0.2">
      <c r="A303">
        <v>303</v>
      </c>
      <c r="B303" t="s">
        <v>756</v>
      </c>
      <c r="C303" t="s">
        <v>857</v>
      </c>
      <c r="D303" t="s">
        <v>32</v>
      </c>
      <c r="E303" t="s">
        <v>33</v>
      </c>
      <c r="F303" t="s">
        <v>34</v>
      </c>
      <c r="G303" t="s">
        <v>99</v>
      </c>
      <c r="J303" t="s">
        <v>858</v>
      </c>
      <c r="K303" t="s">
        <v>38</v>
      </c>
      <c r="L303" t="s">
        <v>38</v>
      </c>
      <c r="M303" t="s">
        <v>38</v>
      </c>
      <c r="N303" t="s">
        <v>38</v>
      </c>
      <c r="O303" t="s">
        <v>38</v>
      </c>
      <c r="T303" t="s">
        <v>38</v>
      </c>
      <c r="U303">
        <v>0</v>
      </c>
      <c r="V303">
        <v>1</v>
      </c>
      <c r="W303">
        <v>0</v>
      </c>
      <c r="X303">
        <v>0</v>
      </c>
      <c r="Y303">
        <v>0</v>
      </c>
      <c r="AE303">
        <f t="shared" si="12"/>
        <v>1</v>
      </c>
      <c r="AF303">
        <f>VLOOKUP(D303,especies!$A$2:$C$9,3,FALSE)</f>
        <v>1</v>
      </c>
      <c r="AG303" t="str">
        <f t="shared" si="13"/>
        <v>1-Mestizo</v>
      </c>
      <c r="AH303">
        <f>VLOOKUP('Fichas clínicas'!AG303,razas!$A$2:$D$66,3,FALSE)</f>
        <v>1</v>
      </c>
      <c r="AI303" t="str">
        <f t="shared" si="14"/>
        <v>H</v>
      </c>
    </row>
    <row r="304" spans="1:35" x14ac:dyDescent="0.2">
      <c r="A304">
        <v>304</v>
      </c>
      <c r="B304" t="s">
        <v>859</v>
      </c>
      <c r="C304" t="s">
        <v>860</v>
      </c>
      <c r="D304" t="s">
        <v>32</v>
      </c>
      <c r="E304" t="s">
        <v>33</v>
      </c>
      <c r="F304" t="s">
        <v>47</v>
      </c>
      <c r="G304" t="s">
        <v>99</v>
      </c>
      <c r="I304">
        <v>99100100297274</v>
      </c>
      <c r="J304" t="s">
        <v>861</v>
      </c>
      <c r="K304" t="s">
        <v>38</v>
      </c>
      <c r="L304" t="s">
        <v>38</v>
      </c>
      <c r="M304" t="s">
        <v>38</v>
      </c>
      <c r="N304" t="s">
        <v>38</v>
      </c>
      <c r="O304" t="s">
        <v>38</v>
      </c>
      <c r="Q304">
        <v>0</v>
      </c>
      <c r="T304" t="s">
        <v>38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f t="shared" si="12"/>
        <v>1</v>
      </c>
      <c r="AF304">
        <f>VLOOKUP(D304,especies!$A$2:$C$9,3,FALSE)</f>
        <v>1</v>
      </c>
      <c r="AG304" t="str">
        <f t="shared" si="13"/>
        <v>1-Mestizo</v>
      </c>
      <c r="AH304">
        <f>VLOOKUP('Fichas clínicas'!AG304,razas!$A$2:$D$66,3,FALSE)</f>
        <v>1</v>
      </c>
      <c r="AI304" t="str">
        <f t="shared" si="14"/>
        <v>M</v>
      </c>
    </row>
    <row r="305" spans="1:35" x14ac:dyDescent="0.2">
      <c r="A305">
        <v>305</v>
      </c>
      <c r="B305" t="s">
        <v>862</v>
      </c>
      <c r="C305" t="s">
        <v>863</v>
      </c>
      <c r="D305" t="s">
        <v>32</v>
      </c>
      <c r="E305" t="s">
        <v>33</v>
      </c>
      <c r="F305" t="s">
        <v>47</v>
      </c>
      <c r="G305" t="s">
        <v>43</v>
      </c>
      <c r="J305" t="s">
        <v>468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T305" t="s">
        <v>38</v>
      </c>
      <c r="U305">
        <v>0</v>
      </c>
      <c r="W305">
        <v>0</v>
      </c>
      <c r="X305">
        <v>0</v>
      </c>
      <c r="Y305">
        <v>0</v>
      </c>
      <c r="AE305">
        <f t="shared" si="12"/>
        <v>1</v>
      </c>
      <c r="AF305">
        <f>VLOOKUP(D305,especies!$A$2:$C$9,3,FALSE)</f>
        <v>1</v>
      </c>
      <c r="AG305" t="str">
        <f t="shared" si="13"/>
        <v>1-Mestizo</v>
      </c>
      <c r="AH305">
        <f>VLOOKUP('Fichas clínicas'!AG305,razas!$A$2:$D$66,3,FALSE)</f>
        <v>1</v>
      </c>
      <c r="AI305" t="str">
        <f t="shared" si="14"/>
        <v>M</v>
      </c>
    </row>
    <row r="306" spans="1:35" x14ac:dyDescent="0.2">
      <c r="A306">
        <v>306</v>
      </c>
      <c r="B306" t="s">
        <v>864</v>
      </c>
      <c r="C306" t="s">
        <v>865</v>
      </c>
      <c r="D306" t="s">
        <v>41</v>
      </c>
      <c r="E306" t="s">
        <v>42</v>
      </c>
      <c r="F306" t="s">
        <v>34</v>
      </c>
      <c r="G306" t="s">
        <v>866</v>
      </c>
      <c r="J306" t="s">
        <v>867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T306" t="s">
        <v>38</v>
      </c>
      <c r="U306">
        <v>0</v>
      </c>
      <c r="W306">
        <v>0</v>
      </c>
      <c r="X306">
        <v>0</v>
      </c>
      <c r="Y306">
        <v>0</v>
      </c>
      <c r="AE306">
        <f t="shared" si="12"/>
        <v>1</v>
      </c>
      <c r="AF306">
        <f>VLOOKUP(D306,especies!$A$2:$C$9,3,FALSE)</f>
        <v>2</v>
      </c>
      <c r="AG306" t="str">
        <f t="shared" si="13"/>
        <v>2-DPC (Doméstico de pelo corto o DSH)</v>
      </c>
      <c r="AH306">
        <f>VLOOKUP('Fichas clínicas'!AG306,razas!$A$2:$D$66,3,FALSE)</f>
        <v>51</v>
      </c>
      <c r="AI306" t="str">
        <f t="shared" si="14"/>
        <v>H</v>
      </c>
    </row>
    <row r="307" spans="1:35" x14ac:dyDescent="0.2">
      <c r="A307">
        <v>307</v>
      </c>
      <c r="B307" t="s">
        <v>868</v>
      </c>
      <c r="C307" t="s">
        <v>869</v>
      </c>
      <c r="D307" t="s">
        <v>32</v>
      </c>
      <c r="E307" t="s">
        <v>33</v>
      </c>
      <c r="F307" t="s">
        <v>34</v>
      </c>
      <c r="G307" t="s">
        <v>99</v>
      </c>
      <c r="J307" t="s">
        <v>870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T307" t="s">
        <v>38</v>
      </c>
      <c r="U307">
        <v>0</v>
      </c>
      <c r="V307">
        <v>1</v>
      </c>
      <c r="W307">
        <v>0</v>
      </c>
      <c r="X307">
        <v>0</v>
      </c>
      <c r="Y307">
        <v>0</v>
      </c>
      <c r="AE307">
        <f t="shared" si="12"/>
        <v>1</v>
      </c>
      <c r="AF307">
        <f>VLOOKUP(D307,especies!$A$2:$C$9,3,FALSE)</f>
        <v>1</v>
      </c>
      <c r="AG307" t="str">
        <f t="shared" si="13"/>
        <v>1-Mestizo</v>
      </c>
      <c r="AH307">
        <f>VLOOKUP('Fichas clínicas'!AG307,razas!$A$2:$D$66,3,FALSE)</f>
        <v>1</v>
      </c>
      <c r="AI307" t="str">
        <f t="shared" si="14"/>
        <v>H</v>
      </c>
    </row>
    <row r="308" spans="1:35" x14ac:dyDescent="0.2">
      <c r="A308">
        <v>308</v>
      </c>
      <c r="B308" t="s">
        <v>871</v>
      </c>
      <c r="C308" t="s">
        <v>872</v>
      </c>
      <c r="D308" t="s">
        <v>32</v>
      </c>
      <c r="E308" t="s">
        <v>257</v>
      </c>
      <c r="F308" t="s">
        <v>34</v>
      </c>
      <c r="G308" t="s">
        <v>199</v>
      </c>
      <c r="J308" t="s">
        <v>873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T308" t="s">
        <v>38</v>
      </c>
      <c r="U308">
        <v>0</v>
      </c>
      <c r="V308">
        <v>1</v>
      </c>
      <c r="W308">
        <v>0</v>
      </c>
      <c r="X308">
        <v>0</v>
      </c>
      <c r="Y308">
        <v>0</v>
      </c>
      <c r="AE308">
        <f t="shared" si="12"/>
        <v>1</v>
      </c>
      <c r="AF308">
        <f>VLOOKUP(D308,especies!$A$2:$C$9,3,FALSE)</f>
        <v>1</v>
      </c>
      <c r="AG308" t="str">
        <f t="shared" si="13"/>
        <v>1-Terrier Chileno</v>
      </c>
      <c r="AH308">
        <f>VLOOKUP('Fichas clínicas'!AG308,razas!$A$2:$D$66,3,FALSE)</f>
        <v>10</v>
      </c>
      <c r="AI308" t="str">
        <f t="shared" si="14"/>
        <v>H</v>
      </c>
    </row>
    <row r="309" spans="1:35" x14ac:dyDescent="0.2">
      <c r="A309">
        <v>309</v>
      </c>
      <c r="B309" t="s">
        <v>874</v>
      </c>
      <c r="C309" t="s">
        <v>875</v>
      </c>
      <c r="D309" t="s">
        <v>32</v>
      </c>
      <c r="E309" t="s">
        <v>876</v>
      </c>
      <c r="F309" t="s">
        <v>34</v>
      </c>
      <c r="G309" t="s">
        <v>165</v>
      </c>
      <c r="J309" t="s">
        <v>254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T309" t="s">
        <v>38</v>
      </c>
      <c r="U309">
        <v>0</v>
      </c>
      <c r="W309">
        <v>0</v>
      </c>
      <c r="X309">
        <v>0</v>
      </c>
      <c r="Y309">
        <v>0</v>
      </c>
      <c r="AE309">
        <f t="shared" si="12"/>
        <v>1</v>
      </c>
      <c r="AF309">
        <f>VLOOKUP(D309,especies!$A$2:$C$9,3,FALSE)</f>
        <v>1</v>
      </c>
      <c r="AG309" t="str">
        <f t="shared" si="13"/>
        <v>1-Terrier Australiano</v>
      </c>
      <c r="AH309">
        <f>VLOOKUP('Fichas clínicas'!AG309,razas!$A$2:$D$66,3,FALSE)</f>
        <v>21</v>
      </c>
      <c r="AI309" t="str">
        <f t="shared" si="14"/>
        <v>H</v>
      </c>
    </row>
    <row r="310" spans="1:35" x14ac:dyDescent="0.2">
      <c r="A310">
        <v>310</v>
      </c>
      <c r="B310" t="s">
        <v>699</v>
      </c>
      <c r="C310" t="s">
        <v>877</v>
      </c>
      <c r="D310" t="s">
        <v>41</v>
      </c>
      <c r="E310" t="s">
        <v>42</v>
      </c>
      <c r="F310" t="s">
        <v>34</v>
      </c>
      <c r="G310" t="s">
        <v>284</v>
      </c>
      <c r="J310" t="s">
        <v>784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Q310">
        <v>0</v>
      </c>
      <c r="T310" t="s">
        <v>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f t="shared" si="12"/>
        <v>1</v>
      </c>
      <c r="AF310">
        <f>VLOOKUP(D310,especies!$A$2:$C$9,3,FALSE)</f>
        <v>2</v>
      </c>
      <c r="AG310" t="str">
        <f t="shared" si="13"/>
        <v>2-DPC (Doméstico de pelo corto o DSH)</v>
      </c>
      <c r="AH310">
        <f>VLOOKUP('Fichas clínicas'!AG310,razas!$A$2:$D$66,3,FALSE)</f>
        <v>51</v>
      </c>
      <c r="AI310" t="str">
        <f t="shared" si="14"/>
        <v>H</v>
      </c>
    </row>
    <row r="311" spans="1:35" x14ac:dyDescent="0.2">
      <c r="A311">
        <v>311</v>
      </c>
      <c r="B311" t="s">
        <v>878</v>
      </c>
      <c r="C311" t="s">
        <v>879</v>
      </c>
      <c r="D311" t="s">
        <v>32</v>
      </c>
      <c r="E311" t="s">
        <v>33</v>
      </c>
      <c r="F311" t="s">
        <v>47</v>
      </c>
      <c r="G311" t="s">
        <v>165</v>
      </c>
      <c r="J311" t="s">
        <v>61</v>
      </c>
      <c r="K311" t="s">
        <v>38</v>
      </c>
      <c r="L311" t="s">
        <v>38</v>
      </c>
      <c r="M311" t="s">
        <v>38</v>
      </c>
      <c r="N311" t="s">
        <v>38</v>
      </c>
      <c r="O311" t="s">
        <v>38</v>
      </c>
      <c r="T311" t="s">
        <v>38</v>
      </c>
      <c r="U311">
        <v>0</v>
      </c>
      <c r="W311">
        <v>0</v>
      </c>
      <c r="X311">
        <v>0</v>
      </c>
      <c r="Y311">
        <v>0</v>
      </c>
      <c r="AE311">
        <f t="shared" si="12"/>
        <v>1</v>
      </c>
      <c r="AF311">
        <f>VLOOKUP(D311,especies!$A$2:$C$9,3,FALSE)</f>
        <v>1</v>
      </c>
      <c r="AG311" t="str">
        <f t="shared" si="13"/>
        <v>1-Mestizo</v>
      </c>
      <c r="AH311">
        <f>VLOOKUP('Fichas clínicas'!AG311,razas!$A$2:$D$66,3,FALSE)</f>
        <v>1</v>
      </c>
      <c r="AI311" t="str">
        <f t="shared" si="14"/>
        <v>M</v>
      </c>
    </row>
    <row r="312" spans="1:35" x14ac:dyDescent="0.2">
      <c r="A312">
        <v>312</v>
      </c>
      <c r="B312" t="s">
        <v>880</v>
      </c>
      <c r="C312" t="s">
        <v>881</v>
      </c>
      <c r="D312" t="s">
        <v>41</v>
      </c>
      <c r="E312" t="s">
        <v>42</v>
      </c>
      <c r="F312" t="s">
        <v>34</v>
      </c>
      <c r="G312" t="s">
        <v>882</v>
      </c>
      <c r="J312" t="s">
        <v>784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Q312">
        <v>0</v>
      </c>
      <c r="T312" t="s">
        <v>38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f t="shared" si="12"/>
        <v>1</v>
      </c>
      <c r="AF312">
        <f>VLOOKUP(D312,especies!$A$2:$C$9,3,FALSE)</f>
        <v>2</v>
      </c>
      <c r="AG312" t="str">
        <f t="shared" si="13"/>
        <v>2-DPC (Doméstico de pelo corto o DSH)</v>
      </c>
      <c r="AH312">
        <f>VLOOKUP('Fichas clínicas'!AG312,razas!$A$2:$D$66,3,FALSE)</f>
        <v>51</v>
      </c>
      <c r="AI312" t="str">
        <f t="shared" si="14"/>
        <v>H</v>
      </c>
    </row>
    <row r="313" spans="1:35" x14ac:dyDescent="0.2">
      <c r="A313">
        <v>313</v>
      </c>
      <c r="B313" t="s">
        <v>883</v>
      </c>
      <c r="C313" t="s">
        <v>884</v>
      </c>
      <c r="D313" t="s">
        <v>41</v>
      </c>
      <c r="E313" t="s">
        <v>42</v>
      </c>
      <c r="F313" t="s">
        <v>34</v>
      </c>
      <c r="G313" t="s">
        <v>587</v>
      </c>
      <c r="J313" t="s">
        <v>784</v>
      </c>
      <c r="K313" t="s">
        <v>38</v>
      </c>
      <c r="L313" t="s">
        <v>38</v>
      </c>
      <c r="M313" t="s">
        <v>38</v>
      </c>
      <c r="N313" t="s">
        <v>38</v>
      </c>
      <c r="O313" t="s">
        <v>38</v>
      </c>
      <c r="T313" t="s">
        <v>38</v>
      </c>
      <c r="U313">
        <v>0</v>
      </c>
      <c r="W313">
        <v>0</v>
      </c>
      <c r="X313">
        <v>0</v>
      </c>
      <c r="Y313">
        <v>0</v>
      </c>
      <c r="AE313">
        <f t="shared" si="12"/>
        <v>1</v>
      </c>
      <c r="AF313">
        <f>VLOOKUP(D313,especies!$A$2:$C$9,3,FALSE)</f>
        <v>2</v>
      </c>
      <c r="AG313" t="str">
        <f t="shared" si="13"/>
        <v>2-DPC (Doméstico de pelo corto o DSH)</v>
      </c>
      <c r="AH313">
        <f>VLOOKUP('Fichas clínicas'!AG313,razas!$A$2:$D$66,3,FALSE)</f>
        <v>51</v>
      </c>
      <c r="AI313" t="str">
        <f t="shared" si="14"/>
        <v>H</v>
      </c>
    </row>
    <row r="314" spans="1:35" x14ac:dyDescent="0.2">
      <c r="A314">
        <v>314</v>
      </c>
      <c r="B314" t="s">
        <v>885</v>
      </c>
      <c r="C314" t="s">
        <v>886</v>
      </c>
      <c r="D314" t="s">
        <v>32</v>
      </c>
      <c r="E314" t="s">
        <v>33</v>
      </c>
      <c r="F314" t="s">
        <v>47</v>
      </c>
      <c r="G314" t="s">
        <v>77</v>
      </c>
      <c r="J314" t="s">
        <v>348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T314" t="s">
        <v>38</v>
      </c>
      <c r="U314">
        <v>0</v>
      </c>
      <c r="W314">
        <v>0</v>
      </c>
      <c r="X314">
        <v>0</v>
      </c>
      <c r="Y314">
        <v>0</v>
      </c>
      <c r="AE314">
        <f t="shared" si="12"/>
        <v>1</v>
      </c>
      <c r="AF314">
        <f>VLOOKUP(D314,especies!$A$2:$C$9,3,FALSE)</f>
        <v>1</v>
      </c>
      <c r="AG314" t="str">
        <f t="shared" si="13"/>
        <v>1-Mestizo</v>
      </c>
      <c r="AH314">
        <f>VLOOKUP('Fichas clínicas'!AG314,razas!$A$2:$D$66,3,FALSE)</f>
        <v>1</v>
      </c>
      <c r="AI314" t="str">
        <f t="shared" si="14"/>
        <v>M</v>
      </c>
    </row>
    <row r="315" spans="1:35" x14ac:dyDescent="0.2">
      <c r="A315">
        <v>315</v>
      </c>
      <c r="B315" t="s">
        <v>831</v>
      </c>
      <c r="C315" t="s">
        <v>205</v>
      </c>
      <c r="D315" t="s">
        <v>41</v>
      </c>
      <c r="E315" t="s">
        <v>93</v>
      </c>
      <c r="F315" t="s">
        <v>47</v>
      </c>
      <c r="G315" t="s">
        <v>887</v>
      </c>
      <c r="J315" t="s">
        <v>37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T315" t="s">
        <v>38</v>
      </c>
      <c r="U315">
        <v>0</v>
      </c>
      <c r="W315">
        <v>0</v>
      </c>
      <c r="X315">
        <v>0</v>
      </c>
      <c r="Y315">
        <v>0</v>
      </c>
      <c r="AE315">
        <f t="shared" si="12"/>
        <v>1</v>
      </c>
      <c r="AF315">
        <f>VLOOKUP(D315,especies!$A$2:$C$9,3,FALSE)</f>
        <v>2</v>
      </c>
      <c r="AG315" t="str">
        <f t="shared" si="13"/>
        <v>2-DPL (Doméstico de pelo Largo o DLH)</v>
      </c>
      <c r="AH315">
        <f>VLOOKUP('Fichas clínicas'!AG315,razas!$A$2:$D$66,3,FALSE)</f>
        <v>52</v>
      </c>
      <c r="AI315" t="str">
        <f t="shared" si="14"/>
        <v>M</v>
      </c>
    </row>
    <row r="316" spans="1:35" x14ac:dyDescent="0.2">
      <c r="A316">
        <v>316</v>
      </c>
      <c r="B316" t="s">
        <v>888</v>
      </c>
      <c r="C316" t="s">
        <v>315</v>
      </c>
      <c r="D316" t="s">
        <v>32</v>
      </c>
      <c r="E316" t="s">
        <v>33</v>
      </c>
      <c r="F316" t="s">
        <v>34</v>
      </c>
      <c r="G316" t="s">
        <v>54</v>
      </c>
      <c r="J316" t="s">
        <v>889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T316" t="s">
        <v>38</v>
      </c>
      <c r="U316">
        <v>0</v>
      </c>
      <c r="V316">
        <v>1</v>
      </c>
      <c r="W316">
        <v>0</v>
      </c>
      <c r="X316">
        <v>0</v>
      </c>
      <c r="Y316">
        <v>0</v>
      </c>
      <c r="AE316">
        <f t="shared" si="12"/>
        <v>1</v>
      </c>
      <c r="AF316">
        <f>VLOOKUP(D316,especies!$A$2:$C$9,3,FALSE)</f>
        <v>1</v>
      </c>
      <c r="AG316" t="str">
        <f t="shared" si="13"/>
        <v>1-Mestizo</v>
      </c>
      <c r="AH316">
        <f>VLOOKUP('Fichas clínicas'!AG316,razas!$A$2:$D$66,3,FALSE)</f>
        <v>1</v>
      </c>
      <c r="AI316" t="str">
        <f t="shared" si="14"/>
        <v>H</v>
      </c>
    </row>
    <row r="317" spans="1:35" x14ac:dyDescent="0.2">
      <c r="A317">
        <v>317</v>
      </c>
      <c r="B317" t="s">
        <v>890</v>
      </c>
      <c r="C317" t="s">
        <v>891</v>
      </c>
      <c r="D317" t="s">
        <v>41</v>
      </c>
      <c r="E317" t="s">
        <v>42</v>
      </c>
      <c r="F317" t="s">
        <v>47</v>
      </c>
      <c r="G317" t="s">
        <v>199</v>
      </c>
      <c r="J317" t="s">
        <v>809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T317" t="s">
        <v>38</v>
      </c>
      <c r="U317">
        <v>0</v>
      </c>
      <c r="W317">
        <v>0</v>
      </c>
      <c r="X317">
        <v>0</v>
      </c>
      <c r="Y317">
        <v>0</v>
      </c>
      <c r="AE317">
        <f t="shared" si="12"/>
        <v>1</v>
      </c>
      <c r="AF317">
        <f>VLOOKUP(D317,especies!$A$2:$C$9,3,FALSE)</f>
        <v>2</v>
      </c>
      <c r="AG317" t="str">
        <f t="shared" si="13"/>
        <v>2-DPC (Doméstico de pelo corto o DSH)</v>
      </c>
      <c r="AH317">
        <f>VLOOKUP('Fichas clínicas'!AG317,razas!$A$2:$D$66,3,FALSE)</f>
        <v>51</v>
      </c>
      <c r="AI317" t="str">
        <f t="shared" si="14"/>
        <v>M</v>
      </c>
    </row>
    <row r="318" spans="1:35" x14ac:dyDescent="0.2">
      <c r="A318">
        <v>318</v>
      </c>
      <c r="B318" t="s">
        <v>892</v>
      </c>
      <c r="C318" t="s">
        <v>223</v>
      </c>
      <c r="D318" t="s">
        <v>32</v>
      </c>
      <c r="E318" t="s">
        <v>893</v>
      </c>
      <c r="F318" t="s">
        <v>47</v>
      </c>
      <c r="G318" t="s">
        <v>300</v>
      </c>
      <c r="J318" t="s">
        <v>894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T318" t="s">
        <v>38</v>
      </c>
      <c r="U318">
        <v>0</v>
      </c>
      <c r="W318">
        <v>0</v>
      </c>
      <c r="X318">
        <v>0</v>
      </c>
      <c r="Y318">
        <v>0</v>
      </c>
      <c r="AE318">
        <f t="shared" si="12"/>
        <v>1</v>
      </c>
      <c r="AF318">
        <f>VLOOKUP(D318,especies!$A$2:$C$9,3,FALSE)</f>
        <v>1</v>
      </c>
      <c r="AG318" t="str">
        <f t="shared" si="13"/>
        <v>1-Mudi</v>
      </c>
      <c r="AH318">
        <f>VLOOKUP('Fichas clínicas'!AG318,razas!$A$2:$D$66,3,FALSE)</f>
        <v>22</v>
      </c>
      <c r="AI318" t="str">
        <f t="shared" si="14"/>
        <v>M</v>
      </c>
    </row>
    <row r="319" spans="1:35" x14ac:dyDescent="0.2">
      <c r="A319">
        <v>319</v>
      </c>
      <c r="B319" t="s">
        <v>895</v>
      </c>
      <c r="C319" t="s">
        <v>896</v>
      </c>
      <c r="D319" t="s">
        <v>242</v>
      </c>
      <c r="E319" t="s">
        <v>242</v>
      </c>
      <c r="F319" t="s">
        <v>47</v>
      </c>
      <c r="G319" t="s">
        <v>77</v>
      </c>
      <c r="J319" t="s">
        <v>366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T319" t="s">
        <v>38</v>
      </c>
      <c r="U319">
        <v>0</v>
      </c>
      <c r="W319">
        <v>0</v>
      </c>
      <c r="X319">
        <v>0</v>
      </c>
      <c r="Y319">
        <v>0</v>
      </c>
      <c r="AE319">
        <f t="shared" si="12"/>
        <v>1</v>
      </c>
      <c r="AF319">
        <f>VLOOKUP(D319,especies!$A$2:$C$9,3,FALSE)</f>
        <v>3</v>
      </c>
      <c r="AG319" t="str">
        <f t="shared" si="13"/>
        <v>3-Otra</v>
      </c>
      <c r="AH319">
        <f>VLOOKUP('Fichas clínicas'!AG319,razas!$A$2:$D$66,3,FALSE)</f>
        <v>55</v>
      </c>
      <c r="AI319" t="str">
        <f t="shared" si="14"/>
        <v>M</v>
      </c>
    </row>
    <row r="320" spans="1:35" x14ac:dyDescent="0.2">
      <c r="A320">
        <v>320</v>
      </c>
      <c r="B320" t="s">
        <v>456</v>
      </c>
      <c r="C320" t="s">
        <v>156</v>
      </c>
      <c r="D320" t="s">
        <v>32</v>
      </c>
      <c r="E320" t="s">
        <v>897</v>
      </c>
      <c r="F320" t="s">
        <v>47</v>
      </c>
      <c r="G320" t="s">
        <v>220</v>
      </c>
      <c r="J320" t="s">
        <v>185</v>
      </c>
      <c r="K320" t="s">
        <v>38</v>
      </c>
      <c r="L320" t="s">
        <v>38</v>
      </c>
      <c r="M320" t="s">
        <v>38</v>
      </c>
      <c r="N320" t="s">
        <v>38</v>
      </c>
      <c r="O320" t="s">
        <v>38</v>
      </c>
      <c r="T320" t="s">
        <v>38</v>
      </c>
      <c r="U320">
        <v>0</v>
      </c>
      <c r="W320">
        <v>0</v>
      </c>
      <c r="X320">
        <v>0</v>
      </c>
      <c r="Y320">
        <v>0</v>
      </c>
      <c r="AE320">
        <f t="shared" si="12"/>
        <v>1</v>
      </c>
      <c r="AF320">
        <f>VLOOKUP(D320,especies!$A$2:$C$9,3,FALSE)</f>
        <v>1</v>
      </c>
      <c r="AG320" t="str">
        <f t="shared" si="13"/>
        <v>1-Collie de Pelo Largo</v>
      </c>
      <c r="AH320">
        <f>VLOOKUP('Fichas clínicas'!AG320,razas!$A$2:$D$66,3,FALSE)</f>
        <v>23</v>
      </c>
      <c r="AI320" t="str">
        <f t="shared" si="14"/>
        <v>M</v>
      </c>
    </row>
    <row r="321" spans="1:35" x14ac:dyDescent="0.2">
      <c r="A321">
        <v>321</v>
      </c>
      <c r="B321" t="s">
        <v>898</v>
      </c>
      <c r="C321" t="s">
        <v>899</v>
      </c>
      <c r="D321" t="s">
        <v>32</v>
      </c>
      <c r="E321" t="s">
        <v>33</v>
      </c>
      <c r="F321" t="s">
        <v>34</v>
      </c>
      <c r="G321" t="s">
        <v>54</v>
      </c>
      <c r="J321" t="s">
        <v>900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T321" t="s">
        <v>38</v>
      </c>
      <c r="U321">
        <v>0</v>
      </c>
      <c r="V321">
        <v>1</v>
      </c>
      <c r="W321">
        <v>0</v>
      </c>
      <c r="X321">
        <v>0</v>
      </c>
      <c r="Y321">
        <v>0</v>
      </c>
      <c r="AE321">
        <f t="shared" si="12"/>
        <v>1</v>
      </c>
      <c r="AF321">
        <f>VLOOKUP(D321,especies!$A$2:$C$9,3,FALSE)</f>
        <v>1</v>
      </c>
      <c r="AG321" t="str">
        <f t="shared" si="13"/>
        <v>1-Mestizo</v>
      </c>
      <c r="AH321">
        <f>VLOOKUP('Fichas clínicas'!AG321,razas!$A$2:$D$66,3,FALSE)</f>
        <v>1</v>
      </c>
      <c r="AI321" t="str">
        <f t="shared" si="14"/>
        <v>H</v>
      </c>
    </row>
    <row r="322" spans="1:35" x14ac:dyDescent="0.2">
      <c r="A322">
        <v>322</v>
      </c>
      <c r="B322" t="s">
        <v>901</v>
      </c>
      <c r="C322" t="s">
        <v>902</v>
      </c>
      <c r="D322" t="s">
        <v>32</v>
      </c>
      <c r="E322" t="s">
        <v>150</v>
      </c>
      <c r="F322" t="s">
        <v>47</v>
      </c>
      <c r="G322" t="s">
        <v>123</v>
      </c>
      <c r="J322" t="s">
        <v>903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T322" t="s">
        <v>38</v>
      </c>
      <c r="U322">
        <v>0</v>
      </c>
      <c r="V322">
        <v>1</v>
      </c>
      <c r="W322">
        <v>0</v>
      </c>
      <c r="X322">
        <v>0</v>
      </c>
      <c r="Y322">
        <v>0</v>
      </c>
      <c r="AE322">
        <f t="shared" si="12"/>
        <v>1</v>
      </c>
      <c r="AF322">
        <f>VLOOKUP(D322,especies!$A$2:$C$9,3,FALSE)</f>
        <v>1</v>
      </c>
      <c r="AG322" t="str">
        <f t="shared" si="13"/>
        <v>1-Poodle</v>
      </c>
      <c r="AH322">
        <f>VLOOKUP('Fichas clínicas'!AG322,razas!$A$2:$D$66,3,FALSE)</f>
        <v>6</v>
      </c>
      <c r="AI322" t="str">
        <f t="shared" si="14"/>
        <v>M</v>
      </c>
    </row>
    <row r="323" spans="1:35" x14ac:dyDescent="0.2">
      <c r="A323">
        <v>323</v>
      </c>
      <c r="B323" t="s">
        <v>456</v>
      </c>
      <c r="C323" t="s">
        <v>280</v>
      </c>
      <c r="D323" t="s">
        <v>32</v>
      </c>
      <c r="E323" t="s">
        <v>458</v>
      </c>
      <c r="F323" t="s">
        <v>34</v>
      </c>
      <c r="G323" t="s">
        <v>258</v>
      </c>
      <c r="J323" t="s">
        <v>904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T323" t="s">
        <v>38</v>
      </c>
      <c r="U323">
        <v>0</v>
      </c>
      <c r="W323">
        <v>0</v>
      </c>
      <c r="X323">
        <v>0</v>
      </c>
      <c r="Y323">
        <v>0</v>
      </c>
      <c r="AE323">
        <f t="shared" ref="AE323:AE386" si="15">SUBTOTAL(103,E323)</f>
        <v>1</v>
      </c>
      <c r="AF323">
        <f>VLOOKUP(D323,especies!$A$2:$C$9,3,FALSE)</f>
        <v>1</v>
      </c>
      <c r="AG323" t="str">
        <f t="shared" ref="AG323:AG386" si="16">AF323&amp;"-"&amp;E323</f>
        <v>1-Beagle</v>
      </c>
      <c r="AH323">
        <f>VLOOKUP('Fichas clínicas'!AG323,razas!$A$2:$D$66,3,FALSE)</f>
        <v>13</v>
      </c>
      <c r="AI323" t="str">
        <f t="shared" ref="AI323:AI386" si="17">IF(F323="Hembra","H","M")</f>
        <v>H</v>
      </c>
    </row>
    <row r="324" spans="1:35" x14ac:dyDescent="0.2">
      <c r="A324">
        <v>324</v>
      </c>
      <c r="B324" t="s">
        <v>905</v>
      </c>
      <c r="C324" t="s">
        <v>906</v>
      </c>
      <c r="D324" t="s">
        <v>41</v>
      </c>
      <c r="E324" t="s">
        <v>42</v>
      </c>
      <c r="F324" t="s">
        <v>34</v>
      </c>
      <c r="G324" t="s">
        <v>81</v>
      </c>
      <c r="J324" t="s">
        <v>907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T324" t="s">
        <v>38</v>
      </c>
      <c r="U324">
        <v>0</v>
      </c>
      <c r="W324">
        <v>0</v>
      </c>
      <c r="X324">
        <v>0</v>
      </c>
      <c r="Y324">
        <v>0</v>
      </c>
      <c r="AE324">
        <f t="shared" si="15"/>
        <v>1</v>
      </c>
      <c r="AF324">
        <f>VLOOKUP(D324,especies!$A$2:$C$9,3,FALSE)</f>
        <v>2</v>
      </c>
      <c r="AG324" t="str">
        <f t="shared" si="16"/>
        <v>2-DPC (Doméstico de pelo corto o DSH)</v>
      </c>
      <c r="AH324">
        <f>VLOOKUP('Fichas clínicas'!AG324,razas!$A$2:$D$66,3,FALSE)</f>
        <v>51</v>
      </c>
      <c r="AI324" t="str">
        <f t="shared" si="17"/>
        <v>H</v>
      </c>
    </row>
    <row r="325" spans="1:35" x14ac:dyDescent="0.2">
      <c r="A325">
        <v>325</v>
      </c>
      <c r="B325" t="s">
        <v>905</v>
      </c>
      <c r="C325" t="s">
        <v>908</v>
      </c>
      <c r="D325" t="s">
        <v>41</v>
      </c>
      <c r="E325" t="s">
        <v>42</v>
      </c>
      <c r="F325" t="s">
        <v>47</v>
      </c>
      <c r="G325" t="s">
        <v>81</v>
      </c>
      <c r="J325" t="s">
        <v>907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T325" t="s">
        <v>38</v>
      </c>
      <c r="U325">
        <v>0</v>
      </c>
      <c r="W325">
        <v>0</v>
      </c>
      <c r="X325">
        <v>0</v>
      </c>
      <c r="Y325">
        <v>0</v>
      </c>
      <c r="AE325">
        <f t="shared" si="15"/>
        <v>1</v>
      </c>
      <c r="AF325">
        <f>VLOOKUP(D325,especies!$A$2:$C$9,3,FALSE)</f>
        <v>2</v>
      </c>
      <c r="AG325" t="str">
        <f t="shared" si="16"/>
        <v>2-DPC (Doméstico de pelo corto o DSH)</v>
      </c>
      <c r="AH325">
        <f>VLOOKUP('Fichas clínicas'!AG325,razas!$A$2:$D$66,3,FALSE)</f>
        <v>51</v>
      </c>
      <c r="AI325" t="str">
        <f t="shared" si="17"/>
        <v>M</v>
      </c>
    </row>
    <row r="326" spans="1:35" x14ac:dyDescent="0.2">
      <c r="A326">
        <v>326</v>
      </c>
      <c r="B326" t="s">
        <v>909</v>
      </c>
      <c r="C326" t="s">
        <v>910</v>
      </c>
      <c r="D326" t="s">
        <v>41</v>
      </c>
      <c r="E326" t="s">
        <v>42</v>
      </c>
      <c r="F326" t="s">
        <v>47</v>
      </c>
      <c r="G326" t="s">
        <v>81</v>
      </c>
      <c r="J326" t="s">
        <v>907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T326" t="s">
        <v>38</v>
      </c>
      <c r="U326">
        <v>0</v>
      </c>
      <c r="W326">
        <v>0</v>
      </c>
      <c r="X326">
        <v>0</v>
      </c>
      <c r="Y326">
        <v>0</v>
      </c>
      <c r="AE326">
        <f t="shared" si="15"/>
        <v>1</v>
      </c>
      <c r="AF326">
        <f>VLOOKUP(D326,especies!$A$2:$C$9,3,FALSE)</f>
        <v>2</v>
      </c>
      <c r="AG326" t="str">
        <f t="shared" si="16"/>
        <v>2-DPC (Doméstico de pelo corto o DSH)</v>
      </c>
      <c r="AH326">
        <f>VLOOKUP('Fichas clínicas'!AG326,razas!$A$2:$D$66,3,FALSE)</f>
        <v>51</v>
      </c>
      <c r="AI326" t="str">
        <f t="shared" si="17"/>
        <v>M</v>
      </c>
    </row>
    <row r="327" spans="1:35" x14ac:dyDescent="0.2">
      <c r="A327">
        <v>327</v>
      </c>
      <c r="B327" t="s">
        <v>911</v>
      </c>
      <c r="C327" t="s">
        <v>223</v>
      </c>
      <c r="D327" t="s">
        <v>32</v>
      </c>
      <c r="E327" t="s">
        <v>150</v>
      </c>
      <c r="F327" t="s">
        <v>47</v>
      </c>
      <c r="G327" t="s">
        <v>102</v>
      </c>
      <c r="J327" t="s">
        <v>912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T327" t="s">
        <v>38</v>
      </c>
      <c r="U327">
        <v>0</v>
      </c>
      <c r="W327">
        <v>0</v>
      </c>
      <c r="X327">
        <v>0</v>
      </c>
      <c r="Y327">
        <v>0</v>
      </c>
      <c r="AE327">
        <f t="shared" si="15"/>
        <v>1</v>
      </c>
      <c r="AF327">
        <f>VLOOKUP(D327,especies!$A$2:$C$9,3,FALSE)</f>
        <v>1</v>
      </c>
      <c r="AG327" t="str">
        <f t="shared" si="16"/>
        <v>1-Poodle</v>
      </c>
      <c r="AH327">
        <f>VLOOKUP('Fichas clínicas'!AG327,razas!$A$2:$D$66,3,FALSE)</f>
        <v>6</v>
      </c>
      <c r="AI327" t="str">
        <f t="shared" si="17"/>
        <v>M</v>
      </c>
    </row>
    <row r="328" spans="1:35" x14ac:dyDescent="0.2">
      <c r="A328">
        <v>328</v>
      </c>
      <c r="B328" t="s">
        <v>913</v>
      </c>
      <c r="C328" t="s">
        <v>914</v>
      </c>
      <c r="D328" t="s">
        <v>32</v>
      </c>
      <c r="E328" t="s">
        <v>143</v>
      </c>
      <c r="F328" t="s">
        <v>47</v>
      </c>
      <c r="G328" t="s">
        <v>583</v>
      </c>
      <c r="J328" t="s">
        <v>915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T328" t="s">
        <v>38</v>
      </c>
      <c r="U328">
        <v>0</v>
      </c>
      <c r="W328">
        <v>0</v>
      </c>
      <c r="X328">
        <v>0</v>
      </c>
      <c r="Y328">
        <v>0</v>
      </c>
      <c r="AE328">
        <f t="shared" si="15"/>
        <v>1</v>
      </c>
      <c r="AF328">
        <f>VLOOKUP(D328,especies!$A$2:$C$9,3,FALSE)</f>
        <v>1</v>
      </c>
      <c r="AG328" t="str">
        <f t="shared" si="16"/>
        <v>1-Yorkshire Terrier</v>
      </c>
      <c r="AH328">
        <f>VLOOKUP('Fichas clínicas'!AG328,razas!$A$2:$D$66,3,FALSE)</f>
        <v>5</v>
      </c>
      <c r="AI328" t="str">
        <f t="shared" si="17"/>
        <v>M</v>
      </c>
    </row>
    <row r="329" spans="1:35" x14ac:dyDescent="0.2">
      <c r="A329">
        <v>329</v>
      </c>
      <c r="B329" t="s">
        <v>916</v>
      </c>
      <c r="C329" t="s">
        <v>76</v>
      </c>
      <c r="D329" t="s">
        <v>32</v>
      </c>
      <c r="E329" t="s">
        <v>150</v>
      </c>
      <c r="F329" t="s">
        <v>47</v>
      </c>
      <c r="G329" t="s">
        <v>123</v>
      </c>
      <c r="J329" t="s">
        <v>912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T329" t="s">
        <v>38</v>
      </c>
      <c r="U329">
        <v>0</v>
      </c>
      <c r="W329">
        <v>0</v>
      </c>
      <c r="X329">
        <v>0</v>
      </c>
      <c r="Y329">
        <v>0</v>
      </c>
      <c r="AE329">
        <f t="shared" si="15"/>
        <v>1</v>
      </c>
      <c r="AF329">
        <f>VLOOKUP(D329,especies!$A$2:$C$9,3,FALSE)</f>
        <v>1</v>
      </c>
      <c r="AG329" t="str">
        <f t="shared" si="16"/>
        <v>1-Poodle</v>
      </c>
      <c r="AH329">
        <f>VLOOKUP('Fichas clínicas'!AG329,razas!$A$2:$D$66,3,FALSE)</f>
        <v>6</v>
      </c>
      <c r="AI329" t="str">
        <f t="shared" si="17"/>
        <v>M</v>
      </c>
    </row>
    <row r="330" spans="1:35" x14ac:dyDescent="0.2">
      <c r="A330">
        <v>330</v>
      </c>
      <c r="B330" t="s">
        <v>917</v>
      </c>
      <c r="C330" t="s">
        <v>551</v>
      </c>
      <c r="D330" t="s">
        <v>41</v>
      </c>
      <c r="E330" t="s">
        <v>42</v>
      </c>
      <c r="F330" t="s">
        <v>34</v>
      </c>
      <c r="G330" t="s">
        <v>77</v>
      </c>
      <c r="J330" t="s">
        <v>918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T330" t="s">
        <v>38</v>
      </c>
      <c r="U330">
        <v>0</v>
      </c>
      <c r="W330">
        <v>0</v>
      </c>
      <c r="X330">
        <v>0</v>
      </c>
      <c r="Y330">
        <v>0</v>
      </c>
      <c r="AE330">
        <f t="shared" si="15"/>
        <v>1</v>
      </c>
      <c r="AF330">
        <f>VLOOKUP(D330,especies!$A$2:$C$9,3,FALSE)</f>
        <v>2</v>
      </c>
      <c r="AG330" t="str">
        <f t="shared" si="16"/>
        <v>2-DPC (Doméstico de pelo corto o DSH)</v>
      </c>
      <c r="AH330">
        <f>VLOOKUP('Fichas clínicas'!AG330,razas!$A$2:$D$66,3,FALSE)</f>
        <v>51</v>
      </c>
      <c r="AI330" t="str">
        <f t="shared" si="17"/>
        <v>H</v>
      </c>
    </row>
    <row r="331" spans="1:35" x14ac:dyDescent="0.2">
      <c r="A331">
        <v>331</v>
      </c>
      <c r="B331" t="s">
        <v>919</v>
      </c>
      <c r="C331" t="s">
        <v>623</v>
      </c>
      <c r="D331" t="s">
        <v>32</v>
      </c>
      <c r="E331" t="s">
        <v>33</v>
      </c>
      <c r="F331" t="s">
        <v>47</v>
      </c>
      <c r="G331" t="s">
        <v>583</v>
      </c>
      <c r="J331" t="s">
        <v>920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T331" t="s">
        <v>38</v>
      </c>
      <c r="U331">
        <v>0</v>
      </c>
      <c r="W331">
        <v>0</v>
      </c>
      <c r="X331">
        <v>0</v>
      </c>
      <c r="Y331">
        <v>0</v>
      </c>
      <c r="AE331">
        <f t="shared" si="15"/>
        <v>1</v>
      </c>
      <c r="AF331">
        <f>VLOOKUP(D331,especies!$A$2:$C$9,3,FALSE)</f>
        <v>1</v>
      </c>
      <c r="AG331" t="str">
        <f t="shared" si="16"/>
        <v>1-Mestizo</v>
      </c>
      <c r="AH331">
        <f>VLOOKUP('Fichas clínicas'!AG331,razas!$A$2:$D$66,3,FALSE)</f>
        <v>1</v>
      </c>
      <c r="AI331" t="str">
        <f t="shared" si="17"/>
        <v>M</v>
      </c>
    </row>
    <row r="332" spans="1:35" x14ac:dyDescent="0.2">
      <c r="A332">
        <v>332</v>
      </c>
      <c r="B332" t="s">
        <v>921</v>
      </c>
      <c r="C332" t="s">
        <v>922</v>
      </c>
      <c r="D332" t="s">
        <v>32</v>
      </c>
      <c r="E332" t="s">
        <v>33</v>
      </c>
      <c r="F332" t="s">
        <v>47</v>
      </c>
      <c r="G332" t="s">
        <v>326</v>
      </c>
      <c r="J332" t="s">
        <v>923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T332" t="s">
        <v>38</v>
      </c>
      <c r="U332">
        <v>0</v>
      </c>
      <c r="W332">
        <v>0</v>
      </c>
      <c r="X332">
        <v>0</v>
      </c>
      <c r="Y332">
        <v>0</v>
      </c>
      <c r="AE332">
        <f t="shared" si="15"/>
        <v>1</v>
      </c>
      <c r="AF332">
        <f>VLOOKUP(D332,especies!$A$2:$C$9,3,FALSE)</f>
        <v>1</v>
      </c>
      <c r="AG332" t="str">
        <f t="shared" si="16"/>
        <v>1-Mestizo</v>
      </c>
      <c r="AH332">
        <f>VLOOKUP('Fichas clínicas'!AG332,razas!$A$2:$D$66,3,FALSE)</f>
        <v>1</v>
      </c>
      <c r="AI332" t="str">
        <f t="shared" si="17"/>
        <v>M</v>
      </c>
    </row>
    <row r="333" spans="1:35" x14ac:dyDescent="0.2">
      <c r="A333">
        <v>333</v>
      </c>
      <c r="B333" t="s">
        <v>924</v>
      </c>
      <c r="C333" t="s">
        <v>925</v>
      </c>
      <c r="D333" t="s">
        <v>32</v>
      </c>
      <c r="E333" t="s">
        <v>33</v>
      </c>
      <c r="F333" t="s">
        <v>47</v>
      </c>
      <c r="G333" t="s">
        <v>284</v>
      </c>
      <c r="J333" t="s">
        <v>926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Q333">
        <v>0</v>
      </c>
      <c r="T333" t="s">
        <v>38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f t="shared" si="15"/>
        <v>1</v>
      </c>
      <c r="AF333">
        <f>VLOOKUP(D333,especies!$A$2:$C$9,3,FALSE)</f>
        <v>1</v>
      </c>
      <c r="AG333" t="str">
        <f t="shared" si="16"/>
        <v>1-Mestizo</v>
      </c>
      <c r="AH333">
        <f>VLOOKUP('Fichas clínicas'!AG333,razas!$A$2:$D$66,3,FALSE)</f>
        <v>1</v>
      </c>
      <c r="AI333" t="str">
        <f t="shared" si="17"/>
        <v>M</v>
      </c>
    </row>
    <row r="334" spans="1:35" x14ac:dyDescent="0.2">
      <c r="A334">
        <v>334</v>
      </c>
      <c r="B334" t="s">
        <v>924</v>
      </c>
      <c r="C334" t="s">
        <v>927</v>
      </c>
      <c r="D334" t="s">
        <v>32</v>
      </c>
      <c r="E334" t="s">
        <v>33</v>
      </c>
      <c r="F334" t="s">
        <v>34</v>
      </c>
      <c r="G334" t="s">
        <v>284</v>
      </c>
      <c r="J334" t="s">
        <v>926</v>
      </c>
      <c r="K334" t="s">
        <v>38</v>
      </c>
      <c r="L334" t="s">
        <v>38</v>
      </c>
      <c r="M334" t="s">
        <v>38</v>
      </c>
      <c r="N334" t="s">
        <v>38</v>
      </c>
      <c r="O334" t="s">
        <v>38</v>
      </c>
      <c r="T334" t="s">
        <v>38</v>
      </c>
      <c r="U334">
        <v>0</v>
      </c>
      <c r="V334">
        <v>1</v>
      </c>
      <c r="W334">
        <v>0</v>
      </c>
      <c r="X334">
        <v>0</v>
      </c>
      <c r="Y334">
        <v>0</v>
      </c>
      <c r="AE334">
        <f t="shared" si="15"/>
        <v>1</v>
      </c>
      <c r="AF334">
        <f>VLOOKUP(D334,especies!$A$2:$C$9,3,FALSE)</f>
        <v>1</v>
      </c>
      <c r="AG334" t="str">
        <f t="shared" si="16"/>
        <v>1-Mestizo</v>
      </c>
      <c r="AH334">
        <f>VLOOKUP('Fichas clínicas'!AG334,razas!$A$2:$D$66,3,FALSE)</f>
        <v>1</v>
      </c>
      <c r="AI334" t="str">
        <f t="shared" si="17"/>
        <v>H</v>
      </c>
    </row>
    <row r="335" spans="1:35" x14ac:dyDescent="0.2">
      <c r="A335">
        <v>335</v>
      </c>
      <c r="B335" t="s">
        <v>629</v>
      </c>
      <c r="C335" t="s">
        <v>928</v>
      </c>
      <c r="D335" t="s">
        <v>41</v>
      </c>
      <c r="E335" t="s">
        <v>42</v>
      </c>
      <c r="F335" t="s">
        <v>47</v>
      </c>
      <c r="G335" t="s">
        <v>81</v>
      </c>
      <c r="J335" t="s">
        <v>335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T335" t="s">
        <v>38</v>
      </c>
      <c r="U335">
        <v>0</v>
      </c>
      <c r="V335">
        <v>1</v>
      </c>
      <c r="W335">
        <v>0</v>
      </c>
      <c r="X335">
        <v>0</v>
      </c>
      <c r="Y335">
        <v>0</v>
      </c>
      <c r="AE335">
        <f t="shared" si="15"/>
        <v>1</v>
      </c>
      <c r="AF335">
        <f>VLOOKUP(D335,especies!$A$2:$C$9,3,FALSE)</f>
        <v>2</v>
      </c>
      <c r="AG335" t="str">
        <f t="shared" si="16"/>
        <v>2-DPC (Doméstico de pelo corto o DSH)</v>
      </c>
      <c r="AH335">
        <f>VLOOKUP('Fichas clínicas'!AG335,razas!$A$2:$D$66,3,FALSE)</f>
        <v>51</v>
      </c>
      <c r="AI335" t="str">
        <f t="shared" si="17"/>
        <v>M</v>
      </c>
    </row>
    <row r="336" spans="1:35" x14ac:dyDescent="0.2">
      <c r="A336">
        <v>336</v>
      </c>
      <c r="B336" t="s">
        <v>929</v>
      </c>
      <c r="C336" t="s">
        <v>930</v>
      </c>
      <c r="D336" t="s">
        <v>32</v>
      </c>
      <c r="E336" t="s">
        <v>309</v>
      </c>
      <c r="F336" t="s">
        <v>47</v>
      </c>
      <c r="G336" t="s">
        <v>77</v>
      </c>
      <c r="J336" t="s">
        <v>931</v>
      </c>
      <c r="K336" t="s">
        <v>38</v>
      </c>
      <c r="L336" t="s">
        <v>38</v>
      </c>
      <c r="M336" t="s">
        <v>38</v>
      </c>
      <c r="N336" t="s">
        <v>38</v>
      </c>
      <c r="O336" t="s">
        <v>38</v>
      </c>
      <c r="T336" t="s">
        <v>38</v>
      </c>
      <c r="U336">
        <v>0</v>
      </c>
      <c r="W336">
        <v>0</v>
      </c>
      <c r="X336">
        <v>0</v>
      </c>
      <c r="Y336">
        <v>0</v>
      </c>
      <c r="AE336">
        <f t="shared" si="15"/>
        <v>1</v>
      </c>
      <c r="AF336">
        <f>VLOOKUP(D336,especies!$A$2:$C$9,3,FALSE)</f>
        <v>1</v>
      </c>
      <c r="AG336" t="str">
        <f t="shared" si="16"/>
        <v>1-Pug</v>
      </c>
      <c r="AH336">
        <f>VLOOKUP('Fichas clínicas'!AG336,razas!$A$2:$D$66,3,FALSE)</f>
        <v>11</v>
      </c>
      <c r="AI336" t="str">
        <f t="shared" si="17"/>
        <v>M</v>
      </c>
    </row>
    <row r="337" spans="1:35" x14ac:dyDescent="0.2">
      <c r="A337">
        <v>337</v>
      </c>
      <c r="B337" t="s">
        <v>929</v>
      </c>
      <c r="C337" t="s">
        <v>280</v>
      </c>
      <c r="D337" t="s">
        <v>32</v>
      </c>
      <c r="E337" t="s">
        <v>309</v>
      </c>
      <c r="F337" t="s">
        <v>34</v>
      </c>
      <c r="G337" t="s">
        <v>77</v>
      </c>
      <c r="J337" t="s">
        <v>181</v>
      </c>
      <c r="K337" t="s">
        <v>38</v>
      </c>
      <c r="L337" t="s">
        <v>38</v>
      </c>
      <c r="M337" t="s">
        <v>38</v>
      </c>
      <c r="N337" t="s">
        <v>38</v>
      </c>
      <c r="O337" t="s">
        <v>38</v>
      </c>
      <c r="T337" t="s">
        <v>38</v>
      </c>
      <c r="U337">
        <v>0</v>
      </c>
      <c r="W337">
        <v>0</v>
      </c>
      <c r="X337">
        <v>0</v>
      </c>
      <c r="Y337">
        <v>0</v>
      </c>
      <c r="AE337">
        <f t="shared" si="15"/>
        <v>1</v>
      </c>
      <c r="AF337">
        <f>VLOOKUP(D337,especies!$A$2:$C$9,3,FALSE)</f>
        <v>1</v>
      </c>
      <c r="AG337" t="str">
        <f t="shared" si="16"/>
        <v>1-Pug</v>
      </c>
      <c r="AH337">
        <f>VLOOKUP('Fichas clínicas'!AG337,razas!$A$2:$D$66,3,FALSE)</f>
        <v>11</v>
      </c>
      <c r="AI337" t="str">
        <f t="shared" si="17"/>
        <v>H</v>
      </c>
    </row>
    <row r="338" spans="1:35" x14ac:dyDescent="0.2">
      <c r="A338">
        <v>338</v>
      </c>
      <c r="B338" t="s">
        <v>932</v>
      </c>
      <c r="C338" t="s">
        <v>933</v>
      </c>
      <c r="D338" t="s">
        <v>32</v>
      </c>
      <c r="E338" t="s">
        <v>934</v>
      </c>
      <c r="F338" t="s">
        <v>47</v>
      </c>
      <c r="G338" t="s">
        <v>116</v>
      </c>
      <c r="J338" t="s">
        <v>935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T338" t="s">
        <v>38</v>
      </c>
      <c r="U338">
        <v>0</v>
      </c>
      <c r="V338">
        <v>1</v>
      </c>
      <c r="W338">
        <v>0</v>
      </c>
      <c r="X338">
        <v>0</v>
      </c>
      <c r="Y338">
        <v>0</v>
      </c>
      <c r="AE338">
        <f t="shared" si="15"/>
        <v>1</v>
      </c>
      <c r="AF338">
        <f>VLOOKUP(D338,especies!$A$2:$C$9,3,FALSE)</f>
        <v>1</v>
      </c>
      <c r="AG338" t="str">
        <f t="shared" si="16"/>
        <v>1-Siberian Husky</v>
      </c>
      <c r="AH338">
        <f>VLOOKUP('Fichas clínicas'!AG338,razas!$A$2:$D$66,3,FALSE)</f>
        <v>24</v>
      </c>
      <c r="AI338" t="str">
        <f t="shared" si="17"/>
        <v>M</v>
      </c>
    </row>
    <row r="339" spans="1:35" x14ac:dyDescent="0.2">
      <c r="A339">
        <v>339</v>
      </c>
      <c r="B339" t="s">
        <v>936</v>
      </c>
      <c r="C339" t="s">
        <v>937</v>
      </c>
      <c r="D339" t="s">
        <v>32</v>
      </c>
      <c r="E339" t="s">
        <v>473</v>
      </c>
      <c r="F339" t="s">
        <v>34</v>
      </c>
      <c r="G339" t="s">
        <v>165</v>
      </c>
      <c r="J339" t="s">
        <v>858</v>
      </c>
      <c r="K339" t="s">
        <v>38</v>
      </c>
      <c r="L339" t="s">
        <v>38</v>
      </c>
      <c r="M339" t="s">
        <v>38</v>
      </c>
      <c r="N339" t="s">
        <v>38</v>
      </c>
      <c r="O339" t="s">
        <v>38</v>
      </c>
      <c r="T339" t="s">
        <v>38</v>
      </c>
      <c r="U339">
        <v>0</v>
      </c>
      <c r="V339">
        <v>1</v>
      </c>
      <c r="W339">
        <v>0</v>
      </c>
      <c r="X339">
        <v>0</v>
      </c>
      <c r="Y339">
        <v>0</v>
      </c>
      <c r="AE339">
        <f t="shared" si="15"/>
        <v>1</v>
      </c>
      <c r="AF339">
        <f>VLOOKUP(D339,especies!$A$2:$C$9,3,FALSE)</f>
        <v>1</v>
      </c>
      <c r="AG339" t="str">
        <f t="shared" si="16"/>
        <v>1-Boxer</v>
      </c>
      <c r="AH339">
        <f>VLOOKUP('Fichas clínicas'!AG339,razas!$A$2:$D$66,3,FALSE)</f>
        <v>14</v>
      </c>
      <c r="AI339" t="str">
        <f t="shared" si="17"/>
        <v>H</v>
      </c>
    </row>
    <row r="340" spans="1:35" x14ac:dyDescent="0.2">
      <c r="A340">
        <v>340</v>
      </c>
      <c r="B340" t="s">
        <v>938</v>
      </c>
      <c r="C340" t="s">
        <v>939</v>
      </c>
      <c r="D340" t="s">
        <v>32</v>
      </c>
      <c r="E340" t="s">
        <v>33</v>
      </c>
      <c r="F340" t="s">
        <v>47</v>
      </c>
      <c r="G340" t="s">
        <v>297</v>
      </c>
      <c r="J340" t="s">
        <v>940</v>
      </c>
      <c r="K340" t="s">
        <v>38</v>
      </c>
      <c r="L340" t="s">
        <v>38</v>
      </c>
      <c r="M340" t="s">
        <v>38</v>
      </c>
      <c r="N340" t="s">
        <v>38</v>
      </c>
      <c r="O340" t="s">
        <v>38</v>
      </c>
      <c r="Q340">
        <v>0</v>
      </c>
      <c r="T340" t="s">
        <v>38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f t="shared" si="15"/>
        <v>1</v>
      </c>
      <c r="AF340">
        <f>VLOOKUP(D340,especies!$A$2:$C$9,3,FALSE)</f>
        <v>1</v>
      </c>
      <c r="AG340" t="str">
        <f t="shared" si="16"/>
        <v>1-Mestizo</v>
      </c>
      <c r="AH340">
        <f>VLOOKUP('Fichas clínicas'!AG340,razas!$A$2:$D$66,3,FALSE)</f>
        <v>1</v>
      </c>
      <c r="AI340" t="str">
        <f t="shared" si="17"/>
        <v>M</v>
      </c>
    </row>
    <row r="341" spans="1:35" x14ac:dyDescent="0.2">
      <c r="A341">
        <v>341</v>
      </c>
      <c r="B341" t="s">
        <v>941</v>
      </c>
      <c r="C341" t="s">
        <v>942</v>
      </c>
      <c r="D341" t="s">
        <v>41</v>
      </c>
      <c r="E341" t="s">
        <v>93</v>
      </c>
      <c r="F341" t="s">
        <v>47</v>
      </c>
      <c r="G341" t="s">
        <v>77</v>
      </c>
      <c r="J341" t="s">
        <v>943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T341" t="s">
        <v>38</v>
      </c>
      <c r="U341">
        <v>0</v>
      </c>
      <c r="W341">
        <v>0</v>
      </c>
      <c r="X341">
        <v>0</v>
      </c>
      <c r="Y341">
        <v>0</v>
      </c>
      <c r="AE341">
        <f t="shared" si="15"/>
        <v>1</v>
      </c>
      <c r="AF341">
        <f>VLOOKUP(D341,especies!$A$2:$C$9,3,FALSE)</f>
        <v>2</v>
      </c>
      <c r="AG341" t="str">
        <f t="shared" si="16"/>
        <v>2-DPL (Doméstico de pelo Largo o DLH)</v>
      </c>
      <c r="AH341">
        <f>VLOOKUP('Fichas clínicas'!AG341,razas!$A$2:$D$66,3,FALSE)</f>
        <v>52</v>
      </c>
      <c r="AI341" t="str">
        <f t="shared" si="17"/>
        <v>M</v>
      </c>
    </row>
    <row r="342" spans="1:35" x14ac:dyDescent="0.2">
      <c r="A342">
        <v>342</v>
      </c>
      <c r="B342" t="s">
        <v>944</v>
      </c>
      <c r="C342" t="s">
        <v>945</v>
      </c>
      <c r="D342" t="s">
        <v>32</v>
      </c>
      <c r="E342" t="s">
        <v>33</v>
      </c>
      <c r="F342" t="s">
        <v>47</v>
      </c>
      <c r="G342" t="s">
        <v>43</v>
      </c>
      <c r="J342" t="s">
        <v>61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Q342">
        <v>0</v>
      </c>
      <c r="T342" t="s">
        <v>38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f t="shared" si="15"/>
        <v>1</v>
      </c>
      <c r="AF342">
        <f>VLOOKUP(D342,especies!$A$2:$C$9,3,FALSE)</f>
        <v>1</v>
      </c>
      <c r="AG342" t="str">
        <f t="shared" si="16"/>
        <v>1-Mestizo</v>
      </c>
      <c r="AH342">
        <f>VLOOKUP('Fichas clínicas'!AG342,razas!$A$2:$D$66,3,FALSE)</f>
        <v>1</v>
      </c>
      <c r="AI342" t="str">
        <f t="shared" si="17"/>
        <v>M</v>
      </c>
    </row>
    <row r="343" spans="1:35" x14ac:dyDescent="0.2">
      <c r="A343">
        <v>343</v>
      </c>
      <c r="B343" t="s">
        <v>946</v>
      </c>
      <c r="C343" t="s">
        <v>947</v>
      </c>
      <c r="D343" t="s">
        <v>41</v>
      </c>
      <c r="E343" t="s">
        <v>93</v>
      </c>
      <c r="F343" t="s">
        <v>34</v>
      </c>
      <c r="G343" t="s">
        <v>948</v>
      </c>
      <c r="J343" t="s">
        <v>833</v>
      </c>
      <c r="K343" t="s">
        <v>38</v>
      </c>
      <c r="L343" t="s">
        <v>38</v>
      </c>
      <c r="M343" t="s">
        <v>38</v>
      </c>
      <c r="N343" t="s">
        <v>38</v>
      </c>
      <c r="O343" t="s">
        <v>38</v>
      </c>
      <c r="T343" t="s">
        <v>38</v>
      </c>
      <c r="U343">
        <v>0</v>
      </c>
      <c r="W343">
        <v>0</v>
      </c>
      <c r="X343">
        <v>0</v>
      </c>
      <c r="Y343">
        <v>0</v>
      </c>
      <c r="AE343">
        <f t="shared" si="15"/>
        <v>1</v>
      </c>
      <c r="AF343">
        <f>VLOOKUP(D343,especies!$A$2:$C$9,3,FALSE)</f>
        <v>2</v>
      </c>
      <c r="AG343" t="str">
        <f t="shared" si="16"/>
        <v>2-DPL (Doméstico de pelo Largo o DLH)</v>
      </c>
      <c r="AH343">
        <f>VLOOKUP('Fichas clínicas'!AG343,razas!$A$2:$D$66,3,FALSE)</f>
        <v>52</v>
      </c>
      <c r="AI343" t="str">
        <f t="shared" si="17"/>
        <v>H</v>
      </c>
    </row>
    <row r="344" spans="1:35" x14ac:dyDescent="0.2">
      <c r="A344">
        <v>344</v>
      </c>
      <c r="B344" t="s">
        <v>949</v>
      </c>
      <c r="C344" t="s">
        <v>308</v>
      </c>
      <c r="D344" t="s">
        <v>32</v>
      </c>
      <c r="E344" t="s">
        <v>150</v>
      </c>
      <c r="F344" t="s">
        <v>34</v>
      </c>
      <c r="G344" t="s">
        <v>123</v>
      </c>
      <c r="J344" t="s">
        <v>950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T344" t="s">
        <v>38</v>
      </c>
      <c r="U344">
        <v>0</v>
      </c>
      <c r="V344">
        <v>1</v>
      </c>
      <c r="W344">
        <v>0</v>
      </c>
      <c r="X344">
        <v>0</v>
      </c>
      <c r="Y344">
        <v>0</v>
      </c>
      <c r="AE344">
        <f t="shared" si="15"/>
        <v>1</v>
      </c>
      <c r="AF344">
        <f>VLOOKUP(D344,especies!$A$2:$C$9,3,FALSE)</f>
        <v>1</v>
      </c>
      <c r="AG344" t="str">
        <f t="shared" si="16"/>
        <v>1-Poodle</v>
      </c>
      <c r="AH344">
        <f>VLOOKUP('Fichas clínicas'!AG344,razas!$A$2:$D$66,3,FALSE)</f>
        <v>6</v>
      </c>
      <c r="AI344" t="str">
        <f t="shared" si="17"/>
        <v>H</v>
      </c>
    </row>
    <row r="345" spans="1:35" x14ac:dyDescent="0.2">
      <c r="A345">
        <v>345</v>
      </c>
      <c r="B345" t="s">
        <v>951</v>
      </c>
      <c r="C345" t="s">
        <v>757</v>
      </c>
      <c r="D345" t="s">
        <v>32</v>
      </c>
      <c r="E345" t="s">
        <v>33</v>
      </c>
      <c r="F345" t="s">
        <v>47</v>
      </c>
      <c r="G345" t="s">
        <v>277</v>
      </c>
      <c r="J345" t="s">
        <v>952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T345" t="s">
        <v>38</v>
      </c>
      <c r="U345">
        <v>0</v>
      </c>
      <c r="W345">
        <v>0</v>
      </c>
      <c r="X345">
        <v>0</v>
      </c>
      <c r="Y345">
        <v>0</v>
      </c>
      <c r="AE345">
        <f t="shared" si="15"/>
        <v>1</v>
      </c>
      <c r="AF345">
        <f>VLOOKUP(D345,especies!$A$2:$C$9,3,FALSE)</f>
        <v>1</v>
      </c>
      <c r="AG345" t="str">
        <f t="shared" si="16"/>
        <v>1-Mestizo</v>
      </c>
      <c r="AH345">
        <f>VLOOKUP('Fichas clínicas'!AG345,razas!$A$2:$D$66,3,FALSE)</f>
        <v>1</v>
      </c>
      <c r="AI345" t="str">
        <f t="shared" si="17"/>
        <v>M</v>
      </c>
    </row>
    <row r="346" spans="1:35" x14ac:dyDescent="0.2">
      <c r="A346">
        <v>346</v>
      </c>
      <c r="B346" t="s">
        <v>953</v>
      </c>
      <c r="C346" t="s">
        <v>954</v>
      </c>
      <c r="D346" t="s">
        <v>32</v>
      </c>
      <c r="E346" t="s">
        <v>150</v>
      </c>
      <c r="F346" t="s">
        <v>34</v>
      </c>
      <c r="G346" t="s">
        <v>123</v>
      </c>
      <c r="J346" t="s">
        <v>955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T346" t="s">
        <v>38</v>
      </c>
      <c r="U346">
        <v>0</v>
      </c>
      <c r="V346">
        <v>1</v>
      </c>
      <c r="W346">
        <v>0</v>
      </c>
      <c r="X346">
        <v>0</v>
      </c>
      <c r="Y346">
        <v>0</v>
      </c>
      <c r="AE346">
        <f t="shared" si="15"/>
        <v>1</v>
      </c>
      <c r="AF346">
        <f>VLOOKUP(D346,especies!$A$2:$C$9,3,FALSE)</f>
        <v>1</v>
      </c>
      <c r="AG346" t="str">
        <f t="shared" si="16"/>
        <v>1-Poodle</v>
      </c>
      <c r="AH346">
        <f>VLOOKUP('Fichas clínicas'!AG346,razas!$A$2:$D$66,3,FALSE)</f>
        <v>6</v>
      </c>
      <c r="AI346" t="str">
        <f t="shared" si="17"/>
        <v>H</v>
      </c>
    </row>
    <row r="347" spans="1:35" x14ac:dyDescent="0.2">
      <c r="A347">
        <v>347</v>
      </c>
      <c r="B347" t="s">
        <v>956</v>
      </c>
      <c r="C347" t="s">
        <v>156</v>
      </c>
      <c r="D347" t="s">
        <v>41</v>
      </c>
      <c r="E347" t="s">
        <v>42</v>
      </c>
      <c r="F347" t="s">
        <v>47</v>
      </c>
      <c r="G347" t="s">
        <v>109</v>
      </c>
      <c r="J347" t="s">
        <v>957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T347" t="s">
        <v>38</v>
      </c>
      <c r="U347">
        <v>0</v>
      </c>
      <c r="W347">
        <v>0</v>
      </c>
      <c r="X347">
        <v>0</v>
      </c>
      <c r="Y347">
        <v>0</v>
      </c>
      <c r="AE347">
        <f t="shared" si="15"/>
        <v>1</v>
      </c>
      <c r="AF347">
        <f>VLOOKUP(D347,especies!$A$2:$C$9,3,FALSE)</f>
        <v>2</v>
      </c>
      <c r="AG347" t="str">
        <f t="shared" si="16"/>
        <v>2-DPC (Doméstico de pelo corto o DSH)</v>
      </c>
      <c r="AH347">
        <f>VLOOKUP('Fichas clínicas'!AG347,razas!$A$2:$D$66,3,FALSE)</f>
        <v>51</v>
      </c>
      <c r="AI347" t="str">
        <f t="shared" si="17"/>
        <v>M</v>
      </c>
    </row>
    <row r="348" spans="1:35" x14ac:dyDescent="0.2">
      <c r="A348">
        <v>348</v>
      </c>
      <c r="B348" t="s">
        <v>958</v>
      </c>
      <c r="C348" t="s">
        <v>959</v>
      </c>
      <c r="D348" t="s">
        <v>32</v>
      </c>
      <c r="E348" t="s">
        <v>33</v>
      </c>
      <c r="F348" t="s">
        <v>34</v>
      </c>
      <c r="G348" t="s">
        <v>740</v>
      </c>
      <c r="J348" t="s">
        <v>960</v>
      </c>
      <c r="K348" t="s">
        <v>38</v>
      </c>
      <c r="L348" t="s">
        <v>38</v>
      </c>
      <c r="M348" t="s">
        <v>38</v>
      </c>
      <c r="N348" t="s">
        <v>38</v>
      </c>
      <c r="O348" t="s">
        <v>38</v>
      </c>
      <c r="T348" t="s">
        <v>38</v>
      </c>
      <c r="U348">
        <v>0</v>
      </c>
      <c r="V348">
        <v>1</v>
      </c>
      <c r="W348">
        <v>0</v>
      </c>
      <c r="X348">
        <v>0</v>
      </c>
      <c r="Y348">
        <v>0</v>
      </c>
      <c r="AE348">
        <f t="shared" si="15"/>
        <v>1</v>
      </c>
      <c r="AF348">
        <f>VLOOKUP(D348,especies!$A$2:$C$9,3,FALSE)</f>
        <v>1</v>
      </c>
      <c r="AG348" t="str">
        <f t="shared" si="16"/>
        <v>1-Mestizo</v>
      </c>
      <c r="AH348">
        <f>VLOOKUP('Fichas clínicas'!AG348,razas!$A$2:$D$66,3,FALSE)</f>
        <v>1</v>
      </c>
      <c r="AI348" t="str">
        <f t="shared" si="17"/>
        <v>H</v>
      </c>
    </row>
    <row r="349" spans="1:35" x14ac:dyDescent="0.2">
      <c r="A349">
        <v>349</v>
      </c>
      <c r="B349" t="s">
        <v>961</v>
      </c>
      <c r="C349" t="s">
        <v>962</v>
      </c>
      <c r="D349" t="s">
        <v>32</v>
      </c>
      <c r="E349" t="s">
        <v>33</v>
      </c>
      <c r="F349" t="s">
        <v>34</v>
      </c>
      <c r="G349" t="s">
        <v>220</v>
      </c>
      <c r="J349" t="s">
        <v>963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T349" t="s">
        <v>38</v>
      </c>
      <c r="U349">
        <v>0</v>
      </c>
      <c r="W349">
        <v>0</v>
      </c>
      <c r="X349">
        <v>0</v>
      </c>
      <c r="Y349">
        <v>0</v>
      </c>
      <c r="AE349">
        <f t="shared" si="15"/>
        <v>1</v>
      </c>
      <c r="AF349">
        <f>VLOOKUP(D349,especies!$A$2:$C$9,3,FALSE)</f>
        <v>1</v>
      </c>
      <c r="AG349" t="str">
        <f t="shared" si="16"/>
        <v>1-Mestizo</v>
      </c>
      <c r="AH349">
        <f>VLOOKUP('Fichas clínicas'!AG349,razas!$A$2:$D$66,3,FALSE)</f>
        <v>1</v>
      </c>
      <c r="AI349" t="str">
        <f t="shared" si="17"/>
        <v>H</v>
      </c>
    </row>
    <row r="350" spans="1:35" x14ac:dyDescent="0.2">
      <c r="A350">
        <v>350</v>
      </c>
      <c r="B350" t="s">
        <v>500</v>
      </c>
      <c r="C350" t="s">
        <v>964</v>
      </c>
      <c r="D350" t="s">
        <v>41</v>
      </c>
      <c r="E350" t="s">
        <v>42</v>
      </c>
      <c r="F350" t="s">
        <v>47</v>
      </c>
      <c r="G350" t="s">
        <v>965</v>
      </c>
      <c r="J350" t="s">
        <v>410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Q350">
        <v>0</v>
      </c>
      <c r="T350" t="s">
        <v>38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f t="shared" si="15"/>
        <v>1</v>
      </c>
      <c r="AF350">
        <f>VLOOKUP(D350,especies!$A$2:$C$9,3,FALSE)</f>
        <v>2</v>
      </c>
      <c r="AG350" t="str">
        <f t="shared" si="16"/>
        <v>2-DPC (Doméstico de pelo corto o DSH)</v>
      </c>
      <c r="AH350">
        <f>VLOOKUP('Fichas clínicas'!AG350,razas!$A$2:$D$66,3,FALSE)</f>
        <v>51</v>
      </c>
      <c r="AI350" t="str">
        <f t="shared" si="17"/>
        <v>M</v>
      </c>
    </row>
    <row r="351" spans="1:35" x14ac:dyDescent="0.2">
      <c r="A351">
        <v>351</v>
      </c>
      <c r="B351" t="s">
        <v>500</v>
      </c>
      <c r="C351" t="s">
        <v>280</v>
      </c>
      <c r="D351" t="s">
        <v>41</v>
      </c>
      <c r="E351" t="s">
        <v>42</v>
      </c>
      <c r="F351" t="s">
        <v>34</v>
      </c>
      <c r="G351" t="s">
        <v>467</v>
      </c>
      <c r="J351" t="s">
        <v>410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T351" t="s">
        <v>38</v>
      </c>
      <c r="U351">
        <v>0</v>
      </c>
      <c r="W351">
        <v>0</v>
      </c>
      <c r="X351">
        <v>0</v>
      </c>
      <c r="Y351">
        <v>0</v>
      </c>
      <c r="AE351">
        <f t="shared" si="15"/>
        <v>1</v>
      </c>
      <c r="AF351">
        <f>VLOOKUP(D351,especies!$A$2:$C$9,3,FALSE)</f>
        <v>2</v>
      </c>
      <c r="AG351" t="str">
        <f t="shared" si="16"/>
        <v>2-DPC (Doméstico de pelo corto o DSH)</v>
      </c>
      <c r="AH351">
        <f>VLOOKUP('Fichas clínicas'!AG351,razas!$A$2:$D$66,3,FALSE)</f>
        <v>51</v>
      </c>
      <c r="AI351" t="str">
        <f t="shared" si="17"/>
        <v>H</v>
      </c>
    </row>
    <row r="352" spans="1:35" x14ac:dyDescent="0.2">
      <c r="A352">
        <v>352</v>
      </c>
      <c r="B352" t="s">
        <v>966</v>
      </c>
      <c r="C352" t="s">
        <v>457</v>
      </c>
      <c r="D352" t="s">
        <v>32</v>
      </c>
      <c r="E352" t="s">
        <v>150</v>
      </c>
      <c r="F352" t="s">
        <v>47</v>
      </c>
      <c r="G352" t="s">
        <v>123</v>
      </c>
      <c r="J352" t="s">
        <v>967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T352" t="s">
        <v>38</v>
      </c>
      <c r="U352">
        <v>0</v>
      </c>
      <c r="W352">
        <v>0</v>
      </c>
      <c r="X352">
        <v>0</v>
      </c>
      <c r="Y352">
        <v>0</v>
      </c>
      <c r="AE352">
        <f t="shared" si="15"/>
        <v>1</v>
      </c>
      <c r="AF352">
        <f>VLOOKUP(D352,especies!$A$2:$C$9,3,FALSE)</f>
        <v>1</v>
      </c>
      <c r="AG352" t="str">
        <f t="shared" si="16"/>
        <v>1-Poodle</v>
      </c>
      <c r="AH352">
        <f>VLOOKUP('Fichas clínicas'!AG352,razas!$A$2:$D$66,3,FALSE)</f>
        <v>6</v>
      </c>
      <c r="AI352" t="str">
        <f t="shared" si="17"/>
        <v>M</v>
      </c>
    </row>
    <row r="353" spans="1:35" x14ac:dyDescent="0.2">
      <c r="A353">
        <v>353</v>
      </c>
      <c r="B353" t="s">
        <v>968</v>
      </c>
      <c r="C353" t="s">
        <v>969</v>
      </c>
      <c r="D353" t="s">
        <v>32</v>
      </c>
      <c r="E353" t="s">
        <v>970</v>
      </c>
      <c r="F353" t="s">
        <v>47</v>
      </c>
      <c r="G353" t="s">
        <v>971</v>
      </c>
      <c r="J353" t="s">
        <v>972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T353" t="s">
        <v>38</v>
      </c>
      <c r="U353">
        <v>0</v>
      </c>
      <c r="W353">
        <v>0</v>
      </c>
      <c r="X353">
        <v>0</v>
      </c>
      <c r="Y353">
        <v>0</v>
      </c>
      <c r="AE353">
        <f t="shared" si="15"/>
        <v>1</v>
      </c>
      <c r="AF353">
        <f>VLOOKUP(D353,especies!$A$2:$C$9,3,FALSE)</f>
        <v>1</v>
      </c>
      <c r="AG353" t="str">
        <f t="shared" si="16"/>
        <v>1-American Pit Bull Terrier</v>
      </c>
      <c r="AH353">
        <f>VLOOKUP('Fichas clínicas'!AG353,razas!$A$2:$D$66,3,FALSE)</f>
        <v>25</v>
      </c>
      <c r="AI353" t="str">
        <f t="shared" si="17"/>
        <v>M</v>
      </c>
    </row>
    <row r="354" spans="1:35" x14ac:dyDescent="0.2">
      <c r="A354">
        <v>354</v>
      </c>
      <c r="B354" t="s">
        <v>968</v>
      </c>
      <c r="C354" t="s">
        <v>648</v>
      </c>
      <c r="D354" t="s">
        <v>32</v>
      </c>
      <c r="E354" t="s">
        <v>970</v>
      </c>
      <c r="F354" t="s">
        <v>34</v>
      </c>
      <c r="G354" t="s">
        <v>188</v>
      </c>
      <c r="J354" t="s">
        <v>972</v>
      </c>
      <c r="K354" t="s">
        <v>38</v>
      </c>
      <c r="L354" t="s">
        <v>38</v>
      </c>
      <c r="M354" t="s">
        <v>38</v>
      </c>
      <c r="N354" t="s">
        <v>38</v>
      </c>
      <c r="O354" t="s">
        <v>38</v>
      </c>
      <c r="T354" t="s">
        <v>38</v>
      </c>
      <c r="U354">
        <v>0</v>
      </c>
      <c r="W354">
        <v>0</v>
      </c>
      <c r="X354">
        <v>0</v>
      </c>
      <c r="Y354">
        <v>0</v>
      </c>
      <c r="AE354">
        <f t="shared" si="15"/>
        <v>1</v>
      </c>
      <c r="AF354">
        <f>VLOOKUP(D354,especies!$A$2:$C$9,3,FALSE)</f>
        <v>1</v>
      </c>
      <c r="AG354" t="str">
        <f t="shared" si="16"/>
        <v>1-American Pit Bull Terrier</v>
      </c>
      <c r="AH354">
        <f>VLOOKUP('Fichas clínicas'!AG354,razas!$A$2:$D$66,3,FALSE)</f>
        <v>25</v>
      </c>
      <c r="AI354" t="str">
        <f t="shared" si="17"/>
        <v>H</v>
      </c>
    </row>
    <row r="355" spans="1:35" x14ac:dyDescent="0.2">
      <c r="A355">
        <v>355</v>
      </c>
      <c r="B355" t="s">
        <v>973</v>
      </c>
      <c r="C355" t="s">
        <v>232</v>
      </c>
      <c r="D355" t="s">
        <v>32</v>
      </c>
      <c r="E355" t="s">
        <v>150</v>
      </c>
      <c r="F355" t="s">
        <v>47</v>
      </c>
      <c r="G355" t="s">
        <v>123</v>
      </c>
      <c r="J355" t="s">
        <v>974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T355" t="s">
        <v>38</v>
      </c>
      <c r="U355">
        <v>0</v>
      </c>
      <c r="W355">
        <v>0</v>
      </c>
      <c r="X355">
        <v>0</v>
      </c>
      <c r="Y355">
        <v>0</v>
      </c>
      <c r="AE355">
        <f t="shared" si="15"/>
        <v>1</v>
      </c>
      <c r="AF355">
        <f>VLOOKUP(D355,especies!$A$2:$C$9,3,FALSE)</f>
        <v>1</v>
      </c>
      <c r="AG355" t="str">
        <f t="shared" si="16"/>
        <v>1-Poodle</v>
      </c>
      <c r="AH355">
        <f>VLOOKUP('Fichas clínicas'!AG355,razas!$A$2:$D$66,3,FALSE)</f>
        <v>6</v>
      </c>
      <c r="AI355" t="str">
        <f t="shared" si="17"/>
        <v>M</v>
      </c>
    </row>
    <row r="356" spans="1:35" x14ac:dyDescent="0.2">
      <c r="A356">
        <v>356</v>
      </c>
      <c r="B356" t="s">
        <v>874</v>
      </c>
      <c r="C356" t="s">
        <v>975</v>
      </c>
      <c r="D356" t="s">
        <v>32</v>
      </c>
      <c r="E356" t="s">
        <v>970</v>
      </c>
      <c r="F356" t="s">
        <v>47</v>
      </c>
      <c r="G356" t="s">
        <v>73</v>
      </c>
      <c r="J356" t="s">
        <v>976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T356" t="s">
        <v>38</v>
      </c>
      <c r="U356">
        <v>0</v>
      </c>
      <c r="W356">
        <v>0</v>
      </c>
      <c r="X356">
        <v>0</v>
      </c>
      <c r="Y356">
        <v>0</v>
      </c>
      <c r="AE356">
        <f t="shared" si="15"/>
        <v>1</v>
      </c>
      <c r="AF356">
        <f>VLOOKUP(D356,especies!$A$2:$C$9,3,FALSE)</f>
        <v>1</v>
      </c>
      <c r="AG356" t="str">
        <f t="shared" si="16"/>
        <v>1-American Pit Bull Terrier</v>
      </c>
      <c r="AH356">
        <f>VLOOKUP('Fichas clínicas'!AG356,razas!$A$2:$D$66,3,FALSE)</f>
        <v>25</v>
      </c>
      <c r="AI356" t="str">
        <f t="shared" si="17"/>
        <v>M</v>
      </c>
    </row>
    <row r="357" spans="1:35" x14ac:dyDescent="0.2">
      <c r="A357">
        <v>357</v>
      </c>
      <c r="B357" t="s">
        <v>977</v>
      </c>
      <c r="C357" t="s">
        <v>978</v>
      </c>
      <c r="D357" t="s">
        <v>32</v>
      </c>
      <c r="E357" t="s">
        <v>33</v>
      </c>
      <c r="F357" t="s">
        <v>34</v>
      </c>
      <c r="G357" t="s">
        <v>99</v>
      </c>
      <c r="J357" t="s">
        <v>979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T357" t="s">
        <v>38</v>
      </c>
      <c r="U357">
        <v>0</v>
      </c>
      <c r="W357">
        <v>0</v>
      </c>
      <c r="X357">
        <v>0</v>
      </c>
      <c r="Y357">
        <v>0</v>
      </c>
      <c r="AE357">
        <f t="shared" si="15"/>
        <v>1</v>
      </c>
      <c r="AF357">
        <f>VLOOKUP(D357,especies!$A$2:$C$9,3,FALSE)</f>
        <v>1</v>
      </c>
      <c r="AG357" t="str">
        <f t="shared" si="16"/>
        <v>1-Mestizo</v>
      </c>
      <c r="AH357">
        <f>VLOOKUP('Fichas clínicas'!AG357,razas!$A$2:$D$66,3,FALSE)</f>
        <v>1</v>
      </c>
      <c r="AI357" t="str">
        <f t="shared" si="17"/>
        <v>H</v>
      </c>
    </row>
    <row r="358" spans="1:35" x14ac:dyDescent="0.2">
      <c r="A358">
        <v>358</v>
      </c>
      <c r="B358" t="s">
        <v>775</v>
      </c>
      <c r="C358" t="s">
        <v>80</v>
      </c>
      <c r="D358" t="s">
        <v>41</v>
      </c>
      <c r="E358" t="s">
        <v>93</v>
      </c>
      <c r="F358" t="s">
        <v>34</v>
      </c>
      <c r="G358" t="s">
        <v>297</v>
      </c>
      <c r="I358">
        <v>939000007188777</v>
      </c>
      <c r="J358" t="s">
        <v>841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Q358">
        <v>0</v>
      </c>
      <c r="T358" t="s">
        <v>38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f t="shared" si="15"/>
        <v>1</v>
      </c>
      <c r="AF358">
        <f>VLOOKUP(D358,especies!$A$2:$C$9,3,FALSE)</f>
        <v>2</v>
      </c>
      <c r="AG358" t="str">
        <f t="shared" si="16"/>
        <v>2-DPL (Doméstico de pelo Largo o DLH)</v>
      </c>
      <c r="AH358">
        <f>VLOOKUP('Fichas clínicas'!AG358,razas!$A$2:$D$66,3,FALSE)</f>
        <v>52</v>
      </c>
      <c r="AI358" t="str">
        <f t="shared" si="17"/>
        <v>H</v>
      </c>
    </row>
    <row r="359" spans="1:35" x14ac:dyDescent="0.2">
      <c r="A359">
        <v>359</v>
      </c>
      <c r="B359" t="s">
        <v>980</v>
      </c>
      <c r="C359" t="s">
        <v>981</v>
      </c>
      <c r="D359" t="s">
        <v>41</v>
      </c>
      <c r="E359" t="s">
        <v>42</v>
      </c>
      <c r="F359" t="s">
        <v>34</v>
      </c>
      <c r="G359" t="s">
        <v>297</v>
      </c>
      <c r="J359" t="s">
        <v>982</v>
      </c>
      <c r="K359" t="s">
        <v>38</v>
      </c>
      <c r="L359" t="s">
        <v>38</v>
      </c>
      <c r="M359" t="s">
        <v>38</v>
      </c>
      <c r="N359" t="s">
        <v>38</v>
      </c>
      <c r="O359" t="s">
        <v>38</v>
      </c>
      <c r="T359" t="s">
        <v>38</v>
      </c>
      <c r="U359">
        <v>0</v>
      </c>
      <c r="V359">
        <v>1</v>
      </c>
      <c r="W359">
        <v>0</v>
      </c>
      <c r="X359">
        <v>0</v>
      </c>
      <c r="Y359">
        <v>0</v>
      </c>
      <c r="AE359">
        <f t="shared" si="15"/>
        <v>1</v>
      </c>
      <c r="AF359">
        <f>VLOOKUP(D359,especies!$A$2:$C$9,3,FALSE)</f>
        <v>2</v>
      </c>
      <c r="AG359" t="str">
        <f t="shared" si="16"/>
        <v>2-DPC (Doméstico de pelo corto o DSH)</v>
      </c>
      <c r="AH359">
        <f>VLOOKUP('Fichas clínicas'!AG359,razas!$A$2:$D$66,3,FALSE)</f>
        <v>51</v>
      </c>
      <c r="AI359" t="str">
        <f t="shared" si="17"/>
        <v>H</v>
      </c>
    </row>
    <row r="360" spans="1:35" x14ac:dyDescent="0.2">
      <c r="A360">
        <v>360</v>
      </c>
      <c r="B360" t="s">
        <v>983</v>
      </c>
      <c r="C360" t="s">
        <v>80</v>
      </c>
      <c r="D360" t="s">
        <v>41</v>
      </c>
      <c r="E360" t="s">
        <v>42</v>
      </c>
      <c r="F360" t="s">
        <v>34</v>
      </c>
      <c r="G360" t="s">
        <v>169</v>
      </c>
      <c r="J360" t="s">
        <v>809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T360" t="s">
        <v>38</v>
      </c>
      <c r="U360">
        <v>0</v>
      </c>
      <c r="W360">
        <v>0</v>
      </c>
      <c r="X360">
        <v>0</v>
      </c>
      <c r="Y360">
        <v>0</v>
      </c>
      <c r="AE360">
        <f t="shared" si="15"/>
        <v>1</v>
      </c>
      <c r="AF360">
        <f>VLOOKUP(D360,especies!$A$2:$C$9,3,FALSE)</f>
        <v>2</v>
      </c>
      <c r="AG360" t="str">
        <f t="shared" si="16"/>
        <v>2-DPC (Doméstico de pelo corto o DSH)</v>
      </c>
      <c r="AH360">
        <f>VLOOKUP('Fichas clínicas'!AG360,razas!$A$2:$D$66,3,FALSE)</f>
        <v>51</v>
      </c>
      <c r="AI360" t="str">
        <f t="shared" si="17"/>
        <v>H</v>
      </c>
    </row>
    <row r="361" spans="1:35" x14ac:dyDescent="0.2">
      <c r="A361">
        <v>361</v>
      </c>
      <c r="B361" t="s">
        <v>984</v>
      </c>
      <c r="C361" t="s">
        <v>985</v>
      </c>
      <c r="D361" t="s">
        <v>32</v>
      </c>
      <c r="E361" t="s">
        <v>33</v>
      </c>
      <c r="F361" t="s">
        <v>47</v>
      </c>
      <c r="G361" t="s">
        <v>116</v>
      </c>
      <c r="J361" t="s">
        <v>986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T361" t="s">
        <v>38</v>
      </c>
      <c r="U361">
        <v>0</v>
      </c>
      <c r="W361">
        <v>0</v>
      </c>
      <c r="X361">
        <v>0</v>
      </c>
      <c r="Y361">
        <v>0</v>
      </c>
      <c r="AE361">
        <f t="shared" si="15"/>
        <v>1</v>
      </c>
      <c r="AF361">
        <f>VLOOKUP(D361,especies!$A$2:$C$9,3,FALSE)</f>
        <v>1</v>
      </c>
      <c r="AG361" t="str">
        <f t="shared" si="16"/>
        <v>1-Mestizo</v>
      </c>
      <c r="AH361">
        <f>VLOOKUP('Fichas clínicas'!AG361,razas!$A$2:$D$66,3,FALSE)</f>
        <v>1</v>
      </c>
      <c r="AI361" t="str">
        <f t="shared" si="17"/>
        <v>M</v>
      </c>
    </row>
    <row r="362" spans="1:35" x14ac:dyDescent="0.2">
      <c r="A362">
        <v>362</v>
      </c>
      <c r="B362" t="s">
        <v>987</v>
      </c>
      <c r="C362" t="s">
        <v>988</v>
      </c>
      <c r="D362" t="s">
        <v>32</v>
      </c>
      <c r="E362" t="s">
        <v>150</v>
      </c>
      <c r="F362" t="s">
        <v>47</v>
      </c>
      <c r="G362" t="s">
        <v>123</v>
      </c>
      <c r="J362" t="s">
        <v>989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T362" t="s">
        <v>38</v>
      </c>
      <c r="U362">
        <v>0</v>
      </c>
      <c r="W362">
        <v>0</v>
      </c>
      <c r="X362">
        <v>0</v>
      </c>
      <c r="Y362">
        <v>0</v>
      </c>
      <c r="AE362">
        <f t="shared" si="15"/>
        <v>1</v>
      </c>
      <c r="AF362">
        <f>VLOOKUP(D362,especies!$A$2:$C$9,3,FALSE)</f>
        <v>1</v>
      </c>
      <c r="AG362" t="str">
        <f t="shared" si="16"/>
        <v>1-Poodle</v>
      </c>
      <c r="AH362">
        <f>VLOOKUP('Fichas clínicas'!AG362,razas!$A$2:$D$66,3,FALSE)</f>
        <v>6</v>
      </c>
      <c r="AI362" t="str">
        <f t="shared" si="17"/>
        <v>M</v>
      </c>
    </row>
    <row r="363" spans="1:35" x14ac:dyDescent="0.2">
      <c r="A363">
        <v>363</v>
      </c>
      <c r="B363" t="s">
        <v>990</v>
      </c>
      <c r="C363" t="s">
        <v>991</v>
      </c>
      <c r="D363" t="s">
        <v>41</v>
      </c>
      <c r="E363" t="s">
        <v>42</v>
      </c>
      <c r="F363" t="s">
        <v>47</v>
      </c>
      <c r="G363" t="s">
        <v>992</v>
      </c>
      <c r="J363" t="s">
        <v>338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T363" t="s">
        <v>38</v>
      </c>
      <c r="U363">
        <v>0</v>
      </c>
      <c r="W363">
        <v>0</v>
      </c>
      <c r="X363">
        <v>0</v>
      </c>
      <c r="Y363">
        <v>0</v>
      </c>
      <c r="AE363">
        <f t="shared" si="15"/>
        <v>1</v>
      </c>
      <c r="AF363">
        <f>VLOOKUP(D363,especies!$A$2:$C$9,3,FALSE)</f>
        <v>2</v>
      </c>
      <c r="AG363" t="str">
        <f t="shared" si="16"/>
        <v>2-DPC (Doméstico de pelo corto o DSH)</v>
      </c>
      <c r="AH363">
        <f>VLOOKUP('Fichas clínicas'!AG363,razas!$A$2:$D$66,3,FALSE)</f>
        <v>51</v>
      </c>
      <c r="AI363" t="str">
        <f t="shared" si="17"/>
        <v>M</v>
      </c>
    </row>
    <row r="364" spans="1:35" x14ac:dyDescent="0.2">
      <c r="A364">
        <v>364</v>
      </c>
      <c r="B364" t="s">
        <v>993</v>
      </c>
      <c r="C364" t="s">
        <v>280</v>
      </c>
      <c r="D364" t="s">
        <v>32</v>
      </c>
      <c r="E364" t="s">
        <v>994</v>
      </c>
      <c r="F364" t="s">
        <v>34</v>
      </c>
      <c r="G364" t="s">
        <v>251</v>
      </c>
      <c r="I364">
        <v>939000007188629</v>
      </c>
      <c r="J364" t="s">
        <v>912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Q364">
        <v>0</v>
      </c>
      <c r="T364" t="s">
        <v>38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f t="shared" si="15"/>
        <v>1</v>
      </c>
      <c r="AF364">
        <f>VLOOKUP(D364,especies!$A$2:$C$9,3,FALSE)</f>
        <v>1</v>
      </c>
      <c r="AG364" t="str">
        <f t="shared" si="16"/>
        <v>1-Bulldog Francés</v>
      </c>
      <c r="AH364">
        <f>VLOOKUP('Fichas clínicas'!AG364,razas!$A$2:$D$66,3,FALSE)</f>
        <v>26</v>
      </c>
      <c r="AI364" t="str">
        <f t="shared" si="17"/>
        <v>H</v>
      </c>
    </row>
    <row r="365" spans="1:35" x14ac:dyDescent="0.2">
      <c r="A365">
        <v>365</v>
      </c>
      <c r="B365" t="s">
        <v>995</v>
      </c>
      <c r="C365" t="s">
        <v>996</v>
      </c>
      <c r="D365" t="s">
        <v>32</v>
      </c>
      <c r="E365" t="s">
        <v>206</v>
      </c>
      <c r="F365" t="s">
        <v>34</v>
      </c>
      <c r="G365" t="s">
        <v>656</v>
      </c>
      <c r="J365" t="s">
        <v>997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Q365">
        <v>0</v>
      </c>
      <c r="T365" t="s">
        <v>38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f t="shared" si="15"/>
        <v>1</v>
      </c>
      <c r="AF365">
        <f>VLOOKUP(D365,especies!$A$2:$C$9,3,FALSE)</f>
        <v>1</v>
      </c>
      <c r="AG365" t="str">
        <f t="shared" si="16"/>
        <v>1-Chow-Chow</v>
      </c>
      <c r="AH365">
        <f>VLOOKUP('Fichas clínicas'!AG365,razas!$A$2:$D$66,3,FALSE)</f>
        <v>9</v>
      </c>
      <c r="AI365" t="str">
        <f t="shared" si="17"/>
        <v>H</v>
      </c>
    </row>
    <row r="366" spans="1:35" x14ac:dyDescent="0.2">
      <c r="A366">
        <v>366</v>
      </c>
      <c r="B366" t="s">
        <v>998</v>
      </c>
      <c r="C366" t="s">
        <v>999</v>
      </c>
      <c r="D366" t="s">
        <v>32</v>
      </c>
      <c r="E366" t="s">
        <v>33</v>
      </c>
      <c r="F366" t="s">
        <v>47</v>
      </c>
      <c r="G366" t="s">
        <v>1000</v>
      </c>
      <c r="J366" t="s">
        <v>1001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Q366">
        <v>0</v>
      </c>
      <c r="T366" t="s">
        <v>38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f t="shared" si="15"/>
        <v>1</v>
      </c>
      <c r="AF366">
        <f>VLOOKUP(D366,especies!$A$2:$C$9,3,FALSE)</f>
        <v>1</v>
      </c>
      <c r="AG366" t="str">
        <f t="shared" si="16"/>
        <v>1-Mestizo</v>
      </c>
      <c r="AH366">
        <f>VLOOKUP('Fichas clínicas'!AG366,razas!$A$2:$D$66,3,FALSE)</f>
        <v>1</v>
      </c>
      <c r="AI366" t="str">
        <f t="shared" si="17"/>
        <v>M</v>
      </c>
    </row>
    <row r="367" spans="1:35" x14ac:dyDescent="0.2">
      <c r="A367">
        <v>367</v>
      </c>
      <c r="B367" t="s">
        <v>298</v>
      </c>
      <c r="C367" t="s">
        <v>1002</v>
      </c>
      <c r="D367" t="s">
        <v>32</v>
      </c>
      <c r="E367" t="s">
        <v>438</v>
      </c>
      <c r="F367" t="s">
        <v>47</v>
      </c>
      <c r="G367" t="s">
        <v>329</v>
      </c>
      <c r="J367" t="s">
        <v>1003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T367" t="s">
        <v>38</v>
      </c>
      <c r="U367">
        <v>0</v>
      </c>
      <c r="W367">
        <v>0</v>
      </c>
      <c r="X367">
        <v>0</v>
      </c>
      <c r="Y367">
        <v>0</v>
      </c>
      <c r="AE367">
        <f t="shared" si="15"/>
        <v>1</v>
      </c>
      <c r="AF367">
        <f>VLOOKUP(D367,especies!$A$2:$C$9,3,FALSE)</f>
        <v>1</v>
      </c>
      <c r="AG367" t="str">
        <f t="shared" si="16"/>
        <v>1-Ovejero Alemán</v>
      </c>
      <c r="AH367">
        <f>VLOOKUP('Fichas clínicas'!AG367,razas!$A$2:$D$66,3,FALSE)</f>
        <v>12</v>
      </c>
      <c r="AI367" t="str">
        <f t="shared" si="17"/>
        <v>M</v>
      </c>
    </row>
    <row r="368" spans="1:35" x14ac:dyDescent="0.2">
      <c r="A368">
        <v>368</v>
      </c>
      <c r="B368" t="s">
        <v>1004</v>
      </c>
      <c r="C368" t="s">
        <v>347</v>
      </c>
      <c r="D368" t="s">
        <v>32</v>
      </c>
      <c r="E368" t="s">
        <v>545</v>
      </c>
      <c r="F368" t="s">
        <v>34</v>
      </c>
      <c r="G368" t="s">
        <v>546</v>
      </c>
      <c r="J368" t="s">
        <v>348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T368" t="s">
        <v>38</v>
      </c>
      <c r="U368">
        <v>0</v>
      </c>
      <c r="W368">
        <v>0</v>
      </c>
      <c r="X368">
        <v>0</v>
      </c>
      <c r="Y368">
        <v>0</v>
      </c>
      <c r="AE368">
        <f t="shared" si="15"/>
        <v>1</v>
      </c>
      <c r="AF368">
        <f>VLOOKUP(D368,especies!$A$2:$C$9,3,FALSE)</f>
        <v>1</v>
      </c>
      <c r="AG368" t="str">
        <f t="shared" si="16"/>
        <v>1-Golden Retriever</v>
      </c>
      <c r="AH368">
        <f>VLOOKUP('Fichas clínicas'!AG368,razas!$A$2:$D$66,3,FALSE)</f>
        <v>16</v>
      </c>
      <c r="AI368" t="str">
        <f t="shared" si="17"/>
        <v>H</v>
      </c>
    </row>
    <row r="369" spans="1:35" x14ac:dyDescent="0.2">
      <c r="A369">
        <v>369</v>
      </c>
      <c r="B369" t="s">
        <v>1005</v>
      </c>
      <c r="C369" t="s">
        <v>1006</v>
      </c>
      <c r="D369" t="s">
        <v>32</v>
      </c>
      <c r="E369" t="s">
        <v>33</v>
      </c>
      <c r="F369" t="s">
        <v>47</v>
      </c>
      <c r="G369" t="s">
        <v>1007</v>
      </c>
      <c r="I369">
        <v>956000004363791</v>
      </c>
      <c r="J369" t="s">
        <v>1008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Q369">
        <v>0</v>
      </c>
      <c r="T369" t="s">
        <v>38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f t="shared" si="15"/>
        <v>1</v>
      </c>
      <c r="AF369">
        <f>VLOOKUP(D369,especies!$A$2:$C$9,3,FALSE)</f>
        <v>1</v>
      </c>
      <c r="AG369" t="str">
        <f t="shared" si="16"/>
        <v>1-Mestizo</v>
      </c>
      <c r="AH369">
        <f>VLOOKUP('Fichas clínicas'!AG369,razas!$A$2:$D$66,3,FALSE)</f>
        <v>1</v>
      </c>
      <c r="AI369" t="str">
        <f t="shared" si="17"/>
        <v>M</v>
      </c>
    </row>
    <row r="370" spans="1:35" x14ac:dyDescent="0.2">
      <c r="A370">
        <v>370</v>
      </c>
      <c r="B370" t="s">
        <v>1009</v>
      </c>
      <c r="C370" t="s">
        <v>1010</v>
      </c>
      <c r="D370" t="s">
        <v>41</v>
      </c>
      <c r="E370" t="s">
        <v>42</v>
      </c>
      <c r="F370" t="s">
        <v>47</v>
      </c>
      <c r="G370" t="s">
        <v>370</v>
      </c>
      <c r="J370" t="s">
        <v>410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T370" t="s">
        <v>38</v>
      </c>
      <c r="U370">
        <v>0</v>
      </c>
      <c r="W370">
        <v>0</v>
      </c>
      <c r="X370">
        <v>0</v>
      </c>
      <c r="Y370">
        <v>0</v>
      </c>
      <c r="AE370">
        <f t="shared" si="15"/>
        <v>1</v>
      </c>
      <c r="AF370">
        <f>VLOOKUP(D370,especies!$A$2:$C$9,3,FALSE)</f>
        <v>2</v>
      </c>
      <c r="AG370" t="str">
        <f t="shared" si="16"/>
        <v>2-DPC (Doméstico de pelo corto o DSH)</v>
      </c>
      <c r="AH370">
        <f>VLOOKUP('Fichas clínicas'!AG370,razas!$A$2:$D$66,3,FALSE)</f>
        <v>51</v>
      </c>
      <c r="AI370" t="str">
        <f t="shared" si="17"/>
        <v>M</v>
      </c>
    </row>
    <row r="371" spans="1:35" x14ac:dyDescent="0.2">
      <c r="A371">
        <v>371</v>
      </c>
      <c r="B371" t="s">
        <v>1011</v>
      </c>
      <c r="C371" t="s">
        <v>276</v>
      </c>
      <c r="D371" t="s">
        <v>32</v>
      </c>
      <c r="E371" t="s">
        <v>33</v>
      </c>
      <c r="F371" t="s">
        <v>47</v>
      </c>
      <c r="G371" t="s">
        <v>116</v>
      </c>
      <c r="J371" t="s">
        <v>1012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T371" t="s">
        <v>38</v>
      </c>
      <c r="U371">
        <v>0</v>
      </c>
      <c r="W371">
        <v>0</v>
      </c>
      <c r="X371">
        <v>0</v>
      </c>
      <c r="Y371">
        <v>0</v>
      </c>
      <c r="AE371">
        <f t="shared" si="15"/>
        <v>1</v>
      </c>
      <c r="AF371">
        <f>VLOOKUP(D371,especies!$A$2:$C$9,3,FALSE)</f>
        <v>1</v>
      </c>
      <c r="AG371" t="str">
        <f t="shared" si="16"/>
        <v>1-Mestizo</v>
      </c>
      <c r="AH371">
        <f>VLOOKUP('Fichas clínicas'!AG371,razas!$A$2:$D$66,3,FALSE)</f>
        <v>1</v>
      </c>
      <c r="AI371" t="str">
        <f t="shared" si="17"/>
        <v>M</v>
      </c>
    </row>
    <row r="372" spans="1:35" x14ac:dyDescent="0.2">
      <c r="A372">
        <v>372</v>
      </c>
      <c r="B372" t="s">
        <v>1013</v>
      </c>
      <c r="C372" t="s">
        <v>1002</v>
      </c>
      <c r="D372" t="s">
        <v>41</v>
      </c>
      <c r="E372" t="s">
        <v>42</v>
      </c>
      <c r="F372" t="s">
        <v>47</v>
      </c>
      <c r="G372" t="s">
        <v>169</v>
      </c>
      <c r="J372" t="s">
        <v>1014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T372" t="s">
        <v>38</v>
      </c>
      <c r="U372">
        <v>0</v>
      </c>
      <c r="W372">
        <v>0</v>
      </c>
      <c r="X372">
        <v>0</v>
      </c>
      <c r="Y372">
        <v>0</v>
      </c>
      <c r="AE372">
        <f t="shared" si="15"/>
        <v>1</v>
      </c>
      <c r="AF372">
        <f>VLOOKUP(D372,especies!$A$2:$C$9,3,FALSE)</f>
        <v>2</v>
      </c>
      <c r="AG372" t="str">
        <f t="shared" si="16"/>
        <v>2-DPC (Doméstico de pelo corto o DSH)</v>
      </c>
      <c r="AH372">
        <f>VLOOKUP('Fichas clínicas'!AG372,razas!$A$2:$D$66,3,FALSE)</f>
        <v>51</v>
      </c>
      <c r="AI372" t="str">
        <f t="shared" si="17"/>
        <v>M</v>
      </c>
    </row>
    <row r="373" spans="1:35" x14ac:dyDescent="0.2">
      <c r="A373">
        <v>373</v>
      </c>
      <c r="B373" t="s">
        <v>1015</v>
      </c>
      <c r="C373" t="s">
        <v>1016</v>
      </c>
      <c r="D373" t="s">
        <v>41</v>
      </c>
      <c r="E373" t="s">
        <v>42</v>
      </c>
      <c r="F373" t="s">
        <v>47</v>
      </c>
      <c r="G373" t="s">
        <v>1017</v>
      </c>
      <c r="J373" t="s">
        <v>659</v>
      </c>
      <c r="K373" t="s">
        <v>38</v>
      </c>
      <c r="L373" t="s">
        <v>38</v>
      </c>
      <c r="M373" t="s">
        <v>38</v>
      </c>
      <c r="N373" t="s">
        <v>38</v>
      </c>
      <c r="O373" t="s">
        <v>38</v>
      </c>
      <c r="T373" t="s">
        <v>38</v>
      </c>
      <c r="U373">
        <v>0</v>
      </c>
      <c r="V373">
        <v>1</v>
      </c>
      <c r="W373">
        <v>0</v>
      </c>
      <c r="X373">
        <v>0</v>
      </c>
      <c r="Y373">
        <v>0</v>
      </c>
      <c r="AE373">
        <f t="shared" si="15"/>
        <v>1</v>
      </c>
      <c r="AF373">
        <f>VLOOKUP(D373,especies!$A$2:$C$9,3,FALSE)</f>
        <v>2</v>
      </c>
      <c r="AG373" t="str">
        <f t="shared" si="16"/>
        <v>2-DPC (Doméstico de pelo corto o DSH)</v>
      </c>
      <c r="AH373">
        <f>VLOOKUP('Fichas clínicas'!AG373,razas!$A$2:$D$66,3,FALSE)</f>
        <v>51</v>
      </c>
      <c r="AI373" t="str">
        <f t="shared" si="17"/>
        <v>M</v>
      </c>
    </row>
    <row r="374" spans="1:35" x14ac:dyDescent="0.2">
      <c r="A374">
        <v>374</v>
      </c>
      <c r="B374" t="s">
        <v>1015</v>
      </c>
      <c r="C374" t="s">
        <v>1018</v>
      </c>
      <c r="D374" t="s">
        <v>41</v>
      </c>
      <c r="E374" t="s">
        <v>42</v>
      </c>
      <c r="F374" t="s">
        <v>34</v>
      </c>
      <c r="G374" t="s">
        <v>1019</v>
      </c>
      <c r="J374" t="s">
        <v>1020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T374" t="s">
        <v>38</v>
      </c>
      <c r="U374">
        <v>0</v>
      </c>
      <c r="W374">
        <v>0</v>
      </c>
      <c r="X374">
        <v>0</v>
      </c>
      <c r="Y374">
        <v>0</v>
      </c>
      <c r="AE374">
        <f t="shared" si="15"/>
        <v>1</v>
      </c>
      <c r="AF374">
        <f>VLOOKUP(D374,especies!$A$2:$C$9,3,FALSE)</f>
        <v>2</v>
      </c>
      <c r="AG374" t="str">
        <f t="shared" si="16"/>
        <v>2-DPC (Doméstico de pelo corto o DSH)</v>
      </c>
      <c r="AH374">
        <f>VLOOKUP('Fichas clínicas'!AG374,razas!$A$2:$D$66,3,FALSE)</f>
        <v>51</v>
      </c>
      <c r="AI374" t="str">
        <f t="shared" si="17"/>
        <v>H</v>
      </c>
    </row>
    <row r="375" spans="1:35" x14ac:dyDescent="0.2">
      <c r="A375">
        <v>375</v>
      </c>
      <c r="B375" t="s">
        <v>1015</v>
      </c>
      <c r="C375" t="s">
        <v>280</v>
      </c>
      <c r="D375" t="s">
        <v>41</v>
      </c>
      <c r="E375" t="s">
        <v>42</v>
      </c>
      <c r="F375" t="s">
        <v>34</v>
      </c>
      <c r="G375" t="s">
        <v>1021</v>
      </c>
      <c r="J375" t="s">
        <v>90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T375" t="s">
        <v>38</v>
      </c>
      <c r="U375">
        <v>0</v>
      </c>
      <c r="W375">
        <v>0</v>
      </c>
      <c r="X375">
        <v>0</v>
      </c>
      <c r="Y375">
        <v>0</v>
      </c>
      <c r="AE375">
        <f t="shared" si="15"/>
        <v>1</v>
      </c>
      <c r="AF375">
        <f>VLOOKUP(D375,especies!$A$2:$C$9,3,FALSE)</f>
        <v>2</v>
      </c>
      <c r="AG375" t="str">
        <f t="shared" si="16"/>
        <v>2-DPC (Doméstico de pelo corto o DSH)</v>
      </c>
      <c r="AH375">
        <f>VLOOKUP('Fichas clínicas'!AG375,razas!$A$2:$D$66,3,FALSE)</f>
        <v>51</v>
      </c>
      <c r="AI375" t="str">
        <f t="shared" si="17"/>
        <v>H</v>
      </c>
    </row>
    <row r="376" spans="1:35" x14ac:dyDescent="0.2">
      <c r="A376">
        <v>376</v>
      </c>
      <c r="B376" t="s">
        <v>141</v>
      </c>
      <c r="C376" t="s">
        <v>1022</v>
      </c>
      <c r="D376" t="s">
        <v>32</v>
      </c>
      <c r="E376" t="s">
        <v>143</v>
      </c>
      <c r="F376" t="s">
        <v>34</v>
      </c>
      <c r="G376" t="s">
        <v>329</v>
      </c>
      <c r="J376" t="s">
        <v>478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T376" t="s">
        <v>38</v>
      </c>
      <c r="U376">
        <v>0</v>
      </c>
      <c r="W376">
        <v>0</v>
      </c>
      <c r="X376">
        <v>0</v>
      </c>
      <c r="Y376">
        <v>0</v>
      </c>
      <c r="AE376">
        <f t="shared" si="15"/>
        <v>1</v>
      </c>
      <c r="AF376">
        <f>VLOOKUP(D376,especies!$A$2:$C$9,3,FALSE)</f>
        <v>1</v>
      </c>
      <c r="AG376" t="str">
        <f t="shared" si="16"/>
        <v>1-Yorkshire Terrier</v>
      </c>
      <c r="AH376">
        <f>VLOOKUP('Fichas clínicas'!AG376,razas!$A$2:$D$66,3,FALSE)</f>
        <v>5</v>
      </c>
      <c r="AI376" t="str">
        <f t="shared" si="17"/>
        <v>H</v>
      </c>
    </row>
    <row r="377" spans="1:35" x14ac:dyDescent="0.2">
      <c r="A377">
        <v>377</v>
      </c>
      <c r="B377" t="s">
        <v>1023</v>
      </c>
      <c r="C377" t="s">
        <v>1024</v>
      </c>
      <c r="D377" t="s">
        <v>32</v>
      </c>
      <c r="E377" t="s">
        <v>33</v>
      </c>
      <c r="F377" t="s">
        <v>34</v>
      </c>
      <c r="G377" t="s">
        <v>116</v>
      </c>
      <c r="J377" t="s">
        <v>1025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Q377">
        <v>0</v>
      </c>
      <c r="T377" t="s">
        <v>38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f t="shared" si="15"/>
        <v>1</v>
      </c>
      <c r="AF377">
        <f>VLOOKUP(D377,especies!$A$2:$C$9,3,FALSE)</f>
        <v>1</v>
      </c>
      <c r="AG377" t="str">
        <f t="shared" si="16"/>
        <v>1-Mestizo</v>
      </c>
      <c r="AH377">
        <f>VLOOKUP('Fichas clínicas'!AG377,razas!$A$2:$D$66,3,FALSE)</f>
        <v>1</v>
      </c>
      <c r="AI377" t="str">
        <f t="shared" si="17"/>
        <v>H</v>
      </c>
    </row>
    <row r="378" spans="1:35" x14ac:dyDescent="0.2">
      <c r="A378">
        <v>378</v>
      </c>
      <c r="B378" t="s">
        <v>1026</v>
      </c>
      <c r="C378" t="s">
        <v>156</v>
      </c>
      <c r="D378" t="s">
        <v>32</v>
      </c>
      <c r="E378" t="s">
        <v>970</v>
      </c>
      <c r="F378" t="s">
        <v>47</v>
      </c>
      <c r="G378" t="s">
        <v>515</v>
      </c>
      <c r="J378" t="s">
        <v>140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Q378">
        <v>0</v>
      </c>
      <c r="T378" t="s">
        <v>38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f t="shared" si="15"/>
        <v>1</v>
      </c>
      <c r="AF378">
        <f>VLOOKUP(D378,especies!$A$2:$C$9,3,FALSE)</f>
        <v>1</v>
      </c>
      <c r="AG378" t="str">
        <f t="shared" si="16"/>
        <v>1-American Pit Bull Terrier</v>
      </c>
      <c r="AH378">
        <f>VLOOKUP('Fichas clínicas'!AG378,razas!$A$2:$D$66,3,FALSE)</f>
        <v>25</v>
      </c>
      <c r="AI378" t="str">
        <f t="shared" si="17"/>
        <v>M</v>
      </c>
    </row>
    <row r="379" spans="1:35" x14ac:dyDescent="0.2">
      <c r="A379">
        <v>379</v>
      </c>
      <c r="B379" t="s">
        <v>1026</v>
      </c>
      <c r="C379" t="s">
        <v>1027</v>
      </c>
      <c r="D379" t="s">
        <v>32</v>
      </c>
      <c r="E379" t="s">
        <v>970</v>
      </c>
      <c r="F379" t="s">
        <v>34</v>
      </c>
      <c r="G379" t="s">
        <v>1028</v>
      </c>
      <c r="J379" t="s">
        <v>140</v>
      </c>
      <c r="K379" t="s">
        <v>38</v>
      </c>
      <c r="L379" t="s">
        <v>38</v>
      </c>
      <c r="M379" t="s">
        <v>38</v>
      </c>
      <c r="N379" t="s">
        <v>38</v>
      </c>
      <c r="O379" t="s">
        <v>38</v>
      </c>
      <c r="T379" t="s">
        <v>38</v>
      </c>
      <c r="U379">
        <v>0</v>
      </c>
      <c r="W379">
        <v>0</v>
      </c>
      <c r="X379">
        <v>0</v>
      </c>
      <c r="Y379">
        <v>0</v>
      </c>
      <c r="AE379">
        <f t="shared" si="15"/>
        <v>1</v>
      </c>
      <c r="AF379">
        <f>VLOOKUP(D379,especies!$A$2:$C$9,3,FALSE)</f>
        <v>1</v>
      </c>
      <c r="AG379" t="str">
        <f t="shared" si="16"/>
        <v>1-American Pit Bull Terrier</v>
      </c>
      <c r="AH379">
        <f>VLOOKUP('Fichas clínicas'!AG379,razas!$A$2:$D$66,3,FALSE)</f>
        <v>25</v>
      </c>
      <c r="AI379" t="str">
        <f t="shared" si="17"/>
        <v>H</v>
      </c>
    </row>
    <row r="380" spans="1:35" x14ac:dyDescent="0.2">
      <c r="A380">
        <v>380</v>
      </c>
      <c r="B380" t="s">
        <v>1029</v>
      </c>
      <c r="C380" t="s">
        <v>1030</v>
      </c>
      <c r="D380" t="s">
        <v>32</v>
      </c>
      <c r="E380" t="s">
        <v>143</v>
      </c>
      <c r="F380" t="s">
        <v>34</v>
      </c>
      <c r="G380" t="s">
        <v>724</v>
      </c>
      <c r="J380" t="s">
        <v>523</v>
      </c>
      <c r="K380" t="s">
        <v>38</v>
      </c>
      <c r="L380" t="s">
        <v>38</v>
      </c>
      <c r="M380" t="s">
        <v>38</v>
      </c>
      <c r="N380" t="s">
        <v>38</v>
      </c>
      <c r="O380" t="s">
        <v>38</v>
      </c>
      <c r="T380" t="s">
        <v>38</v>
      </c>
      <c r="U380">
        <v>0</v>
      </c>
      <c r="W380">
        <v>0</v>
      </c>
      <c r="X380">
        <v>0</v>
      </c>
      <c r="Y380">
        <v>0</v>
      </c>
      <c r="AE380">
        <f t="shared" si="15"/>
        <v>1</v>
      </c>
      <c r="AF380">
        <f>VLOOKUP(D380,especies!$A$2:$C$9,3,FALSE)</f>
        <v>1</v>
      </c>
      <c r="AG380" t="str">
        <f t="shared" si="16"/>
        <v>1-Yorkshire Terrier</v>
      </c>
      <c r="AH380">
        <f>VLOOKUP('Fichas clínicas'!AG380,razas!$A$2:$D$66,3,FALSE)</f>
        <v>5</v>
      </c>
      <c r="AI380" t="str">
        <f t="shared" si="17"/>
        <v>H</v>
      </c>
    </row>
    <row r="381" spans="1:35" x14ac:dyDescent="0.2">
      <c r="A381">
        <v>381</v>
      </c>
      <c r="B381" t="s">
        <v>1031</v>
      </c>
      <c r="C381" t="s">
        <v>53</v>
      </c>
      <c r="D381" t="s">
        <v>41</v>
      </c>
      <c r="E381" t="s">
        <v>42</v>
      </c>
      <c r="F381" t="s">
        <v>34</v>
      </c>
      <c r="G381" t="s">
        <v>199</v>
      </c>
      <c r="J381" t="s">
        <v>61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T381" t="s">
        <v>38</v>
      </c>
      <c r="U381">
        <v>0</v>
      </c>
      <c r="V381">
        <v>1</v>
      </c>
      <c r="W381">
        <v>0</v>
      </c>
      <c r="X381">
        <v>0</v>
      </c>
      <c r="Y381">
        <v>0</v>
      </c>
      <c r="AE381">
        <f t="shared" si="15"/>
        <v>1</v>
      </c>
      <c r="AF381">
        <f>VLOOKUP(D381,especies!$A$2:$C$9,3,FALSE)</f>
        <v>2</v>
      </c>
      <c r="AG381" t="str">
        <f t="shared" si="16"/>
        <v>2-DPC (Doméstico de pelo corto o DSH)</v>
      </c>
      <c r="AH381">
        <f>VLOOKUP('Fichas clínicas'!AG381,razas!$A$2:$D$66,3,FALSE)</f>
        <v>51</v>
      </c>
      <c r="AI381" t="str">
        <f t="shared" si="17"/>
        <v>H</v>
      </c>
    </row>
    <row r="382" spans="1:35" x14ac:dyDescent="0.2">
      <c r="A382">
        <v>382</v>
      </c>
      <c r="B382" t="s">
        <v>750</v>
      </c>
      <c r="C382" t="s">
        <v>1032</v>
      </c>
      <c r="D382" t="s">
        <v>32</v>
      </c>
      <c r="E382" t="s">
        <v>33</v>
      </c>
      <c r="F382" t="s">
        <v>47</v>
      </c>
      <c r="G382" t="s">
        <v>73</v>
      </c>
      <c r="J382" t="s">
        <v>1014</v>
      </c>
      <c r="K382" t="s">
        <v>38</v>
      </c>
      <c r="L382" t="s">
        <v>38</v>
      </c>
      <c r="M382" t="s">
        <v>38</v>
      </c>
      <c r="N382" t="s">
        <v>38</v>
      </c>
      <c r="O382" t="s">
        <v>38</v>
      </c>
      <c r="Q382">
        <v>0</v>
      </c>
      <c r="T382" t="s">
        <v>38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f t="shared" si="15"/>
        <v>1</v>
      </c>
      <c r="AF382">
        <f>VLOOKUP(D382,especies!$A$2:$C$9,3,FALSE)</f>
        <v>1</v>
      </c>
      <c r="AG382" t="str">
        <f t="shared" si="16"/>
        <v>1-Mestizo</v>
      </c>
      <c r="AH382">
        <f>VLOOKUP('Fichas clínicas'!AG382,razas!$A$2:$D$66,3,FALSE)</f>
        <v>1</v>
      </c>
      <c r="AI382" t="str">
        <f t="shared" si="17"/>
        <v>M</v>
      </c>
    </row>
    <row r="383" spans="1:35" x14ac:dyDescent="0.2">
      <c r="A383">
        <v>383</v>
      </c>
      <c r="B383" t="s">
        <v>1033</v>
      </c>
      <c r="C383" t="s">
        <v>1034</v>
      </c>
      <c r="D383" t="s">
        <v>41</v>
      </c>
      <c r="E383" t="s">
        <v>42</v>
      </c>
      <c r="F383" t="s">
        <v>47</v>
      </c>
      <c r="G383" t="s">
        <v>165</v>
      </c>
      <c r="J383" t="s">
        <v>784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T383" t="s">
        <v>38</v>
      </c>
      <c r="U383">
        <v>0</v>
      </c>
      <c r="W383">
        <v>0</v>
      </c>
      <c r="X383">
        <v>0</v>
      </c>
      <c r="Y383">
        <v>0</v>
      </c>
      <c r="AE383">
        <f t="shared" si="15"/>
        <v>1</v>
      </c>
      <c r="AF383">
        <f>VLOOKUP(D383,especies!$A$2:$C$9,3,FALSE)</f>
        <v>2</v>
      </c>
      <c r="AG383" t="str">
        <f t="shared" si="16"/>
        <v>2-DPC (Doméstico de pelo corto o DSH)</v>
      </c>
      <c r="AH383">
        <f>VLOOKUP('Fichas clínicas'!AG383,razas!$A$2:$D$66,3,FALSE)</f>
        <v>51</v>
      </c>
      <c r="AI383" t="str">
        <f t="shared" si="17"/>
        <v>M</v>
      </c>
    </row>
    <row r="384" spans="1:35" x14ac:dyDescent="0.2">
      <c r="A384">
        <v>384</v>
      </c>
      <c r="B384" t="s">
        <v>1035</v>
      </c>
      <c r="C384" t="s">
        <v>53</v>
      </c>
      <c r="D384" t="s">
        <v>32</v>
      </c>
      <c r="E384" t="s">
        <v>33</v>
      </c>
      <c r="F384" t="s">
        <v>34</v>
      </c>
      <c r="G384" t="s">
        <v>233</v>
      </c>
      <c r="J384" t="s">
        <v>1036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T384" t="s">
        <v>38</v>
      </c>
      <c r="U384">
        <v>0</v>
      </c>
      <c r="W384">
        <v>0</v>
      </c>
      <c r="X384">
        <v>0</v>
      </c>
      <c r="Y384">
        <v>0</v>
      </c>
      <c r="AE384">
        <f t="shared" si="15"/>
        <v>1</v>
      </c>
      <c r="AF384">
        <f>VLOOKUP(D384,especies!$A$2:$C$9,3,FALSE)</f>
        <v>1</v>
      </c>
      <c r="AG384" t="str">
        <f t="shared" si="16"/>
        <v>1-Mestizo</v>
      </c>
      <c r="AH384">
        <f>VLOOKUP('Fichas clínicas'!AG384,razas!$A$2:$D$66,3,FALSE)</f>
        <v>1</v>
      </c>
      <c r="AI384" t="str">
        <f t="shared" si="17"/>
        <v>H</v>
      </c>
    </row>
    <row r="385" spans="1:35" x14ac:dyDescent="0.2">
      <c r="A385">
        <v>385</v>
      </c>
      <c r="B385" t="s">
        <v>1037</v>
      </c>
      <c r="C385" t="s">
        <v>454</v>
      </c>
      <c r="D385" t="s">
        <v>32</v>
      </c>
      <c r="E385" t="s">
        <v>33</v>
      </c>
      <c r="F385" t="s">
        <v>47</v>
      </c>
      <c r="G385" t="s">
        <v>583</v>
      </c>
      <c r="J385" t="s">
        <v>809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T385" t="s">
        <v>38</v>
      </c>
      <c r="U385">
        <v>0</v>
      </c>
      <c r="W385">
        <v>0</v>
      </c>
      <c r="X385">
        <v>0</v>
      </c>
      <c r="Y385">
        <v>0</v>
      </c>
      <c r="AE385">
        <f t="shared" si="15"/>
        <v>1</v>
      </c>
      <c r="AF385">
        <f>VLOOKUP(D385,especies!$A$2:$C$9,3,FALSE)</f>
        <v>1</v>
      </c>
      <c r="AG385" t="str">
        <f t="shared" si="16"/>
        <v>1-Mestizo</v>
      </c>
      <c r="AH385">
        <f>VLOOKUP('Fichas clínicas'!AG385,razas!$A$2:$D$66,3,FALSE)</f>
        <v>1</v>
      </c>
      <c r="AI385" t="str">
        <f t="shared" si="17"/>
        <v>M</v>
      </c>
    </row>
    <row r="386" spans="1:35" x14ac:dyDescent="0.2">
      <c r="A386">
        <v>386</v>
      </c>
      <c r="B386" t="s">
        <v>977</v>
      </c>
      <c r="C386" t="s">
        <v>1038</v>
      </c>
      <c r="D386" t="s">
        <v>32</v>
      </c>
      <c r="E386" t="s">
        <v>33</v>
      </c>
      <c r="F386" t="s">
        <v>34</v>
      </c>
      <c r="G386" t="s">
        <v>116</v>
      </c>
      <c r="J386" t="s">
        <v>1039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T386" t="s">
        <v>38</v>
      </c>
      <c r="U386">
        <v>0</v>
      </c>
      <c r="W386">
        <v>0</v>
      </c>
      <c r="X386">
        <v>0</v>
      </c>
      <c r="Y386">
        <v>0</v>
      </c>
      <c r="AE386">
        <f t="shared" si="15"/>
        <v>1</v>
      </c>
      <c r="AF386">
        <f>VLOOKUP(D386,especies!$A$2:$C$9,3,FALSE)</f>
        <v>1</v>
      </c>
      <c r="AG386" t="str">
        <f t="shared" si="16"/>
        <v>1-Mestizo</v>
      </c>
      <c r="AH386">
        <f>VLOOKUP('Fichas clínicas'!AG386,razas!$A$2:$D$66,3,FALSE)</f>
        <v>1</v>
      </c>
      <c r="AI386" t="str">
        <f t="shared" si="17"/>
        <v>H</v>
      </c>
    </row>
    <row r="387" spans="1:35" x14ac:dyDescent="0.2">
      <c r="A387">
        <v>387</v>
      </c>
      <c r="B387" t="s">
        <v>1040</v>
      </c>
      <c r="C387" t="s">
        <v>1041</v>
      </c>
      <c r="D387" t="s">
        <v>32</v>
      </c>
      <c r="E387" t="s">
        <v>970</v>
      </c>
      <c r="F387" t="s">
        <v>47</v>
      </c>
      <c r="G387" t="s">
        <v>220</v>
      </c>
      <c r="J387" t="s">
        <v>181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T387" t="s">
        <v>38</v>
      </c>
      <c r="U387">
        <v>0</v>
      </c>
      <c r="W387">
        <v>0</v>
      </c>
      <c r="X387">
        <v>0</v>
      </c>
      <c r="Y387">
        <v>0</v>
      </c>
      <c r="AE387">
        <f t="shared" ref="AE387:AE450" si="18">SUBTOTAL(103,E387)</f>
        <v>1</v>
      </c>
      <c r="AF387">
        <f>VLOOKUP(D387,especies!$A$2:$C$9,3,FALSE)</f>
        <v>1</v>
      </c>
      <c r="AG387" t="str">
        <f t="shared" ref="AG387:AG450" si="19">AF387&amp;"-"&amp;E387</f>
        <v>1-American Pit Bull Terrier</v>
      </c>
      <c r="AH387">
        <f>VLOOKUP('Fichas clínicas'!AG387,razas!$A$2:$D$66,3,FALSE)</f>
        <v>25</v>
      </c>
      <c r="AI387" t="str">
        <f t="shared" ref="AI387:AI450" si="20">IF(F387="Hembra","H","M")</f>
        <v>M</v>
      </c>
    </row>
    <row r="388" spans="1:35" x14ac:dyDescent="0.2">
      <c r="A388">
        <v>388</v>
      </c>
      <c r="B388" t="s">
        <v>1042</v>
      </c>
      <c r="C388" t="s">
        <v>92</v>
      </c>
      <c r="D388" t="s">
        <v>41</v>
      </c>
      <c r="E388" t="s">
        <v>93</v>
      </c>
      <c r="F388" t="s">
        <v>34</v>
      </c>
      <c r="G388" t="s">
        <v>1043</v>
      </c>
      <c r="J388" t="s">
        <v>955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T388" t="s">
        <v>38</v>
      </c>
      <c r="U388">
        <v>0</v>
      </c>
      <c r="W388">
        <v>0</v>
      </c>
      <c r="X388">
        <v>0</v>
      </c>
      <c r="Y388">
        <v>0</v>
      </c>
      <c r="AE388">
        <f t="shared" si="18"/>
        <v>1</v>
      </c>
      <c r="AF388">
        <f>VLOOKUP(D388,especies!$A$2:$C$9,3,FALSE)</f>
        <v>2</v>
      </c>
      <c r="AG388" t="str">
        <f t="shared" si="19"/>
        <v>2-DPL (Doméstico de pelo Largo o DLH)</v>
      </c>
      <c r="AH388">
        <f>VLOOKUP('Fichas clínicas'!AG388,razas!$A$2:$D$66,3,FALSE)</f>
        <v>52</v>
      </c>
      <c r="AI388" t="str">
        <f t="shared" si="20"/>
        <v>H</v>
      </c>
    </row>
    <row r="389" spans="1:35" x14ac:dyDescent="0.2">
      <c r="A389">
        <v>389</v>
      </c>
      <c r="B389" t="s">
        <v>1042</v>
      </c>
      <c r="C389" t="s">
        <v>1044</v>
      </c>
      <c r="D389" t="s">
        <v>41</v>
      </c>
      <c r="E389" t="s">
        <v>93</v>
      </c>
      <c r="F389" t="s">
        <v>34</v>
      </c>
      <c r="G389" t="s">
        <v>614</v>
      </c>
      <c r="J389" t="s">
        <v>1045</v>
      </c>
      <c r="K389" t="s">
        <v>38</v>
      </c>
      <c r="L389" t="s">
        <v>38</v>
      </c>
      <c r="M389" t="s">
        <v>38</v>
      </c>
      <c r="N389" t="s">
        <v>38</v>
      </c>
      <c r="O389" t="s">
        <v>38</v>
      </c>
      <c r="T389" t="s">
        <v>38</v>
      </c>
      <c r="U389">
        <v>0</v>
      </c>
      <c r="W389">
        <v>0</v>
      </c>
      <c r="X389">
        <v>0</v>
      </c>
      <c r="Y389">
        <v>0</v>
      </c>
      <c r="AE389">
        <f t="shared" si="18"/>
        <v>1</v>
      </c>
      <c r="AF389">
        <f>VLOOKUP(D389,especies!$A$2:$C$9,3,FALSE)</f>
        <v>2</v>
      </c>
      <c r="AG389" t="str">
        <f t="shared" si="19"/>
        <v>2-DPL (Doméstico de pelo Largo o DLH)</v>
      </c>
      <c r="AH389">
        <f>VLOOKUP('Fichas clínicas'!AG389,razas!$A$2:$D$66,3,FALSE)</f>
        <v>52</v>
      </c>
      <c r="AI389" t="str">
        <f t="shared" si="20"/>
        <v>H</v>
      </c>
    </row>
    <row r="390" spans="1:35" x14ac:dyDescent="0.2">
      <c r="A390">
        <v>390</v>
      </c>
      <c r="B390" t="s">
        <v>1042</v>
      </c>
      <c r="C390" t="s">
        <v>1046</v>
      </c>
      <c r="D390" t="s">
        <v>41</v>
      </c>
      <c r="E390" t="s">
        <v>93</v>
      </c>
      <c r="F390" t="s">
        <v>47</v>
      </c>
      <c r="G390" t="s">
        <v>1047</v>
      </c>
      <c r="J390" t="s">
        <v>1045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T390" t="s">
        <v>38</v>
      </c>
      <c r="U390">
        <v>0</v>
      </c>
      <c r="W390">
        <v>0</v>
      </c>
      <c r="X390">
        <v>0</v>
      </c>
      <c r="Y390">
        <v>0</v>
      </c>
      <c r="AE390">
        <f t="shared" si="18"/>
        <v>1</v>
      </c>
      <c r="AF390">
        <f>VLOOKUP(D390,especies!$A$2:$C$9,3,FALSE)</f>
        <v>2</v>
      </c>
      <c r="AG390" t="str">
        <f t="shared" si="19"/>
        <v>2-DPL (Doméstico de pelo Largo o DLH)</v>
      </c>
      <c r="AH390">
        <f>VLOOKUP('Fichas clínicas'!AG390,razas!$A$2:$D$66,3,FALSE)</f>
        <v>52</v>
      </c>
      <c r="AI390" t="str">
        <f t="shared" si="20"/>
        <v>M</v>
      </c>
    </row>
    <row r="391" spans="1:35" x14ac:dyDescent="0.2">
      <c r="A391">
        <v>391</v>
      </c>
      <c r="B391" t="s">
        <v>1048</v>
      </c>
      <c r="C391" t="s">
        <v>1049</v>
      </c>
      <c r="D391" t="s">
        <v>41</v>
      </c>
      <c r="E391" t="s">
        <v>42</v>
      </c>
      <c r="F391" t="s">
        <v>47</v>
      </c>
      <c r="G391" t="s">
        <v>81</v>
      </c>
      <c r="J391" t="s">
        <v>410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Q391">
        <v>0</v>
      </c>
      <c r="T391" t="s">
        <v>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f t="shared" si="18"/>
        <v>1</v>
      </c>
      <c r="AF391">
        <f>VLOOKUP(D391,especies!$A$2:$C$9,3,FALSE)</f>
        <v>2</v>
      </c>
      <c r="AG391" t="str">
        <f t="shared" si="19"/>
        <v>2-DPC (Doméstico de pelo corto o DSH)</v>
      </c>
      <c r="AH391">
        <f>VLOOKUP('Fichas clínicas'!AG391,razas!$A$2:$D$66,3,FALSE)</f>
        <v>51</v>
      </c>
      <c r="AI391" t="str">
        <f t="shared" si="20"/>
        <v>M</v>
      </c>
    </row>
    <row r="392" spans="1:35" x14ac:dyDescent="0.2">
      <c r="A392">
        <v>392</v>
      </c>
      <c r="B392" t="s">
        <v>1050</v>
      </c>
      <c r="C392" t="s">
        <v>1051</v>
      </c>
      <c r="D392" t="s">
        <v>41</v>
      </c>
      <c r="E392" t="s">
        <v>42</v>
      </c>
      <c r="F392" t="s">
        <v>47</v>
      </c>
      <c r="G392" t="s">
        <v>992</v>
      </c>
      <c r="J392" t="s">
        <v>1052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T392" t="s">
        <v>38</v>
      </c>
      <c r="U392">
        <v>0</v>
      </c>
      <c r="W392">
        <v>0</v>
      </c>
      <c r="X392">
        <v>0</v>
      </c>
      <c r="Y392">
        <v>0</v>
      </c>
      <c r="AE392">
        <f t="shared" si="18"/>
        <v>1</v>
      </c>
      <c r="AF392">
        <f>VLOOKUP(D392,especies!$A$2:$C$9,3,FALSE)</f>
        <v>2</v>
      </c>
      <c r="AG392" t="str">
        <f t="shared" si="19"/>
        <v>2-DPC (Doméstico de pelo corto o DSH)</v>
      </c>
      <c r="AH392">
        <f>VLOOKUP('Fichas clínicas'!AG392,razas!$A$2:$D$66,3,FALSE)</f>
        <v>51</v>
      </c>
      <c r="AI392" t="str">
        <f t="shared" si="20"/>
        <v>M</v>
      </c>
    </row>
    <row r="393" spans="1:35" x14ac:dyDescent="0.2">
      <c r="A393">
        <v>393</v>
      </c>
      <c r="B393" t="s">
        <v>1053</v>
      </c>
      <c r="C393" t="s">
        <v>232</v>
      </c>
      <c r="D393" t="s">
        <v>32</v>
      </c>
      <c r="E393" t="s">
        <v>33</v>
      </c>
      <c r="F393" t="s">
        <v>47</v>
      </c>
      <c r="G393" t="s">
        <v>1054</v>
      </c>
      <c r="J393" t="s">
        <v>131</v>
      </c>
      <c r="K393" t="s">
        <v>38</v>
      </c>
      <c r="L393" t="s">
        <v>38</v>
      </c>
      <c r="M393" t="s">
        <v>38</v>
      </c>
      <c r="N393" t="s">
        <v>38</v>
      </c>
      <c r="O393" t="s">
        <v>38</v>
      </c>
      <c r="T393" t="s">
        <v>38</v>
      </c>
      <c r="U393">
        <v>0</v>
      </c>
      <c r="W393">
        <v>0</v>
      </c>
      <c r="X393">
        <v>0</v>
      </c>
      <c r="Y393">
        <v>0</v>
      </c>
      <c r="AE393">
        <f t="shared" si="18"/>
        <v>1</v>
      </c>
      <c r="AF393">
        <f>VLOOKUP(D393,especies!$A$2:$C$9,3,FALSE)</f>
        <v>1</v>
      </c>
      <c r="AG393" t="str">
        <f t="shared" si="19"/>
        <v>1-Mestizo</v>
      </c>
      <c r="AH393">
        <f>VLOOKUP('Fichas clínicas'!AG393,razas!$A$2:$D$66,3,FALSE)</f>
        <v>1</v>
      </c>
      <c r="AI393" t="str">
        <f t="shared" si="20"/>
        <v>M</v>
      </c>
    </row>
    <row r="394" spans="1:35" x14ac:dyDescent="0.2">
      <c r="A394">
        <v>394</v>
      </c>
      <c r="B394" t="s">
        <v>1055</v>
      </c>
      <c r="C394" t="s">
        <v>1056</v>
      </c>
      <c r="D394" t="s">
        <v>32</v>
      </c>
      <c r="E394" t="s">
        <v>33</v>
      </c>
      <c r="F394" t="s">
        <v>34</v>
      </c>
      <c r="G394" t="s">
        <v>583</v>
      </c>
      <c r="J394" t="s">
        <v>58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Q394">
        <v>0</v>
      </c>
      <c r="T394" t="s">
        <v>38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f t="shared" si="18"/>
        <v>1</v>
      </c>
      <c r="AF394">
        <f>VLOOKUP(D394,especies!$A$2:$C$9,3,FALSE)</f>
        <v>1</v>
      </c>
      <c r="AG394" t="str">
        <f t="shared" si="19"/>
        <v>1-Mestizo</v>
      </c>
      <c r="AH394">
        <f>VLOOKUP('Fichas clínicas'!AG394,razas!$A$2:$D$66,3,FALSE)</f>
        <v>1</v>
      </c>
      <c r="AI394" t="str">
        <f t="shared" si="20"/>
        <v>H</v>
      </c>
    </row>
    <row r="395" spans="1:35" x14ac:dyDescent="0.2">
      <c r="A395">
        <v>395</v>
      </c>
      <c r="B395" t="s">
        <v>1057</v>
      </c>
      <c r="C395" t="s">
        <v>1058</v>
      </c>
      <c r="D395" t="s">
        <v>32</v>
      </c>
      <c r="E395" t="s">
        <v>545</v>
      </c>
      <c r="F395" t="s">
        <v>47</v>
      </c>
      <c r="G395" t="s">
        <v>656</v>
      </c>
      <c r="J395" t="s">
        <v>1059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T395" t="s">
        <v>38</v>
      </c>
      <c r="U395">
        <v>0</v>
      </c>
      <c r="W395">
        <v>0</v>
      </c>
      <c r="X395">
        <v>0</v>
      </c>
      <c r="Y395">
        <v>0</v>
      </c>
      <c r="AE395">
        <f t="shared" si="18"/>
        <v>1</v>
      </c>
      <c r="AF395">
        <f>VLOOKUP(D395,especies!$A$2:$C$9,3,FALSE)</f>
        <v>1</v>
      </c>
      <c r="AG395" t="str">
        <f t="shared" si="19"/>
        <v>1-Golden Retriever</v>
      </c>
      <c r="AH395">
        <f>VLOOKUP('Fichas clínicas'!AG395,razas!$A$2:$D$66,3,FALSE)</f>
        <v>16</v>
      </c>
      <c r="AI395" t="str">
        <f t="shared" si="20"/>
        <v>M</v>
      </c>
    </row>
    <row r="396" spans="1:35" x14ac:dyDescent="0.2">
      <c r="A396">
        <v>396</v>
      </c>
      <c r="B396" t="s">
        <v>1060</v>
      </c>
      <c r="C396" t="s">
        <v>718</v>
      </c>
      <c r="D396" t="s">
        <v>32</v>
      </c>
      <c r="E396" t="s">
        <v>33</v>
      </c>
      <c r="F396" t="s">
        <v>34</v>
      </c>
      <c r="G396" t="s">
        <v>123</v>
      </c>
      <c r="J396" t="s">
        <v>147</v>
      </c>
      <c r="K396" t="s">
        <v>38</v>
      </c>
      <c r="L396" t="s">
        <v>38</v>
      </c>
      <c r="M396" t="s">
        <v>38</v>
      </c>
      <c r="N396" t="s">
        <v>38</v>
      </c>
      <c r="O396" t="s">
        <v>38</v>
      </c>
      <c r="T396" t="s">
        <v>38</v>
      </c>
      <c r="U396">
        <v>0</v>
      </c>
      <c r="W396">
        <v>0</v>
      </c>
      <c r="X396">
        <v>0</v>
      </c>
      <c r="Y396">
        <v>0</v>
      </c>
      <c r="AE396">
        <f t="shared" si="18"/>
        <v>1</v>
      </c>
      <c r="AF396">
        <f>VLOOKUP(D396,especies!$A$2:$C$9,3,FALSE)</f>
        <v>1</v>
      </c>
      <c r="AG396" t="str">
        <f t="shared" si="19"/>
        <v>1-Mestizo</v>
      </c>
      <c r="AH396">
        <f>VLOOKUP('Fichas clínicas'!AG396,razas!$A$2:$D$66,3,FALSE)</f>
        <v>1</v>
      </c>
      <c r="AI396" t="str">
        <f t="shared" si="20"/>
        <v>H</v>
      </c>
    </row>
    <row r="397" spans="1:35" x14ac:dyDescent="0.2">
      <c r="A397">
        <v>397</v>
      </c>
      <c r="B397" t="s">
        <v>1061</v>
      </c>
      <c r="C397" t="s">
        <v>149</v>
      </c>
      <c r="D397" t="s">
        <v>32</v>
      </c>
      <c r="E397" t="s">
        <v>150</v>
      </c>
      <c r="F397" t="s">
        <v>34</v>
      </c>
      <c r="G397" t="s">
        <v>123</v>
      </c>
      <c r="J397" t="s">
        <v>1062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Q397">
        <v>0</v>
      </c>
      <c r="T397" t="s">
        <v>38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f t="shared" si="18"/>
        <v>1</v>
      </c>
      <c r="AF397">
        <f>VLOOKUP(D397,especies!$A$2:$C$9,3,FALSE)</f>
        <v>1</v>
      </c>
      <c r="AG397" t="str">
        <f t="shared" si="19"/>
        <v>1-Poodle</v>
      </c>
      <c r="AH397">
        <f>VLOOKUP('Fichas clínicas'!AG397,razas!$A$2:$D$66,3,FALSE)</f>
        <v>6</v>
      </c>
      <c r="AI397" t="str">
        <f t="shared" si="20"/>
        <v>H</v>
      </c>
    </row>
    <row r="398" spans="1:35" x14ac:dyDescent="0.2">
      <c r="A398">
        <v>398</v>
      </c>
      <c r="B398" t="s">
        <v>1063</v>
      </c>
      <c r="C398" t="s">
        <v>1064</v>
      </c>
      <c r="D398" t="s">
        <v>41</v>
      </c>
      <c r="E398" t="s">
        <v>42</v>
      </c>
      <c r="F398" t="s">
        <v>34</v>
      </c>
      <c r="G398" t="s">
        <v>1065</v>
      </c>
      <c r="J398" t="s">
        <v>82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T398" t="s">
        <v>38</v>
      </c>
      <c r="U398">
        <v>0</v>
      </c>
      <c r="V398">
        <v>1</v>
      </c>
      <c r="W398">
        <v>0</v>
      </c>
      <c r="X398">
        <v>0</v>
      </c>
      <c r="Y398">
        <v>0</v>
      </c>
      <c r="AE398">
        <f t="shared" si="18"/>
        <v>1</v>
      </c>
      <c r="AF398">
        <f>VLOOKUP(D398,especies!$A$2:$C$9,3,FALSE)</f>
        <v>2</v>
      </c>
      <c r="AG398" t="str">
        <f t="shared" si="19"/>
        <v>2-DPC (Doméstico de pelo corto o DSH)</v>
      </c>
      <c r="AH398">
        <f>VLOOKUP('Fichas clínicas'!AG398,razas!$A$2:$D$66,3,FALSE)</f>
        <v>51</v>
      </c>
      <c r="AI398" t="str">
        <f t="shared" si="20"/>
        <v>H</v>
      </c>
    </row>
    <row r="399" spans="1:35" x14ac:dyDescent="0.2">
      <c r="A399">
        <v>399</v>
      </c>
      <c r="B399" t="s">
        <v>1066</v>
      </c>
      <c r="C399" t="s">
        <v>280</v>
      </c>
      <c r="D399" t="s">
        <v>32</v>
      </c>
      <c r="E399" t="s">
        <v>1067</v>
      </c>
      <c r="F399" t="s">
        <v>34</v>
      </c>
      <c r="G399" t="s">
        <v>99</v>
      </c>
      <c r="J399" t="s">
        <v>943</v>
      </c>
      <c r="K399" t="s">
        <v>38</v>
      </c>
      <c r="L399" t="s">
        <v>38</v>
      </c>
      <c r="M399" t="s">
        <v>38</v>
      </c>
      <c r="N399" t="s">
        <v>38</v>
      </c>
      <c r="O399" t="s">
        <v>38</v>
      </c>
      <c r="Q399">
        <v>0</v>
      </c>
      <c r="T399" t="s">
        <v>38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f t="shared" si="18"/>
        <v>1</v>
      </c>
      <c r="AF399">
        <f>VLOOKUP(D399,especies!$A$2:$C$9,3,FALSE)</f>
        <v>1</v>
      </c>
      <c r="AG399" t="str">
        <f t="shared" si="19"/>
        <v>1-Chihuahua</v>
      </c>
      <c r="AH399">
        <f>VLOOKUP('Fichas clínicas'!AG399,razas!$A$2:$D$66,3,FALSE)</f>
        <v>27</v>
      </c>
      <c r="AI399" t="str">
        <f t="shared" si="20"/>
        <v>H</v>
      </c>
    </row>
    <row r="400" spans="1:35" x14ac:dyDescent="0.2">
      <c r="A400">
        <v>400</v>
      </c>
      <c r="B400" t="s">
        <v>1068</v>
      </c>
      <c r="C400" t="s">
        <v>1069</v>
      </c>
      <c r="D400" t="s">
        <v>32</v>
      </c>
      <c r="E400" t="s">
        <v>33</v>
      </c>
      <c r="F400" t="s">
        <v>47</v>
      </c>
      <c r="G400" t="s">
        <v>740</v>
      </c>
      <c r="J400" t="s">
        <v>1070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T400" t="s">
        <v>38</v>
      </c>
      <c r="U400">
        <v>0</v>
      </c>
      <c r="V400">
        <v>1</v>
      </c>
      <c r="W400">
        <v>0</v>
      </c>
      <c r="X400">
        <v>0</v>
      </c>
      <c r="Y400">
        <v>0</v>
      </c>
      <c r="AE400">
        <f t="shared" si="18"/>
        <v>1</v>
      </c>
      <c r="AF400">
        <f>VLOOKUP(D400,especies!$A$2:$C$9,3,FALSE)</f>
        <v>1</v>
      </c>
      <c r="AG400" t="str">
        <f t="shared" si="19"/>
        <v>1-Mestizo</v>
      </c>
      <c r="AH400">
        <f>VLOOKUP('Fichas clínicas'!AG400,razas!$A$2:$D$66,3,FALSE)</f>
        <v>1</v>
      </c>
      <c r="AI400" t="str">
        <f t="shared" si="20"/>
        <v>M</v>
      </c>
    </row>
    <row r="401" spans="1:35" x14ac:dyDescent="0.2">
      <c r="A401">
        <v>401</v>
      </c>
      <c r="B401" t="s">
        <v>1071</v>
      </c>
      <c r="C401" t="s">
        <v>1072</v>
      </c>
      <c r="D401" t="s">
        <v>41</v>
      </c>
      <c r="E401" t="s">
        <v>42</v>
      </c>
      <c r="F401" t="s">
        <v>47</v>
      </c>
      <c r="G401" t="s">
        <v>1073</v>
      </c>
      <c r="J401" t="s">
        <v>1074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T401" t="s">
        <v>38</v>
      </c>
      <c r="U401">
        <v>0</v>
      </c>
      <c r="W401">
        <v>0</v>
      </c>
      <c r="X401">
        <v>0</v>
      </c>
      <c r="Y401">
        <v>0</v>
      </c>
      <c r="AE401">
        <f t="shared" si="18"/>
        <v>1</v>
      </c>
      <c r="AF401">
        <f>VLOOKUP(D401,especies!$A$2:$C$9,3,FALSE)</f>
        <v>2</v>
      </c>
      <c r="AG401" t="str">
        <f t="shared" si="19"/>
        <v>2-DPC (Doméstico de pelo corto o DSH)</v>
      </c>
      <c r="AH401">
        <f>VLOOKUP('Fichas clínicas'!AG401,razas!$A$2:$D$66,3,FALSE)</f>
        <v>51</v>
      </c>
      <c r="AI401" t="str">
        <f t="shared" si="20"/>
        <v>M</v>
      </c>
    </row>
    <row r="402" spans="1:35" x14ac:dyDescent="0.2">
      <c r="A402">
        <v>402</v>
      </c>
      <c r="B402" t="s">
        <v>1075</v>
      </c>
      <c r="C402" t="s">
        <v>1076</v>
      </c>
      <c r="D402" t="s">
        <v>41</v>
      </c>
      <c r="E402" t="s">
        <v>42</v>
      </c>
      <c r="F402" t="s">
        <v>47</v>
      </c>
      <c r="G402" t="s">
        <v>77</v>
      </c>
      <c r="J402" t="s">
        <v>841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Q402">
        <v>0</v>
      </c>
      <c r="T402" t="s">
        <v>38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f t="shared" si="18"/>
        <v>1</v>
      </c>
      <c r="AF402">
        <f>VLOOKUP(D402,especies!$A$2:$C$9,3,FALSE)</f>
        <v>2</v>
      </c>
      <c r="AG402" t="str">
        <f t="shared" si="19"/>
        <v>2-DPC (Doméstico de pelo corto o DSH)</v>
      </c>
      <c r="AH402">
        <f>VLOOKUP('Fichas clínicas'!AG402,razas!$A$2:$D$66,3,FALSE)</f>
        <v>51</v>
      </c>
      <c r="AI402" t="str">
        <f t="shared" si="20"/>
        <v>M</v>
      </c>
    </row>
    <row r="403" spans="1:35" x14ac:dyDescent="0.2">
      <c r="A403">
        <v>403</v>
      </c>
      <c r="B403" t="s">
        <v>1077</v>
      </c>
      <c r="C403" t="s">
        <v>1078</v>
      </c>
      <c r="D403" t="s">
        <v>32</v>
      </c>
      <c r="E403" t="s">
        <v>143</v>
      </c>
      <c r="F403" t="s">
        <v>47</v>
      </c>
      <c r="G403" t="s">
        <v>134</v>
      </c>
      <c r="J403" t="s">
        <v>1079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T403" t="s">
        <v>38</v>
      </c>
      <c r="U403">
        <v>0</v>
      </c>
      <c r="W403">
        <v>0</v>
      </c>
      <c r="X403">
        <v>0</v>
      </c>
      <c r="Y403">
        <v>0</v>
      </c>
      <c r="AE403">
        <f t="shared" si="18"/>
        <v>1</v>
      </c>
      <c r="AF403">
        <f>VLOOKUP(D403,especies!$A$2:$C$9,3,FALSE)</f>
        <v>1</v>
      </c>
      <c r="AG403" t="str">
        <f t="shared" si="19"/>
        <v>1-Yorkshire Terrier</v>
      </c>
      <c r="AH403">
        <f>VLOOKUP('Fichas clínicas'!AG403,razas!$A$2:$D$66,3,FALSE)</f>
        <v>5</v>
      </c>
      <c r="AI403" t="str">
        <f t="shared" si="20"/>
        <v>M</v>
      </c>
    </row>
    <row r="404" spans="1:35" x14ac:dyDescent="0.2">
      <c r="A404">
        <v>404</v>
      </c>
      <c r="B404" t="s">
        <v>1080</v>
      </c>
      <c r="C404" t="s">
        <v>1081</v>
      </c>
      <c r="D404" t="s">
        <v>41</v>
      </c>
      <c r="E404" t="s">
        <v>42</v>
      </c>
      <c r="F404" t="s">
        <v>47</v>
      </c>
      <c r="G404" t="s">
        <v>35</v>
      </c>
      <c r="J404" t="s">
        <v>641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T404" t="s">
        <v>38</v>
      </c>
      <c r="U404">
        <v>0</v>
      </c>
      <c r="W404">
        <v>0</v>
      </c>
      <c r="X404">
        <v>0</v>
      </c>
      <c r="Y404">
        <v>0</v>
      </c>
      <c r="AE404">
        <f t="shared" si="18"/>
        <v>1</v>
      </c>
      <c r="AF404">
        <f>VLOOKUP(D404,especies!$A$2:$C$9,3,FALSE)</f>
        <v>2</v>
      </c>
      <c r="AG404" t="str">
        <f t="shared" si="19"/>
        <v>2-DPC (Doméstico de pelo corto o DSH)</v>
      </c>
      <c r="AH404">
        <f>VLOOKUP('Fichas clínicas'!AG404,razas!$A$2:$D$66,3,FALSE)</f>
        <v>51</v>
      </c>
      <c r="AI404" t="str">
        <f t="shared" si="20"/>
        <v>M</v>
      </c>
    </row>
    <row r="405" spans="1:35" x14ac:dyDescent="0.2">
      <c r="A405">
        <v>405</v>
      </c>
      <c r="B405" t="s">
        <v>1082</v>
      </c>
      <c r="C405" t="s">
        <v>1083</v>
      </c>
      <c r="D405" t="s">
        <v>41</v>
      </c>
      <c r="E405" t="s">
        <v>42</v>
      </c>
      <c r="F405" t="s">
        <v>47</v>
      </c>
      <c r="G405" t="s">
        <v>284</v>
      </c>
      <c r="J405" t="s">
        <v>1084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T405" t="s">
        <v>38</v>
      </c>
      <c r="U405">
        <v>0</v>
      </c>
      <c r="V405">
        <v>1</v>
      </c>
      <c r="W405">
        <v>0</v>
      </c>
      <c r="X405">
        <v>0</v>
      </c>
      <c r="Y405">
        <v>0</v>
      </c>
      <c r="AE405">
        <f t="shared" si="18"/>
        <v>1</v>
      </c>
      <c r="AF405">
        <f>VLOOKUP(D405,especies!$A$2:$C$9,3,FALSE)</f>
        <v>2</v>
      </c>
      <c r="AG405" t="str">
        <f t="shared" si="19"/>
        <v>2-DPC (Doméstico de pelo corto o DSH)</v>
      </c>
      <c r="AH405">
        <f>VLOOKUP('Fichas clínicas'!AG405,razas!$A$2:$D$66,3,FALSE)</f>
        <v>51</v>
      </c>
      <c r="AI405" t="str">
        <f t="shared" si="20"/>
        <v>M</v>
      </c>
    </row>
    <row r="406" spans="1:35" x14ac:dyDescent="0.2">
      <c r="A406">
        <v>406</v>
      </c>
      <c r="B406" t="s">
        <v>1085</v>
      </c>
      <c r="C406" t="s">
        <v>1086</v>
      </c>
      <c r="D406" t="s">
        <v>41</v>
      </c>
      <c r="E406" t="s">
        <v>42</v>
      </c>
      <c r="F406" t="s">
        <v>34</v>
      </c>
      <c r="G406" t="s">
        <v>1017</v>
      </c>
      <c r="J406" t="s">
        <v>1087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T406" t="s">
        <v>38</v>
      </c>
      <c r="U406">
        <v>0</v>
      </c>
      <c r="V406">
        <v>1</v>
      </c>
      <c r="W406">
        <v>0</v>
      </c>
      <c r="X406">
        <v>0</v>
      </c>
      <c r="Y406">
        <v>0</v>
      </c>
      <c r="AE406">
        <f t="shared" si="18"/>
        <v>1</v>
      </c>
      <c r="AF406">
        <f>VLOOKUP(D406,especies!$A$2:$C$9,3,FALSE)</f>
        <v>2</v>
      </c>
      <c r="AG406" t="str">
        <f t="shared" si="19"/>
        <v>2-DPC (Doméstico de pelo corto o DSH)</v>
      </c>
      <c r="AH406">
        <f>VLOOKUP('Fichas clínicas'!AG406,razas!$A$2:$D$66,3,FALSE)</f>
        <v>51</v>
      </c>
      <c r="AI406" t="str">
        <f t="shared" si="20"/>
        <v>H</v>
      </c>
    </row>
    <row r="407" spans="1:35" x14ac:dyDescent="0.2">
      <c r="A407">
        <v>407</v>
      </c>
      <c r="B407" t="s">
        <v>1088</v>
      </c>
      <c r="C407" t="s">
        <v>1089</v>
      </c>
      <c r="D407" t="s">
        <v>41</v>
      </c>
      <c r="E407" t="s">
        <v>42</v>
      </c>
      <c r="F407" t="s">
        <v>47</v>
      </c>
      <c r="G407" t="s">
        <v>652</v>
      </c>
      <c r="J407" t="s">
        <v>1045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T407" t="s">
        <v>38</v>
      </c>
      <c r="U407">
        <v>0</v>
      </c>
      <c r="W407">
        <v>0</v>
      </c>
      <c r="X407">
        <v>0</v>
      </c>
      <c r="Y407">
        <v>0</v>
      </c>
      <c r="AE407">
        <f t="shared" si="18"/>
        <v>1</v>
      </c>
      <c r="AF407">
        <f>VLOOKUP(D407,especies!$A$2:$C$9,3,FALSE)</f>
        <v>2</v>
      </c>
      <c r="AG407" t="str">
        <f t="shared" si="19"/>
        <v>2-DPC (Doméstico de pelo corto o DSH)</v>
      </c>
      <c r="AH407">
        <f>VLOOKUP('Fichas clínicas'!AG407,razas!$A$2:$D$66,3,FALSE)</f>
        <v>51</v>
      </c>
      <c r="AI407" t="str">
        <f t="shared" si="20"/>
        <v>M</v>
      </c>
    </row>
    <row r="408" spans="1:35" x14ac:dyDescent="0.2">
      <c r="A408">
        <v>408</v>
      </c>
      <c r="B408" t="s">
        <v>1090</v>
      </c>
      <c r="C408" t="s">
        <v>1016</v>
      </c>
      <c r="D408" t="s">
        <v>32</v>
      </c>
      <c r="E408" t="s">
        <v>309</v>
      </c>
      <c r="F408" t="s">
        <v>47</v>
      </c>
      <c r="G408" t="s">
        <v>652</v>
      </c>
      <c r="J408" t="s">
        <v>1091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T408" t="s">
        <v>38</v>
      </c>
      <c r="U408">
        <v>0</v>
      </c>
      <c r="W408">
        <v>0</v>
      </c>
      <c r="X408">
        <v>0</v>
      </c>
      <c r="Y408">
        <v>0</v>
      </c>
      <c r="AE408">
        <f t="shared" si="18"/>
        <v>1</v>
      </c>
      <c r="AF408">
        <f>VLOOKUP(D408,especies!$A$2:$C$9,3,FALSE)</f>
        <v>1</v>
      </c>
      <c r="AG408" t="str">
        <f t="shared" si="19"/>
        <v>1-Pug</v>
      </c>
      <c r="AH408">
        <f>VLOOKUP('Fichas clínicas'!AG408,razas!$A$2:$D$66,3,FALSE)</f>
        <v>11</v>
      </c>
      <c r="AI408" t="str">
        <f t="shared" si="20"/>
        <v>M</v>
      </c>
    </row>
    <row r="409" spans="1:35" x14ac:dyDescent="0.2">
      <c r="A409">
        <v>409</v>
      </c>
      <c r="B409" t="s">
        <v>1092</v>
      </c>
      <c r="C409" t="s">
        <v>1093</v>
      </c>
      <c r="D409" t="s">
        <v>41</v>
      </c>
      <c r="E409" t="s">
        <v>42</v>
      </c>
      <c r="F409" t="s">
        <v>34</v>
      </c>
      <c r="G409" t="s">
        <v>81</v>
      </c>
      <c r="J409" t="s">
        <v>1094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T409" t="s">
        <v>38</v>
      </c>
      <c r="U409">
        <v>0</v>
      </c>
      <c r="V409">
        <v>1</v>
      </c>
      <c r="W409">
        <v>0</v>
      </c>
      <c r="X409">
        <v>0</v>
      </c>
      <c r="Y409">
        <v>0</v>
      </c>
      <c r="AE409">
        <f t="shared" si="18"/>
        <v>1</v>
      </c>
      <c r="AF409">
        <f>VLOOKUP(D409,especies!$A$2:$C$9,3,FALSE)</f>
        <v>2</v>
      </c>
      <c r="AG409" t="str">
        <f t="shared" si="19"/>
        <v>2-DPC (Doméstico de pelo corto o DSH)</v>
      </c>
      <c r="AH409">
        <f>VLOOKUP('Fichas clínicas'!AG409,razas!$A$2:$D$66,3,FALSE)</f>
        <v>51</v>
      </c>
      <c r="AI409" t="str">
        <f t="shared" si="20"/>
        <v>H</v>
      </c>
    </row>
    <row r="410" spans="1:35" x14ac:dyDescent="0.2">
      <c r="A410">
        <v>410</v>
      </c>
      <c r="B410" t="s">
        <v>141</v>
      </c>
      <c r="C410" t="s">
        <v>276</v>
      </c>
      <c r="D410" t="s">
        <v>32</v>
      </c>
      <c r="E410" t="s">
        <v>33</v>
      </c>
      <c r="F410" t="s">
        <v>47</v>
      </c>
      <c r="G410" t="s">
        <v>326</v>
      </c>
      <c r="J410" t="s">
        <v>1095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T410" t="s">
        <v>38</v>
      </c>
      <c r="U410">
        <v>0</v>
      </c>
      <c r="W410">
        <v>0</v>
      </c>
      <c r="X410">
        <v>0</v>
      </c>
      <c r="Y410">
        <v>0</v>
      </c>
      <c r="AE410">
        <f t="shared" si="18"/>
        <v>1</v>
      </c>
      <c r="AF410">
        <f>VLOOKUP(D410,especies!$A$2:$C$9,3,FALSE)</f>
        <v>1</v>
      </c>
      <c r="AG410" t="str">
        <f t="shared" si="19"/>
        <v>1-Mestizo</v>
      </c>
      <c r="AH410">
        <f>VLOOKUP('Fichas clínicas'!AG410,razas!$A$2:$D$66,3,FALSE)</f>
        <v>1</v>
      </c>
      <c r="AI410" t="str">
        <f t="shared" si="20"/>
        <v>M</v>
      </c>
    </row>
    <row r="411" spans="1:35" x14ac:dyDescent="0.2">
      <c r="A411">
        <v>411</v>
      </c>
      <c r="B411" t="s">
        <v>1096</v>
      </c>
      <c r="C411" t="s">
        <v>1097</v>
      </c>
      <c r="D411" t="s">
        <v>32</v>
      </c>
      <c r="E411" t="s">
        <v>206</v>
      </c>
      <c r="F411" t="s">
        <v>47</v>
      </c>
      <c r="G411" t="s">
        <v>165</v>
      </c>
      <c r="J411" t="s">
        <v>55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T411" t="s">
        <v>38</v>
      </c>
      <c r="U411">
        <v>0</v>
      </c>
      <c r="W411">
        <v>0</v>
      </c>
      <c r="X411">
        <v>0</v>
      </c>
      <c r="Y411">
        <v>0</v>
      </c>
      <c r="AE411">
        <f t="shared" si="18"/>
        <v>1</v>
      </c>
      <c r="AF411">
        <f>VLOOKUP(D411,especies!$A$2:$C$9,3,FALSE)</f>
        <v>1</v>
      </c>
      <c r="AG411" t="str">
        <f t="shared" si="19"/>
        <v>1-Chow-Chow</v>
      </c>
      <c r="AH411">
        <f>VLOOKUP('Fichas clínicas'!AG411,razas!$A$2:$D$66,3,FALSE)</f>
        <v>9</v>
      </c>
      <c r="AI411" t="str">
        <f t="shared" si="20"/>
        <v>M</v>
      </c>
    </row>
    <row r="412" spans="1:35" x14ac:dyDescent="0.2">
      <c r="A412">
        <v>412</v>
      </c>
      <c r="B412" t="s">
        <v>1098</v>
      </c>
      <c r="C412" t="s">
        <v>1010</v>
      </c>
      <c r="D412" t="s">
        <v>32</v>
      </c>
      <c r="E412" t="s">
        <v>150</v>
      </c>
      <c r="F412" t="s">
        <v>34</v>
      </c>
      <c r="G412" t="s">
        <v>102</v>
      </c>
      <c r="J412" t="s">
        <v>1099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T412" t="s">
        <v>38</v>
      </c>
      <c r="U412">
        <v>0</v>
      </c>
      <c r="W412">
        <v>0</v>
      </c>
      <c r="X412">
        <v>0</v>
      </c>
      <c r="Y412">
        <v>0</v>
      </c>
      <c r="AE412">
        <f t="shared" si="18"/>
        <v>1</v>
      </c>
      <c r="AF412">
        <f>VLOOKUP(D412,especies!$A$2:$C$9,3,FALSE)</f>
        <v>1</v>
      </c>
      <c r="AG412" t="str">
        <f t="shared" si="19"/>
        <v>1-Poodle</v>
      </c>
      <c r="AH412">
        <f>VLOOKUP('Fichas clínicas'!AG412,razas!$A$2:$D$66,3,FALSE)</f>
        <v>6</v>
      </c>
      <c r="AI412" t="str">
        <f t="shared" si="20"/>
        <v>H</v>
      </c>
    </row>
    <row r="413" spans="1:35" x14ac:dyDescent="0.2">
      <c r="A413">
        <v>413</v>
      </c>
      <c r="B413" t="s">
        <v>1100</v>
      </c>
      <c r="C413" t="s">
        <v>1101</v>
      </c>
      <c r="D413" t="s">
        <v>32</v>
      </c>
      <c r="E413" t="s">
        <v>164</v>
      </c>
      <c r="F413" t="s">
        <v>34</v>
      </c>
      <c r="G413" t="s">
        <v>583</v>
      </c>
      <c r="I413">
        <v>939000007188581</v>
      </c>
      <c r="J413" t="s">
        <v>1102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Q413">
        <v>0</v>
      </c>
      <c r="T413" t="s">
        <v>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f t="shared" si="18"/>
        <v>1</v>
      </c>
      <c r="AF413">
        <f>VLOOKUP(D413,especies!$A$2:$C$9,3,FALSE)</f>
        <v>1</v>
      </c>
      <c r="AG413" t="str">
        <f t="shared" si="19"/>
        <v>1-Teckel</v>
      </c>
      <c r="AH413">
        <f>VLOOKUP('Fichas clínicas'!AG413,razas!$A$2:$D$66,3,FALSE)</f>
        <v>8</v>
      </c>
      <c r="AI413" t="str">
        <f t="shared" si="20"/>
        <v>H</v>
      </c>
    </row>
    <row r="414" spans="1:35" x14ac:dyDescent="0.2">
      <c r="A414">
        <v>414</v>
      </c>
      <c r="B414" t="s">
        <v>966</v>
      </c>
      <c r="C414" t="s">
        <v>276</v>
      </c>
      <c r="D414" t="s">
        <v>32</v>
      </c>
      <c r="E414" t="s">
        <v>33</v>
      </c>
      <c r="F414" t="s">
        <v>47</v>
      </c>
      <c r="G414" t="s">
        <v>329</v>
      </c>
      <c r="J414" t="s">
        <v>809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T414" t="s">
        <v>38</v>
      </c>
      <c r="U414">
        <v>0</v>
      </c>
      <c r="W414">
        <v>0</v>
      </c>
      <c r="X414">
        <v>0</v>
      </c>
      <c r="Y414">
        <v>0</v>
      </c>
      <c r="AE414">
        <f t="shared" si="18"/>
        <v>1</v>
      </c>
      <c r="AF414">
        <f>VLOOKUP(D414,especies!$A$2:$C$9,3,FALSE)</f>
        <v>1</v>
      </c>
      <c r="AG414" t="str">
        <f t="shared" si="19"/>
        <v>1-Mestizo</v>
      </c>
      <c r="AH414">
        <f>VLOOKUP('Fichas clínicas'!AG414,razas!$A$2:$D$66,3,FALSE)</f>
        <v>1</v>
      </c>
      <c r="AI414" t="str">
        <f t="shared" si="20"/>
        <v>M</v>
      </c>
    </row>
    <row r="415" spans="1:35" x14ac:dyDescent="0.2">
      <c r="A415">
        <v>415</v>
      </c>
      <c r="B415" t="s">
        <v>1103</v>
      </c>
      <c r="C415" t="s">
        <v>293</v>
      </c>
      <c r="D415" t="s">
        <v>41</v>
      </c>
      <c r="E415" t="s">
        <v>93</v>
      </c>
      <c r="F415" t="s">
        <v>34</v>
      </c>
      <c r="G415" t="s">
        <v>1104</v>
      </c>
      <c r="J415" t="s">
        <v>348</v>
      </c>
      <c r="K415" t="s">
        <v>38</v>
      </c>
      <c r="L415" t="s">
        <v>38</v>
      </c>
      <c r="M415" t="s">
        <v>38</v>
      </c>
      <c r="N415" t="s">
        <v>38</v>
      </c>
      <c r="O415" t="s">
        <v>38</v>
      </c>
      <c r="T415" t="s">
        <v>38</v>
      </c>
      <c r="U415">
        <v>0</v>
      </c>
      <c r="V415">
        <v>1</v>
      </c>
      <c r="W415">
        <v>0</v>
      </c>
      <c r="X415">
        <v>0</v>
      </c>
      <c r="Y415">
        <v>0</v>
      </c>
      <c r="AE415">
        <f t="shared" si="18"/>
        <v>1</v>
      </c>
      <c r="AF415">
        <f>VLOOKUP(D415,especies!$A$2:$C$9,3,FALSE)</f>
        <v>2</v>
      </c>
      <c r="AG415" t="str">
        <f t="shared" si="19"/>
        <v>2-DPL (Doméstico de pelo Largo o DLH)</v>
      </c>
      <c r="AH415">
        <f>VLOOKUP('Fichas clínicas'!AG415,razas!$A$2:$D$66,3,FALSE)</f>
        <v>52</v>
      </c>
      <c r="AI415" t="str">
        <f t="shared" si="20"/>
        <v>H</v>
      </c>
    </row>
    <row r="416" spans="1:35" x14ac:dyDescent="0.2">
      <c r="A416">
        <v>416</v>
      </c>
      <c r="B416" t="s">
        <v>1105</v>
      </c>
      <c r="C416" t="s">
        <v>1106</v>
      </c>
      <c r="D416" t="s">
        <v>32</v>
      </c>
      <c r="E416" t="s">
        <v>150</v>
      </c>
      <c r="F416" t="s">
        <v>34</v>
      </c>
      <c r="G416" t="s">
        <v>123</v>
      </c>
      <c r="J416" t="s">
        <v>1107</v>
      </c>
      <c r="K416" t="s">
        <v>38</v>
      </c>
      <c r="L416" t="s">
        <v>38</v>
      </c>
      <c r="M416" t="s">
        <v>38</v>
      </c>
      <c r="N416" t="s">
        <v>38</v>
      </c>
      <c r="O416" t="s">
        <v>38</v>
      </c>
      <c r="T416" t="s">
        <v>38</v>
      </c>
      <c r="U416">
        <v>0</v>
      </c>
      <c r="W416">
        <v>0</v>
      </c>
      <c r="X416">
        <v>0</v>
      </c>
      <c r="Y416">
        <v>0</v>
      </c>
      <c r="AE416">
        <f t="shared" si="18"/>
        <v>1</v>
      </c>
      <c r="AF416">
        <f>VLOOKUP(D416,especies!$A$2:$C$9,3,FALSE)</f>
        <v>1</v>
      </c>
      <c r="AG416" t="str">
        <f t="shared" si="19"/>
        <v>1-Poodle</v>
      </c>
      <c r="AH416">
        <f>VLOOKUP('Fichas clínicas'!AG416,razas!$A$2:$D$66,3,FALSE)</f>
        <v>6</v>
      </c>
      <c r="AI416" t="str">
        <f t="shared" si="20"/>
        <v>H</v>
      </c>
    </row>
    <row r="417" spans="1:35" x14ac:dyDescent="0.2">
      <c r="A417">
        <v>417</v>
      </c>
      <c r="B417" t="s">
        <v>1108</v>
      </c>
      <c r="C417" t="s">
        <v>1109</v>
      </c>
      <c r="D417" t="s">
        <v>32</v>
      </c>
      <c r="E417" t="s">
        <v>33</v>
      </c>
      <c r="F417" t="s">
        <v>34</v>
      </c>
      <c r="G417" t="s">
        <v>99</v>
      </c>
      <c r="I417">
        <v>953010003025414</v>
      </c>
      <c r="J417" t="s">
        <v>419</v>
      </c>
      <c r="K417" t="s">
        <v>38</v>
      </c>
      <c r="L417" t="s">
        <v>38</v>
      </c>
      <c r="M417" t="s">
        <v>38</v>
      </c>
      <c r="N417" t="s">
        <v>38</v>
      </c>
      <c r="O417" t="s">
        <v>38</v>
      </c>
      <c r="Q417">
        <v>0</v>
      </c>
      <c r="T417" t="s">
        <v>38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f t="shared" si="18"/>
        <v>1</v>
      </c>
      <c r="AF417">
        <f>VLOOKUP(D417,especies!$A$2:$C$9,3,FALSE)</f>
        <v>1</v>
      </c>
      <c r="AG417" t="str">
        <f t="shared" si="19"/>
        <v>1-Mestizo</v>
      </c>
      <c r="AH417">
        <f>VLOOKUP('Fichas clínicas'!AG417,razas!$A$2:$D$66,3,FALSE)</f>
        <v>1</v>
      </c>
      <c r="AI417" t="str">
        <f t="shared" si="20"/>
        <v>H</v>
      </c>
    </row>
    <row r="418" spans="1:35" x14ac:dyDescent="0.2">
      <c r="A418">
        <v>418</v>
      </c>
      <c r="B418" t="s">
        <v>1110</v>
      </c>
      <c r="C418" t="s">
        <v>1111</v>
      </c>
      <c r="D418" t="s">
        <v>32</v>
      </c>
      <c r="E418" t="s">
        <v>150</v>
      </c>
      <c r="F418" t="s">
        <v>47</v>
      </c>
      <c r="G418" t="s">
        <v>123</v>
      </c>
      <c r="J418" t="s">
        <v>1012</v>
      </c>
      <c r="K418" t="s">
        <v>38</v>
      </c>
      <c r="L418" t="s">
        <v>38</v>
      </c>
      <c r="M418" t="s">
        <v>38</v>
      </c>
      <c r="N418" t="s">
        <v>38</v>
      </c>
      <c r="O418" t="s">
        <v>38</v>
      </c>
      <c r="T418" t="s">
        <v>38</v>
      </c>
      <c r="U418">
        <v>0</v>
      </c>
      <c r="W418">
        <v>0</v>
      </c>
      <c r="X418">
        <v>0</v>
      </c>
      <c r="Y418">
        <v>0</v>
      </c>
      <c r="AE418">
        <f t="shared" si="18"/>
        <v>1</v>
      </c>
      <c r="AF418">
        <f>VLOOKUP(D418,especies!$A$2:$C$9,3,FALSE)</f>
        <v>1</v>
      </c>
      <c r="AG418" t="str">
        <f t="shared" si="19"/>
        <v>1-Poodle</v>
      </c>
      <c r="AH418">
        <f>VLOOKUP('Fichas clínicas'!AG418,razas!$A$2:$D$66,3,FALSE)</f>
        <v>6</v>
      </c>
      <c r="AI418" t="str">
        <f t="shared" si="20"/>
        <v>M</v>
      </c>
    </row>
    <row r="419" spans="1:35" x14ac:dyDescent="0.2">
      <c r="A419">
        <v>419</v>
      </c>
      <c r="B419" t="s">
        <v>1112</v>
      </c>
      <c r="C419" t="s">
        <v>96</v>
      </c>
      <c r="D419" t="s">
        <v>41</v>
      </c>
      <c r="E419" t="s">
        <v>42</v>
      </c>
      <c r="F419" t="s">
        <v>34</v>
      </c>
      <c r="G419" t="s">
        <v>277</v>
      </c>
      <c r="J419" t="s">
        <v>90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Q419">
        <v>0</v>
      </c>
      <c r="T419" t="s">
        <v>38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f t="shared" si="18"/>
        <v>1</v>
      </c>
      <c r="AF419">
        <f>VLOOKUP(D419,especies!$A$2:$C$9,3,FALSE)</f>
        <v>2</v>
      </c>
      <c r="AG419" t="str">
        <f t="shared" si="19"/>
        <v>2-DPC (Doméstico de pelo corto o DSH)</v>
      </c>
      <c r="AH419">
        <f>VLOOKUP('Fichas clínicas'!AG419,razas!$A$2:$D$66,3,FALSE)</f>
        <v>51</v>
      </c>
      <c r="AI419" t="str">
        <f t="shared" si="20"/>
        <v>H</v>
      </c>
    </row>
    <row r="420" spans="1:35" x14ac:dyDescent="0.2">
      <c r="A420">
        <v>420</v>
      </c>
      <c r="B420" t="s">
        <v>1113</v>
      </c>
      <c r="C420" t="s">
        <v>1114</v>
      </c>
      <c r="D420" t="s">
        <v>32</v>
      </c>
      <c r="E420" t="s">
        <v>33</v>
      </c>
      <c r="F420" t="s">
        <v>34</v>
      </c>
      <c r="G420" t="s">
        <v>258</v>
      </c>
      <c r="J420" t="s">
        <v>737</v>
      </c>
      <c r="K420" t="s">
        <v>38</v>
      </c>
      <c r="L420" t="s">
        <v>38</v>
      </c>
      <c r="M420" t="s">
        <v>38</v>
      </c>
      <c r="N420" t="s">
        <v>38</v>
      </c>
      <c r="O420" t="s">
        <v>38</v>
      </c>
      <c r="T420" t="s">
        <v>38</v>
      </c>
      <c r="U420">
        <v>0</v>
      </c>
      <c r="V420">
        <v>1</v>
      </c>
      <c r="W420">
        <v>0</v>
      </c>
      <c r="X420">
        <v>0</v>
      </c>
      <c r="Y420">
        <v>0</v>
      </c>
      <c r="AE420">
        <f t="shared" si="18"/>
        <v>1</v>
      </c>
      <c r="AF420">
        <f>VLOOKUP(D420,especies!$A$2:$C$9,3,FALSE)</f>
        <v>1</v>
      </c>
      <c r="AG420" t="str">
        <f t="shared" si="19"/>
        <v>1-Mestizo</v>
      </c>
      <c r="AH420">
        <f>VLOOKUP('Fichas clínicas'!AG420,razas!$A$2:$D$66,3,FALSE)</f>
        <v>1</v>
      </c>
      <c r="AI420" t="str">
        <f t="shared" si="20"/>
        <v>H</v>
      </c>
    </row>
    <row r="421" spans="1:35" x14ac:dyDescent="0.2">
      <c r="A421">
        <v>421</v>
      </c>
      <c r="B421" t="s">
        <v>1113</v>
      </c>
      <c r="C421" t="s">
        <v>1115</v>
      </c>
      <c r="D421" t="s">
        <v>32</v>
      </c>
      <c r="E421" t="s">
        <v>33</v>
      </c>
      <c r="F421" t="s">
        <v>47</v>
      </c>
      <c r="G421" t="s">
        <v>740</v>
      </c>
      <c r="J421" t="s">
        <v>489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T421" t="s">
        <v>38</v>
      </c>
      <c r="U421">
        <v>0</v>
      </c>
      <c r="V421">
        <v>1</v>
      </c>
      <c r="W421">
        <v>0</v>
      </c>
      <c r="X421">
        <v>0</v>
      </c>
      <c r="Y421">
        <v>0</v>
      </c>
      <c r="AE421">
        <f t="shared" si="18"/>
        <v>1</v>
      </c>
      <c r="AF421">
        <f>VLOOKUP(D421,especies!$A$2:$C$9,3,FALSE)</f>
        <v>1</v>
      </c>
      <c r="AG421" t="str">
        <f t="shared" si="19"/>
        <v>1-Mestizo</v>
      </c>
      <c r="AH421">
        <f>VLOOKUP('Fichas clínicas'!AG421,razas!$A$2:$D$66,3,FALSE)</f>
        <v>1</v>
      </c>
      <c r="AI421" t="str">
        <f t="shared" si="20"/>
        <v>M</v>
      </c>
    </row>
    <row r="422" spans="1:35" x14ac:dyDescent="0.2">
      <c r="A422">
        <v>422</v>
      </c>
      <c r="B422" t="s">
        <v>1116</v>
      </c>
      <c r="C422" t="s">
        <v>1117</v>
      </c>
      <c r="D422" t="s">
        <v>32</v>
      </c>
      <c r="E422" t="s">
        <v>33</v>
      </c>
      <c r="F422" t="s">
        <v>47</v>
      </c>
      <c r="G422" t="s">
        <v>116</v>
      </c>
      <c r="J422" t="s">
        <v>1012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T422" t="s">
        <v>38</v>
      </c>
      <c r="U422">
        <v>0</v>
      </c>
      <c r="W422">
        <v>0</v>
      </c>
      <c r="X422">
        <v>0</v>
      </c>
      <c r="Y422">
        <v>0</v>
      </c>
      <c r="AE422">
        <f t="shared" si="18"/>
        <v>1</v>
      </c>
      <c r="AF422">
        <f>VLOOKUP(D422,especies!$A$2:$C$9,3,FALSE)</f>
        <v>1</v>
      </c>
      <c r="AG422" t="str">
        <f t="shared" si="19"/>
        <v>1-Mestizo</v>
      </c>
      <c r="AH422">
        <f>VLOOKUP('Fichas clínicas'!AG422,razas!$A$2:$D$66,3,FALSE)</f>
        <v>1</v>
      </c>
      <c r="AI422" t="str">
        <f t="shared" si="20"/>
        <v>M</v>
      </c>
    </row>
    <row r="423" spans="1:35" x14ac:dyDescent="0.2">
      <c r="A423">
        <v>423</v>
      </c>
      <c r="B423" t="s">
        <v>1118</v>
      </c>
      <c r="C423" t="s">
        <v>1119</v>
      </c>
      <c r="D423" t="s">
        <v>32</v>
      </c>
      <c r="E423" t="s">
        <v>33</v>
      </c>
      <c r="F423" t="s">
        <v>47</v>
      </c>
      <c r="G423" t="s">
        <v>134</v>
      </c>
      <c r="J423" t="s">
        <v>90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T423" t="s">
        <v>38</v>
      </c>
      <c r="U423">
        <v>0</v>
      </c>
      <c r="W423">
        <v>0</v>
      </c>
      <c r="X423">
        <v>0</v>
      </c>
      <c r="Y423">
        <v>0</v>
      </c>
      <c r="AE423">
        <f t="shared" si="18"/>
        <v>1</v>
      </c>
      <c r="AF423">
        <f>VLOOKUP(D423,especies!$A$2:$C$9,3,FALSE)</f>
        <v>1</v>
      </c>
      <c r="AG423" t="str">
        <f t="shared" si="19"/>
        <v>1-Mestizo</v>
      </c>
      <c r="AH423">
        <f>VLOOKUP('Fichas clínicas'!AG423,razas!$A$2:$D$66,3,FALSE)</f>
        <v>1</v>
      </c>
      <c r="AI423" t="str">
        <f t="shared" si="20"/>
        <v>M</v>
      </c>
    </row>
    <row r="424" spans="1:35" x14ac:dyDescent="0.2">
      <c r="A424">
        <v>424</v>
      </c>
      <c r="B424" t="s">
        <v>1120</v>
      </c>
      <c r="C424" t="s">
        <v>1121</v>
      </c>
      <c r="D424" t="s">
        <v>41</v>
      </c>
      <c r="E424" t="s">
        <v>42</v>
      </c>
      <c r="F424" t="s">
        <v>34</v>
      </c>
      <c r="G424" t="s">
        <v>102</v>
      </c>
      <c r="J424" t="s">
        <v>1122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T424" t="s">
        <v>38</v>
      </c>
      <c r="U424">
        <v>0</v>
      </c>
      <c r="W424">
        <v>0</v>
      </c>
      <c r="X424">
        <v>0</v>
      </c>
      <c r="Y424">
        <v>0</v>
      </c>
      <c r="AE424">
        <f t="shared" si="18"/>
        <v>1</v>
      </c>
      <c r="AF424">
        <f>VLOOKUP(D424,especies!$A$2:$C$9,3,FALSE)</f>
        <v>2</v>
      </c>
      <c r="AG424" t="str">
        <f t="shared" si="19"/>
        <v>2-DPC (Doméstico de pelo corto o DSH)</v>
      </c>
      <c r="AH424">
        <f>VLOOKUP('Fichas clínicas'!AG424,razas!$A$2:$D$66,3,FALSE)</f>
        <v>51</v>
      </c>
      <c r="AI424" t="str">
        <f t="shared" si="20"/>
        <v>H</v>
      </c>
    </row>
    <row r="425" spans="1:35" x14ac:dyDescent="0.2">
      <c r="A425">
        <v>425</v>
      </c>
      <c r="B425" t="s">
        <v>1123</v>
      </c>
      <c r="C425" t="s">
        <v>1124</v>
      </c>
      <c r="D425" t="s">
        <v>32</v>
      </c>
      <c r="E425" t="s">
        <v>458</v>
      </c>
      <c r="F425" t="s">
        <v>47</v>
      </c>
      <c r="G425" t="s">
        <v>630</v>
      </c>
      <c r="I425">
        <v>991001002937256</v>
      </c>
      <c r="J425" t="s">
        <v>1125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Q425">
        <v>0</v>
      </c>
      <c r="T425" t="s">
        <v>38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f t="shared" si="18"/>
        <v>1</v>
      </c>
      <c r="AF425">
        <f>VLOOKUP(D425,especies!$A$2:$C$9,3,FALSE)</f>
        <v>1</v>
      </c>
      <c r="AG425" t="str">
        <f t="shared" si="19"/>
        <v>1-Beagle</v>
      </c>
      <c r="AH425">
        <f>VLOOKUP('Fichas clínicas'!AG425,razas!$A$2:$D$66,3,FALSE)</f>
        <v>13</v>
      </c>
      <c r="AI425" t="str">
        <f t="shared" si="20"/>
        <v>M</v>
      </c>
    </row>
    <row r="426" spans="1:35" x14ac:dyDescent="0.2">
      <c r="A426">
        <v>426</v>
      </c>
      <c r="B426" t="s">
        <v>1126</v>
      </c>
      <c r="C426" t="s">
        <v>1127</v>
      </c>
      <c r="D426" t="s">
        <v>41</v>
      </c>
      <c r="E426" t="s">
        <v>42</v>
      </c>
      <c r="F426" t="s">
        <v>47</v>
      </c>
      <c r="G426" t="s">
        <v>740</v>
      </c>
      <c r="J426" t="s">
        <v>1128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T426" t="s">
        <v>38</v>
      </c>
      <c r="U426">
        <v>0</v>
      </c>
      <c r="V426">
        <v>1</v>
      </c>
      <c r="W426">
        <v>0</v>
      </c>
      <c r="X426">
        <v>0</v>
      </c>
      <c r="Y426">
        <v>0</v>
      </c>
      <c r="AE426">
        <f t="shared" si="18"/>
        <v>1</v>
      </c>
      <c r="AF426">
        <f>VLOOKUP(D426,especies!$A$2:$C$9,3,FALSE)</f>
        <v>2</v>
      </c>
      <c r="AG426" t="str">
        <f t="shared" si="19"/>
        <v>2-DPC (Doméstico de pelo corto o DSH)</v>
      </c>
      <c r="AH426">
        <f>VLOOKUP('Fichas clínicas'!AG426,razas!$A$2:$D$66,3,FALSE)</f>
        <v>51</v>
      </c>
      <c r="AI426" t="str">
        <f t="shared" si="20"/>
        <v>M</v>
      </c>
    </row>
    <row r="427" spans="1:35" x14ac:dyDescent="0.2">
      <c r="A427">
        <v>427</v>
      </c>
      <c r="B427" t="s">
        <v>1129</v>
      </c>
      <c r="C427" t="s">
        <v>1130</v>
      </c>
      <c r="D427" t="s">
        <v>41</v>
      </c>
      <c r="E427" t="s">
        <v>93</v>
      </c>
      <c r="F427" t="s">
        <v>34</v>
      </c>
      <c r="G427" t="s">
        <v>123</v>
      </c>
      <c r="J427" t="s">
        <v>439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T427" t="s">
        <v>38</v>
      </c>
      <c r="U427">
        <v>0</v>
      </c>
      <c r="V427">
        <v>1</v>
      </c>
      <c r="W427">
        <v>0</v>
      </c>
      <c r="X427">
        <v>0</v>
      </c>
      <c r="Y427">
        <v>0</v>
      </c>
      <c r="AE427">
        <f t="shared" si="18"/>
        <v>1</v>
      </c>
      <c r="AF427">
        <f>VLOOKUP(D427,especies!$A$2:$C$9,3,FALSE)</f>
        <v>2</v>
      </c>
      <c r="AG427" t="str">
        <f t="shared" si="19"/>
        <v>2-DPL (Doméstico de pelo Largo o DLH)</v>
      </c>
      <c r="AH427">
        <f>VLOOKUP('Fichas clínicas'!AG427,razas!$A$2:$D$66,3,FALSE)</f>
        <v>52</v>
      </c>
      <c r="AI427" t="str">
        <f t="shared" si="20"/>
        <v>H</v>
      </c>
    </row>
    <row r="428" spans="1:35" x14ac:dyDescent="0.2">
      <c r="A428">
        <v>428</v>
      </c>
      <c r="B428" t="s">
        <v>1131</v>
      </c>
      <c r="C428" t="s">
        <v>280</v>
      </c>
      <c r="D428" t="s">
        <v>32</v>
      </c>
      <c r="E428" t="s">
        <v>150</v>
      </c>
      <c r="F428" t="s">
        <v>34</v>
      </c>
      <c r="G428" t="s">
        <v>123</v>
      </c>
      <c r="J428" t="s">
        <v>1132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T428" t="s">
        <v>38</v>
      </c>
      <c r="U428">
        <v>0</v>
      </c>
      <c r="W428">
        <v>0</v>
      </c>
      <c r="X428">
        <v>0</v>
      </c>
      <c r="Y428">
        <v>0</v>
      </c>
      <c r="AE428">
        <f t="shared" si="18"/>
        <v>1</v>
      </c>
      <c r="AF428">
        <f>VLOOKUP(D428,especies!$A$2:$C$9,3,FALSE)</f>
        <v>1</v>
      </c>
      <c r="AG428" t="str">
        <f t="shared" si="19"/>
        <v>1-Poodle</v>
      </c>
      <c r="AH428">
        <f>VLOOKUP('Fichas clínicas'!AG428,razas!$A$2:$D$66,3,FALSE)</f>
        <v>6</v>
      </c>
      <c r="AI428" t="str">
        <f t="shared" si="20"/>
        <v>H</v>
      </c>
    </row>
    <row r="429" spans="1:35" x14ac:dyDescent="0.2">
      <c r="A429">
        <v>429</v>
      </c>
      <c r="B429" t="s">
        <v>1133</v>
      </c>
      <c r="C429" t="s">
        <v>1081</v>
      </c>
      <c r="D429" t="s">
        <v>32</v>
      </c>
      <c r="E429" t="s">
        <v>33</v>
      </c>
      <c r="F429" t="s">
        <v>47</v>
      </c>
      <c r="G429" t="s">
        <v>583</v>
      </c>
      <c r="J429" t="s">
        <v>119</v>
      </c>
      <c r="K429" t="s">
        <v>38</v>
      </c>
      <c r="L429" t="s">
        <v>38</v>
      </c>
      <c r="M429" t="s">
        <v>38</v>
      </c>
      <c r="N429" t="s">
        <v>38</v>
      </c>
      <c r="O429" t="s">
        <v>38</v>
      </c>
      <c r="T429" t="s">
        <v>38</v>
      </c>
      <c r="U429">
        <v>0</v>
      </c>
      <c r="V429">
        <v>1</v>
      </c>
      <c r="W429">
        <v>0</v>
      </c>
      <c r="X429">
        <v>0</v>
      </c>
      <c r="Y429">
        <v>0</v>
      </c>
      <c r="AE429">
        <f t="shared" si="18"/>
        <v>1</v>
      </c>
      <c r="AF429">
        <f>VLOOKUP(D429,especies!$A$2:$C$9,3,FALSE)</f>
        <v>1</v>
      </c>
      <c r="AG429" t="str">
        <f t="shared" si="19"/>
        <v>1-Mestizo</v>
      </c>
      <c r="AH429">
        <f>VLOOKUP('Fichas clínicas'!AG429,razas!$A$2:$D$66,3,FALSE)</f>
        <v>1</v>
      </c>
      <c r="AI429" t="str">
        <f t="shared" si="20"/>
        <v>M</v>
      </c>
    </row>
    <row r="430" spans="1:35" x14ac:dyDescent="0.2">
      <c r="A430">
        <v>430</v>
      </c>
      <c r="B430" t="s">
        <v>1134</v>
      </c>
      <c r="C430" t="s">
        <v>115</v>
      </c>
      <c r="D430" t="s">
        <v>41</v>
      </c>
      <c r="E430" t="s">
        <v>42</v>
      </c>
      <c r="F430" t="s">
        <v>47</v>
      </c>
      <c r="G430" t="s">
        <v>656</v>
      </c>
      <c r="J430" t="s">
        <v>1135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T430" t="s">
        <v>38</v>
      </c>
      <c r="U430">
        <v>0</v>
      </c>
      <c r="W430">
        <v>0</v>
      </c>
      <c r="X430">
        <v>0</v>
      </c>
      <c r="Y430">
        <v>0</v>
      </c>
      <c r="AE430">
        <f t="shared" si="18"/>
        <v>1</v>
      </c>
      <c r="AF430">
        <f>VLOOKUP(D430,especies!$A$2:$C$9,3,FALSE)</f>
        <v>2</v>
      </c>
      <c r="AG430" t="str">
        <f t="shared" si="19"/>
        <v>2-DPC (Doméstico de pelo corto o DSH)</v>
      </c>
      <c r="AH430">
        <f>VLOOKUP('Fichas clínicas'!AG430,razas!$A$2:$D$66,3,FALSE)</f>
        <v>51</v>
      </c>
      <c r="AI430" t="str">
        <f t="shared" si="20"/>
        <v>M</v>
      </c>
    </row>
    <row r="431" spans="1:35" x14ac:dyDescent="0.2">
      <c r="A431">
        <v>431</v>
      </c>
      <c r="B431" t="s">
        <v>1134</v>
      </c>
      <c r="C431" t="s">
        <v>1136</v>
      </c>
      <c r="D431" t="s">
        <v>41</v>
      </c>
      <c r="E431" t="s">
        <v>42</v>
      </c>
      <c r="F431" t="s">
        <v>34</v>
      </c>
      <c r="G431" t="s">
        <v>77</v>
      </c>
      <c r="J431" t="s">
        <v>1135</v>
      </c>
      <c r="K431" t="s">
        <v>38</v>
      </c>
      <c r="L431" t="s">
        <v>38</v>
      </c>
      <c r="M431" t="s">
        <v>38</v>
      </c>
      <c r="N431" t="s">
        <v>38</v>
      </c>
      <c r="O431" t="s">
        <v>38</v>
      </c>
      <c r="T431" t="s">
        <v>38</v>
      </c>
      <c r="U431">
        <v>0</v>
      </c>
      <c r="W431">
        <v>0</v>
      </c>
      <c r="X431">
        <v>0</v>
      </c>
      <c r="Y431">
        <v>0</v>
      </c>
      <c r="AE431">
        <f t="shared" si="18"/>
        <v>1</v>
      </c>
      <c r="AF431">
        <f>VLOOKUP(D431,especies!$A$2:$C$9,3,FALSE)</f>
        <v>2</v>
      </c>
      <c r="AG431" t="str">
        <f t="shared" si="19"/>
        <v>2-DPC (Doméstico de pelo corto o DSH)</v>
      </c>
      <c r="AH431">
        <f>VLOOKUP('Fichas clínicas'!AG431,razas!$A$2:$D$66,3,FALSE)</f>
        <v>51</v>
      </c>
      <c r="AI431" t="str">
        <f t="shared" si="20"/>
        <v>H</v>
      </c>
    </row>
    <row r="432" spans="1:35" x14ac:dyDescent="0.2">
      <c r="A432">
        <v>432</v>
      </c>
      <c r="B432" t="s">
        <v>798</v>
      </c>
      <c r="C432" t="s">
        <v>53</v>
      </c>
      <c r="D432" t="s">
        <v>32</v>
      </c>
      <c r="E432" t="s">
        <v>33</v>
      </c>
      <c r="F432" t="s">
        <v>34</v>
      </c>
      <c r="G432" t="s">
        <v>220</v>
      </c>
      <c r="J432" t="s">
        <v>1137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T432" t="s">
        <v>38</v>
      </c>
      <c r="U432">
        <v>0</v>
      </c>
      <c r="W432">
        <v>0</v>
      </c>
      <c r="X432">
        <v>0</v>
      </c>
      <c r="Y432">
        <v>0</v>
      </c>
      <c r="AE432">
        <f t="shared" si="18"/>
        <v>1</v>
      </c>
      <c r="AF432">
        <f>VLOOKUP(D432,especies!$A$2:$C$9,3,FALSE)</f>
        <v>1</v>
      </c>
      <c r="AG432" t="str">
        <f t="shared" si="19"/>
        <v>1-Mestizo</v>
      </c>
      <c r="AH432">
        <f>VLOOKUP('Fichas clínicas'!AG432,razas!$A$2:$D$66,3,FALSE)</f>
        <v>1</v>
      </c>
      <c r="AI432" t="str">
        <f t="shared" si="20"/>
        <v>H</v>
      </c>
    </row>
    <row r="433" spans="1:35" x14ac:dyDescent="0.2">
      <c r="A433">
        <v>433</v>
      </c>
      <c r="B433" t="s">
        <v>1138</v>
      </c>
      <c r="C433" t="s">
        <v>40</v>
      </c>
      <c r="D433" t="s">
        <v>32</v>
      </c>
      <c r="E433" t="s">
        <v>970</v>
      </c>
      <c r="F433" t="s">
        <v>34</v>
      </c>
      <c r="G433" t="s">
        <v>740</v>
      </c>
      <c r="J433" t="s">
        <v>1139</v>
      </c>
      <c r="K433" t="s">
        <v>38</v>
      </c>
      <c r="L433" t="s">
        <v>38</v>
      </c>
      <c r="M433" t="s">
        <v>38</v>
      </c>
      <c r="N433" t="s">
        <v>38</v>
      </c>
      <c r="O433" t="s">
        <v>38</v>
      </c>
      <c r="T433" t="s">
        <v>38</v>
      </c>
      <c r="U433">
        <v>0</v>
      </c>
      <c r="W433">
        <v>0</v>
      </c>
      <c r="X433">
        <v>0</v>
      </c>
      <c r="Y433">
        <v>0</v>
      </c>
      <c r="AE433">
        <f t="shared" si="18"/>
        <v>1</v>
      </c>
      <c r="AF433">
        <f>VLOOKUP(D433,especies!$A$2:$C$9,3,FALSE)</f>
        <v>1</v>
      </c>
      <c r="AG433" t="str">
        <f t="shared" si="19"/>
        <v>1-American Pit Bull Terrier</v>
      </c>
      <c r="AH433">
        <f>VLOOKUP('Fichas clínicas'!AG433,razas!$A$2:$D$66,3,FALSE)</f>
        <v>25</v>
      </c>
      <c r="AI433" t="str">
        <f t="shared" si="20"/>
        <v>H</v>
      </c>
    </row>
    <row r="434" spans="1:35" x14ac:dyDescent="0.2">
      <c r="A434">
        <v>434</v>
      </c>
      <c r="B434" t="s">
        <v>1140</v>
      </c>
      <c r="C434" t="s">
        <v>1141</v>
      </c>
      <c r="D434" t="s">
        <v>41</v>
      </c>
      <c r="E434" t="s">
        <v>42</v>
      </c>
      <c r="F434" t="s">
        <v>47</v>
      </c>
      <c r="G434" t="s">
        <v>300</v>
      </c>
      <c r="J434" t="s">
        <v>1079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T434" t="s">
        <v>38</v>
      </c>
      <c r="U434">
        <v>0</v>
      </c>
      <c r="W434">
        <v>0</v>
      </c>
      <c r="X434">
        <v>0</v>
      </c>
      <c r="Y434">
        <v>0</v>
      </c>
      <c r="AE434">
        <f t="shared" si="18"/>
        <v>1</v>
      </c>
      <c r="AF434">
        <f>VLOOKUP(D434,especies!$A$2:$C$9,3,FALSE)</f>
        <v>2</v>
      </c>
      <c r="AG434" t="str">
        <f t="shared" si="19"/>
        <v>2-DPC (Doméstico de pelo corto o DSH)</v>
      </c>
      <c r="AH434">
        <f>VLOOKUP('Fichas clínicas'!AG434,razas!$A$2:$D$66,3,FALSE)</f>
        <v>51</v>
      </c>
      <c r="AI434" t="str">
        <f t="shared" si="20"/>
        <v>M</v>
      </c>
    </row>
    <row r="435" spans="1:35" x14ac:dyDescent="0.2">
      <c r="A435">
        <v>435</v>
      </c>
      <c r="B435" t="s">
        <v>1142</v>
      </c>
      <c r="C435" t="s">
        <v>1143</v>
      </c>
      <c r="D435" t="s">
        <v>32</v>
      </c>
      <c r="E435" t="s">
        <v>823</v>
      </c>
      <c r="F435" t="s">
        <v>34</v>
      </c>
      <c r="G435" t="s">
        <v>102</v>
      </c>
      <c r="J435" t="s">
        <v>835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T435" t="s">
        <v>38</v>
      </c>
      <c r="U435">
        <v>0</v>
      </c>
      <c r="W435">
        <v>0</v>
      </c>
      <c r="X435">
        <v>0</v>
      </c>
      <c r="Y435">
        <v>0</v>
      </c>
      <c r="AE435">
        <f t="shared" si="18"/>
        <v>1</v>
      </c>
      <c r="AF435">
        <f>VLOOKUP(D435,especies!$A$2:$C$9,3,FALSE)</f>
        <v>1</v>
      </c>
      <c r="AG435" t="str">
        <f t="shared" si="19"/>
        <v>1-Dogo Argentino</v>
      </c>
      <c r="AH435">
        <f>VLOOKUP('Fichas clínicas'!AG435,razas!$A$2:$D$66,3,FALSE)</f>
        <v>19</v>
      </c>
      <c r="AI435" t="str">
        <f t="shared" si="20"/>
        <v>H</v>
      </c>
    </row>
    <row r="436" spans="1:35" x14ac:dyDescent="0.2">
      <c r="A436">
        <v>436</v>
      </c>
      <c r="B436" t="s">
        <v>1080</v>
      </c>
      <c r="C436" t="s">
        <v>1144</v>
      </c>
      <c r="D436" t="s">
        <v>41</v>
      </c>
      <c r="E436" t="s">
        <v>42</v>
      </c>
      <c r="F436" t="s">
        <v>34</v>
      </c>
      <c r="G436" t="s">
        <v>1145</v>
      </c>
      <c r="J436" t="s">
        <v>641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T436" t="s">
        <v>38</v>
      </c>
      <c r="U436">
        <v>0</v>
      </c>
      <c r="W436">
        <v>0</v>
      </c>
      <c r="X436">
        <v>0</v>
      </c>
      <c r="Y436">
        <v>0</v>
      </c>
      <c r="AE436">
        <f t="shared" si="18"/>
        <v>1</v>
      </c>
      <c r="AF436">
        <f>VLOOKUP(D436,especies!$A$2:$C$9,3,FALSE)</f>
        <v>2</v>
      </c>
      <c r="AG436" t="str">
        <f t="shared" si="19"/>
        <v>2-DPC (Doméstico de pelo corto o DSH)</v>
      </c>
      <c r="AH436">
        <f>VLOOKUP('Fichas clínicas'!AG436,razas!$A$2:$D$66,3,FALSE)</f>
        <v>51</v>
      </c>
      <c r="AI436" t="str">
        <f t="shared" si="20"/>
        <v>H</v>
      </c>
    </row>
    <row r="437" spans="1:35" x14ac:dyDescent="0.2">
      <c r="A437">
        <v>437</v>
      </c>
      <c r="B437" t="s">
        <v>1146</v>
      </c>
      <c r="C437" t="s">
        <v>654</v>
      </c>
      <c r="D437" t="s">
        <v>32</v>
      </c>
      <c r="E437" t="s">
        <v>150</v>
      </c>
      <c r="F437" t="s">
        <v>34</v>
      </c>
      <c r="G437" t="s">
        <v>123</v>
      </c>
      <c r="J437" t="s">
        <v>1147</v>
      </c>
      <c r="K437" t="s">
        <v>38</v>
      </c>
      <c r="L437" t="s">
        <v>38</v>
      </c>
      <c r="M437" t="s">
        <v>38</v>
      </c>
      <c r="N437" t="s">
        <v>38</v>
      </c>
      <c r="O437" t="s">
        <v>38</v>
      </c>
      <c r="T437" t="s">
        <v>38</v>
      </c>
      <c r="U437">
        <v>0</v>
      </c>
      <c r="V437">
        <v>1</v>
      </c>
      <c r="W437">
        <v>0</v>
      </c>
      <c r="X437">
        <v>0</v>
      </c>
      <c r="Y437">
        <v>0</v>
      </c>
      <c r="AE437">
        <f t="shared" si="18"/>
        <v>1</v>
      </c>
      <c r="AF437">
        <f>VLOOKUP(D437,especies!$A$2:$C$9,3,FALSE)</f>
        <v>1</v>
      </c>
      <c r="AG437" t="str">
        <f t="shared" si="19"/>
        <v>1-Poodle</v>
      </c>
      <c r="AH437">
        <f>VLOOKUP('Fichas clínicas'!AG437,razas!$A$2:$D$66,3,FALSE)</f>
        <v>6</v>
      </c>
      <c r="AI437" t="str">
        <f t="shared" si="20"/>
        <v>H</v>
      </c>
    </row>
    <row r="438" spans="1:35" x14ac:dyDescent="0.2">
      <c r="A438">
        <v>438</v>
      </c>
      <c r="B438" t="s">
        <v>1148</v>
      </c>
      <c r="C438" t="s">
        <v>1149</v>
      </c>
      <c r="D438" t="s">
        <v>41</v>
      </c>
      <c r="E438" t="s">
        <v>93</v>
      </c>
      <c r="F438" t="s">
        <v>47</v>
      </c>
      <c r="G438" t="s">
        <v>109</v>
      </c>
      <c r="J438" t="s">
        <v>1150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T438" t="s">
        <v>38</v>
      </c>
      <c r="U438">
        <v>0</v>
      </c>
      <c r="W438">
        <v>0</v>
      </c>
      <c r="X438">
        <v>0</v>
      </c>
      <c r="Y438">
        <v>0</v>
      </c>
      <c r="AE438">
        <f t="shared" si="18"/>
        <v>1</v>
      </c>
      <c r="AF438">
        <f>VLOOKUP(D438,especies!$A$2:$C$9,3,FALSE)</f>
        <v>2</v>
      </c>
      <c r="AG438" t="str">
        <f t="shared" si="19"/>
        <v>2-DPL (Doméstico de pelo Largo o DLH)</v>
      </c>
      <c r="AH438">
        <f>VLOOKUP('Fichas clínicas'!AG438,razas!$A$2:$D$66,3,FALSE)</f>
        <v>52</v>
      </c>
      <c r="AI438" t="str">
        <f t="shared" si="20"/>
        <v>M</v>
      </c>
    </row>
    <row r="439" spans="1:35" x14ac:dyDescent="0.2">
      <c r="A439">
        <v>439</v>
      </c>
      <c r="B439" t="s">
        <v>403</v>
      </c>
      <c r="C439" t="s">
        <v>1151</v>
      </c>
      <c r="D439" t="s">
        <v>32</v>
      </c>
      <c r="E439" t="s">
        <v>150</v>
      </c>
      <c r="F439" t="s">
        <v>34</v>
      </c>
      <c r="G439" t="s">
        <v>123</v>
      </c>
      <c r="J439" t="s">
        <v>628</v>
      </c>
      <c r="K439" t="s">
        <v>38</v>
      </c>
      <c r="L439" t="s">
        <v>38</v>
      </c>
      <c r="M439" t="s">
        <v>38</v>
      </c>
      <c r="N439" t="s">
        <v>38</v>
      </c>
      <c r="O439" t="s">
        <v>38</v>
      </c>
      <c r="T439" t="s">
        <v>38</v>
      </c>
      <c r="U439">
        <v>0</v>
      </c>
      <c r="V439">
        <v>1</v>
      </c>
      <c r="W439">
        <v>0</v>
      </c>
      <c r="X439">
        <v>0</v>
      </c>
      <c r="Y439">
        <v>0</v>
      </c>
      <c r="AE439">
        <f t="shared" si="18"/>
        <v>1</v>
      </c>
      <c r="AF439">
        <f>VLOOKUP(D439,especies!$A$2:$C$9,3,FALSE)</f>
        <v>1</v>
      </c>
      <c r="AG439" t="str">
        <f t="shared" si="19"/>
        <v>1-Poodle</v>
      </c>
      <c r="AH439">
        <f>VLOOKUP('Fichas clínicas'!AG439,razas!$A$2:$D$66,3,FALSE)</f>
        <v>6</v>
      </c>
      <c r="AI439" t="str">
        <f t="shared" si="20"/>
        <v>H</v>
      </c>
    </row>
    <row r="440" spans="1:35" x14ac:dyDescent="0.2">
      <c r="A440">
        <v>440</v>
      </c>
      <c r="B440" t="s">
        <v>1152</v>
      </c>
      <c r="C440" t="s">
        <v>1153</v>
      </c>
      <c r="D440" t="s">
        <v>32</v>
      </c>
      <c r="E440" t="s">
        <v>33</v>
      </c>
      <c r="F440" t="s">
        <v>34</v>
      </c>
      <c r="G440" t="s">
        <v>656</v>
      </c>
      <c r="J440" t="s">
        <v>1154</v>
      </c>
      <c r="K440" t="s">
        <v>38</v>
      </c>
      <c r="L440" t="s">
        <v>38</v>
      </c>
      <c r="M440" t="s">
        <v>38</v>
      </c>
      <c r="N440" t="s">
        <v>38</v>
      </c>
      <c r="O440" t="s">
        <v>38</v>
      </c>
      <c r="T440" t="s">
        <v>38</v>
      </c>
      <c r="U440">
        <v>0</v>
      </c>
      <c r="W440">
        <v>0</v>
      </c>
      <c r="X440">
        <v>0</v>
      </c>
      <c r="Y440">
        <v>0</v>
      </c>
      <c r="AE440">
        <f t="shared" si="18"/>
        <v>1</v>
      </c>
      <c r="AF440">
        <f>VLOOKUP(D440,especies!$A$2:$C$9,3,FALSE)</f>
        <v>1</v>
      </c>
      <c r="AG440" t="str">
        <f t="shared" si="19"/>
        <v>1-Mestizo</v>
      </c>
      <c r="AH440">
        <f>VLOOKUP('Fichas clínicas'!AG440,razas!$A$2:$D$66,3,FALSE)</f>
        <v>1</v>
      </c>
      <c r="AI440" t="str">
        <f t="shared" si="20"/>
        <v>H</v>
      </c>
    </row>
    <row r="441" spans="1:35" x14ac:dyDescent="0.2">
      <c r="A441">
        <v>441</v>
      </c>
      <c r="B441" t="s">
        <v>1155</v>
      </c>
      <c r="C441" t="s">
        <v>1156</v>
      </c>
      <c r="D441" t="s">
        <v>32</v>
      </c>
      <c r="E441" t="s">
        <v>33</v>
      </c>
      <c r="F441" t="s">
        <v>34</v>
      </c>
      <c r="G441" t="s">
        <v>81</v>
      </c>
      <c r="I441">
        <v>992001000394798</v>
      </c>
      <c r="J441" t="s">
        <v>227</v>
      </c>
      <c r="K441" t="s">
        <v>38</v>
      </c>
      <c r="L441" t="s">
        <v>38</v>
      </c>
      <c r="M441" t="s">
        <v>38</v>
      </c>
      <c r="N441" t="s">
        <v>38</v>
      </c>
      <c r="O441" t="s">
        <v>38</v>
      </c>
      <c r="Q441">
        <v>0</v>
      </c>
      <c r="T441" t="s">
        <v>38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f t="shared" si="18"/>
        <v>1</v>
      </c>
      <c r="AF441">
        <f>VLOOKUP(D441,especies!$A$2:$C$9,3,FALSE)</f>
        <v>1</v>
      </c>
      <c r="AG441" t="str">
        <f t="shared" si="19"/>
        <v>1-Mestizo</v>
      </c>
      <c r="AH441">
        <f>VLOOKUP('Fichas clínicas'!AG441,razas!$A$2:$D$66,3,FALSE)</f>
        <v>1</v>
      </c>
      <c r="AI441" t="str">
        <f t="shared" si="20"/>
        <v>H</v>
      </c>
    </row>
    <row r="442" spans="1:35" x14ac:dyDescent="0.2">
      <c r="A442">
        <v>442</v>
      </c>
      <c r="B442" t="s">
        <v>475</v>
      </c>
      <c r="C442" t="s">
        <v>53</v>
      </c>
      <c r="D442" t="s">
        <v>32</v>
      </c>
      <c r="E442" t="s">
        <v>33</v>
      </c>
      <c r="F442" t="s">
        <v>34</v>
      </c>
      <c r="G442" t="s">
        <v>99</v>
      </c>
      <c r="J442" t="s">
        <v>1157</v>
      </c>
      <c r="K442" t="s">
        <v>38</v>
      </c>
      <c r="L442" t="s">
        <v>38</v>
      </c>
      <c r="M442" t="s">
        <v>38</v>
      </c>
      <c r="N442" t="s">
        <v>38</v>
      </c>
      <c r="O442" t="s">
        <v>38</v>
      </c>
      <c r="T442" t="s">
        <v>38</v>
      </c>
      <c r="U442">
        <v>0</v>
      </c>
      <c r="W442">
        <v>0</v>
      </c>
      <c r="X442">
        <v>0</v>
      </c>
      <c r="Y442">
        <v>0</v>
      </c>
      <c r="AE442">
        <f t="shared" si="18"/>
        <v>1</v>
      </c>
      <c r="AF442">
        <f>VLOOKUP(D442,especies!$A$2:$C$9,3,FALSE)</f>
        <v>1</v>
      </c>
      <c r="AG442" t="str">
        <f t="shared" si="19"/>
        <v>1-Mestizo</v>
      </c>
      <c r="AH442">
        <f>VLOOKUP('Fichas clínicas'!AG442,razas!$A$2:$D$66,3,FALSE)</f>
        <v>1</v>
      </c>
      <c r="AI442" t="str">
        <f t="shared" si="20"/>
        <v>H</v>
      </c>
    </row>
    <row r="443" spans="1:35" x14ac:dyDescent="0.2">
      <c r="A443">
        <v>443</v>
      </c>
      <c r="B443" t="s">
        <v>475</v>
      </c>
      <c r="C443" t="s">
        <v>280</v>
      </c>
      <c r="D443" t="s">
        <v>41</v>
      </c>
      <c r="E443" t="s">
        <v>42</v>
      </c>
      <c r="F443" t="s">
        <v>34</v>
      </c>
      <c r="G443" t="s">
        <v>77</v>
      </c>
      <c r="J443" t="s">
        <v>119</v>
      </c>
      <c r="K443" t="s">
        <v>38</v>
      </c>
      <c r="L443" t="s">
        <v>38</v>
      </c>
      <c r="M443" t="s">
        <v>38</v>
      </c>
      <c r="N443" t="s">
        <v>38</v>
      </c>
      <c r="O443" t="s">
        <v>38</v>
      </c>
      <c r="T443" t="s">
        <v>38</v>
      </c>
      <c r="U443">
        <v>0</v>
      </c>
      <c r="V443">
        <v>1</v>
      </c>
      <c r="W443">
        <v>0</v>
      </c>
      <c r="X443">
        <v>0</v>
      </c>
      <c r="Y443">
        <v>0</v>
      </c>
      <c r="AE443">
        <f t="shared" si="18"/>
        <v>1</v>
      </c>
      <c r="AF443">
        <f>VLOOKUP(D443,especies!$A$2:$C$9,3,FALSE)</f>
        <v>2</v>
      </c>
      <c r="AG443" t="str">
        <f t="shared" si="19"/>
        <v>2-DPC (Doméstico de pelo corto o DSH)</v>
      </c>
      <c r="AH443">
        <f>VLOOKUP('Fichas clínicas'!AG443,razas!$A$2:$D$66,3,FALSE)</f>
        <v>51</v>
      </c>
      <c r="AI443" t="str">
        <f t="shared" si="20"/>
        <v>H</v>
      </c>
    </row>
    <row r="444" spans="1:35" x14ac:dyDescent="0.2">
      <c r="A444">
        <v>444</v>
      </c>
      <c r="B444" t="s">
        <v>1158</v>
      </c>
      <c r="C444" t="s">
        <v>1159</v>
      </c>
      <c r="D444" t="s">
        <v>32</v>
      </c>
      <c r="E444" t="s">
        <v>33</v>
      </c>
      <c r="F444" t="s">
        <v>47</v>
      </c>
      <c r="G444" t="s">
        <v>134</v>
      </c>
      <c r="J444" t="s">
        <v>259</v>
      </c>
      <c r="K444" t="s">
        <v>38</v>
      </c>
      <c r="L444" t="s">
        <v>38</v>
      </c>
      <c r="M444" t="s">
        <v>38</v>
      </c>
      <c r="N444" t="s">
        <v>38</v>
      </c>
      <c r="O444" t="s">
        <v>38</v>
      </c>
      <c r="T444" t="s">
        <v>38</v>
      </c>
      <c r="U444">
        <v>0</v>
      </c>
      <c r="W444">
        <v>0</v>
      </c>
      <c r="X444">
        <v>0</v>
      </c>
      <c r="Y444">
        <v>0</v>
      </c>
      <c r="AE444">
        <f t="shared" si="18"/>
        <v>1</v>
      </c>
      <c r="AF444">
        <f>VLOOKUP(D444,especies!$A$2:$C$9,3,FALSE)</f>
        <v>1</v>
      </c>
      <c r="AG444" t="str">
        <f t="shared" si="19"/>
        <v>1-Mestizo</v>
      </c>
      <c r="AH444">
        <f>VLOOKUP('Fichas clínicas'!AG444,razas!$A$2:$D$66,3,FALSE)</f>
        <v>1</v>
      </c>
      <c r="AI444" t="str">
        <f t="shared" si="20"/>
        <v>M</v>
      </c>
    </row>
    <row r="445" spans="1:35" x14ac:dyDescent="0.2">
      <c r="A445">
        <v>445</v>
      </c>
      <c r="B445" t="s">
        <v>1160</v>
      </c>
      <c r="C445" t="s">
        <v>646</v>
      </c>
      <c r="D445" t="s">
        <v>41</v>
      </c>
      <c r="E445" t="s">
        <v>42</v>
      </c>
      <c r="F445" t="s">
        <v>47</v>
      </c>
      <c r="G445" t="s">
        <v>300</v>
      </c>
      <c r="J445" t="s">
        <v>1161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T445" t="s">
        <v>38</v>
      </c>
      <c r="U445">
        <v>0</v>
      </c>
      <c r="W445">
        <v>0</v>
      </c>
      <c r="X445">
        <v>0</v>
      </c>
      <c r="Y445">
        <v>0</v>
      </c>
      <c r="AE445">
        <f t="shared" si="18"/>
        <v>1</v>
      </c>
      <c r="AF445">
        <f>VLOOKUP(D445,especies!$A$2:$C$9,3,FALSE)</f>
        <v>2</v>
      </c>
      <c r="AG445" t="str">
        <f t="shared" si="19"/>
        <v>2-DPC (Doméstico de pelo corto o DSH)</v>
      </c>
      <c r="AH445">
        <f>VLOOKUP('Fichas clínicas'!AG445,razas!$A$2:$D$66,3,FALSE)</f>
        <v>51</v>
      </c>
      <c r="AI445" t="str">
        <f t="shared" si="20"/>
        <v>M</v>
      </c>
    </row>
    <row r="446" spans="1:35" x14ac:dyDescent="0.2">
      <c r="A446">
        <v>446</v>
      </c>
      <c r="B446" t="s">
        <v>1162</v>
      </c>
      <c r="C446" t="s">
        <v>315</v>
      </c>
      <c r="D446" t="s">
        <v>41</v>
      </c>
      <c r="E446" t="s">
        <v>42</v>
      </c>
      <c r="F446" t="s">
        <v>34</v>
      </c>
      <c r="G446" t="s">
        <v>1145</v>
      </c>
      <c r="J446" t="s">
        <v>1163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T446" t="s">
        <v>38</v>
      </c>
      <c r="U446">
        <v>0</v>
      </c>
      <c r="W446">
        <v>0</v>
      </c>
      <c r="X446">
        <v>0</v>
      </c>
      <c r="Y446">
        <v>0</v>
      </c>
      <c r="AE446">
        <f t="shared" si="18"/>
        <v>1</v>
      </c>
      <c r="AF446">
        <f>VLOOKUP(D446,especies!$A$2:$C$9,3,FALSE)</f>
        <v>2</v>
      </c>
      <c r="AG446" t="str">
        <f t="shared" si="19"/>
        <v>2-DPC (Doméstico de pelo corto o DSH)</v>
      </c>
      <c r="AH446">
        <f>VLOOKUP('Fichas clínicas'!AG446,razas!$A$2:$D$66,3,FALSE)</f>
        <v>51</v>
      </c>
      <c r="AI446" t="str">
        <f t="shared" si="20"/>
        <v>H</v>
      </c>
    </row>
    <row r="447" spans="1:35" x14ac:dyDescent="0.2">
      <c r="A447">
        <v>447</v>
      </c>
      <c r="B447" t="s">
        <v>1164</v>
      </c>
      <c r="C447" t="s">
        <v>969</v>
      </c>
      <c r="D447" t="s">
        <v>32</v>
      </c>
      <c r="E447" t="s">
        <v>970</v>
      </c>
      <c r="F447" t="s">
        <v>47</v>
      </c>
      <c r="G447" t="s">
        <v>99</v>
      </c>
      <c r="J447" t="s">
        <v>1139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Q447">
        <v>0</v>
      </c>
      <c r="T447" t="s">
        <v>38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f t="shared" si="18"/>
        <v>1</v>
      </c>
      <c r="AF447">
        <f>VLOOKUP(D447,especies!$A$2:$C$9,3,FALSE)</f>
        <v>1</v>
      </c>
      <c r="AG447" t="str">
        <f t="shared" si="19"/>
        <v>1-American Pit Bull Terrier</v>
      </c>
      <c r="AH447">
        <f>VLOOKUP('Fichas clínicas'!AG447,razas!$A$2:$D$66,3,FALSE)</f>
        <v>25</v>
      </c>
      <c r="AI447" t="str">
        <f t="shared" si="20"/>
        <v>M</v>
      </c>
    </row>
    <row r="448" spans="1:35" x14ac:dyDescent="0.2">
      <c r="A448">
        <v>448</v>
      </c>
      <c r="B448" t="s">
        <v>1165</v>
      </c>
      <c r="C448" t="s">
        <v>1166</v>
      </c>
      <c r="D448" t="s">
        <v>32</v>
      </c>
      <c r="E448" t="s">
        <v>33</v>
      </c>
      <c r="F448" t="s">
        <v>34</v>
      </c>
      <c r="G448" t="s">
        <v>43</v>
      </c>
      <c r="J448" t="s">
        <v>1167</v>
      </c>
      <c r="K448" t="s">
        <v>38</v>
      </c>
      <c r="L448" t="s">
        <v>38</v>
      </c>
      <c r="M448" t="s">
        <v>38</v>
      </c>
      <c r="N448" t="s">
        <v>38</v>
      </c>
      <c r="O448" t="s">
        <v>38</v>
      </c>
      <c r="T448" t="s">
        <v>38</v>
      </c>
      <c r="U448">
        <v>0</v>
      </c>
      <c r="V448">
        <v>1</v>
      </c>
      <c r="W448">
        <v>0</v>
      </c>
      <c r="X448">
        <v>0</v>
      </c>
      <c r="Y448">
        <v>0</v>
      </c>
      <c r="AE448">
        <f t="shared" si="18"/>
        <v>1</v>
      </c>
      <c r="AF448">
        <f>VLOOKUP(D448,especies!$A$2:$C$9,3,FALSE)</f>
        <v>1</v>
      </c>
      <c r="AG448" t="str">
        <f t="shared" si="19"/>
        <v>1-Mestizo</v>
      </c>
      <c r="AH448">
        <f>VLOOKUP('Fichas clínicas'!AG448,razas!$A$2:$D$66,3,FALSE)</f>
        <v>1</v>
      </c>
      <c r="AI448" t="str">
        <f t="shared" si="20"/>
        <v>H</v>
      </c>
    </row>
    <row r="449" spans="1:35" x14ac:dyDescent="0.2">
      <c r="A449">
        <v>449</v>
      </c>
      <c r="B449" t="s">
        <v>1168</v>
      </c>
      <c r="C449" t="s">
        <v>1169</v>
      </c>
      <c r="D449" t="s">
        <v>32</v>
      </c>
      <c r="E449" t="s">
        <v>33</v>
      </c>
      <c r="F449" t="s">
        <v>47</v>
      </c>
      <c r="G449" t="s">
        <v>165</v>
      </c>
      <c r="J449" t="s">
        <v>1170</v>
      </c>
      <c r="K449" t="s">
        <v>38</v>
      </c>
      <c r="L449" t="s">
        <v>38</v>
      </c>
      <c r="M449" t="s">
        <v>38</v>
      </c>
      <c r="N449" t="s">
        <v>38</v>
      </c>
      <c r="O449" t="s">
        <v>38</v>
      </c>
      <c r="Q449">
        <v>2</v>
      </c>
      <c r="T449" t="s">
        <v>38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f t="shared" si="18"/>
        <v>1</v>
      </c>
      <c r="AF449">
        <f>VLOOKUP(D449,especies!$A$2:$C$9,3,FALSE)</f>
        <v>1</v>
      </c>
      <c r="AG449" t="str">
        <f t="shared" si="19"/>
        <v>1-Mestizo</v>
      </c>
      <c r="AH449">
        <f>VLOOKUP('Fichas clínicas'!AG449,razas!$A$2:$D$66,3,FALSE)</f>
        <v>1</v>
      </c>
      <c r="AI449" t="str">
        <f t="shared" si="20"/>
        <v>M</v>
      </c>
    </row>
    <row r="450" spans="1:35" x14ac:dyDescent="0.2">
      <c r="A450">
        <v>450</v>
      </c>
      <c r="B450" t="s">
        <v>1171</v>
      </c>
      <c r="C450" t="s">
        <v>280</v>
      </c>
      <c r="D450" t="s">
        <v>41</v>
      </c>
      <c r="E450" t="s">
        <v>42</v>
      </c>
      <c r="F450" t="s">
        <v>34</v>
      </c>
      <c r="G450" t="s">
        <v>43</v>
      </c>
      <c r="J450" t="s">
        <v>1172</v>
      </c>
      <c r="K450" t="s">
        <v>38</v>
      </c>
      <c r="L450" t="s">
        <v>38</v>
      </c>
      <c r="M450" t="s">
        <v>38</v>
      </c>
      <c r="N450" t="s">
        <v>38</v>
      </c>
      <c r="O450" t="s">
        <v>38</v>
      </c>
      <c r="T450" t="s">
        <v>38</v>
      </c>
      <c r="U450">
        <v>0</v>
      </c>
      <c r="V450">
        <v>1</v>
      </c>
      <c r="W450">
        <v>0</v>
      </c>
      <c r="X450">
        <v>0</v>
      </c>
      <c r="Y450">
        <v>0</v>
      </c>
      <c r="AE450">
        <f t="shared" si="18"/>
        <v>1</v>
      </c>
      <c r="AF450">
        <f>VLOOKUP(D450,especies!$A$2:$C$9,3,FALSE)</f>
        <v>2</v>
      </c>
      <c r="AG450" t="str">
        <f t="shared" si="19"/>
        <v>2-DPC (Doméstico de pelo corto o DSH)</v>
      </c>
      <c r="AH450">
        <f>VLOOKUP('Fichas clínicas'!AG450,razas!$A$2:$D$66,3,FALSE)</f>
        <v>51</v>
      </c>
      <c r="AI450" t="str">
        <f t="shared" si="20"/>
        <v>H</v>
      </c>
    </row>
    <row r="451" spans="1:35" x14ac:dyDescent="0.2">
      <c r="A451">
        <v>451</v>
      </c>
      <c r="B451" t="s">
        <v>324</v>
      </c>
      <c r="C451" t="s">
        <v>115</v>
      </c>
      <c r="D451" t="s">
        <v>41</v>
      </c>
      <c r="E451" t="s">
        <v>42</v>
      </c>
      <c r="F451" t="s">
        <v>47</v>
      </c>
      <c r="G451" t="s">
        <v>971</v>
      </c>
      <c r="J451" t="s">
        <v>772</v>
      </c>
      <c r="K451" t="s">
        <v>38</v>
      </c>
      <c r="L451" t="s">
        <v>38</v>
      </c>
      <c r="M451" t="s">
        <v>38</v>
      </c>
      <c r="N451" t="s">
        <v>38</v>
      </c>
      <c r="O451" t="s">
        <v>38</v>
      </c>
      <c r="T451" t="s">
        <v>38</v>
      </c>
      <c r="U451">
        <v>0</v>
      </c>
      <c r="W451">
        <v>0</v>
      </c>
      <c r="X451">
        <v>0</v>
      </c>
      <c r="Y451">
        <v>0</v>
      </c>
      <c r="AE451">
        <f t="shared" ref="AE451:AE514" si="21">SUBTOTAL(103,E451)</f>
        <v>1</v>
      </c>
      <c r="AF451">
        <f>VLOOKUP(D451,especies!$A$2:$C$9,3,FALSE)</f>
        <v>2</v>
      </c>
      <c r="AG451" t="str">
        <f t="shared" ref="AG451:AG514" si="22">AF451&amp;"-"&amp;E451</f>
        <v>2-DPC (Doméstico de pelo corto o DSH)</v>
      </c>
      <c r="AH451">
        <f>VLOOKUP('Fichas clínicas'!AG451,razas!$A$2:$D$66,3,FALSE)</f>
        <v>51</v>
      </c>
      <c r="AI451" t="str">
        <f t="shared" ref="AI451:AI514" si="23">IF(F451="Hembra","H","M")</f>
        <v>M</v>
      </c>
    </row>
    <row r="452" spans="1:35" x14ac:dyDescent="0.2">
      <c r="A452">
        <v>452</v>
      </c>
      <c r="B452" t="s">
        <v>1173</v>
      </c>
      <c r="C452" t="s">
        <v>469</v>
      </c>
      <c r="D452" t="s">
        <v>41</v>
      </c>
      <c r="E452" t="s">
        <v>42</v>
      </c>
      <c r="F452" t="s">
        <v>34</v>
      </c>
      <c r="G452" t="s">
        <v>81</v>
      </c>
      <c r="J452" t="s">
        <v>1174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T452" t="s">
        <v>38</v>
      </c>
      <c r="U452">
        <v>0</v>
      </c>
      <c r="W452">
        <v>0</v>
      </c>
      <c r="X452">
        <v>0</v>
      </c>
      <c r="Y452">
        <v>0</v>
      </c>
      <c r="AE452">
        <f t="shared" si="21"/>
        <v>1</v>
      </c>
      <c r="AF452">
        <f>VLOOKUP(D452,especies!$A$2:$C$9,3,FALSE)</f>
        <v>2</v>
      </c>
      <c r="AG452" t="str">
        <f t="shared" si="22"/>
        <v>2-DPC (Doméstico de pelo corto o DSH)</v>
      </c>
      <c r="AH452">
        <f>VLOOKUP('Fichas clínicas'!AG452,razas!$A$2:$D$66,3,FALSE)</f>
        <v>51</v>
      </c>
      <c r="AI452" t="str">
        <f t="shared" si="23"/>
        <v>H</v>
      </c>
    </row>
    <row r="453" spans="1:35" x14ac:dyDescent="0.2">
      <c r="A453">
        <v>453</v>
      </c>
      <c r="B453" t="s">
        <v>1175</v>
      </c>
      <c r="C453" t="s">
        <v>678</v>
      </c>
      <c r="D453" t="s">
        <v>32</v>
      </c>
      <c r="E453" t="s">
        <v>33</v>
      </c>
      <c r="F453" t="s">
        <v>34</v>
      </c>
      <c r="G453" t="s">
        <v>54</v>
      </c>
      <c r="J453" t="s">
        <v>1176</v>
      </c>
      <c r="K453" t="s">
        <v>38</v>
      </c>
      <c r="L453" t="s">
        <v>38</v>
      </c>
      <c r="M453" t="s">
        <v>38</v>
      </c>
      <c r="N453" t="s">
        <v>38</v>
      </c>
      <c r="O453" t="s">
        <v>38</v>
      </c>
      <c r="T453" t="s">
        <v>38</v>
      </c>
      <c r="U453">
        <v>0</v>
      </c>
      <c r="W453">
        <v>0</v>
      </c>
      <c r="X453">
        <v>0</v>
      </c>
      <c r="Y453">
        <v>0</v>
      </c>
      <c r="AE453">
        <f t="shared" si="21"/>
        <v>1</v>
      </c>
      <c r="AF453">
        <f>VLOOKUP(D453,especies!$A$2:$C$9,3,FALSE)</f>
        <v>1</v>
      </c>
      <c r="AG453" t="str">
        <f t="shared" si="22"/>
        <v>1-Mestizo</v>
      </c>
      <c r="AH453">
        <f>VLOOKUP('Fichas clínicas'!AG453,razas!$A$2:$D$66,3,FALSE)</f>
        <v>1</v>
      </c>
      <c r="AI453" t="str">
        <f t="shared" si="23"/>
        <v>H</v>
      </c>
    </row>
    <row r="454" spans="1:35" x14ac:dyDescent="0.2">
      <c r="A454">
        <v>454</v>
      </c>
      <c r="B454" t="s">
        <v>70</v>
      </c>
      <c r="C454" t="s">
        <v>53</v>
      </c>
      <c r="D454" t="s">
        <v>32</v>
      </c>
      <c r="E454" t="s">
        <v>72</v>
      </c>
      <c r="F454" t="s">
        <v>34</v>
      </c>
      <c r="G454" t="s">
        <v>99</v>
      </c>
      <c r="J454" t="s">
        <v>1177</v>
      </c>
      <c r="K454" t="s">
        <v>38</v>
      </c>
      <c r="L454" t="s">
        <v>38</v>
      </c>
      <c r="M454" t="s">
        <v>38</v>
      </c>
      <c r="N454" t="s">
        <v>38</v>
      </c>
      <c r="O454" t="s">
        <v>38</v>
      </c>
      <c r="T454" t="s">
        <v>38</v>
      </c>
      <c r="U454">
        <v>0</v>
      </c>
      <c r="W454">
        <v>0</v>
      </c>
      <c r="X454">
        <v>0</v>
      </c>
      <c r="Y454">
        <v>0</v>
      </c>
      <c r="AE454">
        <f t="shared" si="21"/>
        <v>1</v>
      </c>
      <c r="AF454">
        <f>VLOOKUP(D454,especies!$A$2:$C$9,3,FALSE)</f>
        <v>1</v>
      </c>
      <c r="AG454" t="str">
        <f t="shared" si="22"/>
        <v>1-Shar-Pei</v>
      </c>
      <c r="AH454">
        <f>VLOOKUP('Fichas clínicas'!AG454,razas!$A$2:$D$66,3,FALSE)</f>
        <v>3</v>
      </c>
      <c r="AI454" t="str">
        <f t="shared" si="23"/>
        <v>H</v>
      </c>
    </row>
    <row r="455" spans="1:35" x14ac:dyDescent="0.2">
      <c r="A455">
        <v>455</v>
      </c>
      <c r="B455" t="s">
        <v>1178</v>
      </c>
      <c r="C455" t="s">
        <v>1179</v>
      </c>
      <c r="D455" t="s">
        <v>32</v>
      </c>
      <c r="E455" t="s">
        <v>33</v>
      </c>
      <c r="F455" t="s">
        <v>47</v>
      </c>
      <c r="G455" t="s">
        <v>134</v>
      </c>
      <c r="J455" t="s">
        <v>1180</v>
      </c>
      <c r="K455" t="s">
        <v>38</v>
      </c>
      <c r="L455" t="s">
        <v>38</v>
      </c>
      <c r="M455" t="s">
        <v>38</v>
      </c>
      <c r="N455" t="s">
        <v>38</v>
      </c>
      <c r="O455" t="s">
        <v>38</v>
      </c>
      <c r="Q455">
        <v>0</v>
      </c>
      <c r="T455" t="s">
        <v>38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f t="shared" si="21"/>
        <v>1</v>
      </c>
      <c r="AF455">
        <f>VLOOKUP(D455,especies!$A$2:$C$9,3,FALSE)</f>
        <v>1</v>
      </c>
      <c r="AG455" t="str">
        <f t="shared" si="22"/>
        <v>1-Mestizo</v>
      </c>
      <c r="AH455">
        <f>VLOOKUP('Fichas clínicas'!AG455,razas!$A$2:$D$66,3,FALSE)</f>
        <v>1</v>
      </c>
      <c r="AI455" t="str">
        <f t="shared" si="23"/>
        <v>M</v>
      </c>
    </row>
    <row r="456" spans="1:35" x14ac:dyDescent="0.2">
      <c r="A456">
        <v>456</v>
      </c>
      <c r="B456" t="s">
        <v>1181</v>
      </c>
      <c r="C456" t="s">
        <v>670</v>
      </c>
      <c r="D456" t="s">
        <v>41</v>
      </c>
      <c r="E456" t="s">
        <v>42</v>
      </c>
      <c r="F456" t="s">
        <v>47</v>
      </c>
      <c r="G456" t="s">
        <v>169</v>
      </c>
      <c r="J456" t="s">
        <v>1182</v>
      </c>
      <c r="K456" t="s">
        <v>38</v>
      </c>
      <c r="L456" t="s">
        <v>38</v>
      </c>
      <c r="M456" t="s">
        <v>38</v>
      </c>
      <c r="N456" t="s">
        <v>38</v>
      </c>
      <c r="O456" t="s">
        <v>38</v>
      </c>
      <c r="T456" t="s">
        <v>38</v>
      </c>
      <c r="U456">
        <v>0</v>
      </c>
      <c r="W456">
        <v>0</v>
      </c>
      <c r="X456">
        <v>0</v>
      </c>
      <c r="Y456">
        <v>0</v>
      </c>
      <c r="AE456">
        <f t="shared" si="21"/>
        <v>1</v>
      </c>
      <c r="AF456">
        <f>VLOOKUP(D456,especies!$A$2:$C$9,3,FALSE)</f>
        <v>2</v>
      </c>
      <c r="AG456" t="str">
        <f t="shared" si="22"/>
        <v>2-DPC (Doméstico de pelo corto o DSH)</v>
      </c>
      <c r="AH456">
        <f>VLOOKUP('Fichas clínicas'!AG456,razas!$A$2:$D$66,3,FALSE)</f>
        <v>51</v>
      </c>
      <c r="AI456" t="str">
        <f t="shared" si="23"/>
        <v>M</v>
      </c>
    </row>
    <row r="457" spans="1:35" x14ac:dyDescent="0.2">
      <c r="A457">
        <v>457</v>
      </c>
      <c r="B457" t="s">
        <v>1183</v>
      </c>
      <c r="C457" t="s">
        <v>1184</v>
      </c>
      <c r="D457" t="s">
        <v>32</v>
      </c>
      <c r="E457" t="s">
        <v>33</v>
      </c>
      <c r="F457" t="s">
        <v>34</v>
      </c>
      <c r="G457" t="s">
        <v>81</v>
      </c>
      <c r="J457" t="s">
        <v>797</v>
      </c>
      <c r="K457" t="s">
        <v>38</v>
      </c>
      <c r="L457" t="s">
        <v>38</v>
      </c>
      <c r="M457" t="s">
        <v>38</v>
      </c>
      <c r="N457" t="s">
        <v>38</v>
      </c>
      <c r="O457" t="s">
        <v>38</v>
      </c>
      <c r="T457" t="s">
        <v>38</v>
      </c>
      <c r="U457">
        <v>0</v>
      </c>
      <c r="W457">
        <v>0</v>
      </c>
      <c r="X457">
        <v>0</v>
      </c>
      <c r="Y457">
        <v>0</v>
      </c>
      <c r="AE457">
        <f t="shared" si="21"/>
        <v>1</v>
      </c>
      <c r="AF457">
        <f>VLOOKUP(D457,especies!$A$2:$C$9,3,FALSE)</f>
        <v>1</v>
      </c>
      <c r="AG457" t="str">
        <f t="shared" si="22"/>
        <v>1-Mestizo</v>
      </c>
      <c r="AH457">
        <f>VLOOKUP('Fichas clínicas'!AG457,razas!$A$2:$D$66,3,FALSE)</f>
        <v>1</v>
      </c>
      <c r="AI457" t="str">
        <f t="shared" si="23"/>
        <v>H</v>
      </c>
    </row>
    <row r="458" spans="1:35" x14ac:dyDescent="0.2">
      <c r="A458">
        <v>458</v>
      </c>
      <c r="B458" t="s">
        <v>528</v>
      </c>
      <c r="C458" t="s">
        <v>1185</v>
      </c>
      <c r="D458" t="s">
        <v>32</v>
      </c>
      <c r="E458" t="s">
        <v>33</v>
      </c>
      <c r="F458" t="s">
        <v>34</v>
      </c>
      <c r="G458" t="s">
        <v>81</v>
      </c>
      <c r="J458" t="s">
        <v>1186</v>
      </c>
      <c r="K458" t="s">
        <v>38</v>
      </c>
      <c r="L458" t="s">
        <v>38</v>
      </c>
      <c r="M458" t="s">
        <v>38</v>
      </c>
      <c r="N458" t="s">
        <v>38</v>
      </c>
      <c r="O458" t="s">
        <v>38</v>
      </c>
      <c r="T458" t="s">
        <v>38</v>
      </c>
      <c r="U458">
        <v>0</v>
      </c>
      <c r="W458">
        <v>0</v>
      </c>
      <c r="X458">
        <v>0</v>
      </c>
      <c r="Y458">
        <v>0</v>
      </c>
      <c r="AE458">
        <f t="shared" si="21"/>
        <v>1</v>
      </c>
      <c r="AF458">
        <f>VLOOKUP(D458,especies!$A$2:$C$9,3,FALSE)</f>
        <v>1</v>
      </c>
      <c r="AG458" t="str">
        <f t="shared" si="22"/>
        <v>1-Mestizo</v>
      </c>
      <c r="AH458">
        <f>VLOOKUP('Fichas clínicas'!AG458,razas!$A$2:$D$66,3,FALSE)</f>
        <v>1</v>
      </c>
      <c r="AI458" t="str">
        <f t="shared" si="23"/>
        <v>H</v>
      </c>
    </row>
    <row r="459" spans="1:35" x14ac:dyDescent="0.2">
      <c r="A459">
        <v>459</v>
      </c>
      <c r="B459" t="s">
        <v>1055</v>
      </c>
      <c r="C459" t="s">
        <v>1187</v>
      </c>
      <c r="D459" t="s">
        <v>32</v>
      </c>
      <c r="E459" t="s">
        <v>970</v>
      </c>
      <c r="F459" t="s">
        <v>47</v>
      </c>
      <c r="G459" t="s">
        <v>134</v>
      </c>
      <c r="J459" t="s">
        <v>797</v>
      </c>
      <c r="K459" t="s">
        <v>38</v>
      </c>
      <c r="L459" t="s">
        <v>38</v>
      </c>
      <c r="M459" t="s">
        <v>38</v>
      </c>
      <c r="N459" t="s">
        <v>38</v>
      </c>
      <c r="O459" t="s">
        <v>38</v>
      </c>
      <c r="Q459">
        <v>0</v>
      </c>
      <c r="T459" t="s">
        <v>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f t="shared" si="21"/>
        <v>1</v>
      </c>
      <c r="AF459">
        <f>VLOOKUP(D459,especies!$A$2:$C$9,3,FALSE)</f>
        <v>1</v>
      </c>
      <c r="AG459" t="str">
        <f t="shared" si="22"/>
        <v>1-American Pit Bull Terrier</v>
      </c>
      <c r="AH459">
        <f>VLOOKUP('Fichas clínicas'!AG459,razas!$A$2:$D$66,3,FALSE)</f>
        <v>25</v>
      </c>
      <c r="AI459" t="str">
        <f t="shared" si="23"/>
        <v>M</v>
      </c>
    </row>
    <row r="460" spans="1:35" x14ac:dyDescent="0.2">
      <c r="A460">
        <v>460</v>
      </c>
      <c r="B460" t="s">
        <v>1055</v>
      </c>
      <c r="C460" t="s">
        <v>1188</v>
      </c>
      <c r="D460" t="s">
        <v>32</v>
      </c>
      <c r="E460" t="s">
        <v>970</v>
      </c>
      <c r="F460" t="s">
        <v>47</v>
      </c>
      <c r="G460" t="s">
        <v>134</v>
      </c>
      <c r="J460" t="s">
        <v>1189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Q460">
        <v>0</v>
      </c>
      <c r="T460" t="s">
        <v>38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f t="shared" si="21"/>
        <v>1</v>
      </c>
      <c r="AF460">
        <f>VLOOKUP(D460,especies!$A$2:$C$9,3,FALSE)</f>
        <v>1</v>
      </c>
      <c r="AG460" t="str">
        <f t="shared" si="22"/>
        <v>1-American Pit Bull Terrier</v>
      </c>
      <c r="AH460">
        <f>VLOOKUP('Fichas clínicas'!AG460,razas!$A$2:$D$66,3,FALSE)</f>
        <v>25</v>
      </c>
      <c r="AI460" t="str">
        <f t="shared" si="23"/>
        <v>M</v>
      </c>
    </row>
    <row r="461" spans="1:35" x14ac:dyDescent="0.2">
      <c r="A461">
        <v>461</v>
      </c>
      <c r="B461" t="s">
        <v>1190</v>
      </c>
      <c r="C461" t="s">
        <v>1191</v>
      </c>
      <c r="D461" t="s">
        <v>41</v>
      </c>
      <c r="E461" t="s">
        <v>93</v>
      </c>
      <c r="F461" t="s">
        <v>47</v>
      </c>
      <c r="G461" t="s">
        <v>587</v>
      </c>
      <c r="J461" t="s">
        <v>535</v>
      </c>
      <c r="K461" t="s">
        <v>38</v>
      </c>
      <c r="L461" t="s">
        <v>38</v>
      </c>
      <c r="M461" t="s">
        <v>38</v>
      </c>
      <c r="N461" t="s">
        <v>38</v>
      </c>
      <c r="O461" t="s">
        <v>38</v>
      </c>
      <c r="Q461">
        <v>0</v>
      </c>
      <c r="T461" t="s">
        <v>38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f t="shared" si="21"/>
        <v>1</v>
      </c>
      <c r="AF461">
        <f>VLOOKUP(D461,especies!$A$2:$C$9,3,FALSE)</f>
        <v>2</v>
      </c>
      <c r="AG461" t="str">
        <f t="shared" si="22"/>
        <v>2-DPL (Doméstico de pelo Largo o DLH)</v>
      </c>
      <c r="AH461">
        <f>VLOOKUP('Fichas clínicas'!AG461,razas!$A$2:$D$66,3,FALSE)</f>
        <v>52</v>
      </c>
      <c r="AI461" t="str">
        <f t="shared" si="23"/>
        <v>M</v>
      </c>
    </row>
    <row r="462" spans="1:35" x14ac:dyDescent="0.2">
      <c r="A462">
        <v>462</v>
      </c>
      <c r="B462" t="s">
        <v>1192</v>
      </c>
      <c r="C462" t="s">
        <v>1193</v>
      </c>
      <c r="D462" t="s">
        <v>41</v>
      </c>
      <c r="E462" t="s">
        <v>42</v>
      </c>
      <c r="F462" t="s">
        <v>47</v>
      </c>
      <c r="G462" t="s">
        <v>43</v>
      </c>
      <c r="J462" t="s">
        <v>87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T462" t="s">
        <v>38</v>
      </c>
      <c r="U462">
        <v>0</v>
      </c>
      <c r="V462">
        <v>1</v>
      </c>
      <c r="W462">
        <v>0</v>
      </c>
      <c r="X462">
        <v>0</v>
      </c>
      <c r="Y462">
        <v>0</v>
      </c>
      <c r="AE462">
        <f t="shared" si="21"/>
        <v>1</v>
      </c>
      <c r="AF462">
        <f>VLOOKUP(D462,especies!$A$2:$C$9,3,FALSE)</f>
        <v>2</v>
      </c>
      <c r="AG462" t="str">
        <f t="shared" si="22"/>
        <v>2-DPC (Doméstico de pelo corto o DSH)</v>
      </c>
      <c r="AH462">
        <f>VLOOKUP('Fichas clínicas'!AG462,razas!$A$2:$D$66,3,FALSE)</f>
        <v>51</v>
      </c>
      <c r="AI462" t="str">
        <f t="shared" si="23"/>
        <v>M</v>
      </c>
    </row>
    <row r="463" spans="1:35" x14ac:dyDescent="0.2">
      <c r="A463">
        <v>463</v>
      </c>
      <c r="B463" t="s">
        <v>1194</v>
      </c>
      <c r="C463" t="s">
        <v>1195</v>
      </c>
      <c r="D463" t="s">
        <v>32</v>
      </c>
      <c r="E463" t="s">
        <v>33</v>
      </c>
      <c r="F463" t="s">
        <v>47</v>
      </c>
      <c r="G463" t="s">
        <v>656</v>
      </c>
      <c r="J463" t="s">
        <v>441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Q463">
        <v>0</v>
      </c>
      <c r="T463" t="s">
        <v>38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f t="shared" si="21"/>
        <v>1</v>
      </c>
      <c r="AF463">
        <f>VLOOKUP(D463,especies!$A$2:$C$9,3,FALSE)</f>
        <v>1</v>
      </c>
      <c r="AG463" t="str">
        <f t="shared" si="22"/>
        <v>1-Mestizo</v>
      </c>
      <c r="AH463">
        <f>VLOOKUP('Fichas clínicas'!AG463,razas!$A$2:$D$66,3,FALSE)</f>
        <v>1</v>
      </c>
      <c r="AI463" t="str">
        <f t="shared" si="23"/>
        <v>M</v>
      </c>
    </row>
    <row r="464" spans="1:35" x14ac:dyDescent="0.2">
      <c r="A464">
        <v>464</v>
      </c>
      <c r="B464" t="s">
        <v>1196</v>
      </c>
      <c r="C464" t="s">
        <v>838</v>
      </c>
      <c r="D464" t="s">
        <v>41</v>
      </c>
      <c r="E464" t="s">
        <v>42</v>
      </c>
      <c r="F464" t="s">
        <v>34</v>
      </c>
      <c r="G464" t="s">
        <v>199</v>
      </c>
      <c r="J464" t="s">
        <v>489</v>
      </c>
      <c r="K464" t="s">
        <v>38</v>
      </c>
      <c r="L464" t="s">
        <v>38</v>
      </c>
      <c r="M464" t="s">
        <v>38</v>
      </c>
      <c r="N464" t="s">
        <v>38</v>
      </c>
      <c r="O464" t="s">
        <v>38</v>
      </c>
      <c r="T464" t="s">
        <v>38</v>
      </c>
      <c r="U464">
        <v>0</v>
      </c>
      <c r="V464">
        <v>1</v>
      </c>
      <c r="W464">
        <v>0</v>
      </c>
      <c r="X464">
        <v>0</v>
      </c>
      <c r="Y464">
        <v>0</v>
      </c>
      <c r="AE464">
        <f t="shared" si="21"/>
        <v>1</v>
      </c>
      <c r="AF464">
        <f>VLOOKUP(D464,especies!$A$2:$C$9,3,FALSE)</f>
        <v>2</v>
      </c>
      <c r="AG464" t="str">
        <f t="shared" si="22"/>
        <v>2-DPC (Doméstico de pelo corto o DSH)</v>
      </c>
      <c r="AH464">
        <f>VLOOKUP('Fichas clínicas'!AG464,razas!$A$2:$D$66,3,FALSE)</f>
        <v>51</v>
      </c>
      <c r="AI464" t="str">
        <f t="shared" si="23"/>
        <v>H</v>
      </c>
    </row>
    <row r="465" spans="1:35" x14ac:dyDescent="0.2">
      <c r="A465">
        <v>465</v>
      </c>
      <c r="B465" t="s">
        <v>1197</v>
      </c>
      <c r="C465" t="s">
        <v>1198</v>
      </c>
      <c r="D465" t="s">
        <v>32</v>
      </c>
      <c r="E465" t="s">
        <v>33</v>
      </c>
      <c r="F465" t="s">
        <v>34</v>
      </c>
      <c r="G465" t="s">
        <v>81</v>
      </c>
      <c r="J465" t="s">
        <v>82</v>
      </c>
      <c r="K465" t="s">
        <v>38</v>
      </c>
      <c r="L465" t="s">
        <v>38</v>
      </c>
      <c r="M465" t="s">
        <v>38</v>
      </c>
      <c r="N465" t="s">
        <v>38</v>
      </c>
      <c r="O465" t="s">
        <v>38</v>
      </c>
      <c r="T465" t="s">
        <v>38</v>
      </c>
      <c r="U465">
        <v>0</v>
      </c>
      <c r="V465">
        <v>1</v>
      </c>
      <c r="W465">
        <v>0</v>
      </c>
      <c r="X465">
        <v>0</v>
      </c>
      <c r="Y465">
        <v>0</v>
      </c>
      <c r="AE465">
        <f t="shared" si="21"/>
        <v>1</v>
      </c>
      <c r="AF465">
        <f>VLOOKUP(D465,especies!$A$2:$C$9,3,FALSE)</f>
        <v>1</v>
      </c>
      <c r="AG465" t="str">
        <f t="shared" si="22"/>
        <v>1-Mestizo</v>
      </c>
      <c r="AH465">
        <f>VLOOKUP('Fichas clínicas'!AG465,razas!$A$2:$D$66,3,FALSE)</f>
        <v>1</v>
      </c>
      <c r="AI465" t="str">
        <f t="shared" si="23"/>
        <v>H</v>
      </c>
    </row>
    <row r="466" spans="1:35" x14ac:dyDescent="0.2">
      <c r="A466">
        <v>466</v>
      </c>
      <c r="B466" t="s">
        <v>1199</v>
      </c>
      <c r="C466" t="s">
        <v>1200</v>
      </c>
      <c r="D466" t="s">
        <v>32</v>
      </c>
      <c r="E466" t="s">
        <v>33</v>
      </c>
      <c r="F466" t="s">
        <v>34</v>
      </c>
      <c r="G466" t="s">
        <v>583</v>
      </c>
      <c r="J466" t="s">
        <v>1201</v>
      </c>
      <c r="K466" t="s">
        <v>38</v>
      </c>
      <c r="L466" t="s">
        <v>38</v>
      </c>
      <c r="M466" t="s">
        <v>38</v>
      </c>
      <c r="N466" t="s">
        <v>38</v>
      </c>
      <c r="O466" t="s">
        <v>38</v>
      </c>
      <c r="T466" t="s">
        <v>38</v>
      </c>
      <c r="U466">
        <v>0</v>
      </c>
      <c r="V466">
        <v>1</v>
      </c>
      <c r="W466">
        <v>0</v>
      </c>
      <c r="X466">
        <v>0</v>
      </c>
      <c r="Y466">
        <v>0</v>
      </c>
      <c r="AE466">
        <f t="shared" si="21"/>
        <v>1</v>
      </c>
      <c r="AF466">
        <f>VLOOKUP(D466,especies!$A$2:$C$9,3,FALSE)</f>
        <v>1</v>
      </c>
      <c r="AG466" t="str">
        <f t="shared" si="22"/>
        <v>1-Mestizo</v>
      </c>
      <c r="AH466">
        <f>VLOOKUP('Fichas clínicas'!AG466,razas!$A$2:$D$66,3,FALSE)</f>
        <v>1</v>
      </c>
      <c r="AI466" t="str">
        <f t="shared" si="23"/>
        <v>H</v>
      </c>
    </row>
    <row r="467" spans="1:35" x14ac:dyDescent="0.2">
      <c r="A467">
        <v>468</v>
      </c>
      <c r="B467" t="s">
        <v>1199</v>
      </c>
      <c r="C467" t="s">
        <v>1200</v>
      </c>
      <c r="D467" t="s">
        <v>32</v>
      </c>
      <c r="E467" t="s">
        <v>33</v>
      </c>
      <c r="F467" t="s">
        <v>34</v>
      </c>
      <c r="G467" t="s">
        <v>583</v>
      </c>
      <c r="J467" t="s">
        <v>1201</v>
      </c>
      <c r="K467" t="s">
        <v>38</v>
      </c>
      <c r="L467" t="s">
        <v>38</v>
      </c>
      <c r="M467" t="s">
        <v>38</v>
      </c>
      <c r="N467" t="s">
        <v>38</v>
      </c>
      <c r="O467" t="s">
        <v>38</v>
      </c>
      <c r="T467" t="s">
        <v>38</v>
      </c>
      <c r="U467">
        <v>0</v>
      </c>
      <c r="V467">
        <v>1</v>
      </c>
      <c r="W467">
        <v>0</v>
      </c>
      <c r="X467">
        <v>0</v>
      </c>
      <c r="Y467">
        <v>0</v>
      </c>
      <c r="AE467">
        <f t="shared" si="21"/>
        <v>1</v>
      </c>
      <c r="AF467">
        <f>VLOOKUP(D467,especies!$A$2:$C$9,3,FALSE)</f>
        <v>1</v>
      </c>
      <c r="AG467" t="str">
        <f t="shared" si="22"/>
        <v>1-Mestizo</v>
      </c>
      <c r="AH467">
        <f>VLOOKUP('Fichas clínicas'!AG467,razas!$A$2:$D$66,3,FALSE)</f>
        <v>1</v>
      </c>
      <c r="AI467" t="str">
        <f t="shared" si="23"/>
        <v>H</v>
      </c>
    </row>
    <row r="468" spans="1:35" x14ac:dyDescent="0.2">
      <c r="A468">
        <v>469</v>
      </c>
      <c r="B468" t="s">
        <v>1202</v>
      </c>
      <c r="C468" t="s">
        <v>1203</v>
      </c>
      <c r="D468" t="s">
        <v>32</v>
      </c>
      <c r="E468" t="s">
        <v>33</v>
      </c>
      <c r="F468" t="s">
        <v>34</v>
      </c>
      <c r="G468" t="s">
        <v>43</v>
      </c>
      <c r="J468" t="s">
        <v>797</v>
      </c>
      <c r="K468" t="s">
        <v>38</v>
      </c>
      <c r="L468" t="s">
        <v>38</v>
      </c>
      <c r="M468" t="s">
        <v>38</v>
      </c>
      <c r="N468" t="s">
        <v>38</v>
      </c>
      <c r="O468" t="s">
        <v>38</v>
      </c>
      <c r="Q468">
        <v>0</v>
      </c>
      <c r="T468" t="s">
        <v>38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f t="shared" si="21"/>
        <v>1</v>
      </c>
      <c r="AF468">
        <f>VLOOKUP(D468,especies!$A$2:$C$9,3,FALSE)</f>
        <v>1</v>
      </c>
      <c r="AG468" t="str">
        <f t="shared" si="22"/>
        <v>1-Mestizo</v>
      </c>
      <c r="AH468">
        <f>VLOOKUP('Fichas clínicas'!AG468,razas!$A$2:$D$66,3,FALSE)</f>
        <v>1</v>
      </c>
      <c r="AI468" t="str">
        <f t="shared" si="23"/>
        <v>H</v>
      </c>
    </row>
    <row r="469" spans="1:35" x14ac:dyDescent="0.2">
      <c r="A469">
        <v>470</v>
      </c>
      <c r="B469" t="s">
        <v>1204</v>
      </c>
      <c r="C469" t="s">
        <v>1205</v>
      </c>
      <c r="D469" t="s">
        <v>41</v>
      </c>
      <c r="E469" t="s">
        <v>42</v>
      </c>
      <c r="F469" t="s">
        <v>47</v>
      </c>
      <c r="G469" t="s">
        <v>123</v>
      </c>
      <c r="J469" t="s">
        <v>271</v>
      </c>
      <c r="K469" t="s">
        <v>38</v>
      </c>
      <c r="L469" t="s">
        <v>38</v>
      </c>
      <c r="M469" t="s">
        <v>38</v>
      </c>
      <c r="N469" t="s">
        <v>38</v>
      </c>
      <c r="O469" t="s">
        <v>38</v>
      </c>
      <c r="Q469">
        <v>0</v>
      </c>
      <c r="T469" t="s">
        <v>38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f t="shared" si="21"/>
        <v>1</v>
      </c>
      <c r="AF469">
        <f>VLOOKUP(D469,especies!$A$2:$C$9,3,FALSE)</f>
        <v>2</v>
      </c>
      <c r="AG469" t="str">
        <f t="shared" si="22"/>
        <v>2-DPC (Doméstico de pelo corto o DSH)</v>
      </c>
      <c r="AH469">
        <f>VLOOKUP('Fichas clínicas'!AG469,razas!$A$2:$D$66,3,FALSE)</f>
        <v>51</v>
      </c>
      <c r="AI469" t="str">
        <f t="shared" si="23"/>
        <v>M</v>
      </c>
    </row>
    <row r="470" spans="1:35" x14ac:dyDescent="0.2">
      <c r="A470">
        <v>471</v>
      </c>
      <c r="B470" t="s">
        <v>1206</v>
      </c>
      <c r="C470" t="s">
        <v>60</v>
      </c>
      <c r="D470" t="s">
        <v>32</v>
      </c>
      <c r="E470" t="s">
        <v>33</v>
      </c>
      <c r="F470" t="s">
        <v>47</v>
      </c>
      <c r="G470" t="s">
        <v>1207</v>
      </c>
      <c r="J470" t="s">
        <v>1208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Q470">
        <v>0</v>
      </c>
      <c r="T470" t="s">
        <v>38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f t="shared" si="21"/>
        <v>1</v>
      </c>
      <c r="AF470">
        <f>VLOOKUP(D470,especies!$A$2:$C$9,3,FALSE)</f>
        <v>1</v>
      </c>
      <c r="AG470" t="str">
        <f t="shared" si="22"/>
        <v>1-Mestizo</v>
      </c>
      <c r="AH470">
        <f>VLOOKUP('Fichas clínicas'!AG470,razas!$A$2:$D$66,3,FALSE)</f>
        <v>1</v>
      </c>
      <c r="AI470" t="str">
        <f t="shared" si="23"/>
        <v>M</v>
      </c>
    </row>
    <row r="471" spans="1:35" x14ac:dyDescent="0.2">
      <c r="A471">
        <v>472</v>
      </c>
      <c r="B471" t="s">
        <v>462</v>
      </c>
      <c r="C471" t="s">
        <v>1209</v>
      </c>
      <c r="D471" t="s">
        <v>41</v>
      </c>
      <c r="E471" t="s">
        <v>42</v>
      </c>
      <c r="F471" t="s">
        <v>47</v>
      </c>
      <c r="G471" t="s">
        <v>43</v>
      </c>
      <c r="J471" t="s">
        <v>369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Q471">
        <v>1</v>
      </c>
      <c r="T471" t="s">
        <v>38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f t="shared" si="21"/>
        <v>1</v>
      </c>
      <c r="AF471">
        <f>VLOOKUP(D471,especies!$A$2:$C$9,3,FALSE)</f>
        <v>2</v>
      </c>
      <c r="AG471" t="str">
        <f t="shared" si="22"/>
        <v>2-DPC (Doméstico de pelo corto o DSH)</v>
      </c>
      <c r="AH471">
        <f>VLOOKUP('Fichas clínicas'!AG471,razas!$A$2:$D$66,3,FALSE)</f>
        <v>51</v>
      </c>
      <c r="AI471" t="str">
        <f t="shared" si="23"/>
        <v>M</v>
      </c>
    </row>
    <row r="472" spans="1:35" x14ac:dyDescent="0.2">
      <c r="A472">
        <v>473</v>
      </c>
      <c r="B472" t="s">
        <v>1210</v>
      </c>
      <c r="C472" t="s">
        <v>223</v>
      </c>
      <c r="D472" t="s">
        <v>32</v>
      </c>
      <c r="E472" t="s">
        <v>33</v>
      </c>
      <c r="F472" t="s">
        <v>47</v>
      </c>
      <c r="G472" t="s">
        <v>300</v>
      </c>
      <c r="J472" t="s">
        <v>1211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Q472">
        <v>0</v>
      </c>
      <c r="T472" t="s">
        <v>38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f t="shared" si="21"/>
        <v>1</v>
      </c>
      <c r="AF472">
        <f>VLOOKUP(D472,especies!$A$2:$C$9,3,FALSE)</f>
        <v>1</v>
      </c>
      <c r="AG472" t="str">
        <f t="shared" si="22"/>
        <v>1-Mestizo</v>
      </c>
      <c r="AH472">
        <f>VLOOKUP('Fichas clínicas'!AG472,razas!$A$2:$D$66,3,FALSE)</f>
        <v>1</v>
      </c>
      <c r="AI472" t="str">
        <f t="shared" si="23"/>
        <v>M</v>
      </c>
    </row>
    <row r="473" spans="1:35" x14ac:dyDescent="0.2">
      <c r="A473">
        <v>474</v>
      </c>
      <c r="B473" t="s">
        <v>1210</v>
      </c>
      <c r="C473" t="s">
        <v>1212</v>
      </c>
      <c r="D473" t="s">
        <v>32</v>
      </c>
      <c r="E473" t="s">
        <v>33</v>
      </c>
      <c r="F473" t="s">
        <v>47</v>
      </c>
      <c r="G473" t="s">
        <v>43</v>
      </c>
      <c r="J473" t="s">
        <v>1211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Q473">
        <v>0</v>
      </c>
      <c r="T473" t="s">
        <v>38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f t="shared" si="21"/>
        <v>1</v>
      </c>
      <c r="AF473">
        <f>VLOOKUP(D473,especies!$A$2:$C$9,3,FALSE)</f>
        <v>1</v>
      </c>
      <c r="AG473" t="str">
        <f t="shared" si="22"/>
        <v>1-Mestizo</v>
      </c>
      <c r="AH473">
        <f>VLOOKUP('Fichas clínicas'!AG473,razas!$A$2:$D$66,3,FALSE)</f>
        <v>1</v>
      </c>
      <c r="AI473" t="str">
        <f t="shared" si="23"/>
        <v>M</v>
      </c>
    </row>
    <row r="474" spans="1:35" x14ac:dyDescent="0.2">
      <c r="A474">
        <v>475</v>
      </c>
      <c r="B474" t="s">
        <v>1213</v>
      </c>
      <c r="C474" t="s">
        <v>1214</v>
      </c>
      <c r="D474" t="s">
        <v>32</v>
      </c>
      <c r="E474" t="s">
        <v>438</v>
      </c>
      <c r="F474" t="s">
        <v>34</v>
      </c>
      <c r="G474" t="s">
        <v>134</v>
      </c>
      <c r="J474" t="s">
        <v>1215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T474" t="s">
        <v>38</v>
      </c>
      <c r="U474">
        <v>0</v>
      </c>
      <c r="V474">
        <v>1</v>
      </c>
      <c r="W474">
        <v>0</v>
      </c>
      <c r="X474">
        <v>0</v>
      </c>
      <c r="Y474">
        <v>0</v>
      </c>
      <c r="AE474">
        <f t="shared" si="21"/>
        <v>1</v>
      </c>
      <c r="AF474">
        <f>VLOOKUP(D474,especies!$A$2:$C$9,3,FALSE)</f>
        <v>1</v>
      </c>
      <c r="AG474" t="str">
        <f t="shared" si="22"/>
        <v>1-Ovejero Alemán</v>
      </c>
      <c r="AH474">
        <f>VLOOKUP('Fichas clínicas'!AG474,razas!$A$2:$D$66,3,FALSE)</f>
        <v>12</v>
      </c>
      <c r="AI474" t="str">
        <f t="shared" si="23"/>
        <v>H</v>
      </c>
    </row>
    <row r="475" spans="1:35" x14ac:dyDescent="0.2">
      <c r="A475">
        <v>476</v>
      </c>
      <c r="B475" t="s">
        <v>1216</v>
      </c>
      <c r="C475" t="s">
        <v>1217</v>
      </c>
      <c r="D475" t="s">
        <v>32</v>
      </c>
      <c r="E475" t="s">
        <v>150</v>
      </c>
      <c r="F475" t="s">
        <v>34</v>
      </c>
      <c r="G475" t="s">
        <v>123</v>
      </c>
      <c r="J475" t="s">
        <v>1218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T475" t="s">
        <v>38</v>
      </c>
      <c r="U475">
        <v>0</v>
      </c>
      <c r="V475">
        <v>1</v>
      </c>
      <c r="W475">
        <v>0</v>
      </c>
      <c r="X475">
        <v>0</v>
      </c>
      <c r="Y475">
        <v>0</v>
      </c>
      <c r="AE475">
        <f t="shared" si="21"/>
        <v>1</v>
      </c>
      <c r="AF475">
        <f>VLOOKUP(D475,especies!$A$2:$C$9,3,FALSE)</f>
        <v>1</v>
      </c>
      <c r="AG475" t="str">
        <f t="shared" si="22"/>
        <v>1-Poodle</v>
      </c>
      <c r="AH475">
        <f>VLOOKUP('Fichas clínicas'!AG475,razas!$A$2:$D$66,3,FALSE)</f>
        <v>6</v>
      </c>
      <c r="AI475" t="str">
        <f t="shared" si="23"/>
        <v>H</v>
      </c>
    </row>
    <row r="476" spans="1:35" x14ac:dyDescent="0.2">
      <c r="A476">
        <v>477</v>
      </c>
      <c r="B476" t="s">
        <v>1219</v>
      </c>
      <c r="C476" t="s">
        <v>1220</v>
      </c>
      <c r="D476" t="s">
        <v>32</v>
      </c>
      <c r="E476" t="s">
        <v>812</v>
      </c>
      <c r="F476" t="s">
        <v>34</v>
      </c>
      <c r="G476" t="s">
        <v>284</v>
      </c>
      <c r="J476" t="s">
        <v>955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T476" t="s">
        <v>38</v>
      </c>
      <c r="U476">
        <v>0</v>
      </c>
      <c r="V476">
        <v>1</v>
      </c>
      <c r="W476">
        <v>0</v>
      </c>
      <c r="X476">
        <v>0</v>
      </c>
      <c r="Y476">
        <v>0</v>
      </c>
      <c r="AE476">
        <f t="shared" si="21"/>
        <v>1</v>
      </c>
      <c r="AF476">
        <f>VLOOKUP(D476,especies!$A$2:$C$9,3,FALSE)</f>
        <v>1</v>
      </c>
      <c r="AG476" t="str">
        <f t="shared" si="22"/>
        <v>1-Fox Terrier de Pelo Duro</v>
      </c>
      <c r="AH476">
        <f>VLOOKUP('Fichas clínicas'!AG476,razas!$A$2:$D$66,3,FALSE)</f>
        <v>18</v>
      </c>
      <c r="AI476" t="str">
        <f t="shared" si="23"/>
        <v>H</v>
      </c>
    </row>
    <row r="477" spans="1:35" x14ac:dyDescent="0.2">
      <c r="A477">
        <v>478</v>
      </c>
      <c r="B477" t="s">
        <v>1221</v>
      </c>
      <c r="C477" t="s">
        <v>126</v>
      </c>
      <c r="D477" t="s">
        <v>32</v>
      </c>
      <c r="E477" t="s">
        <v>33</v>
      </c>
      <c r="F477" t="s">
        <v>47</v>
      </c>
      <c r="G477" t="s">
        <v>123</v>
      </c>
      <c r="J477" t="s">
        <v>1222</v>
      </c>
      <c r="K477" t="s">
        <v>38</v>
      </c>
      <c r="L477" t="s">
        <v>38</v>
      </c>
      <c r="M477" t="s">
        <v>38</v>
      </c>
      <c r="N477" t="s">
        <v>38</v>
      </c>
      <c r="O477" t="s">
        <v>38</v>
      </c>
      <c r="T477" t="s">
        <v>38</v>
      </c>
      <c r="U477">
        <v>0</v>
      </c>
      <c r="W477">
        <v>0</v>
      </c>
      <c r="X477">
        <v>0</v>
      </c>
      <c r="Y477">
        <v>0</v>
      </c>
      <c r="AE477">
        <f t="shared" si="21"/>
        <v>1</v>
      </c>
      <c r="AF477">
        <f>VLOOKUP(D477,especies!$A$2:$C$9,3,FALSE)</f>
        <v>1</v>
      </c>
      <c r="AG477" t="str">
        <f t="shared" si="22"/>
        <v>1-Mestizo</v>
      </c>
      <c r="AH477">
        <f>VLOOKUP('Fichas clínicas'!AG477,razas!$A$2:$D$66,3,FALSE)</f>
        <v>1</v>
      </c>
      <c r="AI477" t="str">
        <f t="shared" si="23"/>
        <v>M</v>
      </c>
    </row>
    <row r="478" spans="1:35" x14ac:dyDescent="0.2">
      <c r="A478">
        <v>479</v>
      </c>
      <c r="B478" t="s">
        <v>1223</v>
      </c>
      <c r="C478" t="s">
        <v>1224</v>
      </c>
      <c r="D478" t="s">
        <v>41</v>
      </c>
      <c r="E478" t="s">
        <v>42</v>
      </c>
      <c r="F478" t="s">
        <v>34</v>
      </c>
      <c r="G478" t="s">
        <v>1225</v>
      </c>
      <c r="J478" t="s">
        <v>1226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T478" t="s">
        <v>38</v>
      </c>
      <c r="U478">
        <v>0</v>
      </c>
      <c r="W478">
        <v>0</v>
      </c>
      <c r="X478">
        <v>0</v>
      </c>
      <c r="Y478">
        <v>0</v>
      </c>
      <c r="AE478">
        <f t="shared" si="21"/>
        <v>1</v>
      </c>
      <c r="AF478">
        <f>VLOOKUP(D478,especies!$A$2:$C$9,3,FALSE)</f>
        <v>2</v>
      </c>
      <c r="AG478" t="str">
        <f t="shared" si="22"/>
        <v>2-DPC (Doméstico de pelo corto o DSH)</v>
      </c>
      <c r="AH478">
        <f>VLOOKUP('Fichas clínicas'!AG478,razas!$A$2:$D$66,3,FALSE)</f>
        <v>51</v>
      </c>
      <c r="AI478" t="str">
        <f t="shared" si="23"/>
        <v>H</v>
      </c>
    </row>
    <row r="479" spans="1:35" x14ac:dyDescent="0.2">
      <c r="A479">
        <v>480</v>
      </c>
      <c r="B479" t="s">
        <v>1227</v>
      </c>
      <c r="C479" t="s">
        <v>1136</v>
      </c>
      <c r="D479" t="s">
        <v>32</v>
      </c>
      <c r="E479" t="s">
        <v>33</v>
      </c>
      <c r="F479" t="s">
        <v>34</v>
      </c>
      <c r="G479" t="s">
        <v>199</v>
      </c>
      <c r="I479">
        <v>939000007188543</v>
      </c>
      <c r="J479" t="s">
        <v>986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Q479">
        <v>0</v>
      </c>
      <c r="T479" t="s">
        <v>38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f t="shared" si="21"/>
        <v>1</v>
      </c>
      <c r="AF479">
        <f>VLOOKUP(D479,especies!$A$2:$C$9,3,FALSE)</f>
        <v>1</v>
      </c>
      <c r="AG479" t="str">
        <f t="shared" si="22"/>
        <v>1-Mestizo</v>
      </c>
      <c r="AH479">
        <f>VLOOKUP('Fichas clínicas'!AG479,razas!$A$2:$D$66,3,FALSE)</f>
        <v>1</v>
      </c>
      <c r="AI479" t="str">
        <f t="shared" si="23"/>
        <v>H</v>
      </c>
    </row>
    <row r="480" spans="1:35" x14ac:dyDescent="0.2">
      <c r="A480">
        <v>481</v>
      </c>
      <c r="B480" t="s">
        <v>1228</v>
      </c>
      <c r="C480" t="s">
        <v>1229</v>
      </c>
      <c r="D480" t="s">
        <v>32</v>
      </c>
      <c r="E480" t="s">
        <v>33</v>
      </c>
      <c r="F480" t="s">
        <v>47</v>
      </c>
      <c r="G480" t="s">
        <v>277</v>
      </c>
      <c r="J480" t="s">
        <v>1230</v>
      </c>
      <c r="K480" t="s">
        <v>38</v>
      </c>
      <c r="L480" t="s">
        <v>38</v>
      </c>
      <c r="M480" t="s">
        <v>38</v>
      </c>
      <c r="N480" t="s">
        <v>38</v>
      </c>
      <c r="O480" t="s">
        <v>38</v>
      </c>
      <c r="T480" t="s">
        <v>38</v>
      </c>
      <c r="U480">
        <v>0</v>
      </c>
      <c r="W480">
        <v>0</v>
      </c>
      <c r="X480">
        <v>0</v>
      </c>
      <c r="Y480">
        <v>0</v>
      </c>
      <c r="AE480">
        <f t="shared" si="21"/>
        <v>1</v>
      </c>
      <c r="AF480">
        <f>VLOOKUP(D480,especies!$A$2:$C$9,3,FALSE)</f>
        <v>1</v>
      </c>
      <c r="AG480" t="str">
        <f t="shared" si="22"/>
        <v>1-Mestizo</v>
      </c>
      <c r="AH480">
        <f>VLOOKUP('Fichas clínicas'!AG480,razas!$A$2:$D$66,3,FALSE)</f>
        <v>1</v>
      </c>
      <c r="AI480" t="str">
        <f t="shared" si="23"/>
        <v>M</v>
      </c>
    </row>
    <row r="481" spans="1:35" x14ac:dyDescent="0.2">
      <c r="A481">
        <v>482</v>
      </c>
      <c r="B481" t="s">
        <v>1092</v>
      </c>
      <c r="C481" t="s">
        <v>1231</v>
      </c>
      <c r="D481" t="s">
        <v>41</v>
      </c>
      <c r="E481" t="s">
        <v>42</v>
      </c>
      <c r="F481" t="s">
        <v>34</v>
      </c>
      <c r="G481" t="s">
        <v>1232</v>
      </c>
      <c r="J481" t="s">
        <v>1233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Q481">
        <v>0</v>
      </c>
      <c r="T481" t="s">
        <v>38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f t="shared" si="21"/>
        <v>1</v>
      </c>
      <c r="AF481">
        <f>VLOOKUP(D481,especies!$A$2:$C$9,3,FALSE)</f>
        <v>2</v>
      </c>
      <c r="AG481" t="str">
        <f t="shared" si="22"/>
        <v>2-DPC (Doméstico de pelo corto o DSH)</v>
      </c>
      <c r="AH481">
        <f>VLOOKUP('Fichas clínicas'!AG481,razas!$A$2:$D$66,3,FALSE)</f>
        <v>51</v>
      </c>
      <c r="AI481" t="str">
        <f t="shared" si="23"/>
        <v>H</v>
      </c>
    </row>
    <row r="482" spans="1:35" x14ac:dyDescent="0.2">
      <c r="A482">
        <v>483</v>
      </c>
      <c r="B482" t="s">
        <v>1234</v>
      </c>
      <c r="C482" t="s">
        <v>1235</v>
      </c>
      <c r="D482" t="s">
        <v>32</v>
      </c>
      <c r="E482" t="s">
        <v>33</v>
      </c>
      <c r="F482" t="s">
        <v>34</v>
      </c>
      <c r="G482" t="s">
        <v>99</v>
      </c>
      <c r="J482" t="s">
        <v>1236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T482" t="s">
        <v>38</v>
      </c>
      <c r="U482">
        <v>0</v>
      </c>
      <c r="W482">
        <v>0</v>
      </c>
      <c r="X482">
        <v>0</v>
      </c>
      <c r="Y482">
        <v>0</v>
      </c>
      <c r="AE482">
        <f t="shared" si="21"/>
        <v>1</v>
      </c>
      <c r="AF482">
        <f>VLOOKUP(D482,especies!$A$2:$C$9,3,FALSE)</f>
        <v>1</v>
      </c>
      <c r="AG482" t="str">
        <f t="shared" si="22"/>
        <v>1-Mestizo</v>
      </c>
      <c r="AH482">
        <f>VLOOKUP('Fichas clínicas'!AG482,razas!$A$2:$D$66,3,FALSE)</f>
        <v>1</v>
      </c>
      <c r="AI482" t="str">
        <f t="shared" si="23"/>
        <v>H</v>
      </c>
    </row>
    <row r="483" spans="1:35" x14ac:dyDescent="0.2">
      <c r="A483">
        <v>484</v>
      </c>
      <c r="B483" t="s">
        <v>1237</v>
      </c>
      <c r="C483" t="s">
        <v>1238</v>
      </c>
      <c r="D483" t="s">
        <v>41</v>
      </c>
      <c r="E483" t="s">
        <v>42</v>
      </c>
      <c r="F483" t="s">
        <v>47</v>
      </c>
      <c r="G483" t="s">
        <v>284</v>
      </c>
      <c r="J483" t="s">
        <v>633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T483" t="s">
        <v>38</v>
      </c>
      <c r="U483">
        <v>0</v>
      </c>
      <c r="W483">
        <v>0</v>
      </c>
      <c r="X483">
        <v>0</v>
      </c>
      <c r="Y483">
        <v>0</v>
      </c>
      <c r="AE483">
        <f t="shared" si="21"/>
        <v>1</v>
      </c>
      <c r="AF483">
        <f>VLOOKUP(D483,especies!$A$2:$C$9,3,FALSE)</f>
        <v>2</v>
      </c>
      <c r="AG483" t="str">
        <f t="shared" si="22"/>
        <v>2-DPC (Doméstico de pelo corto o DSH)</v>
      </c>
      <c r="AH483">
        <f>VLOOKUP('Fichas clínicas'!AG483,razas!$A$2:$D$66,3,FALSE)</f>
        <v>51</v>
      </c>
      <c r="AI483" t="str">
        <f t="shared" si="23"/>
        <v>M</v>
      </c>
    </row>
    <row r="484" spans="1:35" x14ac:dyDescent="0.2">
      <c r="A484">
        <v>485</v>
      </c>
      <c r="B484" t="s">
        <v>1239</v>
      </c>
      <c r="C484" t="s">
        <v>216</v>
      </c>
      <c r="D484" t="s">
        <v>32</v>
      </c>
      <c r="E484" t="s">
        <v>150</v>
      </c>
      <c r="F484" t="s">
        <v>47</v>
      </c>
      <c r="G484" t="s">
        <v>123</v>
      </c>
      <c r="J484" t="s">
        <v>1240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T484" t="s">
        <v>38</v>
      </c>
      <c r="U484">
        <v>0</v>
      </c>
      <c r="W484">
        <v>0</v>
      </c>
      <c r="X484">
        <v>0</v>
      </c>
      <c r="Y484">
        <v>0</v>
      </c>
      <c r="AE484">
        <f t="shared" si="21"/>
        <v>1</v>
      </c>
      <c r="AF484">
        <f>VLOOKUP(D484,especies!$A$2:$C$9,3,FALSE)</f>
        <v>1</v>
      </c>
      <c r="AG484" t="str">
        <f t="shared" si="22"/>
        <v>1-Poodle</v>
      </c>
      <c r="AH484">
        <f>VLOOKUP('Fichas clínicas'!AG484,razas!$A$2:$D$66,3,FALSE)</f>
        <v>6</v>
      </c>
      <c r="AI484" t="str">
        <f t="shared" si="23"/>
        <v>M</v>
      </c>
    </row>
    <row r="485" spans="1:35" x14ac:dyDescent="0.2">
      <c r="A485">
        <v>486</v>
      </c>
      <c r="B485" t="s">
        <v>1241</v>
      </c>
      <c r="C485" t="s">
        <v>1242</v>
      </c>
      <c r="D485" t="s">
        <v>41</v>
      </c>
      <c r="E485" t="s">
        <v>93</v>
      </c>
      <c r="F485" t="s">
        <v>34</v>
      </c>
      <c r="G485" t="s">
        <v>169</v>
      </c>
      <c r="J485" t="s">
        <v>1243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T485" t="s">
        <v>38</v>
      </c>
      <c r="U485">
        <v>0</v>
      </c>
      <c r="W485">
        <v>0</v>
      </c>
      <c r="X485">
        <v>0</v>
      </c>
      <c r="Y485">
        <v>0</v>
      </c>
      <c r="AE485">
        <f t="shared" si="21"/>
        <v>1</v>
      </c>
      <c r="AF485">
        <f>VLOOKUP(D485,especies!$A$2:$C$9,3,FALSE)</f>
        <v>2</v>
      </c>
      <c r="AG485" t="str">
        <f t="shared" si="22"/>
        <v>2-DPL (Doméstico de pelo Largo o DLH)</v>
      </c>
      <c r="AH485">
        <f>VLOOKUP('Fichas clínicas'!AG485,razas!$A$2:$D$66,3,FALSE)</f>
        <v>52</v>
      </c>
      <c r="AI485" t="str">
        <f t="shared" si="23"/>
        <v>H</v>
      </c>
    </row>
    <row r="486" spans="1:35" x14ac:dyDescent="0.2">
      <c r="A486">
        <v>487</v>
      </c>
      <c r="B486" t="s">
        <v>1244</v>
      </c>
      <c r="C486" t="s">
        <v>1245</v>
      </c>
      <c r="D486" t="s">
        <v>41</v>
      </c>
      <c r="E486" t="s">
        <v>42</v>
      </c>
      <c r="F486" t="s">
        <v>34</v>
      </c>
      <c r="G486" t="s">
        <v>43</v>
      </c>
      <c r="J486" t="s">
        <v>989</v>
      </c>
      <c r="K486" t="s">
        <v>38</v>
      </c>
      <c r="L486" t="s">
        <v>38</v>
      </c>
      <c r="M486" t="s">
        <v>38</v>
      </c>
      <c r="N486" t="s">
        <v>38</v>
      </c>
      <c r="O486" t="s">
        <v>38</v>
      </c>
      <c r="T486" t="s">
        <v>38</v>
      </c>
      <c r="U486">
        <v>0</v>
      </c>
      <c r="V486">
        <v>1</v>
      </c>
      <c r="W486">
        <v>0</v>
      </c>
      <c r="X486">
        <v>0</v>
      </c>
      <c r="Y486">
        <v>0</v>
      </c>
      <c r="AE486">
        <f t="shared" si="21"/>
        <v>1</v>
      </c>
      <c r="AF486">
        <f>VLOOKUP(D486,especies!$A$2:$C$9,3,FALSE)</f>
        <v>2</v>
      </c>
      <c r="AG486" t="str">
        <f t="shared" si="22"/>
        <v>2-DPC (Doméstico de pelo corto o DSH)</v>
      </c>
      <c r="AH486">
        <f>VLOOKUP('Fichas clínicas'!AG486,razas!$A$2:$D$66,3,FALSE)</f>
        <v>51</v>
      </c>
      <c r="AI486" t="str">
        <f t="shared" si="23"/>
        <v>H</v>
      </c>
    </row>
    <row r="487" spans="1:35" x14ac:dyDescent="0.2">
      <c r="A487">
        <v>488</v>
      </c>
      <c r="B487" t="s">
        <v>1246</v>
      </c>
      <c r="C487" t="s">
        <v>347</v>
      </c>
      <c r="D487" t="s">
        <v>32</v>
      </c>
      <c r="E487" t="s">
        <v>33</v>
      </c>
      <c r="F487" t="s">
        <v>34</v>
      </c>
      <c r="G487" t="s">
        <v>43</v>
      </c>
      <c r="J487" t="s">
        <v>918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T487" t="s">
        <v>38</v>
      </c>
      <c r="U487">
        <v>0</v>
      </c>
      <c r="V487">
        <v>1</v>
      </c>
      <c r="W487">
        <v>0</v>
      </c>
      <c r="X487">
        <v>0</v>
      </c>
      <c r="Y487">
        <v>0</v>
      </c>
      <c r="AE487">
        <f t="shared" si="21"/>
        <v>1</v>
      </c>
      <c r="AF487">
        <f>VLOOKUP(D487,especies!$A$2:$C$9,3,FALSE)</f>
        <v>1</v>
      </c>
      <c r="AG487" t="str">
        <f t="shared" si="22"/>
        <v>1-Mestizo</v>
      </c>
      <c r="AH487">
        <f>VLOOKUP('Fichas clínicas'!AG487,razas!$A$2:$D$66,3,FALSE)</f>
        <v>1</v>
      </c>
      <c r="AI487" t="str">
        <f t="shared" si="23"/>
        <v>H</v>
      </c>
    </row>
    <row r="488" spans="1:35" x14ac:dyDescent="0.2">
      <c r="A488">
        <v>489</v>
      </c>
      <c r="B488" t="s">
        <v>365</v>
      </c>
      <c r="C488" t="s">
        <v>1247</v>
      </c>
      <c r="D488" t="s">
        <v>32</v>
      </c>
      <c r="E488" t="s">
        <v>33</v>
      </c>
      <c r="F488" t="s">
        <v>47</v>
      </c>
      <c r="G488" t="s">
        <v>99</v>
      </c>
      <c r="J488" t="s">
        <v>1248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T488" t="s">
        <v>38</v>
      </c>
      <c r="U488">
        <v>0</v>
      </c>
      <c r="W488">
        <v>0</v>
      </c>
      <c r="X488">
        <v>0</v>
      </c>
      <c r="Y488">
        <v>0</v>
      </c>
      <c r="AE488">
        <f t="shared" si="21"/>
        <v>1</v>
      </c>
      <c r="AF488">
        <f>VLOOKUP(D488,especies!$A$2:$C$9,3,FALSE)</f>
        <v>1</v>
      </c>
      <c r="AG488" t="str">
        <f t="shared" si="22"/>
        <v>1-Mestizo</v>
      </c>
      <c r="AH488">
        <f>VLOOKUP('Fichas clínicas'!AG488,razas!$A$2:$D$66,3,FALSE)</f>
        <v>1</v>
      </c>
      <c r="AI488" t="str">
        <f t="shared" si="23"/>
        <v>M</v>
      </c>
    </row>
    <row r="489" spans="1:35" x14ac:dyDescent="0.2">
      <c r="A489">
        <v>490</v>
      </c>
      <c r="B489" t="s">
        <v>1249</v>
      </c>
      <c r="C489" t="s">
        <v>1250</v>
      </c>
      <c r="D489" t="s">
        <v>41</v>
      </c>
      <c r="E489" t="s">
        <v>42</v>
      </c>
      <c r="F489" t="s">
        <v>47</v>
      </c>
      <c r="G489" t="s">
        <v>1251</v>
      </c>
      <c r="J489" t="s">
        <v>797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T489" t="s">
        <v>38</v>
      </c>
      <c r="U489">
        <v>0</v>
      </c>
      <c r="W489">
        <v>0</v>
      </c>
      <c r="X489">
        <v>0</v>
      </c>
      <c r="Y489">
        <v>0</v>
      </c>
      <c r="AE489">
        <f t="shared" si="21"/>
        <v>1</v>
      </c>
      <c r="AF489">
        <f>VLOOKUP(D489,especies!$A$2:$C$9,3,FALSE)</f>
        <v>2</v>
      </c>
      <c r="AG489" t="str">
        <f t="shared" si="22"/>
        <v>2-DPC (Doméstico de pelo corto o DSH)</v>
      </c>
      <c r="AH489">
        <f>VLOOKUP('Fichas clínicas'!AG489,razas!$A$2:$D$66,3,FALSE)</f>
        <v>51</v>
      </c>
      <c r="AI489" t="str">
        <f t="shared" si="23"/>
        <v>M</v>
      </c>
    </row>
    <row r="490" spans="1:35" x14ac:dyDescent="0.2">
      <c r="A490">
        <v>491</v>
      </c>
      <c r="B490" t="s">
        <v>1252</v>
      </c>
      <c r="C490" t="s">
        <v>239</v>
      </c>
      <c r="D490" t="s">
        <v>32</v>
      </c>
      <c r="E490" t="s">
        <v>33</v>
      </c>
      <c r="F490" t="s">
        <v>34</v>
      </c>
      <c r="G490" t="s">
        <v>43</v>
      </c>
      <c r="J490" t="s">
        <v>1253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T490" t="s">
        <v>38</v>
      </c>
      <c r="U490">
        <v>0</v>
      </c>
      <c r="W490">
        <v>0</v>
      </c>
      <c r="X490">
        <v>0</v>
      </c>
      <c r="Y490">
        <v>0</v>
      </c>
      <c r="AE490">
        <f t="shared" si="21"/>
        <v>1</v>
      </c>
      <c r="AF490">
        <f>VLOOKUP(D490,especies!$A$2:$C$9,3,FALSE)</f>
        <v>1</v>
      </c>
      <c r="AG490" t="str">
        <f t="shared" si="22"/>
        <v>1-Mestizo</v>
      </c>
      <c r="AH490">
        <f>VLOOKUP('Fichas clínicas'!AG490,razas!$A$2:$D$66,3,FALSE)</f>
        <v>1</v>
      </c>
      <c r="AI490" t="str">
        <f t="shared" si="23"/>
        <v>H</v>
      </c>
    </row>
    <row r="491" spans="1:35" x14ac:dyDescent="0.2">
      <c r="A491">
        <v>492</v>
      </c>
      <c r="B491" t="s">
        <v>1254</v>
      </c>
      <c r="C491" t="s">
        <v>1255</v>
      </c>
      <c r="D491" t="s">
        <v>32</v>
      </c>
      <c r="E491" t="s">
        <v>473</v>
      </c>
      <c r="F491" t="s">
        <v>47</v>
      </c>
      <c r="G491" t="s">
        <v>1256</v>
      </c>
      <c r="J491" t="s">
        <v>1257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T491" t="s">
        <v>38</v>
      </c>
      <c r="U491">
        <v>0</v>
      </c>
      <c r="W491">
        <v>0</v>
      </c>
      <c r="X491">
        <v>0</v>
      </c>
      <c r="Y491">
        <v>0</v>
      </c>
      <c r="AE491">
        <f t="shared" si="21"/>
        <v>1</v>
      </c>
      <c r="AF491">
        <f>VLOOKUP(D491,especies!$A$2:$C$9,3,FALSE)</f>
        <v>1</v>
      </c>
      <c r="AG491" t="str">
        <f t="shared" si="22"/>
        <v>1-Boxer</v>
      </c>
      <c r="AH491">
        <f>VLOOKUP('Fichas clínicas'!AG491,razas!$A$2:$D$66,3,FALSE)</f>
        <v>14</v>
      </c>
      <c r="AI491" t="str">
        <f t="shared" si="23"/>
        <v>M</v>
      </c>
    </row>
    <row r="492" spans="1:35" x14ac:dyDescent="0.2">
      <c r="A492">
        <v>493</v>
      </c>
      <c r="B492" t="s">
        <v>1258</v>
      </c>
      <c r="C492" t="s">
        <v>1259</v>
      </c>
      <c r="D492" t="s">
        <v>32</v>
      </c>
      <c r="E492" t="s">
        <v>33</v>
      </c>
      <c r="F492" t="s">
        <v>47</v>
      </c>
      <c r="G492" t="s">
        <v>81</v>
      </c>
      <c r="H492">
        <v>900193000010426</v>
      </c>
      <c r="J492" t="s">
        <v>1260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Q492">
        <v>0</v>
      </c>
      <c r="T492" t="s">
        <v>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f t="shared" si="21"/>
        <v>1</v>
      </c>
      <c r="AF492">
        <f>VLOOKUP(D492,especies!$A$2:$C$9,3,FALSE)</f>
        <v>1</v>
      </c>
      <c r="AG492" t="str">
        <f t="shared" si="22"/>
        <v>1-Mestizo</v>
      </c>
      <c r="AH492">
        <f>VLOOKUP('Fichas clínicas'!AG492,razas!$A$2:$D$66,3,FALSE)</f>
        <v>1</v>
      </c>
      <c r="AI492" t="str">
        <f t="shared" si="23"/>
        <v>M</v>
      </c>
    </row>
    <row r="493" spans="1:35" x14ac:dyDescent="0.2">
      <c r="A493">
        <v>494</v>
      </c>
      <c r="B493" t="s">
        <v>1261</v>
      </c>
      <c r="C493" t="s">
        <v>1262</v>
      </c>
      <c r="D493" t="s">
        <v>41</v>
      </c>
      <c r="E493" t="s">
        <v>42</v>
      </c>
      <c r="F493" t="s">
        <v>34</v>
      </c>
      <c r="G493" t="s">
        <v>102</v>
      </c>
      <c r="J493" t="s">
        <v>1263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T493" t="s">
        <v>38</v>
      </c>
      <c r="U493">
        <v>0</v>
      </c>
      <c r="W493">
        <v>0</v>
      </c>
      <c r="X493">
        <v>0</v>
      </c>
      <c r="Y493">
        <v>0</v>
      </c>
      <c r="AE493">
        <f t="shared" si="21"/>
        <v>1</v>
      </c>
      <c r="AF493">
        <f>VLOOKUP(D493,especies!$A$2:$C$9,3,FALSE)</f>
        <v>2</v>
      </c>
      <c r="AG493" t="str">
        <f t="shared" si="22"/>
        <v>2-DPC (Doméstico de pelo corto o DSH)</v>
      </c>
      <c r="AH493">
        <f>VLOOKUP('Fichas clínicas'!AG493,razas!$A$2:$D$66,3,FALSE)</f>
        <v>51</v>
      </c>
      <c r="AI493" t="str">
        <f t="shared" si="23"/>
        <v>H</v>
      </c>
    </row>
    <row r="494" spans="1:35" x14ac:dyDescent="0.2">
      <c r="A494">
        <v>495</v>
      </c>
      <c r="B494" t="s">
        <v>1264</v>
      </c>
      <c r="C494" t="s">
        <v>922</v>
      </c>
      <c r="D494" t="s">
        <v>41</v>
      </c>
      <c r="E494" t="s">
        <v>42</v>
      </c>
      <c r="F494" t="s">
        <v>47</v>
      </c>
      <c r="G494" t="s">
        <v>652</v>
      </c>
      <c r="J494" t="s">
        <v>1265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T494" t="s">
        <v>38</v>
      </c>
      <c r="U494">
        <v>0</v>
      </c>
      <c r="W494">
        <v>0</v>
      </c>
      <c r="X494">
        <v>0</v>
      </c>
      <c r="Y494">
        <v>0</v>
      </c>
      <c r="AE494">
        <f t="shared" si="21"/>
        <v>1</v>
      </c>
      <c r="AF494">
        <f>VLOOKUP(D494,especies!$A$2:$C$9,3,FALSE)</f>
        <v>2</v>
      </c>
      <c r="AG494" t="str">
        <f t="shared" si="22"/>
        <v>2-DPC (Doméstico de pelo corto o DSH)</v>
      </c>
      <c r="AH494">
        <f>VLOOKUP('Fichas clínicas'!AG494,razas!$A$2:$D$66,3,FALSE)</f>
        <v>51</v>
      </c>
      <c r="AI494" t="str">
        <f t="shared" si="23"/>
        <v>M</v>
      </c>
    </row>
    <row r="495" spans="1:35" x14ac:dyDescent="0.2">
      <c r="A495">
        <v>496</v>
      </c>
      <c r="B495" t="s">
        <v>1266</v>
      </c>
      <c r="C495" t="s">
        <v>1267</v>
      </c>
      <c r="D495" t="s">
        <v>32</v>
      </c>
      <c r="E495" t="s">
        <v>33</v>
      </c>
      <c r="F495" t="s">
        <v>34</v>
      </c>
      <c r="G495" t="s">
        <v>1268</v>
      </c>
      <c r="J495" t="s">
        <v>1269</v>
      </c>
      <c r="K495" t="s">
        <v>38</v>
      </c>
      <c r="L495" t="s">
        <v>38</v>
      </c>
      <c r="M495" t="s">
        <v>38</v>
      </c>
      <c r="N495" t="s">
        <v>38</v>
      </c>
      <c r="O495" t="s">
        <v>38</v>
      </c>
      <c r="T495" t="s">
        <v>38</v>
      </c>
      <c r="U495">
        <v>0</v>
      </c>
      <c r="V495">
        <v>1</v>
      </c>
      <c r="W495">
        <v>0</v>
      </c>
      <c r="X495">
        <v>0</v>
      </c>
      <c r="Y495">
        <v>0</v>
      </c>
      <c r="AE495">
        <f t="shared" si="21"/>
        <v>1</v>
      </c>
      <c r="AF495">
        <f>VLOOKUP(D495,especies!$A$2:$C$9,3,FALSE)</f>
        <v>1</v>
      </c>
      <c r="AG495" t="str">
        <f t="shared" si="22"/>
        <v>1-Mestizo</v>
      </c>
      <c r="AH495">
        <f>VLOOKUP('Fichas clínicas'!AG495,razas!$A$2:$D$66,3,FALSE)</f>
        <v>1</v>
      </c>
      <c r="AI495" t="str">
        <f t="shared" si="23"/>
        <v>H</v>
      </c>
    </row>
    <row r="496" spans="1:35" x14ac:dyDescent="0.2">
      <c r="A496">
        <v>497</v>
      </c>
      <c r="B496" t="s">
        <v>1270</v>
      </c>
      <c r="C496" t="s">
        <v>1271</v>
      </c>
      <c r="D496" t="s">
        <v>41</v>
      </c>
      <c r="E496" t="s">
        <v>93</v>
      </c>
      <c r="F496" t="s">
        <v>47</v>
      </c>
      <c r="G496" t="s">
        <v>277</v>
      </c>
      <c r="J496" t="s">
        <v>1272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T496" t="s">
        <v>38</v>
      </c>
      <c r="U496">
        <v>0</v>
      </c>
      <c r="W496">
        <v>0</v>
      </c>
      <c r="X496">
        <v>0</v>
      </c>
      <c r="Y496">
        <v>0</v>
      </c>
      <c r="AE496">
        <f t="shared" si="21"/>
        <v>1</v>
      </c>
      <c r="AF496">
        <f>VLOOKUP(D496,especies!$A$2:$C$9,3,FALSE)</f>
        <v>2</v>
      </c>
      <c r="AG496" t="str">
        <f t="shared" si="22"/>
        <v>2-DPL (Doméstico de pelo Largo o DLH)</v>
      </c>
      <c r="AH496">
        <f>VLOOKUP('Fichas clínicas'!AG496,razas!$A$2:$D$66,3,FALSE)</f>
        <v>52</v>
      </c>
      <c r="AI496" t="str">
        <f t="shared" si="23"/>
        <v>M</v>
      </c>
    </row>
    <row r="497" spans="1:35" x14ac:dyDescent="0.2">
      <c r="A497">
        <v>498</v>
      </c>
      <c r="B497" t="s">
        <v>349</v>
      </c>
      <c r="C497" t="s">
        <v>236</v>
      </c>
      <c r="D497" t="s">
        <v>41</v>
      </c>
      <c r="E497" t="s">
        <v>42</v>
      </c>
      <c r="F497" t="s">
        <v>34</v>
      </c>
      <c r="G497" t="s">
        <v>1000</v>
      </c>
      <c r="J497" t="s">
        <v>1273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T497" t="s">
        <v>38</v>
      </c>
      <c r="U497">
        <v>0</v>
      </c>
      <c r="V497">
        <v>1</v>
      </c>
      <c r="W497">
        <v>0</v>
      </c>
      <c r="X497">
        <v>0</v>
      </c>
      <c r="Y497">
        <v>0</v>
      </c>
      <c r="AE497">
        <f t="shared" si="21"/>
        <v>1</v>
      </c>
      <c r="AF497">
        <f>VLOOKUP(D497,especies!$A$2:$C$9,3,FALSE)</f>
        <v>2</v>
      </c>
      <c r="AG497" t="str">
        <f t="shared" si="22"/>
        <v>2-DPC (Doméstico de pelo corto o DSH)</v>
      </c>
      <c r="AH497">
        <f>VLOOKUP('Fichas clínicas'!AG497,razas!$A$2:$D$66,3,FALSE)</f>
        <v>51</v>
      </c>
      <c r="AI497" t="str">
        <f t="shared" si="23"/>
        <v>H</v>
      </c>
    </row>
    <row r="498" spans="1:35" x14ac:dyDescent="0.2">
      <c r="A498">
        <v>499</v>
      </c>
      <c r="B498" t="s">
        <v>1274</v>
      </c>
      <c r="C498" t="s">
        <v>1275</v>
      </c>
      <c r="D498" t="s">
        <v>41</v>
      </c>
      <c r="E498" t="s">
        <v>93</v>
      </c>
      <c r="F498" t="s">
        <v>34</v>
      </c>
      <c r="G498" t="s">
        <v>1276</v>
      </c>
      <c r="J498" t="s">
        <v>915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T498" t="s">
        <v>38</v>
      </c>
      <c r="U498">
        <v>0</v>
      </c>
      <c r="V498">
        <v>1</v>
      </c>
      <c r="W498">
        <v>0</v>
      </c>
      <c r="X498">
        <v>0</v>
      </c>
      <c r="Y498">
        <v>0</v>
      </c>
      <c r="AE498">
        <f t="shared" si="21"/>
        <v>1</v>
      </c>
      <c r="AF498">
        <f>VLOOKUP(D498,especies!$A$2:$C$9,3,FALSE)</f>
        <v>2</v>
      </c>
      <c r="AG498" t="str">
        <f t="shared" si="22"/>
        <v>2-DPL (Doméstico de pelo Largo o DLH)</v>
      </c>
      <c r="AH498">
        <f>VLOOKUP('Fichas clínicas'!AG498,razas!$A$2:$D$66,3,FALSE)</f>
        <v>52</v>
      </c>
      <c r="AI498" t="str">
        <f t="shared" si="23"/>
        <v>H</v>
      </c>
    </row>
    <row r="499" spans="1:35" x14ac:dyDescent="0.2">
      <c r="A499">
        <v>500</v>
      </c>
      <c r="B499" t="s">
        <v>1277</v>
      </c>
      <c r="C499" t="s">
        <v>347</v>
      </c>
      <c r="D499" t="s">
        <v>41</v>
      </c>
      <c r="E499" t="s">
        <v>42</v>
      </c>
      <c r="F499" t="s">
        <v>34</v>
      </c>
      <c r="G499" t="s">
        <v>1278</v>
      </c>
      <c r="J499" t="s">
        <v>410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T499" t="s">
        <v>38</v>
      </c>
      <c r="U499">
        <v>0</v>
      </c>
      <c r="W499">
        <v>0</v>
      </c>
      <c r="X499">
        <v>0</v>
      </c>
      <c r="Y499">
        <v>0</v>
      </c>
      <c r="AE499">
        <f t="shared" si="21"/>
        <v>1</v>
      </c>
      <c r="AF499">
        <f>VLOOKUP(D499,especies!$A$2:$C$9,3,FALSE)</f>
        <v>2</v>
      </c>
      <c r="AG499" t="str">
        <f t="shared" si="22"/>
        <v>2-DPC (Doméstico de pelo corto o DSH)</v>
      </c>
      <c r="AH499">
        <f>VLOOKUP('Fichas clínicas'!AG499,razas!$A$2:$D$66,3,FALSE)</f>
        <v>51</v>
      </c>
      <c r="AI499" t="str">
        <f t="shared" si="23"/>
        <v>H</v>
      </c>
    </row>
    <row r="500" spans="1:35" x14ac:dyDescent="0.2">
      <c r="A500">
        <v>501</v>
      </c>
      <c r="B500" t="s">
        <v>1279</v>
      </c>
      <c r="C500" t="s">
        <v>1280</v>
      </c>
      <c r="D500" t="s">
        <v>32</v>
      </c>
      <c r="E500" t="s">
        <v>33</v>
      </c>
      <c r="F500" t="s">
        <v>47</v>
      </c>
      <c r="G500" t="s">
        <v>329</v>
      </c>
      <c r="J500" t="s">
        <v>1281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T500" t="s">
        <v>38</v>
      </c>
      <c r="U500">
        <v>0</v>
      </c>
      <c r="W500">
        <v>0</v>
      </c>
      <c r="X500">
        <v>0</v>
      </c>
      <c r="Y500">
        <v>0</v>
      </c>
      <c r="AE500">
        <f t="shared" si="21"/>
        <v>1</v>
      </c>
      <c r="AF500">
        <f>VLOOKUP(D500,especies!$A$2:$C$9,3,FALSE)</f>
        <v>1</v>
      </c>
      <c r="AG500" t="str">
        <f t="shared" si="22"/>
        <v>1-Mestizo</v>
      </c>
      <c r="AH500">
        <f>VLOOKUP('Fichas clínicas'!AG500,razas!$A$2:$D$66,3,FALSE)</f>
        <v>1</v>
      </c>
      <c r="AI500" t="str">
        <f t="shared" si="23"/>
        <v>M</v>
      </c>
    </row>
    <row r="501" spans="1:35" x14ac:dyDescent="0.2">
      <c r="A501">
        <v>502</v>
      </c>
      <c r="B501" t="s">
        <v>1282</v>
      </c>
      <c r="C501" t="s">
        <v>1283</v>
      </c>
      <c r="D501" t="s">
        <v>41</v>
      </c>
      <c r="E501" t="s">
        <v>42</v>
      </c>
      <c r="F501" t="s">
        <v>34</v>
      </c>
      <c r="G501" t="s">
        <v>1284</v>
      </c>
      <c r="J501" t="s">
        <v>1285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T501" t="s">
        <v>38</v>
      </c>
      <c r="U501">
        <v>0</v>
      </c>
      <c r="W501">
        <v>0</v>
      </c>
      <c r="X501">
        <v>0</v>
      </c>
      <c r="Y501">
        <v>0</v>
      </c>
      <c r="AE501">
        <f t="shared" si="21"/>
        <v>1</v>
      </c>
      <c r="AF501">
        <f>VLOOKUP(D501,especies!$A$2:$C$9,3,FALSE)</f>
        <v>2</v>
      </c>
      <c r="AG501" t="str">
        <f t="shared" si="22"/>
        <v>2-DPC (Doméstico de pelo corto o DSH)</v>
      </c>
      <c r="AH501">
        <f>VLOOKUP('Fichas clínicas'!AG501,razas!$A$2:$D$66,3,FALSE)</f>
        <v>51</v>
      </c>
      <c r="AI501" t="str">
        <f t="shared" si="23"/>
        <v>H</v>
      </c>
    </row>
    <row r="502" spans="1:35" x14ac:dyDescent="0.2">
      <c r="A502">
        <v>503</v>
      </c>
      <c r="B502" t="s">
        <v>1015</v>
      </c>
      <c r="C502" t="s">
        <v>1286</v>
      </c>
      <c r="D502" t="s">
        <v>32</v>
      </c>
      <c r="E502" t="s">
        <v>545</v>
      </c>
      <c r="F502" t="s">
        <v>34</v>
      </c>
      <c r="G502" t="s">
        <v>546</v>
      </c>
      <c r="J502" t="s">
        <v>61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T502" t="s">
        <v>38</v>
      </c>
      <c r="U502">
        <v>0</v>
      </c>
      <c r="V502">
        <v>1</v>
      </c>
      <c r="W502">
        <v>0</v>
      </c>
      <c r="X502">
        <v>0</v>
      </c>
      <c r="Y502">
        <v>0</v>
      </c>
      <c r="AE502">
        <f t="shared" si="21"/>
        <v>1</v>
      </c>
      <c r="AF502">
        <f>VLOOKUP(D502,especies!$A$2:$C$9,3,FALSE)</f>
        <v>1</v>
      </c>
      <c r="AG502" t="str">
        <f t="shared" si="22"/>
        <v>1-Golden Retriever</v>
      </c>
      <c r="AH502">
        <f>VLOOKUP('Fichas clínicas'!AG502,razas!$A$2:$D$66,3,FALSE)</f>
        <v>16</v>
      </c>
      <c r="AI502" t="str">
        <f t="shared" si="23"/>
        <v>H</v>
      </c>
    </row>
    <row r="503" spans="1:35" x14ac:dyDescent="0.2">
      <c r="A503">
        <v>504</v>
      </c>
      <c r="B503" t="s">
        <v>1287</v>
      </c>
      <c r="C503" t="s">
        <v>1288</v>
      </c>
      <c r="D503" t="s">
        <v>41</v>
      </c>
      <c r="E503" t="s">
        <v>93</v>
      </c>
      <c r="F503" t="s">
        <v>47</v>
      </c>
      <c r="G503" t="s">
        <v>1289</v>
      </c>
      <c r="J503" t="s">
        <v>259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T503" t="s">
        <v>38</v>
      </c>
      <c r="U503">
        <v>0</v>
      </c>
      <c r="W503">
        <v>0</v>
      </c>
      <c r="X503">
        <v>0</v>
      </c>
      <c r="Y503">
        <v>0</v>
      </c>
      <c r="AE503">
        <f t="shared" si="21"/>
        <v>1</v>
      </c>
      <c r="AF503">
        <f>VLOOKUP(D503,especies!$A$2:$C$9,3,FALSE)</f>
        <v>2</v>
      </c>
      <c r="AG503" t="str">
        <f t="shared" si="22"/>
        <v>2-DPL (Doméstico de pelo Largo o DLH)</v>
      </c>
      <c r="AH503">
        <f>VLOOKUP('Fichas clínicas'!AG503,razas!$A$2:$D$66,3,FALSE)</f>
        <v>52</v>
      </c>
      <c r="AI503" t="str">
        <f t="shared" si="23"/>
        <v>M</v>
      </c>
    </row>
    <row r="504" spans="1:35" x14ac:dyDescent="0.2">
      <c r="A504">
        <v>505</v>
      </c>
      <c r="B504" t="s">
        <v>1015</v>
      </c>
      <c r="C504" t="s">
        <v>1290</v>
      </c>
      <c r="D504" t="s">
        <v>41</v>
      </c>
      <c r="E504" t="s">
        <v>93</v>
      </c>
      <c r="F504" t="s">
        <v>47</v>
      </c>
      <c r="G504" t="s">
        <v>1291</v>
      </c>
      <c r="J504" t="s">
        <v>601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T504" t="s">
        <v>38</v>
      </c>
      <c r="U504">
        <v>0</v>
      </c>
      <c r="V504">
        <v>1</v>
      </c>
      <c r="W504">
        <v>0</v>
      </c>
      <c r="X504">
        <v>0</v>
      </c>
      <c r="Y504">
        <v>0</v>
      </c>
      <c r="AE504">
        <f t="shared" si="21"/>
        <v>1</v>
      </c>
      <c r="AF504">
        <f>VLOOKUP(D504,especies!$A$2:$C$9,3,FALSE)</f>
        <v>2</v>
      </c>
      <c r="AG504" t="str">
        <f t="shared" si="22"/>
        <v>2-DPL (Doméstico de pelo Largo o DLH)</v>
      </c>
      <c r="AH504">
        <f>VLOOKUP('Fichas clínicas'!AG504,razas!$A$2:$D$66,3,FALSE)</f>
        <v>52</v>
      </c>
      <c r="AI504" t="str">
        <f t="shared" si="23"/>
        <v>M</v>
      </c>
    </row>
    <row r="505" spans="1:35" x14ac:dyDescent="0.2">
      <c r="A505">
        <v>506</v>
      </c>
      <c r="B505" t="s">
        <v>1292</v>
      </c>
      <c r="C505" t="s">
        <v>537</v>
      </c>
      <c r="D505" t="s">
        <v>41</v>
      </c>
      <c r="E505" t="s">
        <v>42</v>
      </c>
      <c r="F505" t="s">
        <v>34</v>
      </c>
      <c r="G505" t="s">
        <v>237</v>
      </c>
      <c r="J505" t="s">
        <v>1293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T505" t="s">
        <v>38</v>
      </c>
      <c r="U505">
        <v>0</v>
      </c>
      <c r="V505">
        <v>1</v>
      </c>
      <c r="W505">
        <v>0</v>
      </c>
      <c r="X505">
        <v>0</v>
      </c>
      <c r="Y505">
        <v>0</v>
      </c>
      <c r="AE505">
        <f t="shared" si="21"/>
        <v>1</v>
      </c>
      <c r="AF505">
        <f>VLOOKUP(D505,especies!$A$2:$C$9,3,FALSE)</f>
        <v>2</v>
      </c>
      <c r="AG505" t="str">
        <f t="shared" si="22"/>
        <v>2-DPC (Doméstico de pelo corto o DSH)</v>
      </c>
      <c r="AH505">
        <f>VLOOKUP('Fichas clínicas'!AG505,razas!$A$2:$D$66,3,FALSE)</f>
        <v>51</v>
      </c>
      <c r="AI505" t="str">
        <f t="shared" si="23"/>
        <v>H</v>
      </c>
    </row>
    <row r="506" spans="1:35" x14ac:dyDescent="0.2">
      <c r="A506">
        <v>507</v>
      </c>
      <c r="B506" t="s">
        <v>1294</v>
      </c>
      <c r="C506" t="s">
        <v>406</v>
      </c>
      <c r="D506" t="s">
        <v>41</v>
      </c>
      <c r="E506" t="s">
        <v>42</v>
      </c>
      <c r="F506" t="s">
        <v>34</v>
      </c>
      <c r="G506" t="s">
        <v>1295</v>
      </c>
      <c r="J506" t="s">
        <v>130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T506" t="s">
        <v>38</v>
      </c>
      <c r="U506">
        <v>0</v>
      </c>
      <c r="W506">
        <v>0</v>
      </c>
      <c r="X506">
        <v>0</v>
      </c>
      <c r="Y506">
        <v>0</v>
      </c>
      <c r="AE506">
        <f t="shared" si="21"/>
        <v>1</v>
      </c>
      <c r="AF506">
        <f>VLOOKUP(D506,especies!$A$2:$C$9,3,FALSE)</f>
        <v>2</v>
      </c>
      <c r="AG506" t="str">
        <f t="shared" si="22"/>
        <v>2-DPC (Doméstico de pelo corto o DSH)</v>
      </c>
      <c r="AH506">
        <f>VLOOKUP('Fichas clínicas'!AG506,razas!$A$2:$D$66,3,FALSE)</f>
        <v>51</v>
      </c>
      <c r="AI506" t="str">
        <f t="shared" si="23"/>
        <v>H</v>
      </c>
    </row>
    <row r="507" spans="1:35" x14ac:dyDescent="0.2">
      <c r="A507">
        <v>508</v>
      </c>
      <c r="B507" t="s">
        <v>1264</v>
      </c>
      <c r="C507" t="s">
        <v>388</v>
      </c>
      <c r="D507" t="s">
        <v>32</v>
      </c>
      <c r="E507" t="s">
        <v>1296</v>
      </c>
      <c r="F507" t="s">
        <v>34</v>
      </c>
      <c r="G507" t="s">
        <v>351</v>
      </c>
      <c r="J507" t="s">
        <v>989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T507" t="s">
        <v>38</v>
      </c>
      <c r="U507">
        <v>0</v>
      </c>
      <c r="V507">
        <v>1</v>
      </c>
      <c r="W507">
        <v>0</v>
      </c>
      <c r="X507">
        <v>0</v>
      </c>
      <c r="Y507">
        <v>0</v>
      </c>
      <c r="AE507">
        <f t="shared" si="21"/>
        <v>1</v>
      </c>
      <c r="AF507">
        <f>VLOOKUP(D507,especies!$A$2:$C$9,3,FALSE)</f>
        <v>1</v>
      </c>
      <c r="AG507" t="str">
        <f t="shared" si="22"/>
        <v>1-Labrador Retriever</v>
      </c>
      <c r="AH507">
        <f>VLOOKUP('Fichas clínicas'!AG507,razas!$A$2:$D$66,3,FALSE)</f>
        <v>28</v>
      </c>
      <c r="AI507" t="str">
        <f t="shared" si="23"/>
        <v>H</v>
      </c>
    </row>
    <row r="508" spans="1:35" x14ac:dyDescent="0.2">
      <c r="A508">
        <v>509</v>
      </c>
      <c r="B508" t="s">
        <v>1297</v>
      </c>
      <c r="C508" t="s">
        <v>623</v>
      </c>
      <c r="D508" t="s">
        <v>32</v>
      </c>
      <c r="E508" t="s">
        <v>33</v>
      </c>
      <c r="F508" t="s">
        <v>47</v>
      </c>
      <c r="G508" t="s">
        <v>43</v>
      </c>
      <c r="J508" t="s">
        <v>1298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T508" t="s">
        <v>38</v>
      </c>
      <c r="U508">
        <v>0</v>
      </c>
      <c r="W508">
        <v>0</v>
      </c>
      <c r="X508">
        <v>0</v>
      </c>
      <c r="Y508">
        <v>0</v>
      </c>
      <c r="AE508">
        <f t="shared" si="21"/>
        <v>1</v>
      </c>
      <c r="AF508">
        <f>VLOOKUP(D508,especies!$A$2:$C$9,3,FALSE)</f>
        <v>1</v>
      </c>
      <c r="AG508" t="str">
        <f t="shared" si="22"/>
        <v>1-Mestizo</v>
      </c>
      <c r="AH508">
        <f>VLOOKUP('Fichas clínicas'!AG508,razas!$A$2:$D$66,3,FALSE)</f>
        <v>1</v>
      </c>
      <c r="AI508" t="str">
        <f t="shared" si="23"/>
        <v>M</v>
      </c>
    </row>
    <row r="509" spans="1:35" x14ac:dyDescent="0.2">
      <c r="A509">
        <v>510</v>
      </c>
      <c r="B509" t="s">
        <v>1299</v>
      </c>
      <c r="C509" t="s">
        <v>1300</v>
      </c>
      <c r="D509" t="s">
        <v>41</v>
      </c>
      <c r="E509" t="s">
        <v>42</v>
      </c>
      <c r="F509" t="s">
        <v>34</v>
      </c>
      <c r="G509" t="s">
        <v>116</v>
      </c>
      <c r="J509" t="s">
        <v>1301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T509" t="s">
        <v>38</v>
      </c>
      <c r="U509">
        <v>0</v>
      </c>
      <c r="V509">
        <v>1</v>
      </c>
      <c r="W509">
        <v>0</v>
      </c>
      <c r="X509">
        <v>0</v>
      </c>
      <c r="Y509">
        <v>0</v>
      </c>
      <c r="AE509">
        <f t="shared" si="21"/>
        <v>1</v>
      </c>
      <c r="AF509">
        <f>VLOOKUP(D509,especies!$A$2:$C$9,3,FALSE)</f>
        <v>2</v>
      </c>
      <c r="AG509" t="str">
        <f t="shared" si="22"/>
        <v>2-DPC (Doméstico de pelo corto o DSH)</v>
      </c>
      <c r="AH509">
        <f>VLOOKUP('Fichas clínicas'!AG509,razas!$A$2:$D$66,3,FALSE)</f>
        <v>51</v>
      </c>
      <c r="AI509" t="str">
        <f t="shared" si="23"/>
        <v>H</v>
      </c>
    </row>
    <row r="510" spans="1:35" x14ac:dyDescent="0.2">
      <c r="A510">
        <v>511</v>
      </c>
      <c r="B510" t="s">
        <v>1302</v>
      </c>
      <c r="C510" t="s">
        <v>60</v>
      </c>
      <c r="D510" t="s">
        <v>32</v>
      </c>
      <c r="E510" t="s">
        <v>150</v>
      </c>
      <c r="F510" t="s">
        <v>47</v>
      </c>
      <c r="G510" t="s">
        <v>1303</v>
      </c>
      <c r="J510" t="s">
        <v>1304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Q510">
        <v>0</v>
      </c>
      <c r="T510" t="s">
        <v>38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f t="shared" si="21"/>
        <v>1</v>
      </c>
      <c r="AF510">
        <f>VLOOKUP(D510,especies!$A$2:$C$9,3,FALSE)</f>
        <v>1</v>
      </c>
      <c r="AG510" t="str">
        <f t="shared" si="22"/>
        <v>1-Poodle</v>
      </c>
      <c r="AH510">
        <f>VLOOKUP('Fichas clínicas'!AG510,razas!$A$2:$D$66,3,FALSE)</f>
        <v>6</v>
      </c>
      <c r="AI510" t="str">
        <f t="shared" si="23"/>
        <v>M</v>
      </c>
    </row>
    <row r="511" spans="1:35" x14ac:dyDescent="0.2">
      <c r="A511">
        <v>512</v>
      </c>
      <c r="B511" t="s">
        <v>1305</v>
      </c>
      <c r="C511" t="s">
        <v>1306</v>
      </c>
      <c r="D511" t="s">
        <v>32</v>
      </c>
      <c r="E511" t="s">
        <v>72</v>
      </c>
      <c r="F511" t="s">
        <v>34</v>
      </c>
      <c r="G511" t="s">
        <v>656</v>
      </c>
      <c r="J511" t="s">
        <v>1177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T511" t="s">
        <v>38</v>
      </c>
      <c r="U511">
        <v>0</v>
      </c>
      <c r="W511">
        <v>0</v>
      </c>
      <c r="X511">
        <v>0</v>
      </c>
      <c r="Y511">
        <v>0</v>
      </c>
      <c r="AE511">
        <f t="shared" si="21"/>
        <v>1</v>
      </c>
      <c r="AF511">
        <f>VLOOKUP(D511,especies!$A$2:$C$9,3,FALSE)</f>
        <v>1</v>
      </c>
      <c r="AG511" t="str">
        <f t="shared" si="22"/>
        <v>1-Shar-Pei</v>
      </c>
      <c r="AH511">
        <f>VLOOKUP('Fichas clínicas'!AG511,razas!$A$2:$D$66,3,FALSE)</f>
        <v>3</v>
      </c>
      <c r="AI511" t="str">
        <f t="shared" si="23"/>
        <v>H</v>
      </c>
    </row>
    <row r="512" spans="1:35" x14ac:dyDescent="0.2">
      <c r="A512">
        <v>513</v>
      </c>
      <c r="B512" t="s">
        <v>1175</v>
      </c>
      <c r="C512" t="s">
        <v>1307</v>
      </c>
      <c r="D512" t="s">
        <v>32</v>
      </c>
      <c r="E512" t="s">
        <v>33</v>
      </c>
      <c r="F512" t="s">
        <v>34</v>
      </c>
      <c r="G512" t="s">
        <v>134</v>
      </c>
      <c r="J512" t="s">
        <v>1308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T512" t="s">
        <v>38</v>
      </c>
      <c r="U512">
        <v>0</v>
      </c>
      <c r="W512">
        <v>0</v>
      </c>
      <c r="X512">
        <v>0</v>
      </c>
      <c r="Y512">
        <v>0</v>
      </c>
      <c r="AE512">
        <f t="shared" si="21"/>
        <v>1</v>
      </c>
      <c r="AF512">
        <f>VLOOKUP(D512,especies!$A$2:$C$9,3,FALSE)</f>
        <v>1</v>
      </c>
      <c r="AG512" t="str">
        <f t="shared" si="22"/>
        <v>1-Mestizo</v>
      </c>
      <c r="AH512">
        <f>VLOOKUP('Fichas clínicas'!AG512,razas!$A$2:$D$66,3,FALSE)</f>
        <v>1</v>
      </c>
      <c r="AI512" t="str">
        <f t="shared" si="23"/>
        <v>H</v>
      </c>
    </row>
    <row r="513" spans="1:35" x14ac:dyDescent="0.2">
      <c r="A513">
        <v>514</v>
      </c>
      <c r="B513" t="s">
        <v>472</v>
      </c>
      <c r="C513" t="s">
        <v>1309</v>
      </c>
      <c r="D513" t="s">
        <v>41</v>
      </c>
      <c r="E513" t="s">
        <v>42</v>
      </c>
      <c r="F513" t="s">
        <v>34</v>
      </c>
      <c r="G513" t="s">
        <v>587</v>
      </c>
      <c r="J513" t="s">
        <v>1310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Q513">
        <v>0</v>
      </c>
      <c r="T513" t="s">
        <v>38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f t="shared" si="21"/>
        <v>1</v>
      </c>
      <c r="AF513">
        <f>VLOOKUP(D513,especies!$A$2:$C$9,3,FALSE)</f>
        <v>2</v>
      </c>
      <c r="AG513" t="str">
        <f t="shared" si="22"/>
        <v>2-DPC (Doméstico de pelo corto o DSH)</v>
      </c>
      <c r="AH513">
        <f>VLOOKUP('Fichas clínicas'!AG513,razas!$A$2:$D$66,3,FALSE)</f>
        <v>51</v>
      </c>
      <c r="AI513" t="str">
        <f t="shared" si="23"/>
        <v>H</v>
      </c>
    </row>
    <row r="514" spans="1:35" x14ac:dyDescent="0.2">
      <c r="A514">
        <v>515</v>
      </c>
      <c r="B514" t="s">
        <v>1311</v>
      </c>
      <c r="C514" t="s">
        <v>1312</v>
      </c>
      <c r="D514" t="s">
        <v>32</v>
      </c>
      <c r="E514" t="s">
        <v>33</v>
      </c>
      <c r="F514" t="s">
        <v>34</v>
      </c>
      <c r="G514" t="s">
        <v>587</v>
      </c>
      <c r="J514" t="s">
        <v>1313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T514" t="s">
        <v>38</v>
      </c>
      <c r="U514">
        <v>0</v>
      </c>
      <c r="V514">
        <v>1</v>
      </c>
      <c r="W514">
        <v>0</v>
      </c>
      <c r="X514">
        <v>0</v>
      </c>
      <c r="Y514">
        <v>0</v>
      </c>
      <c r="AE514">
        <f t="shared" si="21"/>
        <v>1</v>
      </c>
      <c r="AF514">
        <f>VLOOKUP(D514,especies!$A$2:$C$9,3,FALSE)</f>
        <v>1</v>
      </c>
      <c r="AG514" t="str">
        <f t="shared" si="22"/>
        <v>1-Mestizo</v>
      </c>
      <c r="AH514">
        <f>VLOOKUP('Fichas clínicas'!AG514,razas!$A$2:$D$66,3,FALSE)</f>
        <v>1</v>
      </c>
      <c r="AI514" t="str">
        <f t="shared" si="23"/>
        <v>H</v>
      </c>
    </row>
    <row r="515" spans="1:35" x14ac:dyDescent="0.2">
      <c r="A515">
        <v>516</v>
      </c>
      <c r="B515" t="s">
        <v>791</v>
      </c>
      <c r="C515" t="s">
        <v>1314</v>
      </c>
      <c r="D515" t="s">
        <v>41</v>
      </c>
      <c r="E515" t="s">
        <v>42</v>
      </c>
      <c r="F515" t="s">
        <v>47</v>
      </c>
      <c r="G515" t="s">
        <v>199</v>
      </c>
      <c r="J515" t="s">
        <v>1315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T515" t="s">
        <v>38</v>
      </c>
      <c r="U515">
        <v>0</v>
      </c>
      <c r="V515">
        <v>1</v>
      </c>
      <c r="W515">
        <v>0</v>
      </c>
      <c r="X515">
        <v>0</v>
      </c>
      <c r="Y515">
        <v>0</v>
      </c>
      <c r="AE515">
        <f t="shared" ref="AE515:AE578" si="24">SUBTOTAL(103,E515)</f>
        <v>1</v>
      </c>
      <c r="AF515">
        <f>VLOOKUP(D515,especies!$A$2:$C$9,3,FALSE)</f>
        <v>2</v>
      </c>
      <c r="AG515" t="str">
        <f t="shared" ref="AG515:AG578" si="25">AF515&amp;"-"&amp;E515</f>
        <v>2-DPC (Doméstico de pelo corto o DSH)</v>
      </c>
      <c r="AH515">
        <f>VLOOKUP('Fichas clínicas'!AG515,razas!$A$2:$D$66,3,FALSE)</f>
        <v>51</v>
      </c>
      <c r="AI515" t="str">
        <f t="shared" ref="AI515:AI578" si="26">IF(F515="Hembra","H","M")</f>
        <v>M</v>
      </c>
    </row>
    <row r="516" spans="1:35" x14ac:dyDescent="0.2">
      <c r="A516">
        <v>517</v>
      </c>
      <c r="B516" t="s">
        <v>475</v>
      </c>
      <c r="C516" t="s">
        <v>1316</v>
      </c>
      <c r="D516" t="s">
        <v>32</v>
      </c>
      <c r="E516" t="s">
        <v>33</v>
      </c>
      <c r="F516" t="s">
        <v>34</v>
      </c>
      <c r="G516" t="s">
        <v>116</v>
      </c>
      <c r="J516" t="s">
        <v>679</v>
      </c>
      <c r="K516" t="s">
        <v>38</v>
      </c>
      <c r="L516" t="s">
        <v>38</v>
      </c>
      <c r="M516" t="s">
        <v>38</v>
      </c>
      <c r="N516" t="s">
        <v>38</v>
      </c>
      <c r="O516" t="s">
        <v>38</v>
      </c>
      <c r="T516" t="s">
        <v>38</v>
      </c>
      <c r="U516">
        <v>0</v>
      </c>
      <c r="V516">
        <v>1</v>
      </c>
      <c r="W516">
        <v>0</v>
      </c>
      <c r="X516">
        <v>0</v>
      </c>
      <c r="Y516">
        <v>0</v>
      </c>
      <c r="AE516">
        <f t="shared" si="24"/>
        <v>1</v>
      </c>
      <c r="AF516">
        <f>VLOOKUP(D516,especies!$A$2:$C$9,3,FALSE)</f>
        <v>1</v>
      </c>
      <c r="AG516" t="str">
        <f t="shared" si="25"/>
        <v>1-Mestizo</v>
      </c>
      <c r="AH516">
        <f>VLOOKUP('Fichas clínicas'!AG516,razas!$A$2:$D$66,3,FALSE)</f>
        <v>1</v>
      </c>
      <c r="AI516" t="str">
        <f t="shared" si="26"/>
        <v>H</v>
      </c>
    </row>
    <row r="517" spans="1:35" x14ac:dyDescent="0.2">
      <c r="A517">
        <v>518</v>
      </c>
      <c r="B517" t="s">
        <v>1317</v>
      </c>
      <c r="C517" t="s">
        <v>1318</v>
      </c>
      <c r="D517" t="s">
        <v>41</v>
      </c>
      <c r="E517" t="s">
        <v>93</v>
      </c>
      <c r="F517" t="s">
        <v>47</v>
      </c>
      <c r="G517" t="s">
        <v>109</v>
      </c>
      <c r="J517" t="s">
        <v>535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T517" t="s">
        <v>38</v>
      </c>
      <c r="U517">
        <v>0</v>
      </c>
      <c r="W517">
        <v>0</v>
      </c>
      <c r="X517">
        <v>0</v>
      </c>
      <c r="Y517">
        <v>0</v>
      </c>
      <c r="AE517">
        <f t="shared" si="24"/>
        <v>1</v>
      </c>
      <c r="AF517">
        <f>VLOOKUP(D517,especies!$A$2:$C$9,3,FALSE)</f>
        <v>2</v>
      </c>
      <c r="AG517" t="str">
        <f t="shared" si="25"/>
        <v>2-DPL (Doméstico de pelo Largo o DLH)</v>
      </c>
      <c r="AH517">
        <f>VLOOKUP('Fichas clínicas'!AG517,razas!$A$2:$D$66,3,FALSE)</f>
        <v>52</v>
      </c>
      <c r="AI517" t="str">
        <f t="shared" si="26"/>
        <v>M</v>
      </c>
    </row>
    <row r="518" spans="1:35" x14ac:dyDescent="0.2">
      <c r="A518">
        <v>519</v>
      </c>
      <c r="B518" t="s">
        <v>1317</v>
      </c>
      <c r="C518" t="s">
        <v>1319</v>
      </c>
      <c r="D518" t="s">
        <v>41</v>
      </c>
      <c r="E518" t="s">
        <v>42</v>
      </c>
      <c r="F518" t="s">
        <v>34</v>
      </c>
      <c r="G518" t="s">
        <v>1320</v>
      </c>
      <c r="J518" t="s">
        <v>1321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Q518">
        <v>0</v>
      </c>
      <c r="T518" t="s">
        <v>38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f t="shared" si="24"/>
        <v>1</v>
      </c>
      <c r="AF518">
        <f>VLOOKUP(D518,especies!$A$2:$C$9,3,FALSE)</f>
        <v>2</v>
      </c>
      <c r="AG518" t="str">
        <f t="shared" si="25"/>
        <v>2-DPC (Doméstico de pelo corto o DSH)</v>
      </c>
      <c r="AH518">
        <f>VLOOKUP('Fichas clínicas'!AG518,razas!$A$2:$D$66,3,FALSE)</f>
        <v>51</v>
      </c>
      <c r="AI518" t="str">
        <f t="shared" si="26"/>
        <v>H</v>
      </c>
    </row>
    <row r="519" spans="1:35" x14ac:dyDescent="0.2">
      <c r="A519">
        <v>520</v>
      </c>
      <c r="B519" t="s">
        <v>1322</v>
      </c>
      <c r="C519" t="s">
        <v>1323</v>
      </c>
      <c r="D519" t="s">
        <v>41</v>
      </c>
      <c r="E519" t="s">
        <v>42</v>
      </c>
      <c r="F519" t="s">
        <v>47</v>
      </c>
      <c r="G519" t="s">
        <v>1007</v>
      </c>
      <c r="J519" t="s">
        <v>1324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T519" t="s">
        <v>38</v>
      </c>
      <c r="U519">
        <v>0</v>
      </c>
      <c r="W519">
        <v>0</v>
      </c>
      <c r="X519">
        <v>0</v>
      </c>
      <c r="Y519">
        <v>0</v>
      </c>
      <c r="AE519">
        <f t="shared" si="24"/>
        <v>1</v>
      </c>
      <c r="AF519">
        <f>VLOOKUP(D519,especies!$A$2:$C$9,3,FALSE)</f>
        <v>2</v>
      </c>
      <c r="AG519" t="str">
        <f t="shared" si="25"/>
        <v>2-DPC (Doméstico de pelo corto o DSH)</v>
      </c>
      <c r="AH519">
        <f>VLOOKUP('Fichas clínicas'!AG519,razas!$A$2:$D$66,3,FALSE)</f>
        <v>51</v>
      </c>
      <c r="AI519" t="str">
        <f t="shared" si="26"/>
        <v>M</v>
      </c>
    </row>
    <row r="520" spans="1:35" x14ac:dyDescent="0.2">
      <c r="A520">
        <v>521</v>
      </c>
      <c r="B520" t="s">
        <v>1325</v>
      </c>
      <c r="C520" t="s">
        <v>1326</v>
      </c>
      <c r="D520" t="s">
        <v>41</v>
      </c>
      <c r="E520" t="s">
        <v>42</v>
      </c>
      <c r="F520" t="s">
        <v>47</v>
      </c>
      <c r="G520" t="s">
        <v>1327</v>
      </c>
      <c r="J520" t="s">
        <v>1328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T520" t="s">
        <v>38</v>
      </c>
      <c r="U520">
        <v>0</v>
      </c>
      <c r="W520">
        <v>0</v>
      </c>
      <c r="X520">
        <v>0</v>
      </c>
      <c r="Y520">
        <v>0</v>
      </c>
      <c r="AE520">
        <f t="shared" si="24"/>
        <v>1</v>
      </c>
      <c r="AF520">
        <f>VLOOKUP(D520,especies!$A$2:$C$9,3,FALSE)</f>
        <v>2</v>
      </c>
      <c r="AG520" t="str">
        <f t="shared" si="25"/>
        <v>2-DPC (Doméstico de pelo corto o DSH)</v>
      </c>
      <c r="AH520">
        <f>VLOOKUP('Fichas clínicas'!AG520,razas!$A$2:$D$66,3,FALSE)</f>
        <v>51</v>
      </c>
      <c r="AI520" t="str">
        <f t="shared" si="26"/>
        <v>M</v>
      </c>
    </row>
    <row r="521" spans="1:35" x14ac:dyDescent="0.2">
      <c r="A521">
        <v>522</v>
      </c>
      <c r="B521" t="s">
        <v>1329</v>
      </c>
      <c r="C521" t="s">
        <v>308</v>
      </c>
      <c r="D521" t="s">
        <v>41</v>
      </c>
      <c r="E521" t="s">
        <v>42</v>
      </c>
      <c r="F521" t="s">
        <v>34</v>
      </c>
      <c r="G521" t="s">
        <v>1330</v>
      </c>
      <c r="J521" t="s">
        <v>748</v>
      </c>
      <c r="K521" t="s">
        <v>38</v>
      </c>
      <c r="L521" t="s">
        <v>38</v>
      </c>
      <c r="M521" t="s">
        <v>38</v>
      </c>
      <c r="N521" t="s">
        <v>38</v>
      </c>
      <c r="O521" t="s">
        <v>38</v>
      </c>
      <c r="T521" t="s">
        <v>38</v>
      </c>
      <c r="U521">
        <v>0</v>
      </c>
      <c r="W521">
        <v>0</v>
      </c>
      <c r="X521">
        <v>0</v>
      </c>
      <c r="Y521">
        <v>0</v>
      </c>
      <c r="AE521">
        <f t="shared" si="24"/>
        <v>1</v>
      </c>
      <c r="AF521">
        <f>VLOOKUP(D521,especies!$A$2:$C$9,3,FALSE)</f>
        <v>2</v>
      </c>
      <c r="AG521" t="str">
        <f t="shared" si="25"/>
        <v>2-DPC (Doméstico de pelo corto o DSH)</v>
      </c>
      <c r="AH521">
        <f>VLOOKUP('Fichas clínicas'!AG521,razas!$A$2:$D$66,3,FALSE)</f>
        <v>51</v>
      </c>
      <c r="AI521" t="str">
        <f t="shared" si="26"/>
        <v>H</v>
      </c>
    </row>
    <row r="522" spans="1:35" x14ac:dyDescent="0.2">
      <c r="A522">
        <v>523</v>
      </c>
      <c r="B522" t="s">
        <v>1331</v>
      </c>
      <c r="C522" t="s">
        <v>1332</v>
      </c>
      <c r="D522" t="s">
        <v>41</v>
      </c>
      <c r="E522" t="s">
        <v>42</v>
      </c>
      <c r="F522" t="s">
        <v>47</v>
      </c>
      <c r="G522" t="s">
        <v>277</v>
      </c>
      <c r="J522" t="s">
        <v>1333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Q522">
        <v>0</v>
      </c>
      <c r="T522" t="s">
        <v>38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f t="shared" si="24"/>
        <v>1</v>
      </c>
      <c r="AF522">
        <f>VLOOKUP(D522,especies!$A$2:$C$9,3,FALSE)</f>
        <v>2</v>
      </c>
      <c r="AG522" t="str">
        <f t="shared" si="25"/>
        <v>2-DPC (Doméstico de pelo corto o DSH)</v>
      </c>
      <c r="AH522">
        <f>VLOOKUP('Fichas clínicas'!AG522,razas!$A$2:$D$66,3,FALSE)</f>
        <v>51</v>
      </c>
      <c r="AI522" t="str">
        <f t="shared" si="26"/>
        <v>M</v>
      </c>
    </row>
    <row r="523" spans="1:35" x14ac:dyDescent="0.2">
      <c r="A523">
        <v>524</v>
      </c>
      <c r="B523" t="s">
        <v>341</v>
      </c>
      <c r="C523" t="s">
        <v>1334</v>
      </c>
      <c r="D523" t="s">
        <v>32</v>
      </c>
      <c r="E523" t="s">
        <v>33</v>
      </c>
      <c r="F523" t="s">
        <v>47</v>
      </c>
      <c r="G523" t="s">
        <v>220</v>
      </c>
      <c r="J523" t="s">
        <v>1335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T523" t="s">
        <v>38</v>
      </c>
      <c r="U523">
        <v>0</v>
      </c>
      <c r="W523">
        <v>0</v>
      </c>
      <c r="X523">
        <v>0</v>
      </c>
      <c r="Y523">
        <v>0</v>
      </c>
      <c r="AE523">
        <f t="shared" si="24"/>
        <v>1</v>
      </c>
      <c r="AF523">
        <f>VLOOKUP(D523,especies!$A$2:$C$9,3,FALSE)</f>
        <v>1</v>
      </c>
      <c r="AG523" t="str">
        <f t="shared" si="25"/>
        <v>1-Mestizo</v>
      </c>
      <c r="AH523">
        <f>VLOOKUP('Fichas clínicas'!AG523,razas!$A$2:$D$66,3,FALSE)</f>
        <v>1</v>
      </c>
      <c r="AI523" t="str">
        <f t="shared" si="26"/>
        <v>M</v>
      </c>
    </row>
    <row r="524" spans="1:35" x14ac:dyDescent="0.2">
      <c r="A524">
        <v>525</v>
      </c>
      <c r="B524" t="s">
        <v>1336</v>
      </c>
      <c r="C524" t="s">
        <v>962</v>
      </c>
      <c r="D524" t="s">
        <v>41</v>
      </c>
      <c r="E524" t="s">
        <v>42</v>
      </c>
      <c r="F524" t="s">
        <v>34</v>
      </c>
      <c r="G524" t="s">
        <v>43</v>
      </c>
      <c r="J524" t="s">
        <v>841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T524" t="s">
        <v>38</v>
      </c>
      <c r="U524">
        <v>0</v>
      </c>
      <c r="V524">
        <v>1</v>
      </c>
      <c r="W524">
        <v>0</v>
      </c>
      <c r="X524">
        <v>0</v>
      </c>
      <c r="Y524">
        <v>0</v>
      </c>
      <c r="AE524">
        <f t="shared" si="24"/>
        <v>1</v>
      </c>
      <c r="AF524">
        <f>VLOOKUP(D524,especies!$A$2:$C$9,3,FALSE)</f>
        <v>2</v>
      </c>
      <c r="AG524" t="str">
        <f t="shared" si="25"/>
        <v>2-DPC (Doméstico de pelo corto o DSH)</v>
      </c>
      <c r="AH524">
        <f>VLOOKUP('Fichas clínicas'!AG524,razas!$A$2:$D$66,3,FALSE)</f>
        <v>51</v>
      </c>
      <c r="AI524" t="str">
        <f t="shared" si="26"/>
        <v>H</v>
      </c>
    </row>
    <row r="525" spans="1:35" x14ac:dyDescent="0.2">
      <c r="A525">
        <v>526</v>
      </c>
      <c r="B525" t="s">
        <v>1337</v>
      </c>
      <c r="C525" t="s">
        <v>1338</v>
      </c>
      <c r="D525" t="s">
        <v>32</v>
      </c>
      <c r="E525" t="s">
        <v>508</v>
      </c>
      <c r="F525" t="s">
        <v>47</v>
      </c>
      <c r="G525" t="s">
        <v>1339</v>
      </c>
      <c r="J525" t="s">
        <v>1340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T525" t="s">
        <v>38</v>
      </c>
      <c r="U525">
        <v>0</v>
      </c>
      <c r="W525">
        <v>0</v>
      </c>
      <c r="X525">
        <v>0</v>
      </c>
      <c r="Y525">
        <v>0</v>
      </c>
      <c r="AE525">
        <f t="shared" si="24"/>
        <v>1</v>
      </c>
      <c r="AF525">
        <f>VLOOKUP(D525,especies!$A$2:$C$9,3,FALSE)</f>
        <v>1</v>
      </c>
      <c r="AG525" t="str">
        <f t="shared" si="25"/>
        <v>1-Akita Americano</v>
      </c>
      <c r="AH525">
        <f>VLOOKUP('Fichas clínicas'!AG525,razas!$A$2:$D$66,3,FALSE)</f>
        <v>15</v>
      </c>
      <c r="AI525" t="str">
        <f t="shared" si="26"/>
        <v>M</v>
      </c>
    </row>
    <row r="526" spans="1:35" x14ac:dyDescent="0.2">
      <c r="A526">
        <v>527</v>
      </c>
      <c r="B526" t="s">
        <v>1341</v>
      </c>
      <c r="C526" t="s">
        <v>1342</v>
      </c>
      <c r="D526" t="s">
        <v>41</v>
      </c>
      <c r="E526" t="s">
        <v>42</v>
      </c>
      <c r="F526" t="s">
        <v>34</v>
      </c>
      <c r="G526" t="s">
        <v>1343</v>
      </c>
      <c r="J526" t="s">
        <v>530</v>
      </c>
      <c r="K526" t="s">
        <v>38</v>
      </c>
      <c r="L526" t="s">
        <v>38</v>
      </c>
      <c r="M526" t="s">
        <v>38</v>
      </c>
      <c r="N526" t="s">
        <v>38</v>
      </c>
      <c r="O526" t="s">
        <v>38</v>
      </c>
      <c r="T526" t="s">
        <v>38</v>
      </c>
      <c r="U526">
        <v>0</v>
      </c>
      <c r="V526">
        <v>1</v>
      </c>
      <c r="W526">
        <v>0</v>
      </c>
      <c r="X526">
        <v>0</v>
      </c>
      <c r="Y526">
        <v>0</v>
      </c>
      <c r="AE526">
        <f t="shared" si="24"/>
        <v>1</v>
      </c>
      <c r="AF526">
        <f>VLOOKUP(D526,especies!$A$2:$C$9,3,FALSE)</f>
        <v>2</v>
      </c>
      <c r="AG526" t="str">
        <f t="shared" si="25"/>
        <v>2-DPC (Doméstico de pelo corto o DSH)</v>
      </c>
      <c r="AH526">
        <f>VLOOKUP('Fichas clínicas'!AG526,razas!$A$2:$D$66,3,FALSE)</f>
        <v>51</v>
      </c>
      <c r="AI526" t="str">
        <f t="shared" si="26"/>
        <v>H</v>
      </c>
    </row>
    <row r="527" spans="1:35" x14ac:dyDescent="0.2">
      <c r="A527">
        <v>528</v>
      </c>
      <c r="B527" t="s">
        <v>1344</v>
      </c>
      <c r="C527" t="s">
        <v>1345</v>
      </c>
      <c r="D527" t="s">
        <v>32</v>
      </c>
      <c r="E527" t="s">
        <v>33</v>
      </c>
      <c r="F527" t="s">
        <v>47</v>
      </c>
      <c r="G527" t="s">
        <v>306</v>
      </c>
      <c r="J527" t="s">
        <v>1346</v>
      </c>
      <c r="K527" t="s">
        <v>38</v>
      </c>
      <c r="L527" t="s">
        <v>38</v>
      </c>
      <c r="M527" t="s">
        <v>38</v>
      </c>
      <c r="N527" t="s">
        <v>38</v>
      </c>
      <c r="O527" t="s">
        <v>38</v>
      </c>
      <c r="Q527">
        <v>0</v>
      </c>
      <c r="T527" t="s">
        <v>38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f t="shared" si="24"/>
        <v>1</v>
      </c>
      <c r="AF527">
        <f>VLOOKUP(D527,especies!$A$2:$C$9,3,FALSE)</f>
        <v>1</v>
      </c>
      <c r="AG527" t="str">
        <f t="shared" si="25"/>
        <v>1-Mestizo</v>
      </c>
      <c r="AH527">
        <f>VLOOKUP('Fichas clínicas'!AG527,razas!$A$2:$D$66,3,FALSE)</f>
        <v>1</v>
      </c>
      <c r="AI527" t="str">
        <f t="shared" si="26"/>
        <v>M</v>
      </c>
    </row>
    <row r="528" spans="1:35" x14ac:dyDescent="0.2">
      <c r="A528">
        <v>529</v>
      </c>
      <c r="B528" t="s">
        <v>1347</v>
      </c>
      <c r="C528" t="s">
        <v>1348</v>
      </c>
      <c r="D528" t="s">
        <v>32</v>
      </c>
      <c r="E528" t="s">
        <v>1349</v>
      </c>
      <c r="F528" t="s">
        <v>47</v>
      </c>
      <c r="G528" t="s">
        <v>740</v>
      </c>
      <c r="J528" t="s">
        <v>1350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T528" t="s">
        <v>38</v>
      </c>
      <c r="U528">
        <v>0</v>
      </c>
      <c r="W528">
        <v>0</v>
      </c>
      <c r="X528">
        <v>0</v>
      </c>
      <c r="Y528">
        <v>0</v>
      </c>
      <c r="AE528">
        <f t="shared" si="24"/>
        <v>1</v>
      </c>
      <c r="AF528">
        <f>VLOOKUP(D528,especies!$A$2:$C$9,3,FALSE)</f>
        <v>1</v>
      </c>
      <c r="AG528" t="str">
        <f t="shared" si="25"/>
        <v>1-Braco de Weimar</v>
      </c>
      <c r="AH528">
        <f>VLOOKUP('Fichas clínicas'!AG528,razas!$A$2:$D$66,3,FALSE)</f>
        <v>29</v>
      </c>
      <c r="AI528" t="str">
        <f t="shared" si="26"/>
        <v>M</v>
      </c>
    </row>
    <row r="529" spans="1:35" x14ac:dyDescent="0.2">
      <c r="A529">
        <v>530</v>
      </c>
      <c r="B529" t="s">
        <v>1351</v>
      </c>
      <c r="C529" t="s">
        <v>1352</v>
      </c>
      <c r="D529" t="s">
        <v>242</v>
      </c>
      <c r="E529" t="s">
        <v>242</v>
      </c>
      <c r="F529" t="s">
        <v>47</v>
      </c>
      <c r="G529" t="s">
        <v>99</v>
      </c>
      <c r="J529" t="s">
        <v>419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T529" t="s">
        <v>38</v>
      </c>
      <c r="U529">
        <v>0</v>
      </c>
      <c r="W529">
        <v>0</v>
      </c>
      <c r="X529">
        <v>0</v>
      </c>
      <c r="Y529">
        <v>0</v>
      </c>
      <c r="AE529">
        <f t="shared" si="24"/>
        <v>1</v>
      </c>
      <c r="AF529">
        <f>VLOOKUP(D529,especies!$A$2:$C$9,3,FALSE)</f>
        <v>3</v>
      </c>
      <c r="AG529" t="str">
        <f t="shared" si="25"/>
        <v>3-Otra</v>
      </c>
      <c r="AH529">
        <f>VLOOKUP('Fichas clínicas'!AG529,razas!$A$2:$D$66,3,FALSE)</f>
        <v>55</v>
      </c>
      <c r="AI529" t="str">
        <f t="shared" si="26"/>
        <v>M</v>
      </c>
    </row>
    <row r="530" spans="1:35" x14ac:dyDescent="0.2">
      <c r="A530">
        <v>531</v>
      </c>
      <c r="B530" t="s">
        <v>1103</v>
      </c>
      <c r="C530" t="s">
        <v>1353</v>
      </c>
      <c r="D530" t="s">
        <v>41</v>
      </c>
      <c r="E530" t="s">
        <v>93</v>
      </c>
      <c r="F530" t="s">
        <v>34</v>
      </c>
      <c r="G530" t="s">
        <v>1354</v>
      </c>
      <c r="J530" t="s">
        <v>1355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T530" t="s">
        <v>38</v>
      </c>
      <c r="U530">
        <v>0</v>
      </c>
      <c r="V530">
        <v>1</v>
      </c>
      <c r="W530">
        <v>0</v>
      </c>
      <c r="X530">
        <v>0</v>
      </c>
      <c r="Y530">
        <v>0</v>
      </c>
      <c r="AE530">
        <f t="shared" si="24"/>
        <v>1</v>
      </c>
      <c r="AF530">
        <f>VLOOKUP(D530,especies!$A$2:$C$9,3,FALSE)</f>
        <v>2</v>
      </c>
      <c r="AG530" t="str">
        <f t="shared" si="25"/>
        <v>2-DPL (Doméstico de pelo Largo o DLH)</v>
      </c>
      <c r="AH530">
        <f>VLOOKUP('Fichas clínicas'!AG530,razas!$A$2:$D$66,3,FALSE)</f>
        <v>52</v>
      </c>
      <c r="AI530" t="str">
        <f t="shared" si="26"/>
        <v>H</v>
      </c>
    </row>
    <row r="531" spans="1:35" x14ac:dyDescent="0.2">
      <c r="A531">
        <v>532</v>
      </c>
      <c r="B531" t="s">
        <v>1103</v>
      </c>
      <c r="C531" t="s">
        <v>1356</v>
      </c>
      <c r="D531" t="s">
        <v>32</v>
      </c>
      <c r="E531" t="s">
        <v>458</v>
      </c>
      <c r="F531" t="s">
        <v>47</v>
      </c>
      <c r="G531" t="s">
        <v>233</v>
      </c>
      <c r="J531" t="s">
        <v>1357</v>
      </c>
      <c r="K531" t="s">
        <v>38</v>
      </c>
      <c r="L531" t="s">
        <v>38</v>
      </c>
      <c r="M531" t="s">
        <v>38</v>
      </c>
      <c r="N531" t="s">
        <v>38</v>
      </c>
      <c r="O531" t="s">
        <v>38</v>
      </c>
      <c r="T531" t="s">
        <v>38</v>
      </c>
      <c r="U531">
        <v>0</v>
      </c>
      <c r="W531">
        <v>0</v>
      </c>
      <c r="X531">
        <v>0</v>
      </c>
      <c r="Y531">
        <v>0</v>
      </c>
      <c r="AE531">
        <f t="shared" si="24"/>
        <v>1</v>
      </c>
      <c r="AF531">
        <f>VLOOKUP(D531,especies!$A$2:$C$9,3,FALSE)</f>
        <v>1</v>
      </c>
      <c r="AG531" t="str">
        <f t="shared" si="25"/>
        <v>1-Beagle</v>
      </c>
      <c r="AH531">
        <f>VLOOKUP('Fichas clínicas'!AG531,razas!$A$2:$D$66,3,FALSE)</f>
        <v>13</v>
      </c>
      <c r="AI531" t="str">
        <f t="shared" si="26"/>
        <v>M</v>
      </c>
    </row>
    <row r="532" spans="1:35" x14ac:dyDescent="0.2">
      <c r="A532">
        <v>533</v>
      </c>
      <c r="B532" t="s">
        <v>1103</v>
      </c>
      <c r="C532" t="s">
        <v>1358</v>
      </c>
      <c r="D532" t="s">
        <v>32</v>
      </c>
      <c r="E532" t="s">
        <v>33</v>
      </c>
      <c r="F532" t="s">
        <v>47</v>
      </c>
      <c r="G532" t="s">
        <v>123</v>
      </c>
      <c r="J532" t="s">
        <v>1359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T532" t="s">
        <v>38</v>
      </c>
      <c r="U532">
        <v>0</v>
      </c>
      <c r="V532">
        <v>1</v>
      </c>
      <c r="W532">
        <v>0</v>
      </c>
      <c r="X532">
        <v>0</v>
      </c>
      <c r="Y532">
        <v>0</v>
      </c>
      <c r="AE532">
        <f t="shared" si="24"/>
        <v>1</v>
      </c>
      <c r="AF532">
        <f>VLOOKUP(D532,especies!$A$2:$C$9,3,FALSE)</f>
        <v>1</v>
      </c>
      <c r="AG532" t="str">
        <f t="shared" si="25"/>
        <v>1-Mestizo</v>
      </c>
      <c r="AH532">
        <f>VLOOKUP('Fichas clínicas'!AG532,razas!$A$2:$D$66,3,FALSE)</f>
        <v>1</v>
      </c>
      <c r="AI532" t="str">
        <f t="shared" si="26"/>
        <v>M</v>
      </c>
    </row>
    <row r="533" spans="1:35" x14ac:dyDescent="0.2">
      <c r="A533">
        <v>534</v>
      </c>
      <c r="B533" t="s">
        <v>1360</v>
      </c>
      <c r="C533" t="s">
        <v>514</v>
      </c>
      <c r="D533" t="s">
        <v>41</v>
      </c>
      <c r="E533" t="s">
        <v>42</v>
      </c>
      <c r="F533" t="s">
        <v>34</v>
      </c>
      <c r="G533" t="s">
        <v>43</v>
      </c>
      <c r="J533" t="s">
        <v>44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T533" t="s">
        <v>38</v>
      </c>
      <c r="U533">
        <v>0</v>
      </c>
      <c r="W533">
        <v>0</v>
      </c>
      <c r="X533">
        <v>0</v>
      </c>
      <c r="Y533">
        <v>0</v>
      </c>
      <c r="AE533">
        <f t="shared" si="24"/>
        <v>1</v>
      </c>
      <c r="AF533">
        <f>VLOOKUP(D533,especies!$A$2:$C$9,3,FALSE)</f>
        <v>2</v>
      </c>
      <c r="AG533" t="str">
        <f t="shared" si="25"/>
        <v>2-DPC (Doméstico de pelo corto o DSH)</v>
      </c>
      <c r="AH533">
        <f>VLOOKUP('Fichas clínicas'!AG533,razas!$A$2:$D$66,3,FALSE)</f>
        <v>51</v>
      </c>
      <c r="AI533" t="str">
        <f t="shared" si="26"/>
        <v>H</v>
      </c>
    </row>
    <row r="534" spans="1:35" x14ac:dyDescent="0.2">
      <c r="A534">
        <v>535</v>
      </c>
      <c r="B534" t="s">
        <v>500</v>
      </c>
      <c r="C534" t="s">
        <v>1006</v>
      </c>
      <c r="D534" t="s">
        <v>41</v>
      </c>
      <c r="E534" t="s">
        <v>42</v>
      </c>
      <c r="F534" t="s">
        <v>47</v>
      </c>
      <c r="G534" t="s">
        <v>1361</v>
      </c>
      <c r="J534" t="s">
        <v>1362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T534" t="s">
        <v>38</v>
      </c>
      <c r="U534">
        <v>0</v>
      </c>
      <c r="V534">
        <v>1</v>
      </c>
      <c r="W534">
        <v>0</v>
      </c>
      <c r="X534">
        <v>0</v>
      </c>
      <c r="Y534">
        <v>0</v>
      </c>
      <c r="AE534">
        <f t="shared" si="24"/>
        <v>1</v>
      </c>
      <c r="AF534">
        <f>VLOOKUP(D534,especies!$A$2:$C$9,3,FALSE)</f>
        <v>2</v>
      </c>
      <c r="AG534" t="str">
        <f t="shared" si="25"/>
        <v>2-DPC (Doméstico de pelo corto o DSH)</v>
      </c>
      <c r="AH534">
        <f>VLOOKUP('Fichas clínicas'!AG534,razas!$A$2:$D$66,3,FALSE)</f>
        <v>51</v>
      </c>
      <c r="AI534" t="str">
        <f t="shared" si="26"/>
        <v>M</v>
      </c>
    </row>
    <row r="535" spans="1:35" x14ac:dyDescent="0.2">
      <c r="A535">
        <v>536</v>
      </c>
      <c r="B535" t="s">
        <v>1363</v>
      </c>
      <c r="C535" t="s">
        <v>1002</v>
      </c>
      <c r="D535" t="s">
        <v>32</v>
      </c>
      <c r="E535" t="s">
        <v>122</v>
      </c>
      <c r="F535" t="s">
        <v>47</v>
      </c>
      <c r="G535" t="s">
        <v>123</v>
      </c>
      <c r="J535" t="s">
        <v>1364</v>
      </c>
      <c r="K535" t="s">
        <v>38</v>
      </c>
      <c r="L535" t="s">
        <v>38</v>
      </c>
      <c r="M535" t="s">
        <v>38</v>
      </c>
      <c r="N535" t="s">
        <v>38</v>
      </c>
      <c r="O535" t="s">
        <v>38</v>
      </c>
      <c r="Q535">
        <v>0</v>
      </c>
      <c r="T535" t="s">
        <v>38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f t="shared" si="24"/>
        <v>1</v>
      </c>
      <c r="AF535">
        <f>VLOOKUP(D535,especies!$A$2:$C$9,3,FALSE)</f>
        <v>1</v>
      </c>
      <c r="AG535" t="str">
        <f t="shared" si="25"/>
        <v>1-Caniche</v>
      </c>
      <c r="AH535">
        <f>VLOOKUP('Fichas clínicas'!AG535,razas!$A$2:$D$66,3,FALSE)</f>
        <v>4</v>
      </c>
      <c r="AI535" t="str">
        <f t="shared" si="26"/>
        <v>M</v>
      </c>
    </row>
    <row r="536" spans="1:35" x14ac:dyDescent="0.2">
      <c r="A536">
        <v>537</v>
      </c>
      <c r="B536" t="s">
        <v>1365</v>
      </c>
      <c r="C536" t="s">
        <v>1366</v>
      </c>
      <c r="D536" t="s">
        <v>32</v>
      </c>
      <c r="E536" t="s">
        <v>150</v>
      </c>
      <c r="F536" t="s">
        <v>34</v>
      </c>
      <c r="G536" t="s">
        <v>123</v>
      </c>
      <c r="J536" t="s">
        <v>1367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T536" t="s">
        <v>38</v>
      </c>
      <c r="U536">
        <v>0</v>
      </c>
      <c r="W536">
        <v>0</v>
      </c>
      <c r="X536">
        <v>0</v>
      </c>
      <c r="Y536">
        <v>0</v>
      </c>
      <c r="AE536">
        <f t="shared" si="24"/>
        <v>1</v>
      </c>
      <c r="AF536">
        <f>VLOOKUP(D536,especies!$A$2:$C$9,3,FALSE)</f>
        <v>1</v>
      </c>
      <c r="AG536" t="str">
        <f t="shared" si="25"/>
        <v>1-Poodle</v>
      </c>
      <c r="AH536">
        <f>VLOOKUP('Fichas clínicas'!AG536,razas!$A$2:$D$66,3,FALSE)</f>
        <v>6</v>
      </c>
      <c r="AI536" t="str">
        <f t="shared" si="26"/>
        <v>H</v>
      </c>
    </row>
    <row r="537" spans="1:35" x14ac:dyDescent="0.2">
      <c r="A537">
        <v>538</v>
      </c>
      <c r="B537" t="s">
        <v>1365</v>
      </c>
      <c r="C537" t="s">
        <v>969</v>
      </c>
      <c r="D537" t="s">
        <v>32</v>
      </c>
      <c r="E537" t="s">
        <v>150</v>
      </c>
      <c r="F537" t="s">
        <v>47</v>
      </c>
      <c r="G537" t="s">
        <v>123</v>
      </c>
      <c r="J537" t="s">
        <v>1367</v>
      </c>
      <c r="K537" t="s">
        <v>38</v>
      </c>
      <c r="L537" t="s">
        <v>38</v>
      </c>
      <c r="M537" t="s">
        <v>38</v>
      </c>
      <c r="N537" t="s">
        <v>38</v>
      </c>
      <c r="O537" t="s">
        <v>38</v>
      </c>
      <c r="T537" t="s">
        <v>38</v>
      </c>
      <c r="U537">
        <v>0</v>
      </c>
      <c r="W537">
        <v>0</v>
      </c>
      <c r="X537">
        <v>0</v>
      </c>
      <c r="Y537">
        <v>0</v>
      </c>
      <c r="AE537">
        <f t="shared" si="24"/>
        <v>1</v>
      </c>
      <c r="AF537">
        <f>VLOOKUP(D537,especies!$A$2:$C$9,3,FALSE)</f>
        <v>1</v>
      </c>
      <c r="AG537" t="str">
        <f t="shared" si="25"/>
        <v>1-Poodle</v>
      </c>
      <c r="AH537">
        <f>VLOOKUP('Fichas clínicas'!AG537,razas!$A$2:$D$66,3,FALSE)</f>
        <v>6</v>
      </c>
      <c r="AI537" t="str">
        <f t="shared" si="26"/>
        <v>M</v>
      </c>
    </row>
    <row r="538" spans="1:35" x14ac:dyDescent="0.2">
      <c r="A538">
        <v>539</v>
      </c>
      <c r="B538" t="s">
        <v>1368</v>
      </c>
      <c r="C538" t="s">
        <v>1369</v>
      </c>
      <c r="D538" t="s">
        <v>41</v>
      </c>
      <c r="E538" t="s">
        <v>42</v>
      </c>
      <c r="F538" t="s">
        <v>34</v>
      </c>
      <c r="G538" t="s">
        <v>1370</v>
      </c>
      <c r="I538">
        <v>939000007188537</v>
      </c>
      <c r="J538" t="s">
        <v>853</v>
      </c>
      <c r="K538" t="s">
        <v>38</v>
      </c>
      <c r="L538" t="s">
        <v>38</v>
      </c>
      <c r="M538" t="s">
        <v>38</v>
      </c>
      <c r="N538" t="s">
        <v>38</v>
      </c>
      <c r="O538" t="s">
        <v>38</v>
      </c>
      <c r="Q538">
        <v>0</v>
      </c>
      <c r="T538" t="s">
        <v>38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f t="shared" si="24"/>
        <v>1</v>
      </c>
      <c r="AF538">
        <f>VLOOKUP(D538,especies!$A$2:$C$9,3,FALSE)</f>
        <v>2</v>
      </c>
      <c r="AG538" t="str">
        <f t="shared" si="25"/>
        <v>2-DPC (Doméstico de pelo corto o DSH)</v>
      </c>
      <c r="AH538">
        <f>VLOOKUP('Fichas clínicas'!AG538,razas!$A$2:$D$66,3,FALSE)</f>
        <v>51</v>
      </c>
      <c r="AI538" t="str">
        <f t="shared" si="26"/>
        <v>H</v>
      </c>
    </row>
    <row r="539" spans="1:35" x14ac:dyDescent="0.2">
      <c r="A539">
        <v>540</v>
      </c>
      <c r="B539" t="s">
        <v>1371</v>
      </c>
      <c r="C539" t="s">
        <v>1372</v>
      </c>
      <c r="D539" t="s">
        <v>41</v>
      </c>
      <c r="E539" t="s">
        <v>93</v>
      </c>
      <c r="F539" t="s">
        <v>47</v>
      </c>
      <c r="G539" t="s">
        <v>43</v>
      </c>
      <c r="J539" t="s">
        <v>338</v>
      </c>
      <c r="K539" t="s">
        <v>38</v>
      </c>
      <c r="L539" t="s">
        <v>38</v>
      </c>
      <c r="M539" t="s">
        <v>38</v>
      </c>
      <c r="N539" t="s">
        <v>38</v>
      </c>
      <c r="O539" t="s">
        <v>38</v>
      </c>
      <c r="T539" t="s">
        <v>38</v>
      </c>
      <c r="U539">
        <v>0</v>
      </c>
      <c r="W539">
        <v>0</v>
      </c>
      <c r="X539">
        <v>0</v>
      </c>
      <c r="Y539">
        <v>0</v>
      </c>
      <c r="AE539">
        <f t="shared" si="24"/>
        <v>1</v>
      </c>
      <c r="AF539">
        <f>VLOOKUP(D539,especies!$A$2:$C$9,3,FALSE)</f>
        <v>2</v>
      </c>
      <c r="AG539" t="str">
        <f t="shared" si="25"/>
        <v>2-DPL (Doméstico de pelo Largo o DLH)</v>
      </c>
      <c r="AH539">
        <f>VLOOKUP('Fichas clínicas'!AG539,razas!$A$2:$D$66,3,FALSE)</f>
        <v>52</v>
      </c>
      <c r="AI539" t="str">
        <f t="shared" si="26"/>
        <v>M</v>
      </c>
    </row>
    <row r="540" spans="1:35" x14ac:dyDescent="0.2">
      <c r="A540">
        <v>541</v>
      </c>
      <c r="B540" t="s">
        <v>1373</v>
      </c>
      <c r="C540" t="s">
        <v>1374</v>
      </c>
      <c r="D540" t="s">
        <v>32</v>
      </c>
      <c r="E540" t="s">
        <v>150</v>
      </c>
      <c r="F540" t="s">
        <v>34</v>
      </c>
      <c r="G540" t="s">
        <v>102</v>
      </c>
      <c r="I540">
        <v>9056000004373926</v>
      </c>
      <c r="J540" t="s">
        <v>1375</v>
      </c>
      <c r="K540" t="s">
        <v>38</v>
      </c>
      <c r="L540" t="s">
        <v>38</v>
      </c>
      <c r="M540" t="s">
        <v>38</v>
      </c>
      <c r="N540" t="s">
        <v>38</v>
      </c>
      <c r="O540" t="s">
        <v>38</v>
      </c>
      <c r="Q540">
        <v>0</v>
      </c>
      <c r="T540" t="s">
        <v>38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f t="shared" si="24"/>
        <v>1</v>
      </c>
      <c r="AF540">
        <f>VLOOKUP(D540,especies!$A$2:$C$9,3,FALSE)</f>
        <v>1</v>
      </c>
      <c r="AG540" t="str">
        <f t="shared" si="25"/>
        <v>1-Poodle</v>
      </c>
      <c r="AH540">
        <f>VLOOKUP('Fichas clínicas'!AG540,razas!$A$2:$D$66,3,FALSE)</f>
        <v>6</v>
      </c>
      <c r="AI540" t="str">
        <f t="shared" si="26"/>
        <v>H</v>
      </c>
    </row>
    <row r="541" spans="1:35" x14ac:dyDescent="0.2">
      <c r="A541">
        <v>542</v>
      </c>
      <c r="B541" t="s">
        <v>1376</v>
      </c>
      <c r="C541" t="s">
        <v>280</v>
      </c>
      <c r="D541" t="s">
        <v>32</v>
      </c>
      <c r="E541" t="s">
        <v>33</v>
      </c>
      <c r="F541" t="s">
        <v>34</v>
      </c>
      <c r="G541" t="s">
        <v>43</v>
      </c>
      <c r="J541" t="s">
        <v>249</v>
      </c>
      <c r="K541" t="s">
        <v>38</v>
      </c>
      <c r="L541" t="s">
        <v>38</v>
      </c>
      <c r="M541" t="s">
        <v>38</v>
      </c>
      <c r="N541" t="s">
        <v>38</v>
      </c>
      <c r="O541" t="s">
        <v>38</v>
      </c>
      <c r="T541" t="s">
        <v>38</v>
      </c>
      <c r="U541">
        <v>0</v>
      </c>
      <c r="V541">
        <v>1</v>
      </c>
      <c r="W541">
        <v>0</v>
      </c>
      <c r="X541">
        <v>0</v>
      </c>
      <c r="Y541">
        <v>0</v>
      </c>
      <c r="AE541">
        <f t="shared" si="24"/>
        <v>1</v>
      </c>
      <c r="AF541">
        <f>VLOOKUP(D541,especies!$A$2:$C$9,3,FALSE)</f>
        <v>1</v>
      </c>
      <c r="AG541" t="str">
        <f t="shared" si="25"/>
        <v>1-Mestizo</v>
      </c>
      <c r="AH541">
        <f>VLOOKUP('Fichas clínicas'!AG541,razas!$A$2:$D$66,3,FALSE)</f>
        <v>1</v>
      </c>
      <c r="AI541" t="str">
        <f t="shared" si="26"/>
        <v>H</v>
      </c>
    </row>
    <row r="542" spans="1:35" x14ac:dyDescent="0.2">
      <c r="A542">
        <v>543</v>
      </c>
      <c r="B542" t="s">
        <v>1377</v>
      </c>
      <c r="C542" t="s">
        <v>328</v>
      </c>
      <c r="D542" t="s">
        <v>32</v>
      </c>
      <c r="E542" t="s">
        <v>150</v>
      </c>
      <c r="F542" t="s">
        <v>47</v>
      </c>
      <c r="G542" t="s">
        <v>123</v>
      </c>
      <c r="J542" t="s">
        <v>1378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T542" t="s">
        <v>38</v>
      </c>
      <c r="U542">
        <v>0</v>
      </c>
      <c r="W542">
        <v>0</v>
      </c>
      <c r="X542">
        <v>0</v>
      </c>
      <c r="Y542">
        <v>0</v>
      </c>
      <c r="AE542">
        <f t="shared" si="24"/>
        <v>1</v>
      </c>
      <c r="AF542">
        <f>VLOOKUP(D542,especies!$A$2:$C$9,3,FALSE)</f>
        <v>1</v>
      </c>
      <c r="AG542" t="str">
        <f t="shared" si="25"/>
        <v>1-Poodle</v>
      </c>
      <c r="AH542">
        <f>VLOOKUP('Fichas clínicas'!AG542,razas!$A$2:$D$66,3,FALSE)</f>
        <v>6</v>
      </c>
      <c r="AI542" t="str">
        <f t="shared" si="26"/>
        <v>M</v>
      </c>
    </row>
    <row r="543" spans="1:35" x14ac:dyDescent="0.2">
      <c r="A543">
        <v>544</v>
      </c>
      <c r="B543" t="s">
        <v>1377</v>
      </c>
      <c r="C543" t="s">
        <v>1379</v>
      </c>
      <c r="D543" t="s">
        <v>32</v>
      </c>
      <c r="E543" t="s">
        <v>33</v>
      </c>
      <c r="F543" t="s">
        <v>34</v>
      </c>
      <c r="G543" t="s">
        <v>123</v>
      </c>
      <c r="J543" t="s">
        <v>1380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T543" t="s">
        <v>38</v>
      </c>
      <c r="U543">
        <v>0</v>
      </c>
      <c r="W543">
        <v>0</v>
      </c>
      <c r="X543">
        <v>0</v>
      </c>
      <c r="Y543">
        <v>0</v>
      </c>
      <c r="AE543">
        <f t="shared" si="24"/>
        <v>1</v>
      </c>
      <c r="AF543">
        <f>VLOOKUP(D543,especies!$A$2:$C$9,3,FALSE)</f>
        <v>1</v>
      </c>
      <c r="AG543" t="str">
        <f t="shared" si="25"/>
        <v>1-Mestizo</v>
      </c>
      <c r="AH543">
        <f>VLOOKUP('Fichas clínicas'!AG543,razas!$A$2:$D$66,3,FALSE)</f>
        <v>1</v>
      </c>
      <c r="AI543" t="str">
        <f t="shared" si="26"/>
        <v>H</v>
      </c>
    </row>
    <row r="544" spans="1:35" x14ac:dyDescent="0.2">
      <c r="A544">
        <v>545</v>
      </c>
      <c r="B544" t="s">
        <v>1381</v>
      </c>
      <c r="C544" t="s">
        <v>1382</v>
      </c>
      <c r="D544" t="s">
        <v>32</v>
      </c>
      <c r="E544" t="s">
        <v>1383</v>
      </c>
      <c r="F544" t="s">
        <v>47</v>
      </c>
      <c r="G544" t="s">
        <v>1384</v>
      </c>
      <c r="J544" t="s">
        <v>1385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T544" t="s">
        <v>38</v>
      </c>
      <c r="U544">
        <v>0</v>
      </c>
      <c r="W544">
        <v>0</v>
      </c>
      <c r="X544">
        <v>0</v>
      </c>
      <c r="Y544">
        <v>0</v>
      </c>
      <c r="AE544">
        <f t="shared" si="24"/>
        <v>1</v>
      </c>
      <c r="AF544">
        <f>VLOOKUP(D544,especies!$A$2:$C$9,3,FALSE)</f>
        <v>1</v>
      </c>
      <c r="AG544" t="str">
        <f t="shared" si="25"/>
        <v>1-San Bernardo</v>
      </c>
      <c r="AH544">
        <f>VLOOKUP('Fichas clínicas'!AG544,razas!$A$2:$D$66,3,FALSE)</f>
        <v>30</v>
      </c>
      <c r="AI544" t="str">
        <f t="shared" si="26"/>
        <v>M</v>
      </c>
    </row>
    <row r="545" spans="1:35" x14ac:dyDescent="0.2">
      <c r="A545">
        <v>546</v>
      </c>
      <c r="B545" t="s">
        <v>1386</v>
      </c>
      <c r="C545" t="s">
        <v>1387</v>
      </c>
      <c r="D545" t="s">
        <v>41</v>
      </c>
      <c r="E545" t="s">
        <v>42</v>
      </c>
      <c r="F545" t="s">
        <v>47</v>
      </c>
      <c r="G545" t="s">
        <v>109</v>
      </c>
      <c r="J545" t="s">
        <v>366</v>
      </c>
      <c r="K545" t="s">
        <v>38</v>
      </c>
      <c r="L545" t="s">
        <v>38</v>
      </c>
      <c r="M545" t="s">
        <v>38</v>
      </c>
      <c r="N545" t="s">
        <v>38</v>
      </c>
      <c r="O545" t="s">
        <v>38</v>
      </c>
      <c r="T545" t="s">
        <v>38</v>
      </c>
      <c r="U545">
        <v>0</v>
      </c>
      <c r="V545">
        <v>1</v>
      </c>
      <c r="W545">
        <v>0</v>
      </c>
      <c r="X545">
        <v>0</v>
      </c>
      <c r="Y545">
        <v>0</v>
      </c>
      <c r="AE545">
        <f t="shared" si="24"/>
        <v>1</v>
      </c>
      <c r="AF545">
        <f>VLOOKUP(D545,especies!$A$2:$C$9,3,FALSE)</f>
        <v>2</v>
      </c>
      <c r="AG545" t="str">
        <f t="shared" si="25"/>
        <v>2-DPC (Doméstico de pelo corto o DSH)</v>
      </c>
      <c r="AH545">
        <f>VLOOKUP('Fichas clínicas'!AG545,razas!$A$2:$D$66,3,FALSE)</f>
        <v>51</v>
      </c>
      <c r="AI545" t="str">
        <f t="shared" si="26"/>
        <v>M</v>
      </c>
    </row>
    <row r="546" spans="1:35" x14ac:dyDescent="0.2">
      <c r="A546">
        <v>547</v>
      </c>
      <c r="B546" t="s">
        <v>1388</v>
      </c>
      <c r="C546" t="s">
        <v>296</v>
      </c>
      <c r="D546" t="s">
        <v>32</v>
      </c>
      <c r="E546" t="s">
        <v>812</v>
      </c>
      <c r="F546" t="s">
        <v>47</v>
      </c>
      <c r="G546" t="s">
        <v>199</v>
      </c>
      <c r="J546" t="s">
        <v>348</v>
      </c>
      <c r="K546" t="s">
        <v>38</v>
      </c>
      <c r="L546" t="s">
        <v>38</v>
      </c>
      <c r="M546" t="s">
        <v>38</v>
      </c>
      <c r="N546" t="s">
        <v>38</v>
      </c>
      <c r="O546" t="s">
        <v>38</v>
      </c>
      <c r="T546" t="s">
        <v>38</v>
      </c>
      <c r="U546">
        <v>0</v>
      </c>
      <c r="W546">
        <v>0</v>
      </c>
      <c r="X546">
        <v>0</v>
      </c>
      <c r="Y546">
        <v>0</v>
      </c>
      <c r="AE546">
        <f t="shared" si="24"/>
        <v>1</v>
      </c>
      <c r="AF546">
        <f>VLOOKUP(D546,especies!$A$2:$C$9,3,FALSE)</f>
        <v>1</v>
      </c>
      <c r="AG546" t="str">
        <f t="shared" si="25"/>
        <v>1-Fox Terrier de Pelo Duro</v>
      </c>
      <c r="AH546">
        <f>VLOOKUP('Fichas clínicas'!AG546,razas!$A$2:$D$66,3,FALSE)</f>
        <v>18</v>
      </c>
      <c r="AI546" t="str">
        <f t="shared" si="26"/>
        <v>M</v>
      </c>
    </row>
    <row r="547" spans="1:35" x14ac:dyDescent="0.2">
      <c r="A547">
        <v>548</v>
      </c>
      <c r="B547" t="s">
        <v>1389</v>
      </c>
      <c r="C547" t="s">
        <v>1390</v>
      </c>
      <c r="D547" t="s">
        <v>32</v>
      </c>
      <c r="E547" t="s">
        <v>33</v>
      </c>
      <c r="F547" t="s">
        <v>34</v>
      </c>
      <c r="G547" t="s">
        <v>165</v>
      </c>
      <c r="J547" t="s">
        <v>784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Q547">
        <v>0</v>
      </c>
      <c r="T547" t="s">
        <v>38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f t="shared" si="24"/>
        <v>1</v>
      </c>
      <c r="AF547">
        <f>VLOOKUP(D547,especies!$A$2:$C$9,3,FALSE)</f>
        <v>1</v>
      </c>
      <c r="AG547" t="str">
        <f t="shared" si="25"/>
        <v>1-Mestizo</v>
      </c>
      <c r="AH547">
        <f>VLOOKUP('Fichas clínicas'!AG547,razas!$A$2:$D$66,3,FALSE)</f>
        <v>1</v>
      </c>
      <c r="AI547" t="str">
        <f t="shared" si="26"/>
        <v>H</v>
      </c>
    </row>
    <row r="548" spans="1:35" x14ac:dyDescent="0.2">
      <c r="A548">
        <v>549</v>
      </c>
      <c r="B548" t="s">
        <v>1377</v>
      </c>
      <c r="C548" t="s">
        <v>1391</v>
      </c>
      <c r="D548" t="s">
        <v>41</v>
      </c>
      <c r="E548" t="s">
        <v>42</v>
      </c>
      <c r="F548" t="s">
        <v>34</v>
      </c>
      <c r="G548" t="s">
        <v>284</v>
      </c>
      <c r="J548" t="s">
        <v>841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T548" t="s">
        <v>38</v>
      </c>
      <c r="U548">
        <v>0</v>
      </c>
      <c r="W548">
        <v>0</v>
      </c>
      <c r="X548">
        <v>0</v>
      </c>
      <c r="Y548">
        <v>0</v>
      </c>
      <c r="AE548">
        <f t="shared" si="24"/>
        <v>1</v>
      </c>
      <c r="AF548">
        <f>VLOOKUP(D548,especies!$A$2:$C$9,3,FALSE)</f>
        <v>2</v>
      </c>
      <c r="AG548" t="str">
        <f t="shared" si="25"/>
        <v>2-DPC (Doméstico de pelo corto o DSH)</v>
      </c>
      <c r="AH548">
        <f>VLOOKUP('Fichas clínicas'!AG548,razas!$A$2:$D$66,3,FALSE)</f>
        <v>51</v>
      </c>
      <c r="AI548" t="str">
        <f t="shared" si="26"/>
        <v>H</v>
      </c>
    </row>
    <row r="549" spans="1:35" x14ac:dyDescent="0.2">
      <c r="A549">
        <v>550</v>
      </c>
      <c r="B549" t="s">
        <v>1392</v>
      </c>
      <c r="C549" t="s">
        <v>1393</v>
      </c>
      <c r="D549" t="s">
        <v>32</v>
      </c>
      <c r="E549" t="s">
        <v>33</v>
      </c>
      <c r="F549" t="s">
        <v>34</v>
      </c>
      <c r="G549" t="s">
        <v>134</v>
      </c>
      <c r="J549" t="s">
        <v>1012</v>
      </c>
      <c r="K549" t="s">
        <v>38</v>
      </c>
      <c r="L549" t="s">
        <v>38</v>
      </c>
      <c r="M549" t="s">
        <v>38</v>
      </c>
      <c r="N549" t="s">
        <v>38</v>
      </c>
      <c r="O549" t="s">
        <v>38</v>
      </c>
      <c r="T549" t="s">
        <v>38</v>
      </c>
      <c r="U549">
        <v>0</v>
      </c>
      <c r="W549">
        <v>0</v>
      </c>
      <c r="X549">
        <v>0</v>
      </c>
      <c r="Y549">
        <v>0</v>
      </c>
      <c r="AE549">
        <f t="shared" si="24"/>
        <v>1</v>
      </c>
      <c r="AF549">
        <f>VLOOKUP(D549,especies!$A$2:$C$9,3,FALSE)</f>
        <v>1</v>
      </c>
      <c r="AG549" t="str">
        <f t="shared" si="25"/>
        <v>1-Mestizo</v>
      </c>
      <c r="AH549">
        <f>VLOOKUP('Fichas clínicas'!AG549,razas!$A$2:$D$66,3,FALSE)</f>
        <v>1</v>
      </c>
      <c r="AI549" t="str">
        <f t="shared" si="26"/>
        <v>H</v>
      </c>
    </row>
    <row r="550" spans="1:35" x14ac:dyDescent="0.2">
      <c r="A550">
        <v>551</v>
      </c>
      <c r="B550" t="s">
        <v>1394</v>
      </c>
      <c r="C550" t="s">
        <v>486</v>
      </c>
      <c r="D550" t="s">
        <v>32</v>
      </c>
      <c r="E550" t="s">
        <v>33</v>
      </c>
      <c r="F550" t="s">
        <v>34</v>
      </c>
      <c r="G550" t="s">
        <v>165</v>
      </c>
      <c r="J550" t="s">
        <v>1395</v>
      </c>
      <c r="K550" t="s">
        <v>38</v>
      </c>
      <c r="L550" t="s">
        <v>38</v>
      </c>
      <c r="M550" t="s">
        <v>38</v>
      </c>
      <c r="N550" t="s">
        <v>38</v>
      </c>
      <c r="O550" t="s">
        <v>38</v>
      </c>
      <c r="Q550">
        <v>0</v>
      </c>
      <c r="T550" t="s">
        <v>38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f t="shared" si="24"/>
        <v>1</v>
      </c>
      <c r="AF550">
        <f>VLOOKUP(D550,especies!$A$2:$C$9,3,FALSE)</f>
        <v>1</v>
      </c>
      <c r="AG550" t="str">
        <f t="shared" si="25"/>
        <v>1-Mestizo</v>
      </c>
      <c r="AH550">
        <f>VLOOKUP('Fichas clínicas'!AG550,razas!$A$2:$D$66,3,FALSE)</f>
        <v>1</v>
      </c>
      <c r="AI550" t="str">
        <f t="shared" si="26"/>
        <v>H</v>
      </c>
    </row>
    <row r="551" spans="1:35" x14ac:dyDescent="0.2">
      <c r="A551">
        <v>552</v>
      </c>
      <c r="B551" t="s">
        <v>791</v>
      </c>
      <c r="C551" t="s">
        <v>1396</v>
      </c>
      <c r="D551" t="s">
        <v>41</v>
      </c>
      <c r="E551" t="s">
        <v>93</v>
      </c>
      <c r="F551" t="s">
        <v>34</v>
      </c>
      <c r="G551" t="s">
        <v>550</v>
      </c>
      <c r="J551" t="s">
        <v>645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T551" t="s">
        <v>38</v>
      </c>
      <c r="U551">
        <v>0</v>
      </c>
      <c r="V551">
        <v>1</v>
      </c>
      <c r="W551">
        <v>0</v>
      </c>
      <c r="X551">
        <v>0</v>
      </c>
      <c r="Y551">
        <v>0</v>
      </c>
      <c r="AE551">
        <f t="shared" si="24"/>
        <v>1</v>
      </c>
      <c r="AF551">
        <f>VLOOKUP(D551,especies!$A$2:$C$9,3,FALSE)</f>
        <v>2</v>
      </c>
      <c r="AG551" t="str">
        <f t="shared" si="25"/>
        <v>2-DPL (Doméstico de pelo Largo o DLH)</v>
      </c>
      <c r="AH551">
        <f>VLOOKUP('Fichas clínicas'!AG551,razas!$A$2:$D$66,3,FALSE)</f>
        <v>52</v>
      </c>
      <c r="AI551" t="str">
        <f t="shared" si="26"/>
        <v>H</v>
      </c>
    </row>
    <row r="552" spans="1:35" x14ac:dyDescent="0.2">
      <c r="A552">
        <v>553</v>
      </c>
      <c r="B552" t="s">
        <v>1397</v>
      </c>
      <c r="C552" t="s">
        <v>1398</v>
      </c>
      <c r="D552" t="s">
        <v>41</v>
      </c>
      <c r="E552" t="s">
        <v>93</v>
      </c>
      <c r="F552" t="s">
        <v>34</v>
      </c>
      <c r="G552" t="s">
        <v>1399</v>
      </c>
      <c r="J552" t="s">
        <v>127</v>
      </c>
      <c r="K552" t="s">
        <v>38</v>
      </c>
      <c r="L552" t="s">
        <v>38</v>
      </c>
      <c r="M552" t="s">
        <v>38</v>
      </c>
      <c r="N552" t="s">
        <v>38</v>
      </c>
      <c r="O552" t="s">
        <v>38</v>
      </c>
      <c r="Q552">
        <v>0</v>
      </c>
      <c r="T552" t="s">
        <v>38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f t="shared" si="24"/>
        <v>1</v>
      </c>
      <c r="AF552">
        <f>VLOOKUP(D552,especies!$A$2:$C$9,3,FALSE)</f>
        <v>2</v>
      </c>
      <c r="AG552" t="str">
        <f t="shared" si="25"/>
        <v>2-DPL (Doméstico de pelo Largo o DLH)</v>
      </c>
      <c r="AH552">
        <f>VLOOKUP('Fichas clínicas'!AG552,razas!$A$2:$D$66,3,FALSE)</f>
        <v>52</v>
      </c>
      <c r="AI552" t="str">
        <f t="shared" si="26"/>
        <v>H</v>
      </c>
    </row>
    <row r="553" spans="1:35" x14ac:dyDescent="0.2">
      <c r="A553">
        <v>554</v>
      </c>
      <c r="B553" t="s">
        <v>1400</v>
      </c>
      <c r="C553" t="s">
        <v>1401</v>
      </c>
      <c r="D553" t="s">
        <v>242</v>
      </c>
      <c r="E553" t="s">
        <v>242</v>
      </c>
      <c r="F553" t="s">
        <v>47</v>
      </c>
      <c r="G553" t="s">
        <v>1402</v>
      </c>
      <c r="J553" t="s">
        <v>1403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T553" t="s">
        <v>38</v>
      </c>
      <c r="U553">
        <v>0</v>
      </c>
      <c r="W553">
        <v>0</v>
      </c>
      <c r="X553">
        <v>0</v>
      </c>
      <c r="Y553">
        <v>0</v>
      </c>
      <c r="AE553">
        <f t="shared" si="24"/>
        <v>1</v>
      </c>
      <c r="AF553">
        <f>VLOOKUP(D553,especies!$A$2:$C$9,3,FALSE)</f>
        <v>3</v>
      </c>
      <c r="AG553" t="str">
        <f t="shared" si="25"/>
        <v>3-Otra</v>
      </c>
      <c r="AH553">
        <f>VLOOKUP('Fichas clínicas'!AG553,razas!$A$2:$D$66,3,FALSE)</f>
        <v>55</v>
      </c>
      <c r="AI553" t="str">
        <f t="shared" si="26"/>
        <v>M</v>
      </c>
    </row>
    <row r="554" spans="1:35" x14ac:dyDescent="0.2">
      <c r="A554">
        <v>555</v>
      </c>
      <c r="B554" t="s">
        <v>1404</v>
      </c>
      <c r="C554" t="s">
        <v>599</v>
      </c>
      <c r="D554" t="s">
        <v>41</v>
      </c>
      <c r="E554" t="s">
        <v>42</v>
      </c>
      <c r="F554" t="s">
        <v>34</v>
      </c>
      <c r="G554" t="s">
        <v>1405</v>
      </c>
      <c r="J554" t="s">
        <v>1406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T554" t="s">
        <v>38</v>
      </c>
      <c r="U554">
        <v>0</v>
      </c>
      <c r="V554">
        <v>1</v>
      </c>
      <c r="W554">
        <v>0</v>
      </c>
      <c r="X554">
        <v>0</v>
      </c>
      <c r="Y554">
        <v>0</v>
      </c>
      <c r="AE554">
        <f t="shared" si="24"/>
        <v>1</v>
      </c>
      <c r="AF554">
        <f>VLOOKUP(D554,especies!$A$2:$C$9,3,FALSE)</f>
        <v>2</v>
      </c>
      <c r="AG554" t="str">
        <f t="shared" si="25"/>
        <v>2-DPC (Doméstico de pelo corto o DSH)</v>
      </c>
      <c r="AH554">
        <f>VLOOKUP('Fichas clínicas'!AG554,razas!$A$2:$D$66,3,FALSE)</f>
        <v>51</v>
      </c>
      <c r="AI554" t="str">
        <f t="shared" si="26"/>
        <v>H</v>
      </c>
    </row>
    <row r="555" spans="1:35" x14ac:dyDescent="0.2">
      <c r="A555">
        <v>556</v>
      </c>
      <c r="B555" t="s">
        <v>1407</v>
      </c>
      <c r="C555" t="s">
        <v>1408</v>
      </c>
      <c r="D555" t="s">
        <v>32</v>
      </c>
      <c r="E555" t="s">
        <v>33</v>
      </c>
      <c r="F555" t="s">
        <v>34</v>
      </c>
      <c r="G555" t="s">
        <v>566</v>
      </c>
      <c r="J555" t="s">
        <v>1409</v>
      </c>
      <c r="K555" t="s">
        <v>38</v>
      </c>
      <c r="L555" t="s">
        <v>38</v>
      </c>
      <c r="M555" t="s">
        <v>38</v>
      </c>
      <c r="N555" t="s">
        <v>38</v>
      </c>
      <c r="O555" t="s">
        <v>38</v>
      </c>
      <c r="T555" t="s">
        <v>38</v>
      </c>
      <c r="U555">
        <v>0</v>
      </c>
      <c r="W555">
        <v>0</v>
      </c>
      <c r="X555">
        <v>0</v>
      </c>
      <c r="Y555">
        <v>0</v>
      </c>
      <c r="AE555">
        <f t="shared" si="24"/>
        <v>1</v>
      </c>
      <c r="AF555">
        <f>VLOOKUP(D555,especies!$A$2:$C$9,3,FALSE)</f>
        <v>1</v>
      </c>
      <c r="AG555" t="str">
        <f t="shared" si="25"/>
        <v>1-Mestizo</v>
      </c>
      <c r="AH555">
        <f>VLOOKUP('Fichas clínicas'!AG555,razas!$A$2:$D$66,3,FALSE)</f>
        <v>1</v>
      </c>
      <c r="AI555" t="str">
        <f t="shared" si="26"/>
        <v>H</v>
      </c>
    </row>
    <row r="556" spans="1:35" x14ac:dyDescent="0.2">
      <c r="A556">
        <v>557</v>
      </c>
      <c r="B556" t="s">
        <v>1410</v>
      </c>
      <c r="C556" t="s">
        <v>1411</v>
      </c>
      <c r="D556" t="s">
        <v>32</v>
      </c>
      <c r="E556" t="s">
        <v>33</v>
      </c>
      <c r="F556" t="s">
        <v>34</v>
      </c>
      <c r="G556" t="s">
        <v>1054</v>
      </c>
      <c r="I556">
        <v>991001002261911</v>
      </c>
      <c r="J556" t="s">
        <v>1412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Q556">
        <v>0</v>
      </c>
      <c r="T556" t="s">
        <v>38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f t="shared" si="24"/>
        <v>1</v>
      </c>
      <c r="AF556">
        <f>VLOOKUP(D556,especies!$A$2:$C$9,3,FALSE)</f>
        <v>1</v>
      </c>
      <c r="AG556" t="str">
        <f t="shared" si="25"/>
        <v>1-Mestizo</v>
      </c>
      <c r="AH556">
        <f>VLOOKUP('Fichas clínicas'!AG556,razas!$A$2:$D$66,3,FALSE)</f>
        <v>1</v>
      </c>
      <c r="AI556" t="str">
        <f t="shared" si="26"/>
        <v>H</v>
      </c>
    </row>
    <row r="557" spans="1:35" x14ac:dyDescent="0.2">
      <c r="A557">
        <v>558</v>
      </c>
      <c r="B557" t="s">
        <v>1413</v>
      </c>
      <c r="C557" t="s">
        <v>1414</v>
      </c>
      <c r="D557" t="s">
        <v>32</v>
      </c>
      <c r="E557" t="s">
        <v>33</v>
      </c>
      <c r="F557" t="s">
        <v>34</v>
      </c>
      <c r="G557" t="s">
        <v>351</v>
      </c>
      <c r="J557" t="s">
        <v>1415</v>
      </c>
      <c r="K557" t="s">
        <v>38</v>
      </c>
      <c r="L557" t="s">
        <v>38</v>
      </c>
      <c r="M557" t="s">
        <v>38</v>
      </c>
      <c r="N557" t="s">
        <v>38</v>
      </c>
      <c r="O557" t="s">
        <v>38</v>
      </c>
      <c r="T557" t="s">
        <v>38</v>
      </c>
      <c r="U557">
        <v>0</v>
      </c>
      <c r="W557">
        <v>0</v>
      </c>
      <c r="X557">
        <v>0</v>
      </c>
      <c r="Y557">
        <v>0</v>
      </c>
      <c r="AE557">
        <f t="shared" si="24"/>
        <v>1</v>
      </c>
      <c r="AF557">
        <f>VLOOKUP(D557,especies!$A$2:$C$9,3,FALSE)</f>
        <v>1</v>
      </c>
      <c r="AG557" t="str">
        <f t="shared" si="25"/>
        <v>1-Mestizo</v>
      </c>
      <c r="AH557">
        <f>VLOOKUP('Fichas clínicas'!AG557,razas!$A$2:$D$66,3,FALSE)</f>
        <v>1</v>
      </c>
      <c r="AI557" t="str">
        <f t="shared" si="26"/>
        <v>H</v>
      </c>
    </row>
    <row r="558" spans="1:35" x14ac:dyDescent="0.2">
      <c r="A558">
        <v>559</v>
      </c>
      <c r="B558" t="s">
        <v>1416</v>
      </c>
      <c r="C558" t="s">
        <v>280</v>
      </c>
      <c r="D558" t="s">
        <v>41</v>
      </c>
      <c r="E558" t="s">
        <v>42</v>
      </c>
      <c r="F558" t="s">
        <v>34</v>
      </c>
      <c r="G558" t="s">
        <v>258</v>
      </c>
      <c r="J558" t="s">
        <v>1099</v>
      </c>
      <c r="K558" t="s">
        <v>38</v>
      </c>
      <c r="L558" t="s">
        <v>38</v>
      </c>
      <c r="M558" t="s">
        <v>38</v>
      </c>
      <c r="N558" t="s">
        <v>38</v>
      </c>
      <c r="O558" t="s">
        <v>38</v>
      </c>
      <c r="T558" t="s">
        <v>38</v>
      </c>
      <c r="U558">
        <v>0</v>
      </c>
      <c r="W558">
        <v>0</v>
      </c>
      <c r="X558">
        <v>0</v>
      </c>
      <c r="Y558">
        <v>0</v>
      </c>
      <c r="AE558">
        <f t="shared" si="24"/>
        <v>1</v>
      </c>
      <c r="AF558">
        <f>VLOOKUP(D558,especies!$A$2:$C$9,3,FALSE)</f>
        <v>2</v>
      </c>
      <c r="AG558" t="str">
        <f t="shared" si="25"/>
        <v>2-DPC (Doméstico de pelo corto o DSH)</v>
      </c>
      <c r="AH558">
        <f>VLOOKUP('Fichas clínicas'!AG558,razas!$A$2:$D$66,3,FALSE)</f>
        <v>51</v>
      </c>
      <c r="AI558" t="str">
        <f t="shared" si="26"/>
        <v>H</v>
      </c>
    </row>
    <row r="559" spans="1:35" x14ac:dyDescent="0.2">
      <c r="A559">
        <v>560</v>
      </c>
      <c r="B559" t="s">
        <v>1417</v>
      </c>
      <c r="C559" t="s">
        <v>1418</v>
      </c>
      <c r="D559" t="s">
        <v>32</v>
      </c>
      <c r="E559" t="s">
        <v>164</v>
      </c>
      <c r="F559" t="s">
        <v>34</v>
      </c>
      <c r="G559" t="s">
        <v>583</v>
      </c>
      <c r="J559" t="s">
        <v>1419</v>
      </c>
      <c r="K559" t="s">
        <v>38</v>
      </c>
      <c r="L559" t="s">
        <v>38</v>
      </c>
      <c r="M559" t="s">
        <v>38</v>
      </c>
      <c r="N559" t="s">
        <v>38</v>
      </c>
      <c r="O559" t="s">
        <v>38</v>
      </c>
      <c r="Q559">
        <v>0</v>
      </c>
      <c r="T559" t="s">
        <v>38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f t="shared" si="24"/>
        <v>1</v>
      </c>
      <c r="AF559">
        <f>VLOOKUP(D559,especies!$A$2:$C$9,3,FALSE)</f>
        <v>1</v>
      </c>
      <c r="AG559" t="str">
        <f t="shared" si="25"/>
        <v>1-Teckel</v>
      </c>
      <c r="AH559">
        <f>VLOOKUP('Fichas clínicas'!AG559,razas!$A$2:$D$66,3,FALSE)</f>
        <v>8</v>
      </c>
      <c r="AI559" t="str">
        <f t="shared" si="26"/>
        <v>H</v>
      </c>
    </row>
    <row r="560" spans="1:35" x14ac:dyDescent="0.2">
      <c r="A560">
        <v>561</v>
      </c>
      <c r="B560" t="s">
        <v>1417</v>
      </c>
      <c r="C560" t="s">
        <v>1420</v>
      </c>
      <c r="D560" t="s">
        <v>32</v>
      </c>
      <c r="E560" t="s">
        <v>164</v>
      </c>
      <c r="F560" t="s">
        <v>34</v>
      </c>
      <c r="G560" t="s">
        <v>99</v>
      </c>
      <c r="J560" t="s">
        <v>1419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T560" t="s">
        <v>38</v>
      </c>
      <c r="U560">
        <v>0</v>
      </c>
      <c r="W560">
        <v>0</v>
      </c>
      <c r="X560">
        <v>0</v>
      </c>
      <c r="Y560">
        <v>0</v>
      </c>
      <c r="AE560">
        <f t="shared" si="24"/>
        <v>1</v>
      </c>
      <c r="AF560">
        <f>VLOOKUP(D560,especies!$A$2:$C$9,3,FALSE)</f>
        <v>1</v>
      </c>
      <c r="AG560" t="str">
        <f t="shared" si="25"/>
        <v>1-Teckel</v>
      </c>
      <c r="AH560">
        <f>VLOOKUP('Fichas clínicas'!AG560,razas!$A$2:$D$66,3,FALSE)</f>
        <v>8</v>
      </c>
      <c r="AI560" t="str">
        <f t="shared" si="26"/>
        <v>H</v>
      </c>
    </row>
    <row r="561" spans="1:35" x14ac:dyDescent="0.2">
      <c r="A561">
        <v>562</v>
      </c>
      <c r="B561" t="s">
        <v>1421</v>
      </c>
      <c r="C561" t="s">
        <v>1422</v>
      </c>
      <c r="D561" t="s">
        <v>32</v>
      </c>
      <c r="E561" t="s">
        <v>143</v>
      </c>
      <c r="F561" t="s">
        <v>34</v>
      </c>
      <c r="G561" t="s">
        <v>134</v>
      </c>
      <c r="J561" t="s">
        <v>493</v>
      </c>
      <c r="K561" t="s">
        <v>38</v>
      </c>
      <c r="L561" t="s">
        <v>38</v>
      </c>
      <c r="M561" t="s">
        <v>38</v>
      </c>
      <c r="N561" t="s">
        <v>38</v>
      </c>
      <c r="O561" t="s">
        <v>38</v>
      </c>
      <c r="Q561">
        <v>0</v>
      </c>
      <c r="T561" t="s">
        <v>38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f t="shared" si="24"/>
        <v>1</v>
      </c>
      <c r="AF561">
        <f>VLOOKUP(D561,especies!$A$2:$C$9,3,FALSE)</f>
        <v>1</v>
      </c>
      <c r="AG561" t="str">
        <f t="shared" si="25"/>
        <v>1-Yorkshire Terrier</v>
      </c>
      <c r="AH561">
        <f>VLOOKUP('Fichas clínicas'!AG561,razas!$A$2:$D$66,3,FALSE)</f>
        <v>5</v>
      </c>
      <c r="AI561" t="str">
        <f t="shared" si="26"/>
        <v>H</v>
      </c>
    </row>
    <row r="562" spans="1:35" x14ac:dyDescent="0.2">
      <c r="A562">
        <v>563</v>
      </c>
      <c r="B562" t="s">
        <v>1423</v>
      </c>
      <c r="C562" t="s">
        <v>927</v>
      </c>
      <c r="D562" t="s">
        <v>32</v>
      </c>
      <c r="E562" t="s">
        <v>33</v>
      </c>
      <c r="F562" t="s">
        <v>34</v>
      </c>
      <c r="G562" t="s">
        <v>43</v>
      </c>
      <c r="J562" t="s">
        <v>1424</v>
      </c>
      <c r="K562" t="s">
        <v>38</v>
      </c>
      <c r="L562" t="s">
        <v>38</v>
      </c>
      <c r="M562" t="s">
        <v>38</v>
      </c>
      <c r="N562" t="s">
        <v>38</v>
      </c>
      <c r="O562" t="s">
        <v>38</v>
      </c>
      <c r="T562" t="s">
        <v>38</v>
      </c>
      <c r="U562">
        <v>0</v>
      </c>
      <c r="V562">
        <v>1</v>
      </c>
      <c r="W562">
        <v>0</v>
      </c>
      <c r="X562">
        <v>0</v>
      </c>
      <c r="Y562">
        <v>0</v>
      </c>
      <c r="AE562">
        <f t="shared" si="24"/>
        <v>1</v>
      </c>
      <c r="AF562">
        <f>VLOOKUP(D562,especies!$A$2:$C$9,3,FALSE)</f>
        <v>1</v>
      </c>
      <c r="AG562" t="str">
        <f t="shared" si="25"/>
        <v>1-Mestizo</v>
      </c>
      <c r="AH562">
        <f>VLOOKUP('Fichas clínicas'!AG562,razas!$A$2:$D$66,3,FALSE)</f>
        <v>1</v>
      </c>
      <c r="AI562" t="str">
        <f t="shared" si="26"/>
        <v>H</v>
      </c>
    </row>
    <row r="563" spans="1:35" x14ac:dyDescent="0.2">
      <c r="A563">
        <v>564</v>
      </c>
      <c r="B563" t="s">
        <v>1425</v>
      </c>
      <c r="C563" t="s">
        <v>1426</v>
      </c>
      <c r="D563" t="s">
        <v>32</v>
      </c>
      <c r="E563" t="s">
        <v>122</v>
      </c>
      <c r="F563" t="s">
        <v>34</v>
      </c>
      <c r="G563" t="s">
        <v>123</v>
      </c>
      <c r="J563" t="s">
        <v>1427</v>
      </c>
      <c r="K563" t="s">
        <v>38</v>
      </c>
      <c r="L563" t="s">
        <v>38</v>
      </c>
      <c r="M563" t="s">
        <v>38</v>
      </c>
      <c r="N563" t="s">
        <v>38</v>
      </c>
      <c r="O563" t="s">
        <v>38</v>
      </c>
      <c r="T563" t="s">
        <v>38</v>
      </c>
      <c r="U563">
        <v>0</v>
      </c>
      <c r="W563">
        <v>0</v>
      </c>
      <c r="X563">
        <v>0</v>
      </c>
      <c r="Y563">
        <v>0</v>
      </c>
      <c r="AE563">
        <f t="shared" si="24"/>
        <v>1</v>
      </c>
      <c r="AF563">
        <f>VLOOKUP(D563,especies!$A$2:$C$9,3,FALSE)</f>
        <v>1</v>
      </c>
      <c r="AG563" t="str">
        <f t="shared" si="25"/>
        <v>1-Caniche</v>
      </c>
      <c r="AH563">
        <f>VLOOKUP('Fichas clínicas'!AG563,razas!$A$2:$D$66,3,FALSE)</f>
        <v>4</v>
      </c>
      <c r="AI563" t="str">
        <f t="shared" si="26"/>
        <v>H</v>
      </c>
    </row>
    <row r="564" spans="1:35" x14ac:dyDescent="0.2">
      <c r="A564">
        <v>565</v>
      </c>
      <c r="B564" t="s">
        <v>1425</v>
      </c>
      <c r="C564" t="s">
        <v>1428</v>
      </c>
      <c r="D564" t="s">
        <v>32</v>
      </c>
      <c r="E564" t="s">
        <v>122</v>
      </c>
      <c r="F564" t="s">
        <v>47</v>
      </c>
      <c r="G564" t="s">
        <v>123</v>
      </c>
      <c r="J564" t="s">
        <v>1427</v>
      </c>
      <c r="K564" t="s">
        <v>38</v>
      </c>
      <c r="L564" t="s">
        <v>38</v>
      </c>
      <c r="M564" t="s">
        <v>38</v>
      </c>
      <c r="N564" t="s">
        <v>38</v>
      </c>
      <c r="O564" t="s">
        <v>38</v>
      </c>
      <c r="T564" t="s">
        <v>38</v>
      </c>
      <c r="U564">
        <v>0</v>
      </c>
      <c r="W564">
        <v>0</v>
      </c>
      <c r="X564">
        <v>0</v>
      </c>
      <c r="Y564">
        <v>0</v>
      </c>
      <c r="AE564">
        <f t="shared" si="24"/>
        <v>1</v>
      </c>
      <c r="AF564">
        <f>VLOOKUP(D564,especies!$A$2:$C$9,3,FALSE)</f>
        <v>1</v>
      </c>
      <c r="AG564" t="str">
        <f t="shared" si="25"/>
        <v>1-Caniche</v>
      </c>
      <c r="AH564">
        <f>VLOOKUP('Fichas clínicas'!AG564,razas!$A$2:$D$66,3,FALSE)</f>
        <v>4</v>
      </c>
      <c r="AI564" t="str">
        <f t="shared" si="26"/>
        <v>M</v>
      </c>
    </row>
    <row r="565" spans="1:35" x14ac:dyDescent="0.2">
      <c r="A565">
        <v>566</v>
      </c>
      <c r="B565" t="s">
        <v>1425</v>
      </c>
      <c r="C565" t="s">
        <v>1429</v>
      </c>
      <c r="D565" t="s">
        <v>32</v>
      </c>
      <c r="E565" t="s">
        <v>122</v>
      </c>
      <c r="F565" t="s">
        <v>47</v>
      </c>
      <c r="G565" t="s">
        <v>123</v>
      </c>
      <c r="J565" t="s">
        <v>1427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T565" t="s">
        <v>38</v>
      </c>
      <c r="U565">
        <v>0</v>
      </c>
      <c r="W565">
        <v>0</v>
      </c>
      <c r="X565">
        <v>0</v>
      </c>
      <c r="Y565">
        <v>0</v>
      </c>
      <c r="AE565">
        <f t="shared" si="24"/>
        <v>1</v>
      </c>
      <c r="AF565">
        <f>VLOOKUP(D565,especies!$A$2:$C$9,3,FALSE)</f>
        <v>1</v>
      </c>
      <c r="AG565" t="str">
        <f t="shared" si="25"/>
        <v>1-Caniche</v>
      </c>
      <c r="AH565">
        <f>VLOOKUP('Fichas clínicas'!AG565,razas!$A$2:$D$66,3,FALSE)</f>
        <v>4</v>
      </c>
      <c r="AI565" t="str">
        <f t="shared" si="26"/>
        <v>M</v>
      </c>
    </row>
    <row r="566" spans="1:35" x14ac:dyDescent="0.2">
      <c r="A566">
        <v>567</v>
      </c>
      <c r="B566" t="s">
        <v>1425</v>
      </c>
      <c r="C566" t="s">
        <v>1430</v>
      </c>
      <c r="D566" t="s">
        <v>32</v>
      </c>
      <c r="E566" t="s">
        <v>122</v>
      </c>
      <c r="F566" t="s">
        <v>34</v>
      </c>
      <c r="G566" t="s">
        <v>123</v>
      </c>
      <c r="J566" t="s">
        <v>1427</v>
      </c>
      <c r="K566" t="s">
        <v>38</v>
      </c>
      <c r="L566" t="s">
        <v>38</v>
      </c>
      <c r="M566" t="s">
        <v>38</v>
      </c>
      <c r="N566" t="s">
        <v>38</v>
      </c>
      <c r="O566" t="s">
        <v>38</v>
      </c>
      <c r="T566" t="s">
        <v>38</v>
      </c>
      <c r="U566">
        <v>0</v>
      </c>
      <c r="W566">
        <v>0</v>
      </c>
      <c r="X566">
        <v>0</v>
      </c>
      <c r="Y566">
        <v>0</v>
      </c>
      <c r="AE566">
        <f t="shared" si="24"/>
        <v>1</v>
      </c>
      <c r="AF566">
        <f>VLOOKUP(D566,especies!$A$2:$C$9,3,FALSE)</f>
        <v>1</v>
      </c>
      <c r="AG566" t="str">
        <f t="shared" si="25"/>
        <v>1-Caniche</v>
      </c>
      <c r="AH566">
        <f>VLOOKUP('Fichas clínicas'!AG566,razas!$A$2:$D$66,3,FALSE)</f>
        <v>4</v>
      </c>
      <c r="AI566" t="str">
        <f t="shared" si="26"/>
        <v>H</v>
      </c>
    </row>
    <row r="567" spans="1:35" x14ac:dyDescent="0.2">
      <c r="A567">
        <v>568</v>
      </c>
      <c r="B567" t="s">
        <v>1425</v>
      </c>
      <c r="C567" t="s">
        <v>1431</v>
      </c>
      <c r="D567" t="s">
        <v>32</v>
      </c>
      <c r="E567" t="s">
        <v>122</v>
      </c>
      <c r="F567" t="s">
        <v>34</v>
      </c>
      <c r="G567" t="s">
        <v>123</v>
      </c>
      <c r="J567" t="s">
        <v>1427</v>
      </c>
      <c r="K567" t="s">
        <v>38</v>
      </c>
      <c r="L567" t="s">
        <v>38</v>
      </c>
      <c r="M567" t="s">
        <v>38</v>
      </c>
      <c r="N567" t="s">
        <v>38</v>
      </c>
      <c r="O567" t="s">
        <v>38</v>
      </c>
      <c r="T567" t="s">
        <v>38</v>
      </c>
      <c r="U567">
        <v>0</v>
      </c>
      <c r="W567">
        <v>0</v>
      </c>
      <c r="X567">
        <v>0</v>
      </c>
      <c r="Y567">
        <v>0</v>
      </c>
      <c r="AE567">
        <f t="shared" si="24"/>
        <v>1</v>
      </c>
      <c r="AF567">
        <f>VLOOKUP(D567,especies!$A$2:$C$9,3,FALSE)</f>
        <v>1</v>
      </c>
      <c r="AG567" t="str">
        <f t="shared" si="25"/>
        <v>1-Caniche</v>
      </c>
      <c r="AH567">
        <f>VLOOKUP('Fichas clínicas'!AG567,razas!$A$2:$D$66,3,FALSE)</f>
        <v>4</v>
      </c>
      <c r="AI567" t="str">
        <f t="shared" si="26"/>
        <v>H</v>
      </c>
    </row>
    <row r="568" spans="1:35" x14ac:dyDescent="0.2">
      <c r="A568">
        <v>569</v>
      </c>
      <c r="B568" t="s">
        <v>1425</v>
      </c>
      <c r="C568" t="s">
        <v>1432</v>
      </c>
      <c r="D568" t="s">
        <v>32</v>
      </c>
      <c r="E568" t="s">
        <v>122</v>
      </c>
      <c r="F568" t="s">
        <v>34</v>
      </c>
      <c r="G568" t="s">
        <v>123</v>
      </c>
      <c r="J568" t="s">
        <v>1427</v>
      </c>
      <c r="K568" t="s">
        <v>38</v>
      </c>
      <c r="L568" t="s">
        <v>38</v>
      </c>
      <c r="M568" t="s">
        <v>38</v>
      </c>
      <c r="N568" t="s">
        <v>38</v>
      </c>
      <c r="O568" t="s">
        <v>38</v>
      </c>
      <c r="T568" t="s">
        <v>38</v>
      </c>
      <c r="U568">
        <v>0</v>
      </c>
      <c r="W568">
        <v>0</v>
      </c>
      <c r="X568">
        <v>0</v>
      </c>
      <c r="Y568">
        <v>0</v>
      </c>
      <c r="AE568">
        <f t="shared" si="24"/>
        <v>1</v>
      </c>
      <c r="AF568">
        <f>VLOOKUP(D568,especies!$A$2:$C$9,3,FALSE)</f>
        <v>1</v>
      </c>
      <c r="AG568" t="str">
        <f t="shared" si="25"/>
        <v>1-Caniche</v>
      </c>
      <c r="AH568">
        <f>VLOOKUP('Fichas clínicas'!AG568,razas!$A$2:$D$66,3,FALSE)</f>
        <v>4</v>
      </c>
      <c r="AI568" t="str">
        <f t="shared" si="26"/>
        <v>H</v>
      </c>
    </row>
    <row r="569" spans="1:35" x14ac:dyDescent="0.2">
      <c r="A569">
        <v>570</v>
      </c>
      <c r="B569" t="s">
        <v>1199</v>
      </c>
      <c r="C569" t="s">
        <v>1433</v>
      </c>
      <c r="D569" t="s">
        <v>32</v>
      </c>
      <c r="E569" t="s">
        <v>33</v>
      </c>
      <c r="F569" t="s">
        <v>47</v>
      </c>
      <c r="G569" t="s">
        <v>134</v>
      </c>
      <c r="J569" t="s">
        <v>1434</v>
      </c>
      <c r="K569" t="s">
        <v>38</v>
      </c>
      <c r="L569" t="s">
        <v>38</v>
      </c>
      <c r="M569" t="s">
        <v>38</v>
      </c>
      <c r="N569" t="s">
        <v>38</v>
      </c>
      <c r="O569" t="s">
        <v>38</v>
      </c>
      <c r="T569" t="s">
        <v>38</v>
      </c>
      <c r="U569">
        <v>0</v>
      </c>
      <c r="V569">
        <v>1</v>
      </c>
      <c r="W569">
        <v>0</v>
      </c>
      <c r="X569">
        <v>0</v>
      </c>
      <c r="Y569">
        <v>0</v>
      </c>
      <c r="AE569">
        <f t="shared" si="24"/>
        <v>1</v>
      </c>
      <c r="AF569">
        <f>VLOOKUP(D569,especies!$A$2:$C$9,3,FALSE)</f>
        <v>1</v>
      </c>
      <c r="AG569" t="str">
        <f t="shared" si="25"/>
        <v>1-Mestizo</v>
      </c>
      <c r="AH569">
        <f>VLOOKUP('Fichas clínicas'!AG569,razas!$A$2:$D$66,3,FALSE)</f>
        <v>1</v>
      </c>
      <c r="AI569" t="str">
        <f t="shared" si="26"/>
        <v>M</v>
      </c>
    </row>
    <row r="570" spans="1:35" x14ac:dyDescent="0.2">
      <c r="A570">
        <v>571</v>
      </c>
      <c r="B570" t="s">
        <v>1435</v>
      </c>
      <c r="C570" t="s">
        <v>1436</v>
      </c>
      <c r="D570" t="s">
        <v>32</v>
      </c>
      <c r="E570" t="s">
        <v>122</v>
      </c>
      <c r="F570" t="s">
        <v>34</v>
      </c>
      <c r="G570" t="s">
        <v>102</v>
      </c>
      <c r="J570" t="s">
        <v>1437</v>
      </c>
      <c r="K570" t="s">
        <v>38</v>
      </c>
      <c r="L570" t="s">
        <v>38</v>
      </c>
      <c r="M570" t="s">
        <v>38</v>
      </c>
      <c r="N570" t="s">
        <v>38</v>
      </c>
      <c r="O570" t="s">
        <v>38</v>
      </c>
      <c r="T570" t="s">
        <v>38</v>
      </c>
      <c r="U570">
        <v>0</v>
      </c>
      <c r="W570">
        <v>0</v>
      </c>
      <c r="X570">
        <v>0</v>
      </c>
      <c r="Y570">
        <v>0</v>
      </c>
      <c r="AE570">
        <f t="shared" si="24"/>
        <v>1</v>
      </c>
      <c r="AF570">
        <f>VLOOKUP(D570,especies!$A$2:$C$9,3,FALSE)</f>
        <v>1</v>
      </c>
      <c r="AG570" t="str">
        <f t="shared" si="25"/>
        <v>1-Caniche</v>
      </c>
      <c r="AH570">
        <f>VLOOKUP('Fichas clínicas'!AG570,razas!$A$2:$D$66,3,FALSE)</f>
        <v>4</v>
      </c>
      <c r="AI570" t="str">
        <f t="shared" si="26"/>
        <v>H</v>
      </c>
    </row>
    <row r="571" spans="1:35" x14ac:dyDescent="0.2">
      <c r="A571">
        <v>572</v>
      </c>
      <c r="B571" t="s">
        <v>669</v>
      </c>
      <c r="C571" t="s">
        <v>1438</v>
      </c>
      <c r="D571" t="s">
        <v>41</v>
      </c>
      <c r="E571" t="s">
        <v>42</v>
      </c>
      <c r="F571" t="s">
        <v>47</v>
      </c>
      <c r="G571" t="s">
        <v>1054</v>
      </c>
      <c r="I571">
        <v>939000007188768</v>
      </c>
      <c r="J571" t="s">
        <v>1439</v>
      </c>
      <c r="K571" t="s">
        <v>38</v>
      </c>
      <c r="L571" t="s">
        <v>38</v>
      </c>
      <c r="M571" t="s">
        <v>38</v>
      </c>
      <c r="N571" t="s">
        <v>38</v>
      </c>
      <c r="O571" t="s">
        <v>38</v>
      </c>
      <c r="Q571">
        <v>0</v>
      </c>
      <c r="T571" t="s">
        <v>38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f t="shared" si="24"/>
        <v>1</v>
      </c>
      <c r="AF571">
        <f>VLOOKUP(D571,especies!$A$2:$C$9,3,FALSE)</f>
        <v>2</v>
      </c>
      <c r="AG571" t="str">
        <f t="shared" si="25"/>
        <v>2-DPC (Doméstico de pelo corto o DSH)</v>
      </c>
      <c r="AH571">
        <f>VLOOKUP('Fichas clínicas'!AG571,razas!$A$2:$D$66,3,FALSE)</f>
        <v>51</v>
      </c>
      <c r="AI571" t="str">
        <f t="shared" si="26"/>
        <v>M</v>
      </c>
    </row>
    <row r="572" spans="1:35" x14ac:dyDescent="0.2">
      <c r="A572">
        <v>573</v>
      </c>
      <c r="B572" t="s">
        <v>1440</v>
      </c>
      <c r="C572" t="s">
        <v>308</v>
      </c>
      <c r="D572" t="s">
        <v>32</v>
      </c>
      <c r="E572" t="s">
        <v>122</v>
      </c>
      <c r="F572" t="s">
        <v>34</v>
      </c>
      <c r="G572" t="s">
        <v>43</v>
      </c>
      <c r="J572" t="s">
        <v>85</v>
      </c>
      <c r="K572" t="s">
        <v>38</v>
      </c>
      <c r="L572" t="s">
        <v>38</v>
      </c>
      <c r="M572" t="s">
        <v>38</v>
      </c>
      <c r="N572" t="s">
        <v>38</v>
      </c>
      <c r="O572" t="s">
        <v>38</v>
      </c>
      <c r="T572" t="s">
        <v>38</v>
      </c>
      <c r="U572">
        <v>0</v>
      </c>
      <c r="W572">
        <v>0</v>
      </c>
      <c r="X572">
        <v>0</v>
      </c>
      <c r="Y572">
        <v>0</v>
      </c>
      <c r="AE572">
        <f t="shared" si="24"/>
        <v>1</v>
      </c>
      <c r="AF572">
        <f>VLOOKUP(D572,especies!$A$2:$C$9,3,FALSE)</f>
        <v>1</v>
      </c>
      <c r="AG572" t="str">
        <f t="shared" si="25"/>
        <v>1-Caniche</v>
      </c>
      <c r="AH572">
        <f>VLOOKUP('Fichas clínicas'!AG572,razas!$A$2:$D$66,3,FALSE)</f>
        <v>4</v>
      </c>
      <c r="AI572" t="str">
        <f t="shared" si="26"/>
        <v>H</v>
      </c>
    </row>
    <row r="573" spans="1:35" x14ac:dyDescent="0.2">
      <c r="A573">
        <v>574</v>
      </c>
      <c r="B573" t="s">
        <v>1441</v>
      </c>
      <c r="C573" t="s">
        <v>53</v>
      </c>
      <c r="D573" t="s">
        <v>32</v>
      </c>
      <c r="E573" t="s">
        <v>257</v>
      </c>
      <c r="F573" t="s">
        <v>34</v>
      </c>
      <c r="G573" t="s">
        <v>258</v>
      </c>
      <c r="J573" t="s">
        <v>963</v>
      </c>
      <c r="K573" t="s">
        <v>38</v>
      </c>
      <c r="L573" t="s">
        <v>38</v>
      </c>
      <c r="M573" t="s">
        <v>38</v>
      </c>
      <c r="N573" t="s">
        <v>38</v>
      </c>
      <c r="O573" t="s">
        <v>38</v>
      </c>
      <c r="T573" t="s">
        <v>38</v>
      </c>
      <c r="U573">
        <v>0</v>
      </c>
      <c r="V573">
        <v>1</v>
      </c>
      <c r="W573">
        <v>0</v>
      </c>
      <c r="X573">
        <v>0</v>
      </c>
      <c r="Y573">
        <v>0</v>
      </c>
      <c r="AE573">
        <f t="shared" si="24"/>
        <v>1</v>
      </c>
      <c r="AF573">
        <f>VLOOKUP(D573,especies!$A$2:$C$9,3,FALSE)</f>
        <v>1</v>
      </c>
      <c r="AG573" t="str">
        <f t="shared" si="25"/>
        <v>1-Terrier Chileno</v>
      </c>
      <c r="AH573">
        <f>VLOOKUP('Fichas clínicas'!AG573,razas!$A$2:$D$66,3,FALSE)</f>
        <v>10</v>
      </c>
      <c r="AI573" t="str">
        <f t="shared" si="26"/>
        <v>H</v>
      </c>
    </row>
    <row r="574" spans="1:35" x14ac:dyDescent="0.2">
      <c r="A574">
        <v>575</v>
      </c>
      <c r="B574" t="s">
        <v>1442</v>
      </c>
      <c r="C574" t="s">
        <v>1136</v>
      </c>
      <c r="D574" t="s">
        <v>41</v>
      </c>
      <c r="E574" t="s">
        <v>42</v>
      </c>
      <c r="F574" t="s">
        <v>34</v>
      </c>
      <c r="G574" t="s">
        <v>284</v>
      </c>
      <c r="J574" t="s">
        <v>1443</v>
      </c>
      <c r="K574" t="s">
        <v>38</v>
      </c>
      <c r="L574" t="s">
        <v>38</v>
      </c>
      <c r="M574" t="s">
        <v>38</v>
      </c>
      <c r="N574" t="s">
        <v>38</v>
      </c>
      <c r="O574" t="s">
        <v>38</v>
      </c>
      <c r="T574" t="s">
        <v>38</v>
      </c>
      <c r="U574">
        <v>0</v>
      </c>
      <c r="V574">
        <v>1</v>
      </c>
      <c r="W574">
        <v>0</v>
      </c>
      <c r="X574">
        <v>0</v>
      </c>
      <c r="Y574">
        <v>0</v>
      </c>
      <c r="AE574">
        <f t="shared" si="24"/>
        <v>1</v>
      </c>
      <c r="AF574">
        <f>VLOOKUP(D574,especies!$A$2:$C$9,3,FALSE)</f>
        <v>2</v>
      </c>
      <c r="AG574" t="str">
        <f t="shared" si="25"/>
        <v>2-DPC (Doméstico de pelo corto o DSH)</v>
      </c>
      <c r="AH574">
        <f>VLOOKUP('Fichas clínicas'!AG574,razas!$A$2:$D$66,3,FALSE)</f>
        <v>51</v>
      </c>
      <c r="AI574" t="str">
        <f t="shared" si="26"/>
        <v>H</v>
      </c>
    </row>
    <row r="575" spans="1:35" x14ac:dyDescent="0.2">
      <c r="A575">
        <v>576</v>
      </c>
      <c r="B575" t="s">
        <v>1442</v>
      </c>
      <c r="C575" t="s">
        <v>1444</v>
      </c>
      <c r="D575" t="s">
        <v>32</v>
      </c>
      <c r="E575" t="s">
        <v>33</v>
      </c>
      <c r="F575" t="s">
        <v>47</v>
      </c>
      <c r="G575" t="s">
        <v>84</v>
      </c>
      <c r="J575" t="s">
        <v>1445</v>
      </c>
      <c r="K575" t="s">
        <v>38</v>
      </c>
      <c r="L575" t="s">
        <v>38</v>
      </c>
      <c r="M575" t="s">
        <v>38</v>
      </c>
      <c r="N575" t="s">
        <v>38</v>
      </c>
      <c r="O575" t="s">
        <v>38</v>
      </c>
      <c r="T575" t="s">
        <v>38</v>
      </c>
      <c r="U575">
        <v>0</v>
      </c>
      <c r="W575">
        <v>0</v>
      </c>
      <c r="X575">
        <v>0</v>
      </c>
      <c r="Y575">
        <v>0</v>
      </c>
      <c r="AE575">
        <f t="shared" si="24"/>
        <v>1</v>
      </c>
      <c r="AF575">
        <f>VLOOKUP(D575,especies!$A$2:$C$9,3,FALSE)</f>
        <v>1</v>
      </c>
      <c r="AG575" t="str">
        <f t="shared" si="25"/>
        <v>1-Mestizo</v>
      </c>
      <c r="AH575">
        <f>VLOOKUP('Fichas clínicas'!AG575,razas!$A$2:$D$66,3,FALSE)</f>
        <v>1</v>
      </c>
      <c r="AI575" t="str">
        <f t="shared" si="26"/>
        <v>M</v>
      </c>
    </row>
    <row r="576" spans="1:35" x14ac:dyDescent="0.2">
      <c r="A576">
        <v>577</v>
      </c>
      <c r="B576" t="s">
        <v>1404</v>
      </c>
      <c r="C576" t="s">
        <v>1446</v>
      </c>
      <c r="D576" t="s">
        <v>41</v>
      </c>
      <c r="E576" t="s">
        <v>42</v>
      </c>
      <c r="F576" t="s">
        <v>47</v>
      </c>
      <c r="G576" t="s">
        <v>199</v>
      </c>
      <c r="J576" t="s">
        <v>1406</v>
      </c>
      <c r="K576" t="s">
        <v>38</v>
      </c>
      <c r="L576" t="s">
        <v>38</v>
      </c>
      <c r="M576" t="s">
        <v>38</v>
      </c>
      <c r="N576" t="s">
        <v>38</v>
      </c>
      <c r="O576" t="s">
        <v>38</v>
      </c>
      <c r="T576" t="s">
        <v>38</v>
      </c>
      <c r="U576">
        <v>0</v>
      </c>
      <c r="V576">
        <v>1</v>
      </c>
      <c r="W576">
        <v>0</v>
      </c>
      <c r="X576">
        <v>0</v>
      </c>
      <c r="Y576">
        <v>0</v>
      </c>
      <c r="AE576">
        <f t="shared" si="24"/>
        <v>1</v>
      </c>
      <c r="AF576">
        <f>VLOOKUP(D576,especies!$A$2:$C$9,3,FALSE)</f>
        <v>2</v>
      </c>
      <c r="AG576" t="str">
        <f t="shared" si="25"/>
        <v>2-DPC (Doméstico de pelo corto o DSH)</v>
      </c>
      <c r="AH576">
        <f>VLOOKUP('Fichas clínicas'!AG576,razas!$A$2:$D$66,3,FALSE)</f>
        <v>51</v>
      </c>
      <c r="AI576" t="str">
        <f t="shared" si="26"/>
        <v>M</v>
      </c>
    </row>
    <row r="577" spans="1:35" x14ac:dyDescent="0.2">
      <c r="A577">
        <v>578</v>
      </c>
      <c r="B577" t="s">
        <v>1447</v>
      </c>
      <c r="C577" t="s">
        <v>1448</v>
      </c>
      <c r="D577" t="s">
        <v>32</v>
      </c>
      <c r="E577" t="s">
        <v>994</v>
      </c>
      <c r="F577" t="s">
        <v>34</v>
      </c>
      <c r="G577" t="s">
        <v>1449</v>
      </c>
      <c r="J577" t="s">
        <v>1450</v>
      </c>
      <c r="K577" t="s">
        <v>38</v>
      </c>
      <c r="L577" t="s">
        <v>38</v>
      </c>
      <c r="M577" t="s">
        <v>38</v>
      </c>
      <c r="N577" t="s">
        <v>38</v>
      </c>
      <c r="O577" t="s">
        <v>38</v>
      </c>
      <c r="T577" t="s">
        <v>38</v>
      </c>
      <c r="U577">
        <v>0</v>
      </c>
      <c r="W577">
        <v>0</v>
      </c>
      <c r="X577">
        <v>0</v>
      </c>
      <c r="Y577">
        <v>0</v>
      </c>
      <c r="AE577">
        <f t="shared" si="24"/>
        <v>1</v>
      </c>
      <c r="AF577">
        <f>VLOOKUP(D577,especies!$A$2:$C$9,3,FALSE)</f>
        <v>1</v>
      </c>
      <c r="AG577" t="str">
        <f t="shared" si="25"/>
        <v>1-Bulldog Francés</v>
      </c>
      <c r="AH577">
        <f>VLOOKUP('Fichas clínicas'!AG577,razas!$A$2:$D$66,3,FALSE)</f>
        <v>26</v>
      </c>
      <c r="AI577" t="str">
        <f t="shared" si="26"/>
        <v>H</v>
      </c>
    </row>
    <row r="578" spans="1:35" x14ac:dyDescent="0.2">
      <c r="A578">
        <v>579</v>
      </c>
      <c r="B578" t="s">
        <v>1451</v>
      </c>
      <c r="C578" t="s">
        <v>1452</v>
      </c>
      <c r="D578" t="s">
        <v>41</v>
      </c>
      <c r="E578" t="s">
        <v>42</v>
      </c>
      <c r="F578" t="s">
        <v>34</v>
      </c>
      <c r="G578" t="s">
        <v>550</v>
      </c>
      <c r="J578" t="s">
        <v>90</v>
      </c>
      <c r="K578" t="s">
        <v>38</v>
      </c>
      <c r="L578" t="s">
        <v>38</v>
      </c>
      <c r="M578" t="s">
        <v>38</v>
      </c>
      <c r="N578" t="s">
        <v>38</v>
      </c>
      <c r="O578" t="s">
        <v>38</v>
      </c>
      <c r="T578" t="s">
        <v>38</v>
      </c>
      <c r="U578">
        <v>0</v>
      </c>
      <c r="W578">
        <v>0</v>
      </c>
      <c r="X578">
        <v>0</v>
      </c>
      <c r="Y578">
        <v>0</v>
      </c>
      <c r="AE578">
        <f t="shared" si="24"/>
        <v>1</v>
      </c>
      <c r="AF578">
        <f>VLOOKUP(D578,especies!$A$2:$C$9,3,FALSE)</f>
        <v>2</v>
      </c>
      <c r="AG578" t="str">
        <f t="shared" si="25"/>
        <v>2-DPC (Doméstico de pelo corto o DSH)</v>
      </c>
      <c r="AH578">
        <f>VLOOKUP('Fichas clínicas'!AG578,razas!$A$2:$D$66,3,FALSE)</f>
        <v>51</v>
      </c>
      <c r="AI578" t="str">
        <f t="shared" si="26"/>
        <v>H</v>
      </c>
    </row>
    <row r="579" spans="1:35" x14ac:dyDescent="0.2">
      <c r="A579">
        <v>580</v>
      </c>
      <c r="B579" t="s">
        <v>1453</v>
      </c>
      <c r="C579" t="s">
        <v>223</v>
      </c>
      <c r="D579" t="s">
        <v>32</v>
      </c>
      <c r="E579" t="s">
        <v>33</v>
      </c>
      <c r="F579" t="s">
        <v>47</v>
      </c>
      <c r="G579" t="s">
        <v>43</v>
      </c>
      <c r="J579" t="s">
        <v>1454</v>
      </c>
      <c r="K579" t="s">
        <v>38</v>
      </c>
      <c r="L579" t="s">
        <v>38</v>
      </c>
      <c r="M579" t="s">
        <v>38</v>
      </c>
      <c r="N579" t="s">
        <v>38</v>
      </c>
      <c r="O579" t="s">
        <v>38</v>
      </c>
      <c r="Q579">
        <v>0</v>
      </c>
      <c r="T579" t="s">
        <v>38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f t="shared" ref="AE579:AE642" si="27">SUBTOTAL(103,E579)</f>
        <v>1</v>
      </c>
      <c r="AF579">
        <f>VLOOKUP(D579,especies!$A$2:$C$9,3,FALSE)</f>
        <v>1</v>
      </c>
      <c r="AG579" t="str">
        <f t="shared" ref="AG579:AG642" si="28">AF579&amp;"-"&amp;E579</f>
        <v>1-Mestizo</v>
      </c>
      <c r="AH579">
        <f>VLOOKUP('Fichas clínicas'!AG579,razas!$A$2:$D$66,3,FALSE)</f>
        <v>1</v>
      </c>
      <c r="AI579" t="str">
        <f t="shared" ref="AI579:AI642" si="29">IF(F579="Hembra","H","M")</f>
        <v>M</v>
      </c>
    </row>
    <row r="580" spans="1:35" x14ac:dyDescent="0.2">
      <c r="A580">
        <v>581</v>
      </c>
      <c r="B580" t="s">
        <v>1455</v>
      </c>
      <c r="C580" t="s">
        <v>1456</v>
      </c>
      <c r="D580" t="s">
        <v>41</v>
      </c>
      <c r="E580" t="s">
        <v>42</v>
      </c>
      <c r="F580" t="s">
        <v>47</v>
      </c>
      <c r="G580" t="s">
        <v>656</v>
      </c>
      <c r="J580" t="s">
        <v>1310</v>
      </c>
      <c r="K580" t="s">
        <v>38</v>
      </c>
      <c r="L580" t="s">
        <v>38</v>
      </c>
      <c r="M580" t="s">
        <v>38</v>
      </c>
      <c r="N580" t="s">
        <v>38</v>
      </c>
      <c r="O580" t="s">
        <v>38</v>
      </c>
      <c r="T580" t="s">
        <v>38</v>
      </c>
      <c r="U580">
        <v>0</v>
      </c>
      <c r="W580">
        <v>0</v>
      </c>
      <c r="X580">
        <v>0</v>
      </c>
      <c r="Y580">
        <v>0</v>
      </c>
      <c r="AE580">
        <f t="shared" si="27"/>
        <v>1</v>
      </c>
      <c r="AF580">
        <f>VLOOKUP(D580,especies!$A$2:$C$9,3,FALSE)</f>
        <v>2</v>
      </c>
      <c r="AG580" t="str">
        <f t="shared" si="28"/>
        <v>2-DPC (Doméstico de pelo corto o DSH)</v>
      </c>
      <c r="AH580">
        <f>VLOOKUP('Fichas clínicas'!AG580,razas!$A$2:$D$66,3,FALSE)</f>
        <v>51</v>
      </c>
      <c r="AI580" t="str">
        <f t="shared" si="29"/>
        <v>M</v>
      </c>
    </row>
    <row r="581" spans="1:35" x14ac:dyDescent="0.2">
      <c r="A581">
        <v>582</v>
      </c>
      <c r="B581" t="s">
        <v>1457</v>
      </c>
      <c r="C581" t="s">
        <v>180</v>
      </c>
      <c r="D581" t="s">
        <v>41</v>
      </c>
      <c r="E581" t="s">
        <v>42</v>
      </c>
      <c r="F581" t="s">
        <v>47</v>
      </c>
      <c r="G581" t="s">
        <v>43</v>
      </c>
      <c r="J581" t="s">
        <v>489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Q581">
        <v>0</v>
      </c>
      <c r="T581" t="s">
        <v>38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f t="shared" si="27"/>
        <v>1</v>
      </c>
      <c r="AF581">
        <f>VLOOKUP(D581,especies!$A$2:$C$9,3,FALSE)</f>
        <v>2</v>
      </c>
      <c r="AG581" t="str">
        <f t="shared" si="28"/>
        <v>2-DPC (Doméstico de pelo corto o DSH)</v>
      </c>
      <c r="AH581">
        <f>VLOOKUP('Fichas clínicas'!AG581,razas!$A$2:$D$66,3,FALSE)</f>
        <v>51</v>
      </c>
      <c r="AI581" t="str">
        <f t="shared" si="29"/>
        <v>M</v>
      </c>
    </row>
    <row r="582" spans="1:35" x14ac:dyDescent="0.2">
      <c r="A582">
        <v>583</v>
      </c>
      <c r="B582" t="s">
        <v>1458</v>
      </c>
      <c r="C582" t="s">
        <v>1280</v>
      </c>
      <c r="D582" t="s">
        <v>32</v>
      </c>
      <c r="E582" t="s">
        <v>1459</v>
      </c>
      <c r="F582" t="s">
        <v>47</v>
      </c>
      <c r="G582" t="s">
        <v>329</v>
      </c>
      <c r="J582" t="s">
        <v>710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T582" t="s">
        <v>38</v>
      </c>
      <c r="U582">
        <v>0</v>
      </c>
      <c r="W582">
        <v>0</v>
      </c>
      <c r="X582">
        <v>0</v>
      </c>
      <c r="Y582">
        <v>0</v>
      </c>
      <c r="AE582">
        <f t="shared" si="27"/>
        <v>1</v>
      </c>
      <c r="AF582">
        <f>VLOOKUP(D582,especies!$A$2:$C$9,3,FALSE)</f>
        <v>1</v>
      </c>
      <c r="AG582" t="str">
        <f t="shared" si="28"/>
        <v>1-Pastor Australiano</v>
      </c>
      <c r="AH582">
        <f>VLOOKUP('Fichas clínicas'!AG582,razas!$A$2:$D$66,3,FALSE)</f>
        <v>31</v>
      </c>
      <c r="AI582" t="str">
        <f t="shared" si="29"/>
        <v>M</v>
      </c>
    </row>
    <row r="583" spans="1:35" x14ac:dyDescent="0.2">
      <c r="A583">
        <v>584</v>
      </c>
      <c r="B583" t="s">
        <v>1458</v>
      </c>
      <c r="C583" t="s">
        <v>514</v>
      </c>
      <c r="D583" t="s">
        <v>32</v>
      </c>
      <c r="E583" t="s">
        <v>893</v>
      </c>
      <c r="F583" t="s">
        <v>34</v>
      </c>
      <c r="G583" t="s">
        <v>165</v>
      </c>
      <c r="J583" t="s">
        <v>710</v>
      </c>
      <c r="K583" t="s">
        <v>38</v>
      </c>
      <c r="L583" t="s">
        <v>38</v>
      </c>
      <c r="M583" t="s">
        <v>38</v>
      </c>
      <c r="N583" t="s">
        <v>38</v>
      </c>
      <c r="O583" t="s">
        <v>38</v>
      </c>
      <c r="T583" t="s">
        <v>38</v>
      </c>
      <c r="U583">
        <v>0</v>
      </c>
      <c r="V583">
        <v>1</v>
      </c>
      <c r="W583">
        <v>0</v>
      </c>
      <c r="X583">
        <v>0</v>
      </c>
      <c r="Y583">
        <v>0</v>
      </c>
      <c r="AE583">
        <f t="shared" si="27"/>
        <v>1</v>
      </c>
      <c r="AF583">
        <f>VLOOKUP(D583,especies!$A$2:$C$9,3,FALSE)</f>
        <v>1</v>
      </c>
      <c r="AG583" t="str">
        <f t="shared" si="28"/>
        <v>1-Mudi</v>
      </c>
      <c r="AH583">
        <f>VLOOKUP('Fichas clínicas'!AG583,razas!$A$2:$D$66,3,FALSE)</f>
        <v>22</v>
      </c>
      <c r="AI583" t="str">
        <f t="shared" si="29"/>
        <v>H</v>
      </c>
    </row>
    <row r="584" spans="1:35" x14ac:dyDescent="0.2">
      <c r="A584">
        <v>585</v>
      </c>
      <c r="B584" t="s">
        <v>1460</v>
      </c>
      <c r="C584" t="s">
        <v>1436</v>
      </c>
      <c r="D584" t="s">
        <v>41</v>
      </c>
      <c r="E584" t="s">
        <v>42</v>
      </c>
      <c r="F584" t="s">
        <v>34</v>
      </c>
      <c r="G584" t="s">
        <v>64</v>
      </c>
      <c r="J584" t="s">
        <v>1461</v>
      </c>
      <c r="K584" t="s">
        <v>38</v>
      </c>
      <c r="L584" t="s">
        <v>38</v>
      </c>
      <c r="M584" t="s">
        <v>38</v>
      </c>
      <c r="N584" t="s">
        <v>38</v>
      </c>
      <c r="O584" t="s">
        <v>38</v>
      </c>
      <c r="T584" t="s">
        <v>38</v>
      </c>
      <c r="U584">
        <v>0</v>
      </c>
      <c r="W584">
        <v>0</v>
      </c>
      <c r="X584">
        <v>0</v>
      </c>
      <c r="Y584">
        <v>0</v>
      </c>
      <c r="AE584">
        <f t="shared" si="27"/>
        <v>1</v>
      </c>
      <c r="AF584">
        <f>VLOOKUP(D584,especies!$A$2:$C$9,3,FALSE)</f>
        <v>2</v>
      </c>
      <c r="AG584" t="str">
        <f t="shared" si="28"/>
        <v>2-DPC (Doméstico de pelo corto o DSH)</v>
      </c>
      <c r="AH584">
        <f>VLOOKUP('Fichas clínicas'!AG584,razas!$A$2:$D$66,3,FALSE)</f>
        <v>51</v>
      </c>
      <c r="AI584" t="str">
        <f t="shared" si="29"/>
        <v>H</v>
      </c>
    </row>
    <row r="585" spans="1:35" x14ac:dyDescent="0.2">
      <c r="A585">
        <v>586</v>
      </c>
      <c r="B585" t="s">
        <v>1239</v>
      </c>
      <c r="C585" t="s">
        <v>1462</v>
      </c>
      <c r="D585" t="s">
        <v>32</v>
      </c>
      <c r="E585" t="s">
        <v>812</v>
      </c>
      <c r="F585" t="s">
        <v>34</v>
      </c>
      <c r="G585" t="s">
        <v>199</v>
      </c>
      <c r="I585">
        <v>985100031802255</v>
      </c>
      <c r="J585" t="s">
        <v>1463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Q585">
        <v>0</v>
      </c>
      <c r="T585" t="s">
        <v>38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f t="shared" si="27"/>
        <v>1</v>
      </c>
      <c r="AF585">
        <f>VLOOKUP(D585,especies!$A$2:$C$9,3,FALSE)</f>
        <v>1</v>
      </c>
      <c r="AG585" t="str">
        <f t="shared" si="28"/>
        <v>1-Fox Terrier de Pelo Duro</v>
      </c>
      <c r="AH585">
        <f>VLOOKUP('Fichas clínicas'!AG585,razas!$A$2:$D$66,3,FALSE)</f>
        <v>18</v>
      </c>
      <c r="AI585" t="str">
        <f t="shared" si="29"/>
        <v>H</v>
      </c>
    </row>
    <row r="586" spans="1:35" x14ac:dyDescent="0.2">
      <c r="A586">
        <v>587</v>
      </c>
      <c r="B586" t="s">
        <v>1464</v>
      </c>
      <c r="C586" t="s">
        <v>1465</v>
      </c>
      <c r="D586" t="s">
        <v>41</v>
      </c>
      <c r="E586" t="s">
        <v>42</v>
      </c>
      <c r="F586" t="s">
        <v>47</v>
      </c>
      <c r="G586" t="s">
        <v>109</v>
      </c>
      <c r="J586" t="s">
        <v>281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Q586">
        <v>0</v>
      </c>
      <c r="T586" t="s">
        <v>38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f t="shared" si="27"/>
        <v>1</v>
      </c>
      <c r="AF586">
        <f>VLOOKUP(D586,especies!$A$2:$C$9,3,FALSE)</f>
        <v>2</v>
      </c>
      <c r="AG586" t="str">
        <f t="shared" si="28"/>
        <v>2-DPC (Doméstico de pelo corto o DSH)</v>
      </c>
      <c r="AH586">
        <f>VLOOKUP('Fichas clínicas'!AG586,razas!$A$2:$D$66,3,FALSE)</f>
        <v>51</v>
      </c>
      <c r="AI586" t="str">
        <f t="shared" si="29"/>
        <v>M</v>
      </c>
    </row>
    <row r="587" spans="1:35" x14ac:dyDescent="0.2">
      <c r="A587">
        <v>588</v>
      </c>
      <c r="B587" t="s">
        <v>1466</v>
      </c>
      <c r="C587" t="s">
        <v>1467</v>
      </c>
      <c r="D587" t="s">
        <v>41</v>
      </c>
      <c r="E587" t="s">
        <v>42</v>
      </c>
      <c r="F587" t="s">
        <v>34</v>
      </c>
      <c r="G587" t="s">
        <v>329</v>
      </c>
      <c r="J587" t="s">
        <v>809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T587" t="s">
        <v>38</v>
      </c>
      <c r="U587">
        <v>0</v>
      </c>
      <c r="W587">
        <v>0</v>
      </c>
      <c r="X587">
        <v>0</v>
      </c>
      <c r="Y587">
        <v>0</v>
      </c>
      <c r="AE587">
        <f t="shared" si="27"/>
        <v>1</v>
      </c>
      <c r="AF587">
        <f>VLOOKUP(D587,especies!$A$2:$C$9,3,FALSE)</f>
        <v>2</v>
      </c>
      <c r="AG587" t="str">
        <f t="shared" si="28"/>
        <v>2-DPC (Doméstico de pelo corto o DSH)</v>
      </c>
      <c r="AH587">
        <f>VLOOKUP('Fichas clínicas'!AG587,razas!$A$2:$D$66,3,FALSE)</f>
        <v>51</v>
      </c>
      <c r="AI587" t="str">
        <f t="shared" si="29"/>
        <v>H</v>
      </c>
    </row>
    <row r="588" spans="1:35" x14ac:dyDescent="0.2">
      <c r="A588">
        <v>589</v>
      </c>
      <c r="B588" t="s">
        <v>864</v>
      </c>
      <c r="C588" t="s">
        <v>1468</v>
      </c>
      <c r="D588" t="s">
        <v>32</v>
      </c>
      <c r="E588" t="s">
        <v>33</v>
      </c>
      <c r="F588" t="s">
        <v>34</v>
      </c>
      <c r="G588" t="s">
        <v>199</v>
      </c>
      <c r="J588" t="s">
        <v>426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T588" t="s">
        <v>38</v>
      </c>
      <c r="U588">
        <v>0</v>
      </c>
      <c r="V588">
        <v>1</v>
      </c>
      <c r="W588">
        <v>0</v>
      </c>
      <c r="X588">
        <v>0</v>
      </c>
      <c r="Y588">
        <v>0</v>
      </c>
      <c r="AE588">
        <f t="shared" si="27"/>
        <v>1</v>
      </c>
      <c r="AF588">
        <f>VLOOKUP(D588,especies!$A$2:$C$9,3,FALSE)</f>
        <v>1</v>
      </c>
      <c r="AG588" t="str">
        <f t="shared" si="28"/>
        <v>1-Mestizo</v>
      </c>
      <c r="AH588">
        <f>VLOOKUP('Fichas clínicas'!AG588,razas!$A$2:$D$66,3,FALSE)</f>
        <v>1</v>
      </c>
      <c r="AI588" t="str">
        <f t="shared" si="29"/>
        <v>H</v>
      </c>
    </row>
    <row r="589" spans="1:35" x14ac:dyDescent="0.2">
      <c r="A589">
        <v>590</v>
      </c>
      <c r="B589" t="s">
        <v>475</v>
      </c>
      <c r="C589" t="s">
        <v>1469</v>
      </c>
      <c r="D589" t="s">
        <v>41</v>
      </c>
      <c r="E589" t="s">
        <v>42</v>
      </c>
      <c r="F589" t="s">
        <v>47</v>
      </c>
      <c r="G589" t="s">
        <v>550</v>
      </c>
      <c r="J589" t="s">
        <v>170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T589" t="s">
        <v>38</v>
      </c>
      <c r="U589">
        <v>0</v>
      </c>
      <c r="V589">
        <v>1</v>
      </c>
      <c r="W589">
        <v>0</v>
      </c>
      <c r="X589">
        <v>0</v>
      </c>
      <c r="Y589">
        <v>0</v>
      </c>
      <c r="AE589">
        <f t="shared" si="27"/>
        <v>1</v>
      </c>
      <c r="AF589">
        <f>VLOOKUP(D589,especies!$A$2:$C$9,3,FALSE)</f>
        <v>2</v>
      </c>
      <c r="AG589" t="str">
        <f t="shared" si="28"/>
        <v>2-DPC (Doméstico de pelo corto o DSH)</v>
      </c>
      <c r="AH589">
        <f>VLOOKUP('Fichas clínicas'!AG589,razas!$A$2:$D$66,3,FALSE)</f>
        <v>51</v>
      </c>
      <c r="AI589" t="str">
        <f t="shared" si="29"/>
        <v>M</v>
      </c>
    </row>
    <row r="590" spans="1:35" x14ac:dyDescent="0.2">
      <c r="A590">
        <v>591</v>
      </c>
      <c r="B590" t="s">
        <v>1470</v>
      </c>
      <c r="C590" t="s">
        <v>1471</v>
      </c>
      <c r="D590" t="s">
        <v>41</v>
      </c>
      <c r="E590" t="s">
        <v>42</v>
      </c>
      <c r="F590" t="s">
        <v>47</v>
      </c>
      <c r="G590" t="s">
        <v>199</v>
      </c>
      <c r="J590" t="s">
        <v>989</v>
      </c>
      <c r="K590" t="s">
        <v>38</v>
      </c>
      <c r="L590" t="s">
        <v>38</v>
      </c>
      <c r="M590" t="s">
        <v>38</v>
      </c>
      <c r="N590" t="s">
        <v>38</v>
      </c>
      <c r="O590" t="s">
        <v>38</v>
      </c>
      <c r="T590" t="s">
        <v>38</v>
      </c>
      <c r="U590">
        <v>0</v>
      </c>
      <c r="W590">
        <v>0</v>
      </c>
      <c r="X590">
        <v>0</v>
      </c>
      <c r="Y590">
        <v>0</v>
      </c>
      <c r="AE590">
        <f t="shared" si="27"/>
        <v>1</v>
      </c>
      <c r="AF590">
        <f>VLOOKUP(D590,especies!$A$2:$C$9,3,FALSE)</f>
        <v>2</v>
      </c>
      <c r="AG590" t="str">
        <f t="shared" si="28"/>
        <v>2-DPC (Doméstico de pelo corto o DSH)</v>
      </c>
      <c r="AH590">
        <f>VLOOKUP('Fichas clínicas'!AG590,razas!$A$2:$D$66,3,FALSE)</f>
        <v>51</v>
      </c>
      <c r="AI590" t="str">
        <f t="shared" si="29"/>
        <v>M</v>
      </c>
    </row>
    <row r="591" spans="1:35" x14ac:dyDescent="0.2">
      <c r="A591">
        <v>592</v>
      </c>
      <c r="B591" t="s">
        <v>1470</v>
      </c>
      <c r="C591" t="s">
        <v>1472</v>
      </c>
      <c r="D591" t="s">
        <v>32</v>
      </c>
      <c r="E591" t="s">
        <v>33</v>
      </c>
      <c r="F591" t="s">
        <v>47</v>
      </c>
      <c r="G591" t="s">
        <v>656</v>
      </c>
      <c r="J591" t="s">
        <v>809</v>
      </c>
      <c r="K591" t="s">
        <v>38</v>
      </c>
      <c r="L591" t="s">
        <v>38</v>
      </c>
      <c r="M591" t="s">
        <v>38</v>
      </c>
      <c r="N591" t="s">
        <v>38</v>
      </c>
      <c r="O591" t="s">
        <v>38</v>
      </c>
      <c r="T591" t="s">
        <v>38</v>
      </c>
      <c r="U591">
        <v>0</v>
      </c>
      <c r="W591">
        <v>0</v>
      </c>
      <c r="X591">
        <v>0</v>
      </c>
      <c r="Y591">
        <v>0</v>
      </c>
      <c r="AE591">
        <f t="shared" si="27"/>
        <v>1</v>
      </c>
      <c r="AF591">
        <f>VLOOKUP(D591,especies!$A$2:$C$9,3,FALSE)</f>
        <v>1</v>
      </c>
      <c r="AG591" t="str">
        <f t="shared" si="28"/>
        <v>1-Mestizo</v>
      </c>
      <c r="AH591">
        <f>VLOOKUP('Fichas clínicas'!AG591,razas!$A$2:$D$66,3,FALSE)</f>
        <v>1</v>
      </c>
      <c r="AI591" t="str">
        <f t="shared" si="29"/>
        <v>M</v>
      </c>
    </row>
    <row r="592" spans="1:35" x14ac:dyDescent="0.2">
      <c r="A592">
        <v>593</v>
      </c>
      <c r="B592" t="s">
        <v>1473</v>
      </c>
      <c r="C592" t="s">
        <v>1474</v>
      </c>
      <c r="D592" t="s">
        <v>41</v>
      </c>
      <c r="E592" t="s">
        <v>42</v>
      </c>
      <c r="F592" t="s">
        <v>34</v>
      </c>
      <c r="G592" t="s">
        <v>109</v>
      </c>
      <c r="J592" t="s">
        <v>130</v>
      </c>
      <c r="K592" t="s">
        <v>38</v>
      </c>
      <c r="L592" t="s">
        <v>38</v>
      </c>
      <c r="M592" t="s">
        <v>38</v>
      </c>
      <c r="N592" t="s">
        <v>38</v>
      </c>
      <c r="O592" t="s">
        <v>38</v>
      </c>
      <c r="T592" t="s">
        <v>38</v>
      </c>
      <c r="U592">
        <v>0</v>
      </c>
      <c r="W592">
        <v>0</v>
      </c>
      <c r="X592">
        <v>0</v>
      </c>
      <c r="Y592">
        <v>0</v>
      </c>
      <c r="AE592">
        <f t="shared" si="27"/>
        <v>1</v>
      </c>
      <c r="AF592">
        <f>VLOOKUP(D592,especies!$A$2:$C$9,3,FALSE)</f>
        <v>2</v>
      </c>
      <c r="AG592" t="str">
        <f t="shared" si="28"/>
        <v>2-DPC (Doméstico de pelo corto o DSH)</v>
      </c>
      <c r="AH592">
        <f>VLOOKUP('Fichas clínicas'!AG592,razas!$A$2:$D$66,3,FALSE)</f>
        <v>51</v>
      </c>
      <c r="AI592" t="str">
        <f t="shared" si="29"/>
        <v>H</v>
      </c>
    </row>
    <row r="593" spans="1:35" x14ac:dyDescent="0.2">
      <c r="A593">
        <v>594</v>
      </c>
      <c r="B593" t="s">
        <v>1475</v>
      </c>
      <c r="C593" t="s">
        <v>1476</v>
      </c>
      <c r="D593" t="s">
        <v>32</v>
      </c>
      <c r="E593" t="s">
        <v>122</v>
      </c>
      <c r="F593" t="s">
        <v>47</v>
      </c>
      <c r="G593" t="s">
        <v>123</v>
      </c>
      <c r="J593" t="s">
        <v>1477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T593" t="s">
        <v>38</v>
      </c>
      <c r="U593">
        <v>0</v>
      </c>
      <c r="V593">
        <v>1</v>
      </c>
      <c r="W593">
        <v>0</v>
      </c>
      <c r="X593">
        <v>0</v>
      </c>
      <c r="Y593">
        <v>0</v>
      </c>
      <c r="AE593">
        <f t="shared" si="27"/>
        <v>1</v>
      </c>
      <c r="AF593">
        <f>VLOOKUP(D593,especies!$A$2:$C$9,3,FALSE)</f>
        <v>1</v>
      </c>
      <c r="AG593" t="str">
        <f t="shared" si="28"/>
        <v>1-Caniche</v>
      </c>
      <c r="AH593">
        <f>VLOOKUP('Fichas clínicas'!AG593,razas!$A$2:$D$66,3,FALSE)</f>
        <v>4</v>
      </c>
      <c r="AI593" t="str">
        <f t="shared" si="29"/>
        <v>M</v>
      </c>
    </row>
    <row r="594" spans="1:35" x14ac:dyDescent="0.2">
      <c r="A594">
        <v>595</v>
      </c>
      <c r="B594" t="s">
        <v>1478</v>
      </c>
      <c r="C594" t="s">
        <v>1479</v>
      </c>
      <c r="D594" t="s">
        <v>32</v>
      </c>
      <c r="E594" t="s">
        <v>150</v>
      </c>
      <c r="F594" t="s">
        <v>47</v>
      </c>
      <c r="G594" t="s">
        <v>102</v>
      </c>
      <c r="J594" t="s">
        <v>1427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T594" t="s">
        <v>38</v>
      </c>
      <c r="U594">
        <v>0</v>
      </c>
      <c r="W594">
        <v>0</v>
      </c>
      <c r="X594">
        <v>0</v>
      </c>
      <c r="Y594">
        <v>0</v>
      </c>
      <c r="AE594">
        <f t="shared" si="27"/>
        <v>1</v>
      </c>
      <c r="AF594">
        <f>VLOOKUP(D594,especies!$A$2:$C$9,3,FALSE)</f>
        <v>1</v>
      </c>
      <c r="AG594" t="str">
        <f t="shared" si="28"/>
        <v>1-Poodle</v>
      </c>
      <c r="AH594">
        <f>VLOOKUP('Fichas clínicas'!AG594,razas!$A$2:$D$66,3,FALSE)</f>
        <v>6</v>
      </c>
      <c r="AI594" t="str">
        <f t="shared" si="29"/>
        <v>M</v>
      </c>
    </row>
    <row r="595" spans="1:35" x14ac:dyDescent="0.2">
      <c r="A595">
        <v>596</v>
      </c>
      <c r="B595" t="s">
        <v>1480</v>
      </c>
      <c r="C595" t="s">
        <v>149</v>
      </c>
      <c r="D595" t="s">
        <v>32</v>
      </c>
      <c r="E595" t="s">
        <v>150</v>
      </c>
      <c r="F595" t="s">
        <v>34</v>
      </c>
      <c r="G595" t="s">
        <v>102</v>
      </c>
      <c r="J595" t="s">
        <v>1427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T595" t="s">
        <v>38</v>
      </c>
      <c r="U595">
        <v>0</v>
      </c>
      <c r="W595">
        <v>0</v>
      </c>
      <c r="X595">
        <v>0</v>
      </c>
      <c r="Y595">
        <v>0</v>
      </c>
      <c r="AE595">
        <f t="shared" si="27"/>
        <v>1</v>
      </c>
      <c r="AF595">
        <f>VLOOKUP(D595,especies!$A$2:$C$9,3,FALSE)</f>
        <v>1</v>
      </c>
      <c r="AG595" t="str">
        <f t="shared" si="28"/>
        <v>1-Poodle</v>
      </c>
      <c r="AH595">
        <f>VLOOKUP('Fichas clínicas'!AG595,razas!$A$2:$D$66,3,FALSE)</f>
        <v>6</v>
      </c>
      <c r="AI595" t="str">
        <f t="shared" si="29"/>
        <v>H</v>
      </c>
    </row>
    <row r="596" spans="1:35" x14ac:dyDescent="0.2">
      <c r="A596">
        <v>597</v>
      </c>
      <c r="B596" t="s">
        <v>1481</v>
      </c>
      <c r="C596" t="s">
        <v>115</v>
      </c>
      <c r="D596" t="s">
        <v>41</v>
      </c>
      <c r="E596" t="s">
        <v>42</v>
      </c>
      <c r="F596" t="s">
        <v>47</v>
      </c>
      <c r="G596" t="s">
        <v>284</v>
      </c>
      <c r="J596" t="s">
        <v>1482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T596" t="s">
        <v>38</v>
      </c>
      <c r="U596">
        <v>0</v>
      </c>
      <c r="V596">
        <v>1</v>
      </c>
      <c r="W596">
        <v>0</v>
      </c>
      <c r="X596">
        <v>0</v>
      </c>
      <c r="Y596">
        <v>0</v>
      </c>
      <c r="AE596">
        <f t="shared" si="27"/>
        <v>1</v>
      </c>
      <c r="AF596">
        <f>VLOOKUP(D596,especies!$A$2:$C$9,3,FALSE)</f>
        <v>2</v>
      </c>
      <c r="AG596" t="str">
        <f t="shared" si="28"/>
        <v>2-DPC (Doméstico de pelo corto o DSH)</v>
      </c>
      <c r="AH596">
        <f>VLOOKUP('Fichas clínicas'!AG596,razas!$A$2:$D$66,3,FALSE)</f>
        <v>51</v>
      </c>
      <c r="AI596" t="str">
        <f t="shared" si="29"/>
        <v>M</v>
      </c>
    </row>
    <row r="597" spans="1:35" x14ac:dyDescent="0.2">
      <c r="A597">
        <v>598</v>
      </c>
      <c r="B597" t="s">
        <v>1483</v>
      </c>
      <c r="C597" t="s">
        <v>401</v>
      </c>
      <c r="D597" t="s">
        <v>32</v>
      </c>
      <c r="E597" t="s">
        <v>473</v>
      </c>
      <c r="F597" t="s">
        <v>34</v>
      </c>
      <c r="G597" t="s">
        <v>1484</v>
      </c>
      <c r="J597" t="s">
        <v>1485</v>
      </c>
      <c r="K597" t="s">
        <v>38</v>
      </c>
      <c r="L597" t="s">
        <v>38</v>
      </c>
      <c r="M597" t="s">
        <v>38</v>
      </c>
      <c r="N597" t="s">
        <v>38</v>
      </c>
      <c r="O597" t="s">
        <v>38</v>
      </c>
      <c r="Q597">
        <v>0</v>
      </c>
      <c r="T597" t="s">
        <v>38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f t="shared" si="27"/>
        <v>1</v>
      </c>
      <c r="AF597">
        <f>VLOOKUP(D597,especies!$A$2:$C$9,3,FALSE)</f>
        <v>1</v>
      </c>
      <c r="AG597" t="str">
        <f t="shared" si="28"/>
        <v>1-Boxer</v>
      </c>
      <c r="AH597">
        <f>VLOOKUP('Fichas clínicas'!AG597,razas!$A$2:$D$66,3,FALSE)</f>
        <v>14</v>
      </c>
      <c r="AI597" t="str">
        <f t="shared" si="29"/>
        <v>H</v>
      </c>
    </row>
    <row r="598" spans="1:35" x14ac:dyDescent="0.2">
      <c r="A598">
        <v>599</v>
      </c>
      <c r="B598" t="s">
        <v>726</v>
      </c>
      <c r="C598" t="s">
        <v>1486</v>
      </c>
      <c r="D598" t="s">
        <v>32</v>
      </c>
      <c r="E598" t="s">
        <v>33</v>
      </c>
      <c r="F598" t="s">
        <v>47</v>
      </c>
      <c r="G598" t="s">
        <v>116</v>
      </c>
      <c r="J598" t="s">
        <v>1487</v>
      </c>
      <c r="K598" t="s">
        <v>38</v>
      </c>
      <c r="L598" t="s">
        <v>38</v>
      </c>
      <c r="M598" t="s">
        <v>38</v>
      </c>
      <c r="N598" t="s">
        <v>38</v>
      </c>
      <c r="O598" t="s">
        <v>38</v>
      </c>
      <c r="Q598">
        <v>0</v>
      </c>
      <c r="T598" t="s">
        <v>38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f t="shared" si="27"/>
        <v>1</v>
      </c>
      <c r="AF598">
        <f>VLOOKUP(D598,especies!$A$2:$C$9,3,FALSE)</f>
        <v>1</v>
      </c>
      <c r="AG598" t="str">
        <f t="shared" si="28"/>
        <v>1-Mestizo</v>
      </c>
      <c r="AH598">
        <f>VLOOKUP('Fichas clínicas'!AG598,razas!$A$2:$D$66,3,FALSE)</f>
        <v>1</v>
      </c>
      <c r="AI598" t="str">
        <f t="shared" si="29"/>
        <v>M</v>
      </c>
    </row>
    <row r="599" spans="1:35" x14ac:dyDescent="0.2">
      <c r="A599">
        <v>600</v>
      </c>
      <c r="B599" t="s">
        <v>726</v>
      </c>
      <c r="C599" t="s">
        <v>1488</v>
      </c>
      <c r="D599" t="s">
        <v>32</v>
      </c>
      <c r="E599" t="s">
        <v>33</v>
      </c>
      <c r="F599" t="s">
        <v>47</v>
      </c>
      <c r="G599" t="s">
        <v>43</v>
      </c>
      <c r="J599" t="s">
        <v>797</v>
      </c>
      <c r="K599" t="s">
        <v>38</v>
      </c>
      <c r="L599" t="s">
        <v>38</v>
      </c>
      <c r="M599" t="s">
        <v>38</v>
      </c>
      <c r="N599" t="s">
        <v>38</v>
      </c>
      <c r="O599" t="s">
        <v>38</v>
      </c>
      <c r="Q599">
        <v>0</v>
      </c>
      <c r="T599" t="s">
        <v>38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f t="shared" si="27"/>
        <v>1</v>
      </c>
      <c r="AF599">
        <f>VLOOKUP(D599,especies!$A$2:$C$9,3,FALSE)</f>
        <v>1</v>
      </c>
      <c r="AG599" t="str">
        <f t="shared" si="28"/>
        <v>1-Mestizo</v>
      </c>
      <c r="AH599">
        <f>VLOOKUP('Fichas clínicas'!AG599,razas!$A$2:$D$66,3,FALSE)</f>
        <v>1</v>
      </c>
      <c r="AI599" t="str">
        <f t="shared" si="29"/>
        <v>M</v>
      </c>
    </row>
    <row r="600" spans="1:35" x14ac:dyDescent="0.2">
      <c r="A600">
        <v>601</v>
      </c>
      <c r="B600" t="s">
        <v>1489</v>
      </c>
      <c r="C600" t="s">
        <v>637</v>
      </c>
      <c r="D600" t="s">
        <v>41</v>
      </c>
      <c r="E600" t="s">
        <v>42</v>
      </c>
      <c r="F600" t="s">
        <v>34</v>
      </c>
      <c r="G600" t="s">
        <v>550</v>
      </c>
      <c r="J600" t="s">
        <v>1490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Q600">
        <v>0</v>
      </c>
      <c r="T600" t="s">
        <v>38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f t="shared" si="27"/>
        <v>1</v>
      </c>
      <c r="AF600">
        <f>VLOOKUP(D600,especies!$A$2:$C$9,3,FALSE)</f>
        <v>2</v>
      </c>
      <c r="AG600" t="str">
        <f t="shared" si="28"/>
        <v>2-DPC (Doméstico de pelo corto o DSH)</v>
      </c>
      <c r="AH600">
        <f>VLOOKUP('Fichas clínicas'!AG600,razas!$A$2:$D$66,3,FALSE)</f>
        <v>51</v>
      </c>
      <c r="AI600" t="str">
        <f t="shared" si="29"/>
        <v>H</v>
      </c>
    </row>
    <row r="601" spans="1:35" x14ac:dyDescent="0.2">
      <c r="A601">
        <v>602</v>
      </c>
      <c r="B601" t="s">
        <v>819</v>
      </c>
      <c r="C601" t="s">
        <v>1491</v>
      </c>
      <c r="D601" t="s">
        <v>32</v>
      </c>
      <c r="E601" t="s">
        <v>33</v>
      </c>
      <c r="F601" t="s">
        <v>47</v>
      </c>
      <c r="G601" t="s">
        <v>1492</v>
      </c>
      <c r="J601" t="s">
        <v>1493</v>
      </c>
      <c r="K601" t="s">
        <v>38</v>
      </c>
      <c r="L601" t="s">
        <v>38</v>
      </c>
      <c r="M601" t="s">
        <v>38</v>
      </c>
      <c r="N601" t="s">
        <v>38</v>
      </c>
      <c r="O601" t="s">
        <v>38</v>
      </c>
      <c r="T601" t="s">
        <v>38</v>
      </c>
      <c r="U601">
        <v>0</v>
      </c>
      <c r="W601">
        <v>0</v>
      </c>
      <c r="X601">
        <v>0</v>
      </c>
      <c r="Y601">
        <v>0</v>
      </c>
      <c r="AE601">
        <f t="shared" si="27"/>
        <v>1</v>
      </c>
      <c r="AF601">
        <f>VLOOKUP(D601,especies!$A$2:$C$9,3,FALSE)</f>
        <v>1</v>
      </c>
      <c r="AG601" t="str">
        <f t="shared" si="28"/>
        <v>1-Mestizo</v>
      </c>
      <c r="AH601">
        <f>VLOOKUP('Fichas clínicas'!AG601,razas!$A$2:$D$66,3,FALSE)</f>
        <v>1</v>
      </c>
      <c r="AI601" t="str">
        <f t="shared" si="29"/>
        <v>M</v>
      </c>
    </row>
    <row r="602" spans="1:35" x14ac:dyDescent="0.2">
      <c r="A602">
        <v>603</v>
      </c>
      <c r="B602" t="s">
        <v>1494</v>
      </c>
      <c r="C602" t="s">
        <v>299</v>
      </c>
      <c r="D602" t="s">
        <v>41</v>
      </c>
      <c r="E602" t="s">
        <v>93</v>
      </c>
      <c r="F602" t="s">
        <v>34</v>
      </c>
      <c r="G602" t="s">
        <v>1495</v>
      </c>
      <c r="I602">
        <v>939000007228546</v>
      </c>
      <c r="J602" t="s">
        <v>1496</v>
      </c>
      <c r="K602" t="s">
        <v>38</v>
      </c>
      <c r="L602" t="s">
        <v>38</v>
      </c>
      <c r="M602" t="s">
        <v>38</v>
      </c>
      <c r="N602" t="s">
        <v>38</v>
      </c>
      <c r="O602" t="s">
        <v>38</v>
      </c>
      <c r="Q602">
        <v>0</v>
      </c>
      <c r="T602" t="s">
        <v>38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f t="shared" si="27"/>
        <v>1</v>
      </c>
      <c r="AF602">
        <f>VLOOKUP(D602,especies!$A$2:$C$9,3,FALSE)</f>
        <v>2</v>
      </c>
      <c r="AG602" t="str">
        <f t="shared" si="28"/>
        <v>2-DPL (Doméstico de pelo Largo o DLH)</v>
      </c>
      <c r="AH602">
        <f>VLOOKUP('Fichas clínicas'!AG602,razas!$A$2:$D$66,3,FALSE)</f>
        <v>52</v>
      </c>
      <c r="AI602" t="str">
        <f t="shared" si="29"/>
        <v>H</v>
      </c>
    </row>
    <row r="603" spans="1:35" x14ac:dyDescent="0.2">
      <c r="A603">
        <v>604</v>
      </c>
      <c r="B603" t="s">
        <v>1497</v>
      </c>
      <c r="C603" t="s">
        <v>121</v>
      </c>
      <c r="D603" t="s">
        <v>32</v>
      </c>
      <c r="E603" t="s">
        <v>122</v>
      </c>
      <c r="F603" t="s">
        <v>34</v>
      </c>
      <c r="G603" t="s">
        <v>116</v>
      </c>
      <c r="J603" t="s">
        <v>1427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Q603">
        <v>0</v>
      </c>
      <c r="T603" t="s">
        <v>38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f t="shared" si="27"/>
        <v>1</v>
      </c>
      <c r="AF603">
        <f>VLOOKUP(D603,especies!$A$2:$C$9,3,FALSE)</f>
        <v>1</v>
      </c>
      <c r="AG603" t="str">
        <f t="shared" si="28"/>
        <v>1-Caniche</v>
      </c>
      <c r="AH603">
        <f>VLOOKUP('Fichas clínicas'!AG603,razas!$A$2:$D$66,3,FALSE)</f>
        <v>4</v>
      </c>
      <c r="AI603" t="str">
        <f t="shared" si="29"/>
        <v>H</v>
      </c>
    </row>
    <row r="604" spans="1:35" x14ac:dyDescent="0.2">
      <c r="A604">
        <v>605</v>
      </c>
      <c r="B604" t="s">
        <v>1498</v>
      </c>
      <c r="C604" t="s">
        <v>1356</v>
      </c>
      <c r="D604" t="s">
        <v>32</v>
      </c>
      <c r="E604" t="s">
        <v>33</v>
      </c>
      <c r="F604" t="s">
        <v>34</v>
      </c>
      <c r="G604" t="s">
        <v>165</v>
      </c>
      <c r="J604" t="s">
        <v>989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T604" t="s">
        <v>38</v>
      </c>
      <c r="U604">
        <v>0</v>
      </c>
      <c r="V604">
        <v>1</v>
      </c>
      <c r="W604">
        <v>0</v>
      </c>
      <c r="X604">
        <v>0</v>
      </c>
      <c r="Y604">
        <v>0</v>
      </c>
      <c r="AE604">
        <f t="shared" si="27"/>
        <v>1</v>
      </c>
      <c r="AF604">
        <f>VLOOKUP(D604,especies!$A$2:$C$9,3,FALSE)</f>
        <v>1</v>
      </c>
      <c r="AG604" t="str">
        <f t="shared" si="28"/>
        <v>1-Mestizo</v>
      </c>
      <c r="AH604">
        <f>VLOOKUP('Fichas clínicas'!AG604,razas!$A$2:$D$66,3,FALSE)</f>
        <v>1</v>
      </c>
      <c r="AI604" t="str">
        <f t="shared" si="29"/>
        <v>H</v>
      </c>
    </row>
    <row r="605" spans="1:35" x14ac:dyDescent="0.2">
      <c r="A605">
        <v>606</v>
      </c>
      <c r="B605" t="s">
        <v>1498</v>
      </c>
      <c r="C605" t="s">
        <v>1499</v>
      </c>
      <c r="D605" t="s">
        <v>32</v>
      </c>
      <c r="E605" t="s">
        <v>33</v>
      </c>
      <c r="F605" t="s">
        <v>47</v>
      </c>
      <c r="G605" t="s">
        <v>165</v>
      </c>
      <c r="J605" t="s">
        <v>737</v>
      </c>
      <c r="K605" t="s">
        <v>38</v>
      </c>
      <c r="L605" t="s">
        <v>38</v>
      </c>
      <c r="M605" t="s">
        <v>38</v>
      </c>
      <c r="N605" t="s">
        <v>38</v>
      </c>
      <c r="O605" t="s">
        <v>38</v>
      </c>
      <c r="T605" t="s">
        <v>38</v>
      </c>
      <c r="U605">
        <v>0</v>
      </c>
      <c r="V605">
        <v>1</v>
      </c>
      <c r="W605">
        <v>0</v>
      </c>
      <c r="X605">
        <v>0</v>
      </c>
      <c r="Y605">
        <v>0</v>
      </c>
      <c r="AE605">
        <f t="shared" si="27"/>
        <v>1</v>
      </c>
      <c r="AF605">
        <f>VLOOKUP(D605,especies!$A$2:$C$9,3,FALSE)</f>
        <v>1</v>
      </c>
      <c r="AG605" t="str">
        <f t="shared" si="28"/>
        <v>1-Mestizo</v>
      </c>
      <c r="AH605">
        <f>VLOOKUP('Fichas clínicas'!AG605,razas!$A$2:$D$66,3,FALSE)</f>
        <v>1</v>
      </c>
      <c r="AI605" t="str">
        <f t="shared" si="29"/>
        <v>M</v>
      </c>
    </row>
    <row r="606" spans="1:35" x14ac:dyDescent="0.2">
      <c r="A606">
        <v>607</v>
      </c>
      <c r="B606" t="s">
        <v>1498</v>
      </c>
      <c r="C606" t="s">
        <v>1500</v>
      </c>
      <c r="D606" t="s">
        <v>32</v>
      </c>
      <c r="E606" t="s">
        <v>33</v>
      </c>
      <c r="F606" t="s">
        <v>34</v>
      </c>
      <c r="G606" t="s">
        <v>199</v>
      </c>
      <c r="J606" t="s">
        <v>737</v>
      </c>
      <c r="K606" t="s">
        <v>38</v>
      </c>
      <c r="L606" t="s">
        <v>38</v>
      </c>
      <c r="M606" t="s">
        <v>38</v>
      </c>
      <c r="N606" t="s">
        <v>38</v>
      </c>
      <c r="O606" t="s">
        <v>38</v>
      </c>
      <c r="T606" t="s">
        <v>38</v>
      </c>
      <c r="U606">
        <v>0</v>
      </c>
      <c r="V606">
        <v>1</v>
      </c>
      <c r="W606">
        <v>0</v>
      </c>
      <c r="X606">
        <v>0</v>
      </c>
      <c r="Y606">
        <v>0</v>
      </c>
      <c r="AE606">
        <f t="shared" si="27"/>
        <v>1</v>
      </c>
      <c r="AF606">
        <f>VLOOKUP(D606,especies!$A$2:$C$9,3,FALSE)</f>
        <v>1</v>
      </c>
      <c r="AG606" t="str">
        <f t="shared" si="28"/>
        <v>1-Mestizo</v>
      </c>
      <c r="AH606">
        <f>VLOOKUP('Fichas clínicas'!AG606,razas!$A$2:$D$66,3,FALSE)</f>
        <v>1</v>
      </c>
      <c r="AI606" t="str">
        <f t="shared" si="29"/>
        <v>H</v>
      </c>
    </row>
    <row r="607" spans="1:35" x14ac:dyDescent="0.2">
      <c r="A607">
        <v>608</v>
      </c>
      <c r="B607" t="s">
        <v>1501</v>
      </c>
      <c r="C607" t="s">
        <v>637</v>
      </c>
      <c r="D607" t="s">
        <v>32</v>
      </c>
      <c r="E607" t="s">
        <v>33</v>
      </c>
      <c r="F607" t="s">
        <v>34</v>
      </c>
      <c r="G607" t="s">
        <v>165</v>
      </c>
      <c r="J607" t="s">
        <v>1502</v>
      </c>
      <c r="K607" t="s">
        <v>38</v>
      </c>
      <c r="L607" t="s">
        <v>38</v>
      </c>
      <c r="M607" t="s">
        <v>38</v>
      </c>
      <c r="N607" t="s">
        <v>38</v>
      </c>
      <c r="O607" t="s">
        <v>38</v>
      </c>
      <c r="T607" t="s">
        <v>38</v>
      </c>
      <c r="U607">
        <v>0</v>
      </c>
      <c r="W607">
        <v>0</v>
      </c>
      <c r="X607">
        <v>0</v>
      </c>
      <c r="Y607">
        <v>0</v>
      </c>
      <c r="AE607">
        <f t="shared" si="27"/>
        <v>1</v>
      </c>
      <c r="AF607">
        <f>VLOOKUP(D607,especies!$A$2:$C$9,3,FALSE)</f>
        <v>1</v>
      </c>
      <c r="AG607" t="str">
        <f t="shared" si="28"/>
        <v>1-Mestizo</v>
      </c>
      <c r="AH607">
        <f>VLOOKUP('Fichas clínicas'!AG607,razas!$A$2:$D$66,3,FALSE)</f>
        <v>1</v>
      </c>
      <c r="AI607" t="str">
        <f t="shared" si="29"/>
        <v>H</v>
      </c>
    </row>
    <row r="608" spans="1:35" x14ac:dyDescent="0.2">
      <c r="A608">
        <v>609</v>
      </c>
      <c r="B608" t="s">
        <v>238</v>
      </c>
      <c r="C608" t="s">
        <v>1503</v>
      </c>
      <c r="D608" t="s">
        <v>41</v>
      </c>
      <c r="E608" t="s">
        <v>42</v>
      </c>
      <c r="F608" t="s">
        <v>34</v>
      </c>
      <c r="G608" t="s">
        <v>662</v>
      </c>
      <c r="J608" t="s">
        <v>58</v>
      </c>
      <c r="K608" t="s">
        <v>38</v>
      </c>
      <c r="L608" t="s">
        <v>38</v>
      </c>
      <c r="M608" t="s">
        <v>38</v>
      </c>
      <c r="N608" t="s">
        <v>38</v>
      </c>
      <c r="O608" t="s">
        <v>38</v>
      </c>
      <c r="T608" t="s">
        <v>38</v>
      </c>
      <c r="U608">
        <v>0</v>
      </c>
      <c r="V608">
        <v>1</v>
      </c>
      <c r="W608">
        <v>0</v>
      </c>
      <c r="X608">
        <v>0</v>
      </c>
      <c r="Y608">
        <v>0</v>
      </c>
      <c r="AE608">
        <f t="shared" si="27"/>
        <v>1</v>
      </c>
      <c r="AF608">
        <f>VLOOKUP(D608,especies!$A$2:$C$9,3,FALSE)</f>
        <v>2</v>
      </c>
      <c r="AG608" t="str">
        <f t="shared" si="28"/>
        <v>2-DPC (Doméstico de pelo corto o DSH)</v>
      </c>
      <c r="AH608">
        <f>VLOOKUP('Fichas clínicas'!AG608,razas!$A$2:$D$66,3,FALSE)</f>
        <v>51</v>
      </c>
      <c r="AI608" t="str">
        <f t="shared" si="29"/>
        <v>H</v>
      </c>
    </row>
    <row r="609" spans="1:35" x14ac:dyDescent="0.2">
      <c r="A609">
        <v>610</v>
      </c>
      <c r="B609" t="s">
        <v>1504</v>
      </c>
      <c r="C609" t="s">
        <v>1505</v>
      </c>
      <c r="D609" t="s">
        <v>32</v>
      </c>
      <c r="E609" t="s">
        <v>33</v>
      </c>
      <c r="F609" t="s">
        <v>47</v>
      </c>
      <c r="G609" t="s">
        <v>43</v>
      </c>
      <c r="J609" t="s">
        <v>1485</v>
      </c>
      <c r="K609" t="s">
        <v>38</v>
      </c>
      <c r="L609" t="s">
        <v>38</v>
      </c>
      <c r="M609" t="s">
        <v>38</v>
      </c>
      <c r="N609" t="s">
        <v>38</v>
      </c>
      <c r="O609" t="s">
        <v>38</v>
      </c>
      <c r="T609" t="s">
        <v>38</v>
      </c>
      <c r="U609">
        <v>0</v>
      </c>
      <c r="W609">
        <v>0</v>
      </c>
      <c r="X609">
        <v>0</v>
      </c>
      <c r="Y609">
        <v>0</v>
      </c>
      <c r="AE609">
        <f t="shared" si="27"/>
        <v>1</v>
      </c>
      <c r="AF609">
        <f>VLOOKUP(D609,especies!$A$2:$C$9,3,FALSE)</f>
        <v>1</v>
      </c>
      <c r="AG609" t="str">
        <f t="shared" si="28"/>
        <v>1-Mestizo</v>
      </c>
      <c r="AH609">
        <f>VLOOKUP('Fichas clínicas'!AG609,razas!$A$2:$D$66,3,FALSE)</f>
        <v>1</v>
      </c>
      <c r="AI609" t="str">
        <f t="shared" si="29"/>
        <v>M</v>
      </c>
    </row>
    <row r="610" spans="1:35" x14ac:dyDescent="0.2">
      <c r="A610">
        <v>611</v>
      </c>
      <c r="B610" t="s">
        <v>1506</v>
      </c>
      <c r="C610" t="s">
        <v>1507</v>
      </c>
      <c r="D610" t="s">
        <v>41</v>
      </c>
      <c r="E610" t="s">
        <v>42</v>
      </c>
      <c r="F610" t="s">
        <v>34</v>
      </c>
      <c r="G610" t="s">
        <v>194</v>
      </c>
      <c r="J610" t="s">
        <v>288</v>
      </c>
      <c r="K610" t="s">
        <v>38</v>
      </c>
      <c r="L610" t="s">
        <v>38</v>
      </c>
      <c r="M610" t="s">
        <v>38</v>
      </c>
      <c r="N610" t="s">
        <v>38</v>
      </c>
      <c r="O610" t="s">
        <v>38</v>
      </c>
      <c r="T610" t="s">
        <v>38</v>
      </c>
      <c r="U610">
        <v>0</v>
      </c>
      <c r="V610">
        <v>1</v>
      </c>
      <c r="W610">
        <v>0</v>
      </c>
      <c r="X610">
        <v>0</v>
      </c>
      <c r="Y610">
        <v>0</v>
      </c>
      <c r="AE610">
        <f t="shared" si="27"/>
        <v>1</v>
      </c>
      <c r="AF610">
        <f>VLOOKUP(D610,especies!$A$2:$C$9,3,FALSE)</f>
        <v>2</v>
      </c>
      <c r="AG610" t="str">
        <f t="shared" si="28"/>
        <v>2-DPC (Doméstico de pelo corto o DSH)</v>
      </c>
      <c r="AH610">
        <f>VLOOKUP('Fichas clínicas'!AG610,razas!$A$2:$D$66,3,FALSE)</f>
        <v>51</v>
      </c>
      <c r="AI610" t="str">
        <f t="shared" si="29"/>
        <v>H</v>
      </c>
    </row>
    <row r="611" spans="1:35" x14ac:dyDescent="0.2">
      <c r="A611">
        <v>612</v>
      </c>
      <c r="B611" t="s">
        <v>1508</v>
      </c>
      <c r="C611" t="s">
        <v>832</v>
      </c>
      <c r="D611" t="s">
        <v>32</v>
      </c>
      <c r="E611" t="s">
        <v>33</v>
      </c>
      <c r="F611" t="s">
        <v>47</v>
      </c>
      <c r="G611" t="s">
        <v>165</v>
      </c>
      <c r="J611" t="s">
        <v>1509</v>
      </c>
      <c r="K611" t="s">
        <v>38</v>
      </c>
      <c r="L611" t="s">
        <v>38</v>
      </c>
      <c r="M611" t="s">
        <v>38</v>
      </c>
      <c r="N611" t="s">
        <v>38</v>
      </c>
      <c r="O611" t="s">
        <v>38</v>
      </c>
      <c r="T611" t="s">
        <v>38</v>
      </c>
      <c r="U611">
        <v>0</v>
      </c>
      <c r="V611">
        <v>1</v>
      </c>
      <c r="W611">
        <v>0</v>
      </c>
      <c r="X611">
        <v>0</v>
      </c>
      <c r="Y611">
        <v>0</v>
      </c>
      <c r="AE611">
        <f t="shared" si="27"/>
        <v>1</v>
      </c>
      <c r="AF611">
        <f>VLOOKUP(D611,especies!$A$2:$C$9,3,FALSE)</f>
        <v>1</v>
      </c>
      <c r="AG611" t="str">
        <f t="shared" si="28"/>
        <v>1-Mestizo</v>
      </c>
      <c r="AH611">
        <f>VLOOKUP('Fichas clínicas'!AG611,razas!$A$2:$D$66,3,FALSE)</f>
        <v>1</v>
      </c>
      <c r="AI611" t="str">
        <f t="shared" si="29"/>
        <v>M</v>
      </c>
    </row>
    <row r="612" spans="1:35" x14ac:dyDescent="0.2">
      <c r="A612">
        <v>613</v>
      </c>
      <c r="B612" t="s">
        <v>610</v>
      </c>
      <c r="C612" t="s">
        <v>308</v>
      </c>
      <c r="D612" t="s">
        <v>32</v>
      </c>
      <c r="E612" t="s">
        <v>33</v>
      </c>
      <c r="F612" t="s">
        <v>34</v>
      </c>
      <c r="G612" t="s">
        <v>1402</v>
      </c>
      <c r="J612" t="s">
        <v>1510</v>
      </c>
      <c r="K612" t="s">
        <v>38</v>
      </c>
      <c r="L612" t="s">
        <v>38</v>
      </c>
      <c r="M612" t="s">
        <v>38</v>
      </c>
      <c r="N612" t="s">
        <v>38</v>
      </c>
      <c r="O612" t="s">
        <v>38</v>
      </c>
      <c r="T612" t="s">
        <v>38</v>
      </c>
      <c r="U612">
        <v>0</v>
      </c>
      <c r="W612">
        <v>0</v>
      </c>
      <c r="X612">
        <v>0</v>
      </c>
      <c r="Y612">
        <v>0</v>
      </c>
      <c r="AE612">
        <f t="shared" si="27"/>
        <v>1</v>
      </c>
      <c r="AF612">
        <f>VLOOKUP(D612,especies!$A$2:$C$9,3,FALSE)</f>
        <v>1</v>
      </c>
      <c r="AG612" t="str">
        <f t="shared" si="28"/>
        <v>1-Mestizo</v>
      </c>
      <c r="AH612">
        <f>VLOOKUP('Fichas clínicas'!AG612,razas!$A$2:$D$66,3,FALSE)</f>
        <v>1</v>
      </c>
      <c r="AI612" t="str">
        <f t="shared" si="29"/>
        <v>H</v>
      </c>
    </row>
    <row r="613" spans="1:35" x14ac:dyDescent="0.2">
      <c r="A613">
        <v>614</v>
      </c>
      <c r="B613" t="s">
        <v>1511</v>
      </c>
      <c r="C613" t="s">
        <v>1512</v>
      </c>
      <c r="D613" t="s">
        <v>41</v>
      </c>
      <c r="E613" t="s">
        <v>42</v>
      </c>
      <c r="F613" t="s">
        <v>34</v>
      </c>
      <c r="G613" t="s">
        <v>1276</v>
      </c>
      <c r="J613" t="s">
        <v>371</v>
      </c>
      <c r="K613" t="s">
        <v>38</v>
      </c>
      <c r="L613" t="s">
        <v>38</v>
      </c>
      <c r="M613" t="s">
        <v>38</v>
      </c>
      <c r="N613" t="s">
        <v>38</v>
      </c>
      <c r="O613" t="s">
        <v>38</v>
      </c>
      <c r="T613" t="s">
        <v>38</v>
      </c>
      <c r="U613">
        <v>0</v>
      </c>
      <c r="V613">
        <v>1</v>
      </c>
      <c r="W613">
        <v>0</v>
      </c>
      <c r="X613">
        <v>0</v>
      </c>
      <c r="Y613">
        <v>0</v>
      </c>
      <c r="AE613">
        <f t="shared" si="27"/>
        <v>1</v>
      </c>
      <c r="AF613">
        <f>VLOOKUP(D613,especies!$A$2:$C$9,3,FALSE)</f>
        <v>2</v>
      </c>
      <c r="AG613" t="str">
        <f t="shared" si="28"/>
        <v>2-DPC (Doméstico de pelo corto o DSH)</v>
      </c>
      <c r="AH613">
        <f>VLOOKUP('Fichas clínicas'!AG613,razas!$A$2:$D$66,3,FALSE)</f>
        <v>51</v>
      </c>
      <c r="AI613" t="str">
        <f t="shared" si="29"/>
        <v>H</v>
      </c>
    </row>
    <row r="614" spans="1:35" x14ac:dyDescent="0.2">
      <c r="A614">
        <v>615</v>
      </c>
      <c r="B614" t="s">
        <v>1513</v>
      </c>
      <c r="C614" t="s">
        <v>1514</v>
      </c>
      <c r="D614" t="s">
        <v>32</v>
      </c>
      <c r="E614" t="s">
        <v>545</v>
      </c>
      <c r="F614" t="s">
        <v>34</v>
      </c>
      <c r="G614" t="s">
        <v>1515</v>
      </c>
      <c r="J614" t="s">
        <v>1516</v>
      </c>
      <c r="K614" t="s">
        <v>38</v>
      </c>
      <c r="L614" t="s">
        <v>38</v>
      </c>
      <c r="M614" t="s">
        <v>38</v>
      </c>
      <c r="N614" t="s">
        <v>38</v>
      </c>
      <c r="O614" t="s">
        <v>38</v>
      </c>
      <c r="T614" t="s">
        <v>38</v>
      </c>
      <c r="U614">
        <v>0</v>
      </c>
      <c r="V614">
        <v>1</v>
      </c>
      <c r="W614">
        <v>0</v>
      </c>
      <c r="X614">
        <v>0</v>
      </c>
      <c r="Y614">
        <v>0</v>
      </c>
      <c r="AE614">
        <f t="shared" si="27"/>
        <v>1</v>
      </c>
      <c r="AF614">
        <f>VLOOKUP(D614,especies!$A$2:$C$9,3,FALSE)</f>
        <v>1</v>
      </c>
      <c r="AG614" t="str">
        <f t="shared" si="28"/>
        <v>1-Golden Retriever</v>
      </c>
      <c r="AH614">
        <f>VLOOKUP('Fichas clínicas'!AG614,razas!$A$2:$D$66,3,FALSE)</f>
        <v>16</v>
      </c>
      <c r="AI614" t="str">
        <f t="shared" si="29"/>
        <v>H</v>
      </c>
    </row>
    <row r="615" spans="1:35" x14ac:dyDescent="0.2">
      <c r="A615">
        <v>616</v>
      </c>
      <c r="B615" t="s">
        <v>1282</v>
      </c>
      <c r="C615" t="s">
        <v>1517</v>
      </c>
      <c r="D615" t="s">
        <v>32</v>
      </c>
      <c r="E615" t="s">
        <v>164</v>
      </c>
      <c r="F615" t="s">
        <v>47</v>
      </c>
      <c r="G615" t="s">
        <v>165</v>
      </c>
      <c r="J615" t="s">
        <v>1518</v>
      </c>
      <c r="K615" t="s">
        <v>38</v>
      </c>
      <c r="L615" t="s">
        <v>38</v>
      </c>
      <c r="M615" t="s">
        <v>38</v>
      </c>
      <c r="N615" t="s">
        <v>38</v>
      </c>
      <c r="O615" t="s">
        <v>38</v>
      </c>
      <c r="T615" t="s">
        <v>38</v>
      </c>
      <c r="U615">
        <v>0</v>
      </c>
      <c r="V615">
        <v>1</v>
      </c>
      <c r="W615">
        <v>0</v>
      </c>
      <c r="X615">
        <v>0</v>
      </c>
      <c r="Y615">
        <v>0</v>
      </c>
      <c r="AE615">
        <f t="shared" si="27"/>
        <v>1</v>
      </c>
      <c r="AF615">
        <f>VLOOKUP(D615,especies!$A$2:$C$9,3,FALSE)</f>
        <v>1</v>
      </c>
      <c r="AG615" t="str">
        <f t="shared" si="28"/>
        <v>1-Teckel</v>
      </c>
      <c r="AH615">
        <f>VLOOKUP('Fichas clínicas'!AG615,razas!$A$2:$D$66,3,FALSE)</f>
        <v>8</v>
      </c>
      <c r="AI615" t="str">
        <f t="shared" si="29"/>
        <v>M</v>
      </c>
    </row>
    <row r="616" spans="1:35" x14ac:dyDescent="0.2">
      <c r="A616">
        <v>617</v>
      </c>
      <c r="B616" t="s">
        <v>1519</v>
      </c>
      <c r="C616" t="s">
        <v>43</v>
      </c>
      <c r="D616" t="s">
        <v>32</v>
      </c>
      <c r="E616" t="s">
        <v>33</v>
      </c>
      <c r="F616" t="s">
        <v>47</v>
      </c>
      <c r="G616" t="s">
        <v>81</v>
      </c>
      <c r="J616" t="s">
        <v>130</v>
      </c>
      <c r="K616" t="s">
        <v>38</v>
      </c>
      <c r="L616" t="s">
        <v>38</v>
      </c>
      <c r="M616" t="s">
        <v>38</v>
      </c>
      <c r="N616" t="s">
        <v>38</v>
      </c>
      <c r="O616" t="s">
        <v>38</v>
      </c>
      <c r="T616" t="s">
        <v>38</v>
      </c>
      <c r="U616">
        <v>0</v>
      </c>
      <c r="W616">
        <v>0</v>
      </c>
      <c r="X616">
        <v>0</v>
      </c>
      <c r="Y616">
        <v>0</v>
      </c>
      <c r="AE616">
        <f t="shared" si="27"/>
        <v>1</v>
      </c>
      <c r="AF616">
        <f>VLOOKUP(D616,especies!$A$2:$C$9,3,FALSE)</f>
        <v>1</v>
      </c>
      <c r="AG616" t="str">
        <f t="shared" si="28"/>
        <v>1-Mestizo</v>
      </c>
      <c r="AH616">
        <f>VLOOKUP('Fichas clínicas'!AG616,razas!$A$2:$D$66,3,FALSE)</f>
        <v>1</v>
      </c>
      <c r="AI616" t="str">
        <f t="shared" si="29"/>
        <v>M</v>
      </c>
    </row>
    <row r="617" spans="1:35" x14ac:dyDescent="0.2">
      <c r="A617">
        <v>618</v>
      </c>
      <c r="B617" t="s">
        <v>1520</v>
      </c>
      <c r="C617" t="s">
        <v>1521</v>
      </c>
      <c r="D617" t="s">
        <v>32</v>
      </c>
      <c r="E617" t="s">
        <v>33</v>
      </c>
      <c r="F617" t="s">
        <v>34</v>
      </c>
      <c r="G617" t="s">
        <v>694</v>
      </c>
      <c r="J617" t="s">
        <v>1522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Q617">
        <v>0</v>
      </c>
      <c r="T617" t="s">
        <v>38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f t="shared" si="27"/>
        <v>1</v>
      </c>
      <c r="AF617">
        <f>VLOOKUP(D617,especies!$A$2:$C$9,3,FALSE)</f>
        <v>1</v>
      </c>
      <c r="AG617" t="str">
        <f t="shared" si="28"/>
        <v>1-Mestizo</v>
      </c>
      <c r="AH617">
        <f>VLOOKUP('Fichas clínicas'!AG617,razas!$A$2:$D$66,3,FALSE)</f>
        <v>1</v>
      </c>
      <c r="AI617" t="str">
        <f t="shared" si="29"/>
        <v>H</v>
      </c>
    </row>
    <row r="618" spans="1:35" x14ac:dyDescent="0.2">
      <c r="A618">
        <v>619</v>
      </c>
      <c r="B618" t="s">
        <v>1520</v>
      </c>
      <c r="C618" t="s">
        <v>1523</v>
      </c>
      <c r="D618" t="s">
        <v>32</v>
      </c>
      <c r="E618" t="s">
        <v>150</v>
      </c>
      <c r="F618" t="s">
        <v>34</v>
      </c>
      <c r="G618" t="s">
        <v>102</v>
      </c>
      <c r="I618">
        <v>900057600031714</v>
      </c>
      <c r="J618" t="s">
        <v>1524</v>
      </c>
      <c r="K618" t="s">
        <v>38</v>
      </c>
      <c r="L618" t="s">
        <v>38</v>
      </c>
      <c r="M618" t="s">
        <v>38</v>
      </c>
      <c r="N618" t="s">
        <v>38</v>
      </c>
      <c r="O618" t="s">
        <v>38</v>
      </c>
      <c r="Q618">
        <v>0</v>
      </c>
      <c r="T618" t="s">
        <v>38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f t="shared" si="27"/>
        <v>1</v>
      </c>
      <c r="AF618">
        <f>VLOOKUP(D618,especies!$A$2:$C$9,3,FALSE)</f>
        <v>1</v>
      </c>
      <c r="AG618" t="str">
        <f t="shared" si="28"/>
        <v>1-Poodle</v>
      </c>
      <c r="AH618">
        <f>VLOOKUP('Fichas clínicas'!AG618,razas!$A$2:$D$66,3,FALSE)</f>
        <v>6</v>
      </c>
      <c r="AI618" t="str">
        <f t="shared" si="29"/>
        <v>H</v>
      </c>
    </row>
    <row r="619" spans="1:35" x14ac:dyDescent="0.2">
      <c r="A619">
        <v>620</v>
      </c>
      <c r="B619" t="s">
        <v>1421</v>
      </c>
      <c r="C619" t="s">
        <v>1525</v>
      </c>
      <c r="D619" t="s">
        <v>32</v>
      </c>
      <c r="E619" t="s">
        <v>143</v>
      </c>
      <c r="F619" t="s">
        <v>34</v>
      </c>
      <c r="G619" t="s">
        <v>694</v>
      </c>
      <c r="J619" t="s">
        <v>1526</v>
      </c>
      <c r="K619" t="s">
        <v>38</v>
      </c>
      <c r="L619" t="s">
        <v>38</v>
      </c>
      <c r="M619" t="s">
        <v>38</v>
      </c>
      <c r="N619" t="s">
        <v>38</v>
      </c>
      <c r="O619" t="s">
        <v>38</v>
      </c>
      <c r="T619" t="s">
        <v>38</v>
      </c>
      <c r="U619">
        <v>0</v>
      </c>
      <c r="W619">
        <v>0</v>
      </c>
      <c r="X619">
        <v>0</v>
      </c>
      <c r="Y619">
        <v>0</v>
      </c>
      <c r="AE619">
        <f t="shared" si="27"/>
        <v>1</v>
      </c>
      <c r="AF619">
        <f>VLOOKUP(D619,especies!$A$2:$C$9,3,FALSE)</f>
        <v>1</v>
      </c>
      <c r="AG619" t="str">
        <f t="shared" si="28"/>
        <v>1-Yorkshire Terrier</v>
      </c>
      <c r="AH619">
        <f>VLOOKUP('Fichas clínicas'!AG619,razas!$A$2:$D$66,3,FALSE)</f>
        <v>5</v>
      </c>
      <c r="AI619" t="str">
        <f t="shared" si="29"/>
        <v>H</v>
      </c>
    </row>
    <row r="620" spans="1:35" x14ac:dyDescent="0.2">
      <c r="A620">
        <v>621</v>
      </c>
      <c r="B620" t="s">
        <v>1421</v>
      </c>
      <c r="C620" t="s">
        <v>1527</v>
      </c>
      <c r="D620" t="s">
        <v>32</v>
      </c>
      <c r="E620" t="s">
        <v>143</v>
      </c>
      <c r="F620" t="s">
        <v>34</v>
      </c>
      <c r="G620" t="s">
        <v>1528</v>
      </c>
      <c r="J620" t="s">
        <v>1526</v>
      </c>
      <c r="K620" t="s">
        <v>38</v>
      </c>
      <c r="L620" t="s">
        <v>38</v>
      </c>
      <c r="M620" t="s">
        <v>38</v>
      </c>
      <c r="N620" t="s">
        <v>38</v>
      </c>
      <c r="O620" t="s">
        <v>38</v>
      </c>
      <c r="Q620">
        <v>0</v>
      </c>
      <c r="T620" t="s">
        <v>38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f t="shared" si="27"/>
        <v>1</v>
      </c>
      <c r="AF620">
        <f>VLOOKUP(D620,especies!$A$2:$C$9,3,FALSE)</f>
        <v>1</v>
      </c>
      <c r="AG620" t="str">
        <f t="shared" si="28"/>
        <v>1-Yorkshire Terrier</v>
      </c>
      <c r="AH620">
        <f>VLOOKUP('Fichas clínicas'!AG620,razas!$A$2:$D$66,3,FALSE)</f>
        <v>5</v>
      </c>
      <c r="AI620" t="str">
        <f t="shared" si="29"/>
        <v>H</v>
      </c>
    </row>
    <row r="621" spans="1:35" x14ac:dyDescent="0.2">
      <c r="A621">
        <v>622</v>
      </c>
      <c r="B621" t="s">
        <v>1529</v>
      </c>
      <c r="C621" t="s">
        <v>1530</v>
      </c>
      <c r="D621" t="s">
        <v>32</v>
      </c>
      <c r="E621" t="s">
        <v>143</v>
      </c>
      <c r="F621" t="s">
        <v>47</v>
      </c>
      <c r="G621" t="s">
        <v>694</v>
      </c>
      <c r="J621" t="s">
        <v>1531</v>
      </c>
      <c r="K621" t="s">
        <v>38</v>
      </c>
      <c r="L621" t="s">
        <v>38</v>
      </c>
      <c r="M621" t="s">
        <v>38</v>
      </c>
      <c r="N621" t="s">
        <v>38</v>
      </c>
      <c r="O621" t="s">
        <v>38</v>
      </c>
      <c r="T621" t="s">
        <v>38</v>
      </c>
      <c r="U621">
        <v>0</v>
      </c>
      <c r="W621">
        <v>0</v>
      </c>
      <c r="X621">
        <v>0</v>
      </c>
      <c r="Y621">
        <v>0</v>
      </c>
      <c r="AE621">
        <f t="shared" si="27"/>
        <v>1</v>
      </c>
      <c r="AF621">
        <f>VLOOKUP(D621,especies!$A$2:$C$9,3,FALSE)</f>
        <v>1</v>
      </c>
      <c r="AG621" t="str">
        <f t="shared" si="28"/>
        <v>1-Yorkshire Terrier</v>
      </c>
      <c r="AH621">
        <f>VLOOKUP('Fichas clínicas'!AG621,razas!$A$2:$D$66,3,FALSE)</f>
        <v>5</v>
      </c>
      <c r="AI621" t="str">
        <f t="shared" si="29"/>
        <v>M</v>
      </c>
    </row>
    <row r="622" spans="1:35" x14ac:dyDescent="0.2">
      <c r="A622">
        <v>623</v>
      </c>
      <c r="B622" t="s">
        <v>1532</v>
      </c>
      <c r="C622" t="s">
        <v>1306</v>
      </c>
      <c r="D622" t="s">
        <v>32</v>
      </c>
      <c r="E622" t="s">
        <v>33</v>
      </c>
      <c r="F622" t="s">
        <v>34</v>
      </c>
      <c r="G622" t="s">
        <v>43</v>
      </c>
      <c r="J622" t="s">
        <v>1364</v>
      </c>
      <c r="K622" t="s">
        <v>38</v>
      </c>
      <c r="L622" t="s">
        <v>38</v>
      </c>
      <c r="M622" t="s">
        <v>38</v>
      </c>
      <c r="N622" t="s">
        <v>38</v>
      </c>
      <c r="O622" t="s">
        <v>38</v>
      </c>
      <c r="Q622">
        <v>0</v>
      </c>
      <c r="T622" t="s">
        <v>38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f t="shared" si="27"/>
        <v>1</v>
      </c>
      <c r="AF622">
        <f>VLOOKUP(D622,especies!$A$2:$C$9,3,FALSE)</f>
        <v>1</v>
      </c>
      <c r="AG622" t="str">
        <f t="shared" si="28"/>
        <v>1-Mestizo</v>
      </c>
      <c r="AH622">
        <f>VLOOKUP('Fichas clínicas'!AG622,razas!$A$2:$D$66,3,FALSE)</f>
        <v>1</v>
      </c>
      <c r="AI622" t="str">
        <f t="shared" si="29"/>
        <v>H</v>
      </c>
    </row>
    <row r="623" spans="1:35" x14ac:dyDescent="0.2">
      <c r="A623">
        <v>624</v>
      </c>
      <c r="B623" t="s">
        <v>1533</v>
      </c>
      <c r="C623" t="s">
        <v>1534</v>
      </c>
      <c r="D623" t="s">
        <v>41</v>
      </c>
      <c r="E623" t="s">
        <v>42</v>
      </c>
      <c r="F623" t="s">
        <v>47</v>
      </c>
      <c r="G623" t="s">
        <v>109</v>
      </c>
      <c r="J623" t="s">
        <v>1535</v>
      </c>
      <c r="K623" t="s">
        <v>38</v>
      </c>
      <c r="L623" t="s">
        <v>38</v>
      </c>
      <c r="M623" t="s">
        <v>38</v>
      </c>
      <c r="N623" t="s">
        <v>38</v>
      </c>
      <c r="O623" t="s">
        <v>38</v>
      </c>
      <c r="T623" t="s">
        <v>38</v>
      </c>
      <c r="U623">
        <v>0</v>
      </c>
      <c r="W623">
        <v>0</v>
      </c>
      <c r="X623">
        <v>0</v>
      </c>
      <c r="Y623">
        <v>0</v>
      </c>
      <c r="AE623">
        <f t="shared" si="27"/>
        <v>1</v>
      </c>
      <c r="AF623">
        <f>VLOOKUP(D623,especies!$A$2:$C$9,3,FALSE)</f>
        <v>2</v>
      </c>
      <c r="AG623" t="str">
        <f t="shared" si="28"/>
        <v>2-DPC (Doméstico de pelo corto o DSH)</v>
      </c>
      <c r="AH623">
        <f>VLOOKUP('Fichas clínicas'!AG623,razas!$A$2:$D$66,3,FALSE)</f>
        <v>51</v>
      </c>
      <c r="AI623" t="str">
        <f t="shared" si="29"/>
        <v>M</v>
      </c>
    </row>
    <row r="624" spans="1:35" x14ac:dyDescent="0.2">
      <c r="A624">
        <v>625</v>
      </c>
      <c r="B624" t="s">
        <v>1536</v>
      </c>
      <c r="C624" t="s">
        <v>811</v>
      </c>
      <c r="D624" t="s">
        <v>32</v>
      </c>
      <c r="E624" t="s">
        <v>33</v>
      </c>
      <c r="F624" t="s">
        <v>34</v>
      </c>
      <c r="G624" t="s">
        <v>1515</v>
      </c>
      <c r="J624" t="s">
        <v>1537</v>
      </c>
      <c r="K624" t="s">
        <v>38</v>
      </c>
      <c r="L624" t="s">
        <v>38</v>
      </c>
      <c r="M624" t="s">
        <v>38</v>
      </c>
      <c r="N624" t="s">
        <v>38</v>
      </c>
      <c r="O624" t="s">
        <v>38</v>
      </c>
      <c r="T624" t="s">
        <v>38</v>
      </c>
      <c r="U624">
        <v>0</v>
      </c>
      <c r="V624">
        <v>1</v>
      </c>
      <c r="W624">
        <v>0</v>
      </c>
      <c r="X624">
        <v>0</v>
      </c>
      <c r="Y624">
        <v>0</v>
      </c>
      <c r="AE624">
        <f t="shared" si="27"/>
        <v>1</v>
      </c>
      <c r="AF624">
        <f>VLOOKUP(D624,especies!$A$2:$C$9,3,FALSE)</f>
        <v>1</v>
      </c>
      <c r="AG624" t="str">
        <f t="shared" si="28"/>
        <v>1-Mestizo</v>
      </c>
      <c r="AH624">
        <f>VLOOKUP('Fichas clínicas'!AG624,razas!$A$2:$D$66,3,FALSE)</f>
        <v>1</v>
      </c>
      <c r="AI624" t="str">
        <f t="shared" si="29"/>
        <v>H</v>
      </c>
    </row>
    <row r="625" spans="1:35" x14ac:dyDescent="0.2">
      <c r="A625">
        <v>626</v>
      </c>
      <c r="B625" t="s">
        <v>1538</v>
      </c>
      <c r="C625" t="s">
        <v>1539</v>
      </c>
      <c r="D625" t="s">
        <v>41</v>
      </c>
      <c r="E625" t="s">
        <v>42</v>
      </c>
      <c r="F625" t="s">
        <v>47</v>
      </c>
      <c r="G625" t="s">
        <v>656</v>
      </c>
      <c r="J625" t="s">
        <v>784</v>
      </c>
      <c r="K625" t="s">
        <v>38</v>
      </c>
      <c r="L625" t="s">
        <v>38</v>
      </c>
      <c r="M625" t="s">
        <v>38</v>
      </c>
      <c r="N625" t="s">
        <v>38</v>
      </c>
      <c r="O625" t="s">
        <v>38</v>
      </c>
      <c r="T625" t="s">
        <v>38</v>
      </c>
      <c r="U625">
        <v>0</v>
      </c>
      <c r="W625">
        <v>0</v>
      </c>
      <c r="X625">
        <v>0</v>
      </c>
      <c r="Y625">
        <v>0</v>
      </c>
      <c r="AE625">
        <f t="shared" si="27"/>
        <v>1</v>
      </c>
      <c r="AF625">
        <f>VLOOKUP(D625,especies!$A$2:$C$9,3,FALSE)</f>
        <v>2</v>
      </c>
      <c r="AG625" t="str">
        <f t="shared" si="28"/>
        <v>2-DPC (Doméstico de pelo corto o DSH)</v>
      </c>
      <c r="AH625">
        <f>VLOOKUP('Fichas clínicas'!AG625,razas!$A$2:$D$66,3,FALSE)</f>
        <v>51</v>
      </c>
      <c r="AI625" t="str">
        <f t="shared" si="29"/>
        <v>M</v>
      </c>
    </row>
    <row r="626" spans="1:35" x14ac:dyDescent="0.2">
      <c r="A626">
        <v>627</v>
      </c>
      <c r="B626" t="s">
        <v>1540</v>
      </c>
      <c r="C626" t="s">
        <v>540</v>
      </c>
      <c r="D626" t="s">
        <v>32</v>
      </c>
      <c r="E626" t="s">
        <v>63</v>
      </c>
      <c r="F626" t="s">
        <v>34</v>
      </c>
      <c r="G626" t="s">
        <v>199</v>
      </c>
      <c r="J626" t="s">
        <v>1541</v>
      </c>
      <c r="K626" t="s">
        <v>38</v>
      </c>
      <c r="L626" t="s">
        <v>38</v>
      </c>
      <c r="M626" t="s">
        <v>38</v>
      </c>
      <c r="N626" t="s">
        <v>38</v>
      </c>
      <c r="O626" t="s">
        <v>38</v>
      </c>
      <c r="T626" t="s">
        <v>38</v>
      </c>
      <c r="U626">
        <v>0</v>
      </c>
      <c r="W626">
        <v>0</v>
      </c>
      <c r="X626">
        <v>0</v>
      </c>
      <c r="Y626">
        <v>0</v>
      </c>
      <c r="AE626">
        <f t="shared" si="27"/>
        <v>1</v>
      </c>
      <c r="AF626">
        <f>VLOOKUP(D626,especies!$A$2:$C$9,3,FALSE)</f>
        <v>1</v>
      </c>
      <c r="AG626" t="str">
        <f t="shared" si="28"/>
        <v>1-Fox Terrier Pelo Corto</v>
      </c>
      <c r="AH626">
        <f>VLOOKUP('Fichas clínicas'!AG626,razas!$A$2:$D$66,3,FALSE)</f>
        <v>2</v>
      </c>
      <c r="AI626" t="str">
        <f t="shared" si="29"/>
        <v>H</v>
      </c>
    </row>
    <row r="627" spans="1:35" x14ac:dyDescent="0.2">
      <c r="A627">
        <v>628</v>
      </c>
      <c r="B627" t="s">
        <v>1542</v>
      </c>
      <c r="C627" t="s">
        <v>236</v>
      </c>
      <c r="D627" t="s">
        <v>32</v>
      </c>
      <c r="E627" t="s">
        <v>438</v>
      </c>
      <c r="F627" t="s">
        <v>34</v>
      </c>
      <c r="G627" t="s">
        <v>1543</v>
      </c>
      <c r="J627" t="s">
        <v>489</v>
      </c>
      <c r="K627" t="s">
        <v>38</v>
      </c>
      <c r="L627" t="s">
        <v>38</v>
      </c>
      <c r="M627" t="s">
        <v>38</v>
      </c>
      <c r="N627" t="s">
        <v>38</v>
      </c>
      <c r="O627" t="s">
        <v>38</v>
      </c>
      <c r="T627" t="s">
        <v>38</v>
      </c>
      <c r="U627">
        <v>0</v>
      </c>
      <c r="V627">
        <v>1</v>
      </c>
      <c r="W627">
        <v>0</v>
      </c>
      <c r="X627">
        <v>0</v>
      </c>
      <c r="Y627">
        <v>0</v>
      </c>
      <c r="AE627">
        <f t="shared" si="27"/>
        <v>1</v>
      </c>
      <c r="AF627">
        <f>VLOOKUP(D627,especies!$A$2:$C$9,3,FALSE)</f>
        <v>1</v>
      </c>
      <c r="AG627" t="str">
        <f t="shared" si="28"/>
        <v>1-Ovejero Alemán</v>
      </c>
      <c r="AH627">
        <f>VLOOKUP('Fichas clínicas'!AG627,razas!$A$2:$D$66,3,FALSE)</f>
        <v>12</v>
      </c>
      <c r="AI627" t="str">
        <f t="shared" si="29"/>
        <v>H</v>
      </c>
    </row>
    <row r="628" spans="1:35" x14ac:dyDescent="0.2">
      <c r="A628">
        <v>629</v>
      </c>
      <c r="B628" t="s">
        <v>1544</v>
      </c>
      <c r="C628" t="s">
        <v>1545</v>
      </c>
      <c r="D628" t="s">
        <v>41</v>
      </c>
      <c r="E628" t="s">
        <v>42</v>
      </c>
      <c r="F628" t="s">
        <v>47</v>
      </c>
      <c r="G628" t="s">
        <v>169</v>
      </c>
      <c r="J628" t="s">
        <v>1012</v>
      </c>
      <c r="K628" t="s">
        <v>38</v>
      </c>
      <c r="L628" t="s">
        <v>38</v>
      </c>
      <c r="M628" t="s">
        <v>38</v>
      </c>
      <c r="N628" t="s">
        <v>38</v>
      </c>
      <c r="O628" t="s">
        <v>38</v>
      </c>
      <c r="T628" t="s">
        <v>38</v>
      </c>
      <c r="U628">
        <v>0</v>
      </c>
      <c r="V628">
        <v>1</v>
      </c>
      <c r="W628">
        <v>0</v>
      </c>
      <c r="X628">
        <v>0</v>
      </c>
      <c r="Y628">
        <v>0</v>
      </c>
      <c r="AE628">
        <f t="shared" si="27"/>
        <v>1</v>
      </c>
      <c r="AF628">
        <f>VLOOKUP(D628,especies!$A$2:$C$9,3,FALSE)</f>
        <v>2</v>
      </c>
      <c r="AG628" t="str">
        <f t="shared" si="28"/>
        <v>2-DPC (Doméstico de pelo corto o DSH)</v>
      </c>
      <c r="AH628">
        <f>VLOOKUP('Fichas clínicas'!AG628,razas!$A$2:$D$66,3,FALSE)</f>
        <v>51</v>
      </c>
      <c r="AI628" t="str">
        <f t="shared" si="29"/>
        <v>M</v>
      </c>
    </row>
    <row r="629" spans="1:35" x14ac:dyDescent="0.2">
      <c r="A629">
        <v>630</v>
      </c>
      <c r="B629" t="s">
        <v>1546</v>
      </c>
      <c r="C629" t="s">
        <v>401</v>
      </c>
      <c r="D629" t="s">
        <v>32</v>
      </c>
      <c r="E629" t="s">
        <v>823</v>
      </c>
      <c r="F629" t="s">
        <v>34</v>
      </c>
      <c r="G629" t="s">
        <v>1547</v>
      </c>
      <c r="J629" t="s">
        <v>1364</v>
      </c>
      <c r="K629" t="s">
        <v>38</v>
      </c>
      <c r="L629" t="s">
        <v>38</v>
      </c>
      <c r="M629" t="s">
        <v>38</v>
      </c>
      <c r="N629" t="s">
        <v>38</v>
      </c>
      <c r="O629" t="s">
        <v>38</v>
      </c>
      <c r="T629" t="s">
        <v>38</v>
      </c>
      <c r="U629">
        <v>0</v>
      </c>
      <c r="W629">
        <v>0</v>
      </c>
      <c r="X629">
        <v>0</v>
      </c>
      <c r="Y629">
        <v>0</v>
      </c>
      <c r="AE629">
        <f t="shared" si="27"/>
        <v>1</v>
      </c>
      <c r="AF629">
        <f>VLOOKUP(D629,especies!$A$2:$C$9,3,FALSE)</f>
        <v>1</v>
      </c>
      <c r="AG629" t="str">
        <f t="shared" si="28"/>
        <v>1-Dogo Argentino</v>
      </c>
      <c r="AH629">
        <f>VLOOKUP('Fichas clínicas'!AG629,razas!$A$2:$D$66,3,FALSE)</f>
        <v>19</v>
      </c>
      <c r="AI629" t="str">
        <f t="shared" si="29"/>
        <v>H</v>
      </c>
    </row>
    <row r="630" spans="1:35" x14ac:dyDescent="0.2">
      <c r="A630">
        <v>631</v>
      </c>
      <c r="B630" t="s">
        <v>1548</v>
      </c>
      <c r="C630" t="s">
        <v>1144</v>
      </c>
      <c r="D630" t="s">
        <v>41</v>
      </c>
      <c r="E630" t="s">
        <v>42</v>
      </c>
      <c r="F630" t="s">
        <v>34</v>
      </c>
      <c r="G630" t="s">
        <v>1295</v>
      </c>
      <c r="J630" t="s">
        <v>841</v>
      </c>
      <c r="K630" t="s">
        <v>38</v>
      </c>
      <c r="L630" t="s">
        <v>38</v>
      </c>
      <c r="M630" t="s">
        <v>38</v>
      </c>
      <c r="N630" t="s">
        <v>38</v>
      </c>
      <c r="O630" t="s">
        <v>38</v>
      </c>
      <c r="Q630">
        <v>0</v>
      </c>
      <c r="T630" t="s">
        <v>38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f t="shared" si="27"/>
        <v>1</v>
      </c>
      <c r="AF630">
        <f>VLOOKUP(D630,especies!$A$2:$C$9,3,FALSE)</f>
        <v>2</v>
      </c>
      <c r="AG630" t="str">
        <f t="shared" si="28"/>
        <v>2-DPC (Doméstico de pelo corto o DSH)</v>
      </c>
      <c r="AH630">
        <f>VLOOKUP('Fichas clínicas'!AG630,razas!$A$2:$D$66,3,FALSE)</f>
        <v>51</v>
      </c>
      <c r="AI630" t="str">
        <f t="shared" si="29"/>
        <v>H</v>
      </c>
    </row>
    <row r="631" spans="1:35" x14ac:dyDescent="0.2">
      <c r="A631">
        <v>632</v>
      </c>
      <c r="B631" t="s">
        <v>1549</v>
      </c>
      <c r="C631" t="s">
        <v>1550</v>
      </c>
      <c r="D631" t="s">
        <v>32</v>
      </c>
      <c r="E631" t="s">
        <v>33</v>
      </c>
      <c r="F631" t="s">
        <v>34</v>
      </c>
      <c r="G631" t="s">
        <v>123</v>
      </c>
      <c r="J631" t="s">
        <v>1551</v>
      </c>
      <c r="K631" t="s">
        <v>38</v>
      </c>
      <c r="L631" t="s">
        <v>38</v>
      </c>
      <c r="M631" t="s">
        <v>38</v>
      </c>
      <c r="N631" t="s">
        <v>38</v>
      </c>
      <c r="O631" t="s">
        <v>38</v>
      </c>
      <c r="Q631">
        <v>0</v>
      </c>
      <c r="T631" t="s">
        <v>38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f t="shared" si="27"/>
        <v>1</v>
      </c>
      <c r="AF631">
        <f>VLOOKUP(D631,especies!$A$2:$C$9,3,FALSE)</f>
        <v>1</v>
      </c>
      <c r="AG631" t="str">
        <f t="shared" si="28"/>
        <v>1-Mestizo</v>
      </c>
      <c r="AH631">
        <f>VLOOKUP('Fichas clínicas'!AG631,razas!$A$2:$D$66,3,FALSE)</f>
        <v>1</v>
      </c>
      <c r="AI631" t="str">
        <f t="shared" si="29"/>
        <v>H</v>
      </c>
    </row>
    <row r="632" spans="1:35" x14ac:dyDescent="0.2">
      <c r="A632">
        <v>633</v>
      </c>
      <c r="B632" t="s">
        <v>1552</v>
      </c>
      <c r="C632" t="s">
        <v>1553</v>
      </c>
      <c r="D632" t="s">
        <v>41</v>
      </c>
      <c r="E632" t="s">
        <v>42</v>
      </c>
      <c r="F632" t="s">
        <v>47</v>
      </c>
      <c r="G632" t="s">
        <v>662</v>
      </c>
      <c r="J632" t="s">
        <v>1554</v>
      </c>
      <c r="K632" t="s">
        <v>38</v>
      </c>
      <c r="L632" t="s">
        <v>38</v>
      </c>
      <c r="M632" t="s">
        <v>38</v>
      </c>
      <c r="N632" t="s">
        <v>38</v>
      </c>
      <c r="O632" t="s">
        <v>38</v>
      </c>
      <c r="Q632">
        <v>0</v>
      </c>
      <c r="T632" t="s">
        <v>38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f t="shared" si="27"/>
        <v>1</v>
      </c>
      <c r="AF632">
        <f>VLOOKUP(D632,especies!$A$2:$C$9,3,FALSE)</f>
        <v>2</v>
      </c>
      <c r="AG632" t="str">
        <f t="shared" si="28"/>
        <v>2-DPC (Doméstico de pelo corto o DSH)</v>
      </c>
      <c r="AH632">
        <f>VLOOKUP('Fichas clínicas'!AG632,razas!$A$2:$D$66,3,FALSE)</f>
        <v>51</v>
      </c>
      <c r="AI632" t="str">
        <f t="shared" si="29"/>
        <v>M</v>
      </c>
    </row>
    <row r="633" spans="1:35" x14ac:dyDescent="0.2">
      <c r="A633">
        <v>634</v>
      </c>
      <c r="B633" t="s">
        <v>1555</v>
      </c>
      <c r="C633" t="s">
        <v>1556</v>
      </c>
      <c r="D633" t="s">
        <v>32</v>
      </c>
      <c r="E633" t="s">
        <v>33</v>
      </c>
      <c r="F633" t="s">
        <v>34</v>
      </c>
      <c r="G633" t="s">
        <v>165</v>
      </c>
      <c r="J633" t="s">
        <v>1557</v>
      </c>
      <c r="K633" t="s">
        <v>38</v>
      </c>
      <c r="L633" t="s">
        <v>38</v>
      </c>
      <c r="M633" t="s">
        <v>38</v>
      </c>
      <c r="N633" t="s">
        <v>38</v>
      </c>
      <c r="O633" t="s">
        <v>38</v>
      </c>
      <c r="T633" t="s">
        <v>38</v>
      </c>
      <c r="U633">
        <v>0</v>
      </c>
      <c r="V633">
        <v>1</v>
      </c>
      <c r="W633">
        <v>0</v>
      </c>
      <c r="X633">
        <v>0</v>
      </c>
      <c r="Y633">
        <v>0</v>
      </c>
      <c r="AE633">
        <f t="shared" si="27"/>
        <v>1</v>
      </c>
      <c r="AF633">
        <f>VLOOKUP(D633,especies!$A$2:$C$9,3,FALSE)</f>
        <v>1</v>
      </c>
      <c r="AG633" t="str">
        <f t="shared" si="28"/>
        <v>1-Mestizo</v>
      </c>
      <c r="AH633">
        <f>VLOOKUP('Fichas clínicas'!AG633,razas!$A$2:$D$66,3,FALSE)</f>
        <v>1</v>
      </c>
      <c r="AI633" t="str">
        <f t="shared" si="29"/>
        <v>H</v>
      </c>
    </row>
    <row r="634" spans="1:35" x14ac:dyDescent="0.2">
      <c r="A634">
        <v>635</v>
      </c>
      <c r="B634" t="s">
        <v>1558</v>
      </c>
      <c r="C634" t="s">
        <v>1559</v>
      </c>
      <c r="D634" t="s">
        <v>32</v>
      </c>
      <c r="E634" t="s">
        <v>33</v>
      </c>
      <c r="F634" t="s">
        <v>34</v>
      </c>
      <c r="G634" t="s">
        <v>1560</v>
      </c>
      <c r="J634" t="s">
        <v>281</v>
      </c>
      <c r="K634" t="s">
        <v>38</v>
      </c>
      <c r="L634" t="s">
        <v>38</v>
      </c>
      <c r="M634" t="s">
        <v>38</v>
      </c>
      <c r="N634" t="s">
        <v>38</v>
      </c>
      <c r="O634" t="s">
        <v>38</v>
      </c>
      <c r="T634" t="s">
        <v>38</v>
      </c>
      <c r="U634">
        <v>0</v>
      </c>
      <c r="V634">
        <v>1</v>
      </c>
      <c r="W634">
        <v>0</v>
      </c>
      <c r="X634">
        <v>0</v>
      </c>
      <c r="Y634">
        <v>0</v>
      </c>
      <c r="AE634">
        <f t="shared" si="27"/>
        <v>1</v>
      </c>
      <c r="AF634">
        <f>VLOOKUP(D634,especies!$A$2:$C$9,3,FALSE)</f>
        <v>1</v>
      </c>
      <c r="AG634" t="str">
        <f t="shared" si="28"/>
        <v>1-Mestizo</v>
      </c>
      <c r="AH634">
        <f>VLOOKUP('Fichas clínicas'!AG634,razas!$A$2:$D$66,3,FALSE)</f>
        <v>1</v>
      </c>
      <c r="AI634" t="str">
        <f t="shared" si="29"/>
        <v>H</v>
      </c>
    </row>
    <row r="635" spans="1:35" x14ac:dyDescent="0.2">
      <c r="A635">
        <v>636</v>
      </c>
      <c r="B635" t="s">
        <v>1558</v>
      </c>
      <c r="C635" t="s">
        <v>378</v>
      </c>
      <c r="D635" t="s">
        <v>32</v>
      </c>
      <c r="E635" t="s">
        <v>33</v>
      </c>
      <c r="F635" t="s">
        <v>34</v>
      </c>
      <c r="G635" t="s">
        <v>1561</v>
      </c>
      <c r="J635" t="s">
        <v>281</v>
      </c>
      <c r="K635" t="s">
        <v>38</v>
      </c>
      <c r="L635" t="s">
        <v>38</v>
      </c>
      <c r="M635" t="s">
        <v>38</v>
      </c>
      <c r="N635" t="s">
        <v>38</v>
      </c>
      <c r="O635" t="s">
        <v>38</v>
      </c>
      <c r="T635" t="s">
        <v>38</v>
      </c>
      <c r="U635">
        <v>0</v>
      </c>
      <c r="V635">
        <v>1</v>
      </c>
      <c r="W635">
        <v>0</v>
      </c>
      <c r="X635">
        <v>0</v>
      </c>
      <c r="Y635">
        <v>0</v>
      </c>
      <c r="AE635">
        <f t="shared" si="27"/>
        <v>1</v>
      </c>
      <c r="AF635">
        <f>VLOOKUP(D635,especies!$A$2:$C$9,3,FALSE)</f>
        <v>1</v>
      </c>
      <c r="AG635" t="str">
        <f t="shared" si="28"/>
        <v>1-Mestizo</v>
      </c>
      <c r="AH635">
        <f>VLOOKUP('Fichas clínicas'!AG635,razas!$A$2:$D$66,3,FALSE)</f>
        <v>1</v>
      </c>
      <c r="AI635" t="str">
        <f t="shared" si="29"/>
        <v>H</v>
      </c>
    </row>
    <row r="636" spans="1:35" x14ac:dyDescent="0.2">
      <c r="A636">
        <v>637</v>
      </c>
      <c r="B636" t="s">
        <v>1562</v>
      </c>
      <c r="C636" t="s">
        <v>1563</v>
      </c>
      <c r="D636" t="s">
        <v>32</v>
      </c>
      <c r="E636" t="s">
        <v>812</v>
      </c>
      <c r="F636" t="s">
        <v>47</v>
      </c>
      <c r="G636" t="s">
        <v>199</v>
      </c>
      <c r="J636" t="s">
        <v>58</v>
      </c>
      <c r="K636" t="s">
        <v>38</v>
      </c>
      <c r="L636" t="s">
        <v>38</v>
      </c>
      <c r="M636" t="s">
        <v>38</v>
      </c>
      <c r="N636" t="s">
        <v>38</v>
      </c>
      <c r="O636" t="s">
        <v>38</v>
      </c>
      <c r="T636" t="s">
        <v>38</v>
      </c>
      <c r="U636">
        <v>0</v>
      </c>
      <c r="W636">
        <v>0</v>
      </c>
      <c r="X636">
        <v>0</v>
      </c>
      <c r="Y636">
        <v>0</v>
      </c>
      <c r="AE636">
        <f t="shared" si="27"/>
        <v>1</v>
      </c>
      <c r="AF636">
        <f>VLOOKUP(D636,especies!$A$2:$C$9,3,FALSE)</f>
        <v>1</v>
      </c>
      <c r="AG636" t="str">
        <f t="shared" si="28"/>
        <v>1-Fox Terrier de Pelo Duro</v>
      </c>
      <c r="AH636">
        <f>VLOOKUP('Fichas clínicas'!AG636,razas!$A$2:$D$66,3,FALSE)</f>
        <v>18</v>
      </c>
      <c r="AI636" t="str">
        <f t="shared" si="29"/>
        <v>M</v>
      </c>
    </row>
    <row r="637" spans="1:35" x14ac:dyDescent="0.2">
      <c r="A637">
        <v>638</v>
      </c>
      <c r="B637" t="s">
        <v>1564</v>
      </c>
      <c r="C637" t="s">
        <v>1422</v>
      </c>
      <c r="D637" t="s">
        <v>41</v>
      </c>
      <c r="E637" t="s">
        <v>42</v>
      </c>
      <c r="F637" t="s">
        <v>34</v>
      </c>
      <c r="G637" t="s">
        <v>123</v>
      </c>
      <c r="J637" t="s">
        <v>989</v>
      </c>
      <c r="K637" t="s">
        <v>38</v>
      </c>
      <c r="L637" t="s">
        <v>38</v>
      </c>
      <c r="M637" t="s">
        <v>38</v>
      </c>
      <c r="N637" t="s">
        <v>38</v>
      </c>
      <c r="O637" t="s">
        <v>38</v>
      </c>
      <c r="T637" t="s">
        <v>38</v>
      </c>
      <c r="U637">
        <v>0</v>
      </c>
      <c r="W637">
        <v>0</v>
      </c>
      <c r="X637">
        <v>0</v>
      </c>
      <c r="Y637">
        <v>0</v>
      </c>
      <c r="AE637">
        <f t="shared" si="27"/>
        <v>1</v>
      </c>
      <c r="AF637">
        <f>VLOOKUP(D637,especies!$A$2:$C$9,3,FALSE)</f>
        <v>2</v>
      </c>
      <c r="AG637" t="str">
        <f t="shared" si="28"/>
        <v>2-DPC (Doméstico de pelo corto o DSH)</v>
      </c>
      <c r="AH637">
        <f>VLOOKUP('Fichas clínicas'!AG637,razas!$A$2:$D$66,3,FALSE)</f>
        <v>51</v>
      </c>
      <c r="AI637" t="str">
        <f t="shared" si="29"/>
        <v>H</v>
      </c>
    </row>
    <row r="638" spans="1:35" x14ac:dyDescent="0.2">
      <c r="A638">
        <v>639</v>
      </c>
      <c r="B638" t="s">
        <v>1494</v>
      </c>
      <c r="C638" t="s">
        <v>1565</v>
      </c>
      <c r="D638" t="s">
        <v>32</v>
      </c>
      <c r="E638" t="s">
        <v>33</v>
      </c>
      <c r="F638" t="s">
        <v>34</v>
      </c>
      <c r="G638" t="s">
        <v>351</v>
      </c>
      <c r="I638">
        <v>90011300027684</v>
      </c>
      <c r="J638" t="s">
        <v>1566</v>
      </c>
      <c r="K638" t="s">
        <v>38</v>
      </c>
      <c r="L638" t="s">
        <v>38</v>
      </c>
      <c r="M638" t="s">
        <v>38</v>
      </c>
      <c r="N638" t="s">
        <v>38</v>
      </c>
      <c r="O638" t="s">
        <v>38</v>
      </c>
      <c r="Q638">
        <v>0</v>
      </c>
      <c r="T638" t="s">
        <v>38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f t="shared" si="27"/>
        <v>1</v>
      </c>
      <c r="AF638">
        <f>VLOOKUP(D638,especies!$A$2:$C$9,3,FALSE)</f>
        <v>1</v>
      </c>
      <c r="AG638" t="str">
        <f t="shared" si="28"/>
        <v>1-Mestizo</v>
      </c>
      <c r="AH638">
        <f>VLOOKUP('Fichas clínicas'!AG638,razas!$A$2:$D$66,3,FALSE)</f>
        <v>1</v>
      </c>
      <c r="AI638" t="str">
        <f t="shared" si="29"/>
        <v>H</v>
      </c>
    </row>
    <row r="639" spans="1:35" x14ac:dyDescent="0.2">
      <c r="A639">
        <v>640</v>
      </c>
      <c r="B639" t="s">
        <v>1567</v>
      </c>
      <c r="C639" t="s">
        <v>315</v>
      </c>
      <c r="D639" t="s">
        <v>41</v>
      </c>
      <c r="E639" t="s">
        <v>93</v>
      </c>
      <c r="F639" t="s">
        <v>34</v>
      </c>
      <c r="G639" t="s">
        <v>77</v>
      </c>
      <c r="J639" t="s">
        <v>1568</v>
      </c>
      <c r="K639" t="s">
        <v>38</v>
      </c>
      <c r="L639" t="s">
        <v>38</v>
      </c>
      <c r="M639" t="s">
        <v>38</v>
      </c>
      <c r="N639" t="s">
        <v>38</v>
      </c>
      <c r="O639" t="s">
        <v>38</v>
      </c>
      <c r="T639" t="s">
        <v>38</v>
      </c>
      <c r="U639">
        <v>0</v>
      </c>
      <c r="W639">
        <v>0</v>
      </c>
      <c r="X639">
        <v>0</v>
      </c>
      <c r="Y639">
        <v>0</v>
      </c>
      <c r="AE639">
        <f t="shared" si="27"/>
        <v>1</v>
      </c>
      <c r="AF639">
        <f>VLOOKUP(D639,especies!$A$2:$C$9,3,FALSE)</f>
        <v>2</v>
      </c>
      <c r="AG639" t="str">
        <f t="shared" si="28"/>
        <v>2-DPL (Doméstico de pelo Largo o DLH)</v>
      </c>
      <c r="AH639">
        <f>VLOOKUP('Fichas clínicas'!AG639,razas!$A$2:$D$66,3,FALSE)</f>
        <v>52</v>
      </c>
      <c r="AI639" t="str">
        <f t="shared" si="29"/>
        <v>H</v>
      </c>
    </row>
    <row r="640" spans="1:35" x14ac:dyDescent="0.2">
      <c r="A640">
        <v>641</v>
      </c>
      <c r="B640" t="s">
        <v>1569</v>
      </c>
      <c r="C640" t="s">
        <v>1570</v>
      </c>
      <c r="D640" t="s">
        <v>41</v>
      </c>
      <c r="E640" t="s">
        <v>42</v>
      </c>
      <c r="F640" t="s">
        <v>47</v>
      </c>
      <c r="G640" t="s">
        <v>1571</v>
      </c>
      <c r="J640" t="s">
        <v>1437</v>
      </c>
      <c r="K640" t="s">
        <v>38</v>
      </c>
      <c r="L640" t="s">
        <v>38</v>
      </c>
      <c r="M640" t="s">
        <v>38</v>
      </c>
      <c r="N640" t="s">
        <v>38</v>
      </c>
      <c r="O640" t="s">
        <v>38</v>
      </c>
      <c r="T640" t="s">
        <v>38</v>
      </c>
      <c r="U640">
        <v>0</v>
      </c>
      <c r="V640">
        <v>1</v>
      </c>
      <c r="W640">
        <v>0</v>
      </c>
      <c r="X640">
        <v>0</v>
      </c>
      <c r="Y640">
        <v>0</v>
      </c>
      <c r="AE640">
        <f t="shared" si="27"/>
        <v>1</v>
      </c>
      <c r="AF640">
        <f>VLOOKUP(D640,especies!$A$2:$C$9,3,FALSE)</f>
        <v>2</v>
      </c>
      <c r="AG640" t="str">
        <f t="shared" si="28"/>
        <v>2-DPC (Doméstico de pelo corto o DSH)</v>
      </c>
      <c r="AH640">
        <f>VLOOKUP('Fichas clínicas'!AG640,razas!$A$2:$D$66,3,FALSE)</f>
        <v>51</v>
      </c>
      <c r="AI640" t="str">
        <f t="shared" si="29"/>
        <v>M</v>
      </c>
    </row>
    <row r="641" spans="1:35" x14ac:dyDescent="0.2">
      <c r="A641">
        <v>642</v>
      </c>
      <c r="B641" t="s">
        <v>1572</v>
      </c>
      <c r="C641" t="s">
        <v>1573</v>
      </c>
      <c r="D641" t="s">
        <v>32</v>
      </c>
      <c r="E641" t="s">
        <v>33</v>
      </c>
      <c r="F641" t="s">
        <v>34</v>
      </c>
      <c r="G641" t="s">
        <v>452</v>
      </c>
      <c r="J641" t="s">
        <v>1409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Q641">
        <v>0</v>
      </c>
      <c r="T641" t="s">
        <v>38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f t="shared" si="27"/>
        <v>1</v>
      </c>
      <c r="AF641">
        <f>VLOOKUP(D641,especies!$A$2:$C$9,3,FALSE)</f>
        <v>1</v>
      </c>
      <c r="AG641" t="str">
        <f t="shared" si="28"/>
        <v>1-Mestizo</v>
      </c>
      <c r="AH641">
        <f>VLOOKUP('Fichas clínicas'!AG641,razas!$A$2:$D$66,3,FALSE)</f>
        <v>1</v>
      </c>
      <c r="AI641" t="str">
        <f t="shared" si="29"/>
        <v>H</v>
      </c>
    </row>
    <row r="642" spans="1:35" x14ac:dyDescent="0.2">
      <c r="A642">
        <v>643</v>
      </c>
      <c r="B642" t="s">
        <v>275</v>
      </c>
      <c r="C642" t="s">
        <v>1574</v>
      </c>
      <c r="D642" t="s">
        <v>32</v>
      </c>
      <c r="E642" t="s">
        <v>33</v>
      </c>
      <c r="F642" t="s">
        <v>47</v>
      </c>
      <c r="G642" t="s">
        <v>116</v>
      </c>
      <c r="J642" t="s">
        <v>1575</v>
      </c>
      <c r="K642" t="s">
        <v>38</v>
      </c>
      <c r="L642" t="s">
        <v>38</v>
      </c>
      <c r="M642" t="s">
        <v>38</v>
      </c>
      <c r="N642" t="s">
        <v>38</v>
      </c>
      <c r="O642" t="s">
        <v>38</v>
      </c>
      <c r="T642" t="s">
        <v>38</v>
      </c>
      <c r="U642">
        <v>0</v>
      </c>
      <c r="W642">
        <v>0</v>
      </c>
      <c r="X642">
        <v>0</v>
      </c>
      <c r="Y642">
        <v>0</v>
      </c>
      <c r="AE642">
        <f t="shared" si="27"/>
        <v>1</v>
      </c>
      <c r="AF642">
        <f>VLOOKUP(D642,especies!$A$2:$C$9,3,FALSE)</f>
        <v>1</v>
      </c>
      <c r="AG642" t="str">
        <f t="shared" si="28"/>
        <v>1-Mestizo</v>
      </c>
      <c r="AH642">
        <f>VLOOKUP('Fichas clínicas'!AG642,razas!$A$2:$D$66,3,FALSE)</f>
        <v>1</v>
      </c>
      <c r="AI642" t="str">
        <f t="shared" si="29"/>
        <v>M</v>
      </c>
    </row>
    <row r="643" spans="1:35" x14ac:dyDescent="0.2">
      <c r="A643">
        <v>644</v>
      </c>
      <c r="B643" t="s">
        <v>1576</v>
      </c>
      <c r="C643" t="s">
        <v>1577</v>
      </c>
      <c r="D643" t="s">
        <v>32</v>
      </c>
      <c r="E643" t="s">
        <v>33</v>
      </c>
      <c r="F643" t="s">
        <v>34</v>
      </c>
      <c r="G643" t="s">
        <v>452</v>
      </c>
      <c r="J643" t="s">
        <v>493</v>
      </c>
      <c r="K643" t="s">
        <v>38</v>
      </c>
      <c r="L643" t="s">
        <v>38</v>
      </c>
      <c r="M643" t="s">
        <v>38</v>
      </c>
      <c r="N643" t="s">
        <v>38</v>
      </c>
      <c r="O643" t="s">
        <v>38</v>
      </c>
      <c r="T643" t="s">
        <v>38</v>
      </c>
      <c r="U643">
        <v>0</v>
      </c>
      <c r="V643">
        <v>1</v>
      </c>
      <c r="W643">
        <v>0</v>
      </c>
      <c r="X643">
        <v>0</v>
      </c>
      <c r="Y643">
        <v>0</v>
      </c>
      <c r="AE643">
        <f t="shared" ref="AE643:AE706" si="30">SUBTOTAL(103,E643)</f>
        <v>1</v>
      </c>
      <c r="AF643">
        <f>VLOOKUP(D643,especies!$A$2:$C$9,3,FALSE)</f>
        <v>1</v>
      </c>
      <c r="AG643" t="str">
        <f t="shared" ref="AG643:AG706" si="31">AF643&amp;"-"&amp;E643</f>
        <v>1-Mestizo</v>
      </c>
      <c r="AH643">
        <f>VLOOKUP('Fichas clínicas'!AG643,razas!$A$2:$D$66,3,FALSE)</f>
        <v>1</v>
      </c>
      <c r="AI643" t="str">
        <f t="shared" ref="AI643:AI706" si="32">IF(F643="Hembra","H","M")</f>
        <v>H</v>
      </c>
    </row>
    <row r="644" spans="1:35" x14ac:dyDescent="0.2">
      <c r="A644">
        <v>645</v>
      </c>
      <c r="B644" t="s">
        <v>1576</v>
      </c>
      <c r="C644" t="s">
        <v>1578</v>
      </c>
      <c r="D644" t="s">
        <v>32</v>
      </c>
      <c r="E644" t="s">
        <v>438</v>
      </c>
      <c r="F644" t="s">
        <v>34</v>
      </c>
      <c r="G644" t="s">
        <v>1560</v>
      </c>
      <c r="J644" t="s">
        <v>989</v>
      </c>
      <c r="K644" t="s">
        <v>38</v>
      </c>
      <c r="L644" t="s">
        <v>38</v>
      </c>
      <c r="M644" t="s">
        <v>38</v>
      </c>
      <c r="N644" t="s">
        <v>38</v>
      </c>
      <c r="O644" t="s">
        <v>38</v>
      </c>
      <c r="Q644">
        <v>0</v>
      </c>
      <c r="T644" t="s">
        <v>38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f t="shared" si="30"/>
        <v>1</v>
      </c>
      <c r="AF644">
        <f>VLOOKUP(D644,especies!$A$2:$C$9,3,FALSE)</f>
        <v>1</v>
      </c>
      <c r="AG644" t="str">
        <f t="shared" si="31"/>
        <v>1-Ovejero Alemán</v>
      </c>
      <c r="AH644">
        <f>VLOOKUP('Fichas clínicas'!AG644,razas!$A$2:$D$66,3,FALSE)</f>
        <v>12</v>
      </c>
      <c r="AI644" t="str">
        <f t="shared" si="32"/>
        <v>H</v>
      </c>
    </row>
    <row r="645" spans="1:35" x14ac:dyDescent="0.2">
      <c r="A645">
        <v>646</v>
      </c>
      <c r="B645" t="s">
        <v>1579</v>
      </c>
      <c r="C645" t="s">
        <v>1580</v>
      </c>
      <c r="D645" t="s">
        <v>32</v>
      </c>
      <c r="E645" t="s">
        <v>33</v>
      </c>
      <c r="F645" t="s">
        <v>47</v>
      </c>
      <c r="G645" t="s">
        <v>351</v>
      </c>
      <c r="J645" t="s">
        <v>519</v>
      </c>
      <c r="K645" t="s">
        <v>38</v>
      </c>
      <c r="L645" t="s">
        <v>38</v>
      </c>
      <c r="M645" t="s">
        <v>38</v>
      </c>
      <c r="N645" t="s">
        <v>38</v>
      </c>
      <c r="O645" t="s">
        <v>38</v>
      </c>
      <c r="T645" t="s">
        <v>38</v>
      </c>
      <c r="U645">
        <v>0</v>
      </c>
      <c r="W645">
        <v>0</v>
      </c>
      <c r="X645">
        <v>0</v>
      </c>
      <c r="Y645">
        <v>0</v>
      </c>
      <c r="AE645">
        <f t="shared" si="30"/>
        <v>1</v>
      </c>
      <c r="AF645">
        <f>VLOOKUP(D645,especies!$A$2:$C$9,3,FALSE)</f>
        <v>1</v>
      </c>
      <c r="AG645" t="str">
        <f t="shared" si="31"/>
        <v>1-Mestizo</v>
      </c>
      <c r="AH645">
        <f>VLOOKUP('Fichas clínicas'!AG645,razas!$A$2:$D$66,3,FALSE)</f>
        <v>1</v>
      </c>
      <c r="AI645" t="str">
        <f t="shared" si="32"/>
        <v>M</v>
      </c>
    </row>
    <row r="646" spans="1:35" x14ac:dyDescent="0.2">
      <c r="A646">
        <v>647</v>
      </c>
      <c r="B646" t="s">
        <v>572</v>
      </c>
      <c r="C646" t="s">
        <v>1581</v>
      </c>
      <c r="D646" t="s">
        <v>32</v>
      </c>
      <c r="E646" t="s">
        <v>33</v>
      </c>
      <c r="F646" t="s">
        <v>34</v>
      </c>
      <c r="G646" t="s">
        <v>1402</v>
      </c>
      <c r="J646" t="s">
        <v>1582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Q646">
        <v>0</v>
      </c>
      <c r="T646" t="s">
        <v>38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f t="shared" si="30"/>
        <v>1</v>
      </c>
      <c r="AF646">
        <f>VLOOKUP(D646,especies!$A$2:$C$9,3,FALSE)</f>
        <v>1</v>
      </c>
      <c r="AG646" t="str">
        <f t="shared" si="31"/>
        <v>1-Mestizo</v>
      </c>
      <c r="AH646">
        <f>VLOOKUP('Fichas clínicas'!AG646,razas!$A$2:$D$66,3,FALSE)</f>
        <v>1</v>
      </c>
      <c r="AI646" t="str">
        <f t="shared" si="32"/>
        <v>H</v>
      </c>
    </row>
    <row r="647" spans="1:35" x14ac:dyDescent="0.2">
      <c r="A647">
        <v>648</v>
      </c>
      <c r="B647" t="s">
        <v>1583</v>
      </c>
      <c r="C647" t="s">
        <v>1584</v>
      </c>
      <c r="D647" t="s">
        <v>32</v>
      </c>
      <c r="E647" t="s">
        <v>33</v>
      </c>
      <c r="F647" t="s">
        <v>47</v>
      </c>
      <c r="G647" t="s">
        <v>73</v>
      </c>
      <c r="J647" t="s">
        <v>1585</v>
      </c>
      <c r="K647" t="s">
        <v>38</v>
      </c>
      <c r="L647" t="s">
        <v>38</v>
      </c>
      <c r="M647" t="s">
        <v>38</v>
      </c>
      <c r="N647" t="s">
        <v>38</v>
      </c>
      <c r="O647" t="s">
        <v>38</v>
      </c>
      <c r="T647" t="s">
        <v>38</v>
      </c>
      <c r="U647">
        <v>0</v>
      </c>
      <c r="V647">
        <v>1</v>
      </c>
      <c r="W647">
        <v>0</v>
      </c>
      <c r="X647">
        <v>0</v>
      </c>
      <c r="Y647">
        <v>0</v>
      </c>
      <c r="AE647">
        <f t="shared" si="30"/>
        <v>1</v>
      </c>
      <c r="AF647">
        <f>VLOOKUP(D647,especies!$A$2:$C$9,3,FALSE)</f>
        <v>1</v>
      </c>
      <c r="AG647" t="str">
        <f t="shared" si="31"/>
        <v>1-Mestizo</v>
      </c>
      <c r="AH647">
        <f>VLOOKUP('Fichas clínicas'!AG647,razas!$A$2:$D$66,3,FALSE)</f>
        <v>1</v>
      </c>
      <c r="AI647" t="str">
        <f t="shared" si="32"/>
        <v>M</v>
      </c>
    </row>
    <row r="648" spans="1:35" x14ac:dyDescent="0.2">
      <c r="A648">
        <v>649</v>
      </c>
      <c r="B648" t="s">
        <v>1506</v>
      </c>
      <c r="C648" t="s">
        <v>1586</v>
      </c>
      <c r="D648" t="s">
        <v>41</v>
      </c>
      <c r="E648" t="s">
        <v>42</v>
      </c>
      <c r="F648" t="s">
        <v>34</v>
      </c>
      <c r="G648" t="s">
        <v>300</v>
      </c>
      <c r="J648" t="s">
        <v>1587</v>
      </c>
      <c r="K648" t="s">
        <v>38</v>
      </c>
      <c r="L648" t="s">
        <v>38</v>
      </c>
      <c r="M648" t="s">
        <v>38</v>
      </c>
      <c r="N648" t="s">
        <v>38</v>
      </c>
      <c r="O648" t="s">
        <v>38</v>
      </c>
      <c r="T648" t="s">
        <v>38</v>
      </c>
      <c r="U648">
        <v>0</v>
      </c>
      <c r="V648">
        <v>1</v>
      </c>
      <c r="W648">
        <v>0</v>
      </c>
      <c r="X648">
        <v>0</v>
      </c>
      <c r="Y648">
        <v>0</v>
      </c>
      <c r="AE648">
        <f t="shared" si="30"/>
        <v>1</v>
      </c>
      <c r="AF648">
        <f>VLOOKUP(D648,especies!$A$2:$C$9,3,FALSE)</f>
        <v>2</v>
      </c>
      <c r="AG648" t="str">
        <f t="shared" si="31"/>
        <v>2-DPC (Doméstico de pelo corto o DSH)</v>
      </c>
      <c r="AH648">
        <f>VLOOKUP('Fichas clínicas'!AG648,razas!$A$2:$D$66,3,FALSE)</f>
        <v>51</v>
      </c>
      <c r="AI648" t="str">
        <f t="shared" si="32"/>
        <v>H</v>
      </c>
    </row>
    <row r="649" spans="1:35" x14ac:dyDescent="0.2">
      <c r="A649">
        <v>650</v>
      </c>
      <c r="B649" t="s">
        <v>1588</v>
      </c>
      <c r="C649" t="s">
        <v>1589</v>
      </c>
      <c r="D649" t="s">
        <v>32</v>
      </c>
      <c r="E649" t="s">
        <v>122</v>
      </c>
      <c r="F649" t="s">
        <v>47</v>
      </c>
      <c r="G649" t="s">
        <v>123</v>
      </c>
      <c r="J649" t="s">
        <v>1590</v>
      </c>
      <c r="K649" t="s">
        <v>38</v>
      </c>
      <c r="L649" t="s">
        <v>38</v>
      </c>
      <c r="M649" t="s">
        <v>38</v>
      </c>
      <c r="N649" t="s">
        <v>38</v>
      </c>
      <c r="O649" t="s">
        <v>38</v>
      </c>
      <c r="T649" t="s">
        <v>38</v>
      </c>
      <c r="U649">
        <v>0</v>
      </c>
      <c r="V649">
        <v>1</v>
      </c>
      <c r="W649">
        <v>0</v>
      </c>
      <c r="X649">
        <v>0</v>
      </c>
      <c r="Y649">
        <v>0</v>
      </c>
      <c r="AE649">
        <f t="shared" si="30"/>
        <v>1</v>
      </c>
      <c r="AF649">
        <f>VLOOKUP(D649,especies!$A$2:$C$9,3,FALSE)</f>
        <v>1</v>
      </c>
      <c r="AG649" t="str">
        <f t="shared" si="31"/>
        <v>1-Caniche</v>
      </c>
      <c r="AH649">
        <f>VLOOKUP('Fichas clínicas'!AG649,razas!$A$2:$D$66,3,FALSE)</f>
        <v>4</v>
      </c>
      <c r="AI649" t="str">
        <f t="shared" si="32"/>
        <v>M</v>
      </c>
    </row>
    <row r="650" spans="1:35" x14ac:dyDescent="0.2">
      <c r="A650">
        <v>651</v>
      </c>
      <c r="B650" t="s">
        <v>1591</v>
      </c>
      <c r="C650" t="s">
        <v>1592</v>
      </c>
      <c r="D650" t="s">
        <v>32</v>
      </c>
      <c r="E650" t="s">
        <v>143</v>
      </c>
      <c r="F650" t="s">
        <v>34</v>
      </c>
      <c r="G650" t="s">
        <v>1593</v>
      </c>
      <c r="J650" t="s">
        <v>1012</v>
      </c>
      <c r="K650" t="s">
        <v>38</v>
      </c>
      <c r="L650" t="s">
        <v>38</v>
      </c>
      <c r="M650" t="s">
        <v>38</v>
      </c>
      <c r="N650" t="s">
        <v>38</v>
      </c>
      <c r="O650" t="s">
        <v>38</v>
      </c>
      <c r="T650" t="s">
        <v>38</v>
      </c>
      <c r="U650">
        <v>0</v>
      </c>
      <c r="W650">
        <v>0</v>
      </c>
      <c r="X650">
        <v>0</v>
      </c>
      <c r="Y650">
        <v>0</v>
      </c>
      <c r="AE650">
        <f t="shared" si="30"/>
        <v>1</v>
      </c>
      <c r="AF650">
        <f>VLOOKUP(D650,especies!$A$2:$C$9,3,FALSE)</f>
        <v>1</v>
      </c>
      <c r="AG650" t="str">
        <f t="shared" si="31"/>
        <v>1-Yorkshire Terrier</v>
      </c>
      <c r="AH650">
        <f>VLOOKUP('Fichas clínicas'!AG650,razas!$A$2:$D$66,3,FALSE)</f>
        <v>5</v>
      </c>
      <c r="AI650" t="str">
        <f t="shared" si="32"/>
        <v>H</v>
      </c>
    </row>
    <row r="651" spans="1:35" x14ac:dyDescent="0.2">
      <c r="A651">
        <v>652</v>
      </c>
      <c r="B651" t="s">
        <v>1591</v>
      </c>
      <c r="C651" t="s">
        <v>1594</v>
      </c>
      <c r="D651" t="s">
        <v>41</v>
      </c>
      <c r="E651" t="s">
        <v>42</v>
      </c>
      <c r="F651" t="s">
        <v>47</v>
      </c>
      <c r="G651" t="s">
        <v>73</v>
      </c>
      <c r="J651" t="s">
        <v>797</v>
      </c>
      <c r="K651" t="s">
        <v>38</v>
      </c>
      <c r="L651" t="s">
        <v>38</v>
      </c>
      <c r="M651" t="s">
        <v>38</v>
      </c>
      <c r="N651" t="s">
        <v>38</v>
      </c>
      <c r="O651" t="s">
        <v>38</v>
      </c>
      <c r="T651" t="s">
        <v>38</v>
      </c>
      <c r="U651">
        <v>0</v>
      </c>
      <c r="W651">
        <v>0</v>
      </c>
      <c r="X651">
        <v>0</v>
      </c>
      <c r="Y651">
        <v>0</v>
      </c>
      <c r="AE651">
        <f t="shared" si="30"/>
        <v>1</v>
      </c>
      <c r="AF651">
        <f>VLOOKUP(D651,especies!$A$2:$C$9,3,FALSE)</f>
        <v>2</v>
      </c>
      <c r="AG651" t="str">
        <f t="shared" si="31"/>
        <v>2-DPC (Doméstico de pelo corto o DSH)</v>
      </c>
      <c r="AH651">
        <f>VLOOKUP('Fichas clínicas'!AG651,razas!$A$2:$D$66,3,FALSE)</f>
        <v>51</v>
      </c>
      <c r="AI651" t="str">
        <f t="shared" si="32"/>
        <v>M</v>
      </c>
    </row>
    <row r="652" spans="1:35" x14ac:dyDescent="0.2">
      <c r="A652">
        <v>653</v>
      </c>
      <c r="B652" t="s">
        <v>1394</v>
      </c>
      <c r="C652" t="s">
        <v>1595</v>
      </c>
      <c r="D652" t="s">
        <v>41</v>
      </c>
      <c r="E652" t="s">
        <v>42</v>
      </c>
      <c r="F652" t="s">
        <v>34</v>
      </c>
      <c r="G652" t="s">
        <v>165</v>
      </c>
      <c r="J652" t="s">
        <v>82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T652" t="s">
        <v>38</v>
      </c>
      <c r="U652">
        <v>0</v>
      </c>
      <c r="W652">
        <v>0</v>
      </c>
      <c r="X652">
        <v>0</v>
      </c>
      <c r="Y652">
        <v>0</v>
      </c>
      <c r="AE652">
        <f t="shared" si="30"/>
        <v>1</v>
      </c>
      <c r="AF652">
        <f>VLOOKUP(D652,especies!$A$2:$C$9,3,FALSE)</f>
        <v>2</v>
      </c>
      <c r="AG652" t="str">
        <f t="shared" si="31"/>
        <v>2-DPC (Doméstico de pelo corto o DSH)</v>
      </c>
      <c r="AH652">
        <f>VLOOKUP('Fichas clínicas'!AG652,razas!$A$2:$D$66,3,FALSE)</f>
        <v>51</v>
      </c>
      <c r="AI652" t="str">
        <f t="shared" si="32"/>
        <v>H</v>
      </c>
    </row>
    <row r="653" spans="1:35" x14ac:dyDescent="0.2">
      <c r="A653">
        <v>654</v>
      </c>
      <c r="B653" t="s">
        <v>1596</v>
      </c>
      <c r="C653" t="s">
        <v>1597</v>
      </c>
      <c r="D653" t="s">
        <v>41</v>
      </c>
      <c r="E653" t="s">
        <v>42</v>
      </c>
      <c r="F653" t="s">
        <v>47</v>
      </c>
      <c r="G653" t="s">
        <v>1598</v>
      </c>
      <c r="J653" t="s">
        <v>1599</v>
      </c>
      <c r="K653" t="s">
        <v>38</v>
      </c>
      <c r="L653" t="s">
        <v>38</v>
      </c>
      <c r="M653" t="s">
        <v>38</v>
      </c>
      <c r="N653" t="s">
        <v>38</v>
      </c>
      <c r="O653" t="s">
        <v>38</v>
      </c>
      <c r="Q653">
        <v>0</v>
      </c>
      <c r="T653" t="s">
        <v>38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f t="shared" si="30"/>
        <v>1</v>
      </c>
      <c r="AF653">
        <f>VLOOKUP(D653,especies!$A$2:$C$9,3,FALSE)</f>
        <v>2</v>
      </c>
      <c r="AG653" t="str">
        <f t="shared" si="31"/>
        <v>2-DPC (Doméstico de pelo corto o DSH)</v>
      </c>
      <c r="AH653">
        <f>VLOOKUP('Fichas clínicas'!AG653,razas!$A$2:$D$66,3,FALSE)</f>
        <v>51</v>
      </c>
      <c r="AI653" t="str">
        <f t="shared" si="32"/>
        <v>M</v>
      </c>
    </row>
    <row r="654" spans="1:35" x14ac:dyDescent="0.2">
      <c r="A654">
        <v>655</v>
      </c>
      <c r="B654" t="s">
        <v>1600</v>
      </c>
      <c r="C654" t="s">
        <v>1601</v>
      </c>
      <c r="D654" t="s">
        <v>32</v>
      </c>
      <c r="E654" t="s">
        <v>33</v>
      </c>
      <c r="F654" t="s">
        <v>34</v>
      </c>
      <c r="G654" t="s">
        <v>1402</v>
      </c>
      <c r="J654" t="s">
        <v>1582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T654" t="s">
        <v>38</v>
      </c>
      <c r="U654">
        <v>0</v>
      </c>
      <c r="W654">
        <v>0</v>
      </c>
      <c r="X654">
        <v>0</v>
      </c>
      <c r="Y654">
        <v>0</v>
      </c>
      <c r="AE654">
        <f t="shared" si="30"/>
        <v>1</v>
      </c>
      <c r="AF654">
        <f>VLOOKUP(D654,especies!$A$2:$C$9,3,FALSE)</f>
        <v>1</v>
      </c>
      <c r="AG654" t="str">
        <f t="shared" si="31"/>
        <v>1-Mestizo</v>
      </c>
      <c r="AH654">
        <f>VLOOKUP('Fichas clínicas'!AG654,razas!$A$2:$D$66,3,FALSE)</f>
        <v>1</v>
      </c>
      <c r="AI654" t="str">
        <f t="shared" si="32"/>
        <v>H</v>
      </c>
    </row>
    <row r="655" spans="1:35" x14ac:dyDescent="0.2">
      <c r="A655">
        <v>656</v>
      </c>
      <c r="B655" t="s">
        <v>1602</v>
      </c>
      <c r="C655" t="s">
        <v>1603</v>
      </c>
      <c r="D655" t="s">
        <v>41</v>
      </c>
      <c r="E655" t="s">
        <v>42</v>
      </c>
      <c r="F655" t="s">
        <v>34</v>
      </c>
      <c r="G655" t="s">
        <v>1604</v>
      </c>
      <c r="J655" t="s">
        <v>1605</v>
      </c>
      <c r="K655" t="s">
        <v>38</v>
      </c>
      <c r="L655" t="s">
        <v>38</v>
      </c>
      <c r="M655" t="s">
        <v>38</v>
      </c>
      <c r="N655" t="s">
        <v>38</v>
      </c>
      <c r="O655" t="s">
        <v>38</v>
      </c>
      <c r="T655" t="s">
        <v>38</v>
      </c>
      <c r="U655">
        <v>0</v>
      </c>
      <c r="V655">
        <v>1</v>
      </c>
      <c r="W655">
        <v>0</v>
      </c>
      <c r="X655">
        <v>0</v>
      </c>
      <c r="Y655">
        <v>0</v>
      </c>
      <c r="AE655">
        <f t="shared" si="30"/>
        <v>1</v>
      </c>
      <c r="AF655">
        <f>VLOOKUP(D655,especies!$A$2:$C$9,3,FALSE)</f>
        <v>2</v>
      </c>
      <c r="AG655" t="str">
        <f t="shared" si="31"/>
        <v>2-DPC (Doméstico de pelo corto o DSH)</v>
      </c>
      <c r="AH655">
        <f>VLOOKUP('Fichas clínicas'!AG655,razas!$A$2:$D$66,3,FALSE)</f>
        <v>51</v>
      </c>
      <c r="AI655" t="str">
        <f t="shared" si="32"/>
        <v>H</v>
      </c>
    </row>
    <row r="656" spans="1:35" x14ac:dyDescent="0.2">
      <c r="A656">
        <v>657</v>
      </c>
      <c r="B656" t="s">
        <v>1606</v>
      </c>
      <c r="C656" t="s">
        <v>1607</v>
      </c>
      <c r="D656" t="s">
        <v>32</v>
      </c>
      <c r="E656" t="s">
        <v>994</v>
      </c>
      <c r="F656" t="s">
        <v>47</v>
      </c>
      <c r="G656" t="s">
        <v>587</v>
      </c>
      <c r="J656" t="s">
        <v>1608</v>
      </c>
      <c r="K656" t="s">
        <v>38</v>
      </c>
      <c r="L656" t="s">
        <v>38</v>
      </c>
      <c r="M656" t="s">
        <v>38</v>
      </c>
      <c r="N656" t="s">
        <v>38</v>
      </c>
      <c r="O656" t="s">
        <v>38</v>
      </c>
      <c r="T656" t="s">
        <v>38</v>
      </c>
      <c r="U656">
        <v>0</v>
      </c>
      <c r="W656">
        <v>0</v>
      </c>
      <c r="X656">
        <v>0</v>
      </c>
      <c r="Y656">
        <v>0</v>
      </c>
      <c r="AE656">
        <f t="shared" si="30"/>
        <v>1</v>
      </c>
      <c r="AF656">
        <f>VLOOKUP(D656,especies!$A$2:$C$9,3,FALSE)</f>
        <v>1</v>
      </c>
      <c r="AG656" t="str">
        <f t="shared" si="31"/>
        <v>1-Bulldog Francés</v>
      </c>
      <c r="AH656">
        <f>VLOOKUP('Fichas clínicas'!AG656,razas!$A$2:$D$66,3,FALSE)</f>
        <v>26</v>
      </c>
      <c r="AI656" t="str">
        <f t="shared" si="32"/>
        <v>M</v>
      </c>
    </row>
    <row r="657" spans="1:35" x14ac:dyDescent="0.2">
      <c r="A657">
        <v>658</v>
      </c>
      <c r="B657" t="s">
        <v>1609</v>
      </c>
      <c r="C657" t="s">
        <v>1610</v>
      </c>
      <c r="D657" t="s">
        <v>41</v>
      </c>
      <c r="E657" t="s">
        <v>42</v>
      </c>
      <c r="F657" t="s">
        <v>34</v>
      </c>
      <c r="G657" t="s">
        <v>297</v>
      </c>
      <c r="J657" t="s">
        <v>1611</v>
      </c>
      <c r="K657" t="s">
        <v>38</v>
      </c>
      <c r="L657" t="s">
        <v>38</v>
      </c>
      <c r="M657" t="s">
        <v>38</v>
      </c>
      <c r="N657" t="s">
        <v>38</v>
      </c>
      <c r="O657" t="s">
        <v>38</v>
      </c>
      <c r="T657" t="s">
        <v>38</v>
      </c>
      <c r="U657">
        <v>0</v>
      </c>
      <c r="V657">
        <v>1</v>
      </c>
      <c r="W657">
        <v>0</v>
      </c>
      <c r="X657">
        <v>0</v>
      </c>
      <c r="Y657">
        <v>0</v>
      </c>
      <c r="AE657">
        <f t="shared" si="30"/>
        <v>1</v>
      </c>
      <c r="AF657">
        <f>VLOOKUP(D657,especies!$A$2:$C$9,3,FALSE)</f>
        <v>2</v>
      </c>
      <c r="AG657" t="str">
        <f t="shared" si="31"/>
        <v>2-DPC (Doméstico de pelo corto o DSH)</v>
      </c>
      <c r="AH657">
        <f>VLOOKUP('Fichas clínicas'!AG657,razas!$A$2:$D$66,3,FALSE)</f>
        <v>51</v>
      </c>
      <c r="AI657" t="str">
        <f t="shared" si="32"/>
        <v>H</v>
      </c>
    </row>
    <row r="658" spans="1:35" x14ac:dyDescent="0.2">
      <c r="A658">
        <v>659</v>
      </c>
      <c r="B658" t="s">
        <v>1612</v>
      </c>
      <c r="C658" t="s">
        <v>1613</v>
      </c>
      <c r="D658" t="s">
        <v>41</v>
      </c>
      <c r="E658" t="s">
        <v>42</v>
      </c>
      <c r="F658" t="s">
        <v>47</v>
      </c>
      <c r="G658" t="s">
        <v>1614</v>
      </c>
      <c r="J658" t="s">
        <v>797</v>
      </c>
      <c r="K658" t="s">
        <v>38</v>
      </c>
      <c r="L658" t="s">
        <v>38</v>
      </c>
      <c r="M658" t="s">
        <v>38</v>
      </c>
      <c r="N658" t="s">
        <v>38</v>
      </c>
      <c r="O658" t="s">
        <v>38</v>
      </c>
      <c r="T658" t="s">
        <v>38</v>
      </c>
      <c r="U658">
        <v>0</v>
      </c>
      <c r="W658">
        <v>0</v>
      </c>
      <c r="X658">
        <v>0</v>
      </c>
      <c r="Y658">
        <v>0</v>
      </c>
      <c r="AE658">
        <f t="shared" si="30"/>
        <v>1</v>
      </c>
      <c r="AF658">
        <f>VLOOKUP(D658,especies!$A$2:$C$9,3,FALSE)</f>
        <v>2</v>
      </c>
      <c r="AG658" t="str">
        <f t="shared" si="31"/>
        <v>2-DPC (Doméstico de pelo corto o DSH)</v>
      </c>
      <c r="AH658">
        <f>VLOOKUP('Fichas clínicas'!AG658,razas!$A$2:$D$66,3,FALSE)</f>
        <v>51</v>
      </c>
      <c r="AI658" t="str">
        <f t="shared" si="32"/>
        <v>M</v>
      </c>
    </row>
    <row r="659" spans="1:35" x14ac:dyDescent="0.2">
      <c r="A659">
        <v>661</v>
      </c>
      <c r="B659" t="s">
        <v>1615</v>
      </c>
      <c r="C659" t="s">
        <v>1616</v>
      </c>
      <c r="D659" t="s">
        <v>32</v>
      </c>
      <c r="E659" t="s">
        <v>33</v>
      </c>
      <c r="F659" t="s">
        <v>34</v>
      </c>
      <c r="G659" t="s">
        <v>73</v>
      </c>
      <c r="J659" t="s">
        <v>717</v>
      </c>
      <c r="K659" t="s">
        <v>38</v>
      </c>
      <c r="L659" t="s">
        <v>38</v>
      </c>
      <c r="M659" t="s">
        <v>38</v>
      </c>
      <c r="N659" t="s">
        <v>38</v>
      </c>
      <c r="O659" t="s">
        <v>38</v>
      </c>
      <c r="T659" t="s">
        <v>38</v>
      </c>
      <c r="U659">
        <v>0</v>
      </c>
      <c r="V659">
        <v>1</v>
      </c>
      <c r="W659">
        <v>0</v>
      </c>
      <c r="X659">
        <v>0</v>
      </c>
      <c r="Y659">
        <v>0</v>
      </c>
      <c r="AE659">
        <f t="shared" si="30"/>
        <v>1</v>
      </c>
      <c r="AF659">
        <f>VLOOKUP(D659,especies!$A$2:$C$9,3,FALSE)</f>
        <v>1</v>
      </c>
      <c r="AG659" t="str">
        <f t="shared" si="31"/>
        <v>1-Mestizo</v>
      </c>
      <c r="AH659">
        <f>VLOOKUP('Fichas clínicas'!AG659,razas!$A$2:$D$66,3,FALSE)</f>
        <v>1</v>
      </c>
      <c r="AI659" t="str">
        <f t="shared" si="32"/>
        <v>H</v>
      </c>
    </row>
    <row r="660" spans="1:35" x14ac:dyDescent="0.2">
      <c r="A660">
        <v>662</v>
      </c>
      <c r="B660" t="s">
        <v>1617</v>
      </c>
      <c r="C660" t="s">
        <v>1618</v>
      </c>
      <c r="D660" t="s">
        <v>41</v>
      </c>
      <c r="E660" t="s">
        <v>42</v>
      </c>
      <c r="F660" t="s">
        <v>47</v>
      </c>
      <c r="G660" t="s">
        <v>1007</v>
      </c>
      <c r="J660" t="s">
        <v>359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T660" t="s">
        <v>38</v>
      </c>
      <c r="U660">
        <v>0</v>
      </c>
      <c r="W660">
        <v>0</v>
      </c>
      <c r="X660">
        <v>0</v>
      </c>
      <c r="Y660">
        <v>0</v>
      </c>
      <c r="AE660">
        <f t="shared" si="30"/>
        <v>1</v>
      </c>
      <c r="AF660">
        <f>VLOOKUP(D660,especies!$A$2:$C$9,3,FALSE)</f>
        <v>2</v>
      </c>
      <c r="AG660" t="str">
        <f t="shared" si="31"/>
        <v>2-DPC (Doméstico de pelo corto o DSH)</v>
      </c>
      <c r="AH660">
        <f>VLOOKUP('Fichas clínicas'!AG660,razas!$A$2:$D$66,3,FALSE)</f>
        <v>51</v>
      </c>
      <c r="AI660" t="str">
        <f t="shared" si="32"/>
        <v>M</v>
      </c>
    </row>
    <row r="661" spans="1:35" x14ac:dyDescent="0.2">
      <c r="A661">
        <v>663</v>
      </c>
      <c r="B661" t="s">
        <v>314</v>
      </c>
      <c r="C661" t="s">
        <v>1619</v>
      </c>
      <c r="D661" t="s">
        <v>32</v>
      </c>
      <c r="E661" t="s">
        <v>122</v>
      </c>
      <c r="F661" t="s">
        <v>34</v>
      </c>
      <c r="G661" t="s">
        <v>102</v>
      </c>
      <c r="J661" t="s">
        <v>1620</v>
      </c>
      <c r="K661" t="s">
        <v>38</v>
      </c>
      <c r="L661" t="s">
        <v>38</v>
      </c>
      <c r="M661" t="s">
        <v>38</v>
      </c>
      <c r="N661" t="s">
        <v>38</v>
      </c>
      <c r="O661" t="s">
        <v>38</v>
      </c>
      <c r="T661" t="s">
        <v>38</v>
      </c>
      <c r="U661">
        <v>0</v>
      </c>
      <c r="W661">
        <v>0</v>
      </c>
      <c r="X661">
        <v>0</v>
      </c>
      <c r="Y661">
        <v>0</v>
      </c>
      <c r="AE661">
        <f t="shared" si="30"/>
        <v>1</v>
      </c>
      <c r="AF661">
        <f>VLOOKUP(D661,especies!$A$2:$C$9,3,FALSE)</f>
        <v>1</v>
      </c>
      <c r="AG661" t="str">
        <f t="shared" si="31"/>
        <v>1-Caniche</v>
      </c>
      <c r="AH661">
        <f>VLOOKUP('Fichas clínicas'!AG661,razas!$A$2:$D$66,3,FALSE)</f>
        <v>4</v>
      </c>
      <c r="AI661" t="str">
        <f t="shared" si="32"/>
        <v>H</v>
      </c>
    </row>
    <row r="662" spans="1:35" x14ac:dyDescent="0.2">
      <c r="A662">
        <v>664</v>
      </c>
      <c r="B662" t="s">
        <v>1120</v>
      </c>
      <c r="C662" t="s">
        <v>1345</v>
      </c>
      <c r="D662" t="s">
        <v>41</v>
      </c>
      <c r="E662" t="s">
        <v>42</v>
      </c>
      <c r="F662" t="s">
        <v>47</v>
      </c>
      <c r="G662" t="s">
        <v>1007</v>
      </c>
      <c r="J662" t="s">
        <v>181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T662" t="s">
        <v>38</v>
      </c>
      <c r="U662">
        <v>0</v>
      </c>
      <c r="V662">
        <v>1</v>
      </c>
      <c r="W662">
        <v>0</v>
      </c>
      <c r="X662">
        <v>0</v>
      </c>
      <c r="Y662">
        <v>0</v>
      </c>
      <c r="AE662">
        <f t="shared" si="30"/>
        <v>1</v>
      </c>
      <c r="AF662">
        <f>VLOOKUP(D662,especies!$A$2:$C$9,3,FALSE)</f>
        <v>2</v>
      </c>
      <c r="AG662" t="str">
        <f t="shared" si="31"/>
        <v>2-DPC (Doméstico de pelo corto o DSH)</v>
      </c>
      <c r="AH662">
        <f>VLOOKUP('Fichas clínicas'!AG662,razas!$A$2:$D$66,3,FALSE)</f>
        <v>51</v>
      </c>
      <c r="AI662" t="str">
        <f t="shared" si="32"/>
        <v>M</v>
      </c>
    </row>
    <row r="663" spans="1:35" x14ac:dyDescent="0.2">
      <c r="A663">
        <v>665</v>
      </c>
      <c r="B663" t="s">
        <v>1621</v>
      </c>
      <c r="C663" t="s">
        <v>378</v>
      </c>
      <c r="D663" t="s">
        <v>32</v>
      </c>
      <c r="E663" t="s">
        <v>458</v>
      </c>
      <c r="F663" t="s">
        <v>34</v>
      </c>
      <c r="G663" t="s">
        <v>526</v>
      </c>
      <c r="J663" t="s">
        <v>1434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T663" t="s">
        <v>38</v>
      </c>
      <c r="U663">
        <v>0</v>
      </c>
      <c r="V663">
        <v>1</v>
      </c>
      <c r="W663">
        <v>0</v>
      </c>
      <c r="X663">
        <v>0</v>
      </c>
      <c r="Y663">
        <v>0</v>
      </c>
      <c r="AE663">
        <f t="shared" si="30"/>
        <v>1</v>
      </c>
      <c r="AF663">
        <f>VLOOKUP(D663,especies!$A$2:$C$9,3,FALSE)</f>
        <v>1</v>
      </c>
      <c r="AG663" t="str">
        <f t="shared" si="31"/>
        <v>1-Beagle</v>
      </c>
      <c r="AH663">
        <f>VLOOKUP('Fichas clínicas'!AG663,razas!$A$2:$D$66,3,FALSE)</f>
        <v>13</v>
      </c>
      <c r="AI663" t="str">
        <f t="shared" si="32"/>
        <v>H</v>
      </c>
    </row>
    <row r="664" spans="1:35" x14ac:dyDescent="0.2">
      <c r="A664">
        <v>666</v>
      </c>
      <c r="B664" t="s">
        <v>1622</v>
      </c>
      <c r="C664" t="s">
        <v>1623</v>
      </c>
      <c r="D664" t="s">
        <v>32</v>
      </c>
      <c r="E664" t="s">
        <v>33</v>
      </c>
      <c r="F664" t="s">
        <v>34</v>
      </c>
      <c r="G664" t="s">
        <v>694</v>
      </c>
      <c r="J664" t="s">
        <v>1624</v>
      </c>
      <c r="K664" t="s">
        <v>38</v>
      </c>
      <c r="L664" t="s">
        <v>38</v>
      </c>
      <c r="M664" t="s">
        <v>38</v>
      </c>
      <c r="N664" t="s">
        <v>38</v>
      </c>
      <c r="O664" t="s">
        <v>38</v>
      </c>
      <c r="T664" t="s">
        <v>38</v>
      </c>
      <c r="U664">
        <v>0</v>
      </c>
      <c r="W664">
        <v>0</v>
      </c>
      <c r="X664">
        <v>0</v>
      </c>
      <c r="Y664">
        <v>0</v>
      </c>
      <c r="AE664">
        <f t="shared" si="30"/>
        <v>1</v>
      </c>
      <c r="AF664">
        <f>VLOOKUP(D664,especies!$A$2:$C$9,3,FALSE)</f>
        <v>1</v>
      </c>
      <c r="AG664" t="str">
        <f t="shared" si="31"/>
        <v>1-Mestizo</v>
      </c>
      <c r="AH664">
        <f>VLOOKUP('Fichas clínicas'!AG664,razas!$A$2:$D$66,3,FALSE)</f>
        <v>1</v>
      </c>
      <c r="AI664" t="str">
        <f t="shared" si="32"/>
        <v>H</v>
      </c>
    </row>
    <row r="665" spans="1:35" x14ac:dyDescent="0.2">
      <c r="A665">
        <v>667</v>
      </c>
      <c r="B665" t="s">
        <v>1625</v>
      </c>
      <c r="C665" t="s">
        <v>1626</v>
      </c>
      <c r="D665" t="s">
        <v>32</v>
      </c>
      <c r="E665" t="s">
        <v>33</v>
      </c>
      <c r="F665" t="s">
        <v>47</v>
      </c>
      <c r="G665" t="s">
        <v>99</v>
      </c>
      <c r="J665" t="s">
        <v>628</v>
      </c>
      <c r="K665" t="s">
        <v>38</v>
      </c>
      <c r="L665" t="s">
        <v>38</v>
      </c>
      <c r="M665" t="s">
        <v>38</v>
      </c>
      <c r="N665" t="s">
        <v>38</v>
      </c>
      <c r="O665" t="s">
        <v>38</v>
      </c>
      <c r="T665" t="s">
        <v>38</v>
      </c>
      <c r="U665">
        <v>0</v>
      </c>
      <c r="V665">
        <v>1</v>
      </c>
      <c r="W665">
        <v>0</v>
      </c>
      <c r="X665">
        <v>0</v>
      </c>
      <c r="Y665">
        <v>0</v>
      </c>
      <c r="AE665">
        <f t="shared" si="30"/>
        <v>1</v>
      </c>
      <c r="AF665">
        <f>VLOOKUP(D665,especies!$A$2:$C$9,3,FALSE)</f>
        <v>1</v>
      </c>
      <c r="AG665" t="str">
        <f t="shared" si="31"/>
        <v>1-Mestizo</v>
      </c>
      <c r="AH665">
        <f>VLOOKUP('Fichas clínicas'!AG665,razas!$A$2:$D$66,3,FALSE)</f>
        <v>1</v>
      </c>
      <c r="AI665" t="str">
        <f t="shared" si="32"/>
        <v>M</v>
      </c>
    </row>
    <row r="666" spans="1:35" x14ac:dyDescent="0.2">
      <c r="A666">
        <v>668</v>
      </c>
      <c r="B666" t="s">
        <v>1627</v>
      </c>
      <c r="C666" t="s">
        <v>1628</v>
      </c>
      <c r="D666" t="s">
        <v>32</v>
      </c>
      <c r="E666" t="s">
        <v>33</v>
      </c>
      <c r="F666" t="s">
        <v>34</v>
      </c>
      <c r="G666" t="s">
        <v>1402</v>
      </c>
      <c r="J666" t="s">
        <v>900</v>
      </c>
      <c r="K666" t="s">
        <v>38</v>
      </c>
      <c r="L666" t="s">
        <v>38</v>
      </c>
      <c r="M666" t="s">
        <v>38</v>
      </c>
      <c r="N666" t="s">
        <v>38</v>
      </c>
      <c r="O666" t="s">
        <v>38</v>
      </c>
      <c r="Q666">
        <v>0</v>
      </c>
      <c r="T666" t="s">
        <v>38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f t="shared" si="30"/>
        <v>1</v>
      </c>
      <c r="AF666">
        <f>VLOOKUP(D666,especies!$A$2:$C$9,3,FALSE)</f>
        <v>1</v>
      </c>
      <c r="AG666" t="str">
        <f t="shared" si="31"/>
        <v>1-Mestizo</v>
      </c>
      <c r="AH666">
        <f>VLOOKUP('Fichas clínicas'!AG666,razas!$A$2:$D$66,3,FALSE)</f>
        <v>1</v>
      </c>
      <c r="AI666" t="str">
        <f t="shared" si="32"/>
        <v>H</v>
      </c>
    </row>
    <row r="667" spans="1:35" x14ac:dyDescent="0.2">
      <c r="A667">
        <v>669</v>
      </c>
      <c r="B667" t="s">
        <v>235</v>
      </c>
      <c r="C667" t="s">
        <v>1629</v>
      </c>
      <c r="D667" t="s">
        <v>32</v>
      </c>
      <c r="E667" t="s">
        <v>143</v>
      </c>
      <c r="F667" t="s">
        <v>34</v>
      </c>
      <c r="G667" t="s">
        <v>54</v>
      </c>
      <c r="J667" t="s">
        <v>1630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T667" t="s">
        <v>38</v>
      </c>
      <c r="U667">
        <v>0</v>
      </c>
      <c r="W667">
        <v>0</v>
      </c>
      <c r="X667">
        <v>0</v>
      </c>
      <c r="Y667">
        <v>0</v>
      </c>
      <c r="AE667">
        <f t="shared" si="30"/>
        <v>1</v>
      </c>
      <c r="AF667">
        <f>VLOOKUP(D667,especies!$A$2:$C$9,3,FALSE)</f>
        <v>1</v>
      </c>
      <c r="AG667" t="str">
        <f t="shared" si="31"/>
        <v>1-Yorkshire Terrier</v>
      </c>
      <c r="AH667">
        <f>VLOOKUP('Fichas clínicas'!AG667,razas!$A$2:$D$66,3,FALSE)</f>
        <v>5</v>
      </c>
      <c r="AI667" t="str">
        <f t="shared" si="32"/>
        <v>H</v>
      </c>
    </row>
    <row r="668" spans="1:35" x14ac:dyDescent="0.2">
      <c r="A668">
        <v>670</v>
      </c>
      <c r="B668" t="s">
        <v>1631</v>
      </c>
      <c r="C668" t="s">
        <v>1632</v>
      </c>
      <c r="D668" t="s">
        <v>32</v>
      </c>
      <c r="E668" t="s">
        <v>150</v>
      </c>
      <c r="F668" t="s">
        <v>34</v>
      </c>
      <c r="G668" t="s">
        <v>102</v>
      </c>
      <c r="J668" t="s">
        <v>1427</v>
      </c>
      <c r="K668" t="s">
        <v>38</v>
      </c>
      <c r="L668" t="s">
        <v>38</v>
      </c>
      <c r="M668" t="s">
        <v>38</v>
      </c>
      <c r="N668" t="s">
        <v>38</v>
      </c>
      <c r="O668" t="s">
        <v>38</v>
      </c>
      <c r="Q668">
        <v>0</v>
      </c>
      <c r="T668" t="s">
        <v>38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f t="shared" si="30"/>
        <v>1</v>
      </c>
      <c r="AF668">
        <f>VLOOKUP(D668,especies!$A$2:$C$9,3,FALSE)</f>
        <v>1</v>
      </c>
      <c r="AG668" t="str">
        <f t="shared" si="31"/>
        <v>1-Poodle</v>
      </c>
      <c r="AH668">
        <f>VLOOKUP('Fichas clínicas'!AG668,razas!$A$2:$D$66,3,FALSE)</f>
        <v>6</v>
      </c>
      <c r="AI668" t="str">
        <f t="shared" si="32"/>
        <v>H</v>
      </c>
    </row>
    <row r="669" spans="1:35" x14ac:dyDescent="0.2">
      <c r="A669">
        <v>671</v>
      </c>
      <c r="B669" t="s">
        <v>1633</v>
      </c>
      <c r="C669" t="s">
        <v>1634</v>
      </c>
      <c r="D669" t="s">
        <v>32</v>
      </c>
      <c r="E669" t="s">
        <v>33</v>
      </c>
      <c r="F669" t="s">
        <v>47</v>
      </c>
      <c r="G669" t="s">
        <v>1543</v>
      </c>
      <c r="J669" t="s">
        <v>1635</v>
      </c>
      <c r="K669" t="s">
        <v>38</v>
      </c>
      <c r="L669" t="s">
        <v>38</v>
      </c>
      <c r="M669" t="s">
        <v>38</v>
      </c>
      <c r="N669" t="s">
        <v>38</v>
      </c>
      <c r="O669" t="s">
        <v>38</v>
      </c>
      <c r="T669" t="s">
        <v>38</v>
      </c>
      <c r="U669">
        <v>0</v>
      </c>
      <c r="W669">
        <v>0</v>
      </c>
      <c r="X669">
        <v>0</v>
      </c>
      <c r="Y669">
        <v>0</v>
      </c>
      <c r="AE669">
        <f t="shared" si="30"/>
        <v>1</v>
      </c>
      <c r="AF669">
        <f>VLOOKUP(D669,especies!$A$2:$C$9,3,FALSE)</f>
        <v>1</v>
      </c>
      <c r="AG669" t="str">
        <f t="shared" si="31"/>
        <v>1-Mestizo</v>
      </c>
      <c r="AH669">
        <f>VLOOKUP('Fichas clínicas'!AG669,razas!$A$2:$D$66,3,FALSE)</f>
        <v>1</v>
      </c>
      <c r="AI669" t="str">
        <f t="shared" si="32"/>
        <v>M</v>
      </c>
    </row>
    <row r="670" spans="1:35" x14ac:dyDescent="0.2">
      <c r="A670">
        <v>672</v>
      </c>
      <c r="B670" t="s">
        <v>669</v>
      </c>
      <c r="C670" t="s">
        <v>1547</v>
      </c>
      <c r="D670" t="s">
        <v>41</v>
      </c>
      <c r="E670" t="s">
        <v>42</v>
      </c>
      <c r="F670" t="s">
        <v>47</v>
      </c>
      <c r="G670" t="s">
        <v>102</v>
      </c>
      <c r="J670" t="s">
        <v>1636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T670" t="s">
        <v>38</v>
      </c>
      <c r="U670">
        <v>0</v>
      </c>
      <c r="V670">
        <v>1</v>
      </c>
      <c r="W670">
        <v>0</v>
      </c>
      <c r="X670">
        <v>0</v>
      </c>
      <c r="Y670">
        <v>0</v>
      </c>
      <c r="AE670">
        <f t="shared" si="30"/>
        <v>1</v>
      </c>
      <c r="AF670">
        <f>VLOOKUP(D670,especies!$A$2:$C$9,3,FALSE)</f>
        <v>2</v>
      </c>
      <c r="AG670" t="str">
        <f t="shared" si="31"/>
        <v>2-DPC (Doméstico de pelo corto o DSH)</v>
      </c>
      <c r="AH670">
        <f>VLOOKUP('Fichas clínicas'!AG670,razas!$A$2:$D$66,3,FALSE)</f>
        <v>51</v>
      </c>
      <c r="AI670" t="str">
        <f t="shared" si="32"/>
        <v>M</v>
      </c>
    </row>
    <row r="671" spans="1:35" x14ac:dyDescent="0.2">
      <c r="A671">
        <v>673</v>
      </c>
      <c r="B671" t="s">
        <v>1637</v>
      </c>
      <c r="C671" t="s">
        <v>1638</v>
      </c>
      <c r="D671" t="s">
        <v>41</v>
      </c>
      <c r="E671" t="s">
        <v>42</v>
      </c>
      <c r="F671" t="s">
        <v>34</v>
      </c>
      <c r="G671" t="s">
        <v>1639</v>
      </c>
      <c r="J671" t="s">
        <v>1640</v>
      </c>
      <c r="K671" t="s">
        <v>38</v>
      </c>
      <c r="L671" t="s">
        <v>38</v>
      </c>
      <c r="M671" t="s">
        <v>38</v>
      </c>
      <c r="N671" t="s">
        <v>38</v>
      </c>
      <c r="O671" t="s">
        <v>38</v>
      </c>
      <c r="T671" t="s">
        <v>38</v>
      </c>
      <c r="U671">
        <v>0</v>
      </c>
      <c r="V671">
        <v>1</v>
      </c>
      <c r="W671">
        <v>0</v>
      </c>
      <c r="X671">
        <v>0</v>
      </c>
      <c r="Y671">
        <v>0</v>
      </c>
      <c r="AE671">
        <f t="shared" si="30"/>
        <v>1</v>
      </c>
      <c r="AF671">
        <f>VLOOKUP(D671,especies!$A$2:$C$9,3,FALSE)</f>
        <v>2</v>
      </c>
      <c r="AG671" t="str">
        <f t="shared" si="31"/>
        <v>2-DPC (Doméstico de pelo corto o DSH)</v>
      </c>
      <c r="AH671">
        <f>VLOOKUP('Fichas clínicas'!AG671,razas!$A$2:$D$66,3,FALSE)</f>
        <v>51</v>
      </c>
      <c r="AI671" t="str">
        <f t="shared" si="32"/>
        <v>H</v>
      </c>
    </row>
    <row r="672" spans="1:35" x14ac:dyDescent="0.2">
      <c r="A672">
        <v>674</v>
      </c>
      <c r="B672" t="s">
        <v>1641</v>
      </c>
      <c r="C672" t="s">
        <v>1642</v>
      </c>
      <c r="D672" t="s">
        <v>32</v>
      </c>
      <c r="E672" t="s">
        <v>33</v>
      </c>
      <c r="F672" t="s">
        <v>34</v>
      </c>
      <c r="G672" t="s">
        <v>165</v>
      </c>
      <c r="J672" t="s">
        <v>1643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T672" t="s">
        <v>38</v>
      </c>
      <c r="U672">
        <v>0</v>
      </c>
      <c r="V672">
        <v>1</v>
      </c>
      <c r="W672">
        <v>0</v>
      </c>
      <c r="X672">
        <v>0</v>
      </c>
      <c r="Y672">
        <v>0</v>
      </c>
      <c r="AE672">
        <f t="shared" si="30"/>
        <v>1</v>
      </c>
      <c r="AF672">
        <f>VLOOKUP(D672,especies!$A$2:$C$9,3,FALSE)</f>
        <v>1</v>
      </c>
      <c r="AG672" t="str">
        <f t="shared" si="31"/>
        <v>1-Mestizo</v>
      </c>
      <c r="AH672">
        <f>VLOOKUP('Fichas clínicas'!AG672,razas!$A$2:$D$66,3,FALSE)</f>
        <v>1</v>
      </c>
      <c r="AI672" t="str">
        <f t="shared" si="32"/>
        <v>H</v>
      </c>
    </row>
    <row r="673" spans="1:35" x14ac:dyDescent="0.2">
      <c r="A673">
        <v>675</v>
      </c>
      <c r="B673" t="s">
        <v>1644</v>
      </c>
      <c r="C673" t="s">
        <v>1645</v>
      </c>
      <c r="D673" t="s">
        <v>32</v>
      </c>
      <c r="E673" t="s">
        <v>33</v>
      </c>
      <c r="F673" t="s">
        <v>34</v>
      </c>
      <c r="G673" t="s">
        <v>43</v>
      </c>
      <c r="J673" t="s">
        <v>1643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Q673">
        <v>0</v>
      </c>
      <c r="T673" t="s">
        <v>38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f t="shared" si="30"/>
        <v>1</v>
      </c>
      <c r="AF673">
        <f>VLOOKUP(D673,especies!$A$2:$C$9,3,FALSE)</f>
        <v>1</v>
      </c>
      <c r="AG673" t="str">
        <f t="shared" si="31"/>
        <v>1-Mestizo</v>
      </c>
      <c r="AH673">
        <f>VLOOKUP('Fichas clínicas'!AG673,razas!$A$2:$D$66,3,FALSE)</f>
        <v>1</v>
      </c>
      <c r="AI673" t="str">
        <f t="shared" si="32"/>
        <v>H</v>
      </c>
    </row>
    <row r="674" spans="1:35" x14ac:dyDescent="0.2">
      <c r="A674">
        <v>676</v>
      </c>
      <c r="B674" t="s">
        <v>1591</v>
      </c>
      <c r="C674" t="s">
        <v>1646</v>
      </c>
      <c r="D674" t="s">
        <v>41</v>
      </c>
      <c r="E674" t="s">
        <v>42</v>
      </c>
      <c r="F674" t="s">
        <v>34</v>
      </c>
      <c r="G674" t="s">
        <v>1647</v>
      </c>
      <c r="J674" t="s">
        <v>737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T674" t="s">
        <v>38</v>
      </c>
      <c r="U674">
        <v>0</v>
      </c>
      <c r="V674">
        <v>1</v>
      </c>
      <c r="W674">
        <v>0</v>
      </c>
      <c r="X674">
        <v>0</v>
      </c>
      <c r="Y674">
        <v>0</v>
      </c>
      <c r="AE674">
        <f t="shared" si="30"/>
        <v>1</v>
      </c>
      <c r="AF674">
        <f>VLOOKUP(D674,especies!$A$2:$C$9,3,FALSE)</f>
        <v>2</v>
      </c>
      <c r="AG674" t="str">
        <f t="shared" si="31"/>
        <v>2-DPC (Doméstico de pelo corto o DSH)</v>
      </c>
      <c r="AH674">
        <f>VLOOKUP('Fichas clínicas'!AG674,razas!$A$2:$D$66,3,FALSE)</f>
        <v>51</v>
      </c>
      <c r="AI674" t="str">
        <f t="shared" si="32"/>
        <v>H</v>
      </c>
    </row>
    <row r="675" spans="1:35" x14ac:dyDescent="0.2">
      <c r="A675">
        <v>677</v>
      </c>
      <c r="B675" t="s">
        <v>1648</v>
      </c>
      <c r="C675" t="s">
        <v>378</v>
      </c>
      <c r="D675" t="s">
        <v>32</v>
      </c>
      <c r="E675" t="s">
        <v>150</v>
      </c>
      <c r="F675" t="s">
        <v>34</v>
      </c>
      <c r="G675" t="s">
        <v>102</v>
      </c>
      <c r="J675" t="s">
        <v>1269</v>
      </c>
      <c r="K675" t="s">
        <v>38</v>
      </c>
      <c r="L675" t="s">
        <v>38</v>
      </c>
      <c r="M675" t="s">
        <v>38</v>
      </c>
      <c r="N675" t="s">
        <v>38</v>
      </c>
      <c r="O675" t="s">
        <v>38</v>
      </c>
      <c r="T675" t="s">
        <v>38</v>
      </c>
      <c r="U675">
        <v>0</v>
      </c>
      <c r="V675">
        <v>1</v>
      </c>
      <c r="W675">
        <v>0</v>
      </c>
      <c r="X675">
        <v>0</v>
      </c>
      <c r="Y675">
        <v>0</v>
      </c>
      <c r="AE675">
        <f t="shared" si="30"/>
        <v>1</v>
      </c>
      <c r="AF675">
        <f>VLOOKUP(D675,especies!$A$2:$C$9,3,FALSE)</f>
        <v>1</v>
      </c>
      <c r="AG675" t="str">
        <f t="shared" si="31"/>
        <v>1-Poodle</v>
      </c>
      <c r="AH675">
        <f>VLOOKUP('Fichas clínicas'!AG675,razas!$A$2:$D$66,3,FALSE)</f>
        <v>6</v>
      </c>
      <c r="AI675" t="str">
        <f t="shared" si="32"/>
        <v>H</v>
      </c>
    </row>
    <row r="676" spans="1:35" x14ac:dyDescent="0.2">
      <c r="A676">
        <v>678</v>
      </c>
      <c r="B676" t="s">
        <v>295</v>
      </c>
      <c r="C676" t="s">
        <v>280</v>
      </c>
      <c r="D676" t="s">
        <v>32</v>
      </c>
      <c r="E676" t="s">
        <v>33</v>
      </c>
      <c r="F676" t="s">
        <v>34</v>
      </c>
      <c r="G676" t="s">
        <v>43</v>
      </c>
      <c r="I676">
        <v>9990200190506688</v>
      </c>
      <c r="J676" t="s">
        <v>841</v>
      </c>
      <c r="K676" t="s">
        <v>38</v>
      </c>
      <c r="L676" t="s">
        <v>38</v>
      </c>
      <c r="M676" t="s">
        <v>38</v>
      </c>
      <c r="N676" t="s">
        <v>38</v>
      </c>
      <c r="O676" t="s">
        <v>38</v>
      </c>
      <c r="Q676">
        <v>0</v>
      </c>
      <c r="T676" t="s">
        <v>38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f t="shared" si="30"/>
        <v>1</v>
      </c>
      <c r="AF676">
        <f>VLOOKUP(D676,especies!$A$2:$C$9,3,FALSE)</f>
        <v>1</v>
      </c>
      <c r="AG676" t="str">
        <f t="shared" si="31"/>
        <v>1-Mestizo</v>
      </c>
      <c r="AH676">
        <f>VLOOKUP('Fichas clínicas'!AG676,razas!$A$2:$D$66,3,FALSE)</f>
        <v>1</v>
      </c>
      <c r="AI676" t="str">
        <f t="shared" si="32"/>
        <v>H</v>
      </c>
    </row>
    <row r="677" spans="1:35" x14ac:dyDescent="0.2">
      <c r="A677">
        <v>679</v>
      </c>
      <c r="B677" t="s">
        <v>1649</v>
      </c>
      <c r="C677" t="s">
        <v>1316</v>
      </c>
      <c r="D677" t="s">
        <v>1650</v>
      </c>
      <c r="E677" t="s">
        <v>1651</v>
      </c>
      <c r="F677" t="s">
        <v>34</v>
      </c>
      <c r="G677" t="s">
        <v>1652</v>
      </c>
      <c r="J677" t="s">
        <v>1653</v>
      </c>
      <c r="K677" t="s">
        <v>38</v>
      </c>
      <c r="L677" t="s">
        <v>38</v>
      </c>
      <c r="M677" t="s">
        <v>38</v>
      </c>
      <c r="N677" t="s">
        <v>38</v>
      </c>
      <c r="O677" t="s">
        <v>38</v>
      </c>
      <c r="T677" t="s">
        <v>38</v>
      </c>
      <c r="U677">
        <v>0</v>
      </c>
      <c r="W677">
        <v>0</v>
      </c>
      <c r="X677">
        <v>0</v>
      </c>
      <c r="Y677">
        <v>0</v>
      </c>
      <c r="AE677">
        <f t="shared" si="30"/>
        <v>1</v>
      </c>
      <c r="AF677">
        <f>VLOOKUP(D677,especies!$A$2:$C$9,3,FALSE)</f>
        <v>4</v>
      </c>
      <c r="AG677" t="str">
        <f t="shared" si="31"/>
        <v>4-Erizo de Tierra</v>
      </c>
      <c r="AH677">
        <f>VLOOKUP('Fichas clínicas'!AG677,razas!$A$2:$D$66,3,FALSE)</f>
        <v>56</v>
      </c>
      <c r="AI677" t="str">
        <f t="shared" si="32"/>
        <v>H</v>
      </c>
    </row>
    <row r="678" spans="1:35" x14ac:dyDescent="0.2">
      <c r="A678">
        <v>680</v>
      </c>
      <c r="B678" t="s">
        <v>1654</v>
      </c>
      <c r="C678" t="s">
        <v>1655</v>
      </c>
      <c r="D678" t="s">
        <v>1650</v>
      </c>
      <c r="E678" t="s">
        <v>1651</v>
      </c>
      <c r="F678" t="s">
        <v>47</v>
      </c>
      <c r="G678" t="s">
        <v>1656</v>
      </c>
      <c r="J678" t="s">
        <v>1657</v>
      </c>
      <c r="K678" t="s">
        <v>38</v>
      </c>
      <c r="L678" t="s">
        <v>38</v>
      </c>
      <c r="M678" t="s">
        <v>38</v>
      </c>
      <c r="N678" t="s">
        <v>38</v>
      </c>
      <c r="O678" t="s">
        <v>38</v>
      </c>
      <c r="T678" t="s">
        <v>38</v>
      </c>
      <c r="U678">
        <v>0</v>
      </c>
      <c r="W678">
        <v>0</v>
      </c>
      <c r="X678">
        <v>0</v>
      </c>
      <c r="Y678">
        <v>0</v>
      </c>
      <c r="AE678">
        <f t="shared" si="30"/>
        <v>1</v>
      </c>
      <c r="AF678">
        <f>VLOOKUP(D678,especies!$A$2:$C$9,3,FALSE)</f>
        <v>4</v>
      </c>
      <c r="AG678" t="str">
        <f t="shared" si="31"/>
        <v>4-Erizo de Tierra</v>
      </c>
      <c r="AH678">
        <f>VLOOKUP('Fichas clínicas'!AG678,razas!$A$2:$D$66,3,FALSE)</f>
        <v>56</v>
      </c>
      <c r="AI678" t="str">
        <f t="shared" si="32"/>
        <v>M</v>
      </c>
    </row>
    <row r="679" spans="1:35" x14ac:dyDescent="0.2">
      <c r="A679">
        <v>681</v>
      </c>
      <c r="B679" t="s">
        <v>1658</v>
      </c>
      <c r="C679" t="s">
        <v>1659</v>
      </c>
      <c r="D679" t="s">
        <v>32</v>
      </c>
      <c r="E679" t="s">
        <v>309</v>
      </c>
      <c r="F679" t="s">
        <v>47</v>
      </c>
      <c r="G679" t="s">
        <v>1660</v>
      </c>
      <c r="J679" t="s">
        <v>1661</v>
      </c>
      <c r="K679" t="s">
        <v>38</v>
      </c>
      <c r="L679" t="s">
        <v>38</v>
      </c>
      <c r="M679" t="s">
        <v>38</v>
      </c>
      <c r="N679" t="s">
        <v>38</v>
      </c>
      <c r="O679" t="s">
        <v>38</v>
      </c>
      <c r="Q679">
        <v>0</v>
      </c>
      <c r="T679" t="s">
        <v>38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f t="shared" si="30"/>
        <v>1</v>
      </c>
      <c r="AF679">
        <f>VLOOKUP(D679,especies!$A$2:$C$9,3,FALSE)</f>
        <v>1</v>
      </c>
      <c r="AG679" t="str">
        <f t="shared" si="31"/>
        <v>1-Pug</v>
      </c>
      <c r="AH679">
        <f>VLOOKUP('Fichas clínicas'!AG679,razas!$A$2:$D$66,3,FALSE)</f>
        <v>11</v>
      </c>
      <c r="AI679" t="str">
        <f t="shared" si="32"/>
        <v>M</v>
      </c>
    </row>
    <row r="680" spans="1:35" x14ac:dyDescent="0.2">
      <c r="A680">
        <v>682</v>
      </c>
      <c r="B680" t="s">
        <v>1654</v>
      </c>
      <c r="C680" t="s">
        <v>1662</v>
      </c>
      <c r="D680" t="s">
        <v>1663</v>
      </c>
      <c r="E680" t="s">
        <v>1664</v>
      </c>
      <c r="F680" t="s">
        <v>34</v>
      </c>
      <c r="G680" t="s">
        <v>1665</v>
      </c>
      <c r="J680" t="s">
        <v>841</v>
      </c>
      <c r="K680" t="s">
        <v>38</v>
      </c>
      <c r="L680" t="s">
        <v>38</v>
      </c>
      <c r="M680" t="s">
        <v>38</v>
      </c>
      <c r="N680" t="s">
        <v>38</v>
      </c>
      <c r="O680" t="s">
        <v>38</v>
      </c>
      <c r="T680" t="s">
        <v>38</v>
      </c>
      <c r="U680">
        <v>0</v>
      </c>
      <c r="W680">
        <v>0</v>
      </c>
      <c r="X680">
        <v>0</v>
      </c>
      <c r="Y680">
        <v>0</v>
      </c>
      <c r="AE680">
        <f t="shared" si="30"/>
        <v>1</v>
      </c>
      <c r="AF680">
        <f>VLOOKUP(D680,especies!$A$2:$C$9,3,FALSE)</f>
        <v>5</v>
      </c>
      <c r="AG680" t="str">
        <f t="shared" si="31"/>
        <v>5-Hamster Dorado</v>
      </c>
      <c r="AH680">
        <f>VLOOKUP('Fichas clínicas'!AG680,razas!$A$2:$D$66,3,FALSE)</f>
        <v>57</v>
      </c>
      <c r="AI680" t="str">
        <f t="shared" si="32"/>
        <v>H</v>
      </c>
    </row>
    <row r="681" spans="1:35" x14ac:dyDescent="0.2">
      <c r="A681">
        <v>683</v>
      </c>
      <c r="B681" t="s">
        <v>1666</v>
      </c>
      <c r="C681" t="s">
        <v>1667</v>
      </c>
      <c r="D681" t="s">
        <v>32</v>
      </c>
      <c r="E681" t="s">
        <v>150</v>
      </c>
      <c r="F681" t="s">
        <v>34</v>
      </c>
      <c r="G681" t="s">
        <v>102</v>
      </c>
      <c r="J681" t="s">
        <v>1668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T681" t="s">
        <v>38</v>
      </c>
      <c r="U681">
        <v>0</v>
      </c>
      <c r="V681">
        <v>1</v>
      </c>
      <c r="W681">
        <v>0</v>
      </c>
      <c r="X681">
        <v>0</v>
      </c>
      <c r="Y681">
        <v>0</v>
      </c>
      <c r="AE681">
        <f t="shared" si="30"/>
        <v>1</v>
      </c>
      <c r="AF681">
        <f>VLOOKUP(D681,especies!$A$2:$C$9,3,FALSE)</f>
        <v>1</v>
      </c>
      <c r="AG681" t="str">
        <f t="shared" si="31"/>
        <v>1-Poodle</v>
      </c>
      <c r="AH681">
        <f>VLOOKUP('Fichas clínicas'!AG681,razas!$A$2:$D$66,3,FALSE)</f>
        <v>6</v>
      </c>
      <c r="AI681" t="str">
        <f t="shared" si="32"/>
        <v>H</v>
      </c>
    </row>
    <row r="682" spans="1:35" x14ac:dyDescent="0.2">
      <c r="A682">
        <v>684</v>
      </c>
      <c r="B682" t="s">
        <v>1669</v>
      </c>
      <c r="C682" t="s">
        <v>1670</v>
      </c>
      <c r="D682" t="s">
        <v>32</v>
      </c>
      <c r="E682" t="s">
        <v>994</v>
      </c>
      <c r="F682" t="s">
        <v>34</v>
      </c>
      <c r="G682" t="s">
        <v>284</v>
      </c>
      <c r="J682" t="s">
        <v>1099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T682" t="s">
        <v>38</v>
      </c>
      <c r="U682">
        <v>0</v>
      </c>
      <c r="W682">
        <v>0</v>
      </c>
      <c r="X682">
        <v>0</v>
      </c>
      <c r="Y682">
        <v>0</v>
      </c>
      <c r="AE682">
        <f t="shared" si="30"/>
        <v>1</v>
      </c>
      <c r="AF682">
        <f>VLOOKUP(D682,especies!$A$2:$C$9,3,FALSE)</f>
        <v>1</v>
      </c>
      <c r="AG682" t="str">
        <f t="shared" si="31"/>
        <v>1-Bulldog Francés</v>
      </c>
      <c r="AH682">
        <f>VLOOKUP('Fichas clínicas'!AG682,razas!$A$2:$D$66,3,FALSE)</f>
        <v>26</v>
      </c>
      <c r="AI682" t="str">
        <f t="shared" si="32"/>
        <v>H</v>
      </c>
    </row>
    <row r="683" spans="1:35" x14ac:dyDescent="0.2">
      <c r="A683">
        <v>685</v>
      </c>
      <c r="B683" t="s">
        <v>1671</v>
      </c>
      <c r="C683" t="s">
        <v>1672</v>
      </c>
      <c r="D683" t="s">
        <v>32</v>
      </c>
      <c r="E683" t="s">
        <v>150</v>
      </c>
      <c r="F683" t="s">
        <v>34</v>
      </c>
      <c r="G683" t="s">
        <v>102</v>
      </c>
      <c r="J683" t="s">
        <v>1673</v>
      </c>
      <c r="K683" t="s">
        <v>38</v>
      </c>
      <c r="L683" t="s">
        <v>38</v>
      </c>
      <c r="M683" t="s">
        <v>38</v>
      </c>
      <c r="N683" t="s">
        <v>38</v>
      </c>
      <c r="O683" t="s">
        <v>38</v>
      </c>
      <c r="T683" t="s">
        <v>38</v>
      </c>
      <c r="U683">
        <v>0</v>
      </c>
      <c r="W683">
        <v>0</v>
      </c>
      <c r="X683">
        <v>0</v>
      </c>
      <c r="Y683">
        <v>0</v>
      </c>
      <c r="AE683">
        <f t="shared" si="30"/>
        <v>1</v>
      </c>
      <c r="AF683">
        <f>VLOOKUP(D683,especies!$A$2:$C$9,3,FALSE)</f>
        <v>1</v>
      </c>
      <c r="AG683" t="str">
        <f t="shared" si="31"/>
        <v>1-Poodle</v>
      </c>
      <c r="AH683">
        <f>VLOOKUP('Fichas clínicas'!AG683,razas!$A$2:$D$66,3,FALSE)</f>
        <v>6</v>
      </c>
      <c r="AI683" t="str">
        <f t="shared" si="32"/>
        <v>H</v>
      </c>
    </row>
    <row r="684" spans="1:35" x14ac:dyDescent="0.2">
      <c r="A684">
        <v>686</v>
      </c>
      <c r="B684" t="s">
        <v>1674</v>
      </c>
      <c r="C684" t="s">
        <v>1675</v>
      </c>
      <c r="D684" t="s">
        <v>32</v>
      </c>
      <c r="E684" t="s">
        <v>812</v>
      </c>
      <c r="F684" t="s">
        <v>47</v>
      </c>
      <c r="G684" t="s">
        <v>1676</v>
      </c>
      <c r="J684" t="s">
        <v>1541</v>
      </c>
      <c r="K684" t="s">
        <v>38</v>
      </c>
      <c r="L684" t="s">
        <v>38</v>
      </c>
      <c r="M684" t="s">
        <v>38</v>
      </c>
      <c r="N684" t="s">
        <v>38</v>
      </c>
      <c r="O684" t="s">
        <v>38</v>
      </c>
      <c r="T684" t="s">
        <v>38</v>
      </c>
      <c r="U684">
        <v>0</v>
      </c>
      <c r="W684">
        <v>0</v>
      </c>
      <c r="X684">
        <v>0</v>
      </c>
      <c r="Y684">
        <v>0</v>
      </c>
      <c r="AE684">
        <f t="shared" si="30"/>
        <v>1</v>
      </c>
      <c r="AF684">
        <f>VLOOKUP(D684,especies!$A$2:$C$9,3,FALSE)</f>
        <v>1</v>
      </c>
      <c r="AG684" t="str">
        <f t="shared" si="31"/>
        <v>1-Fox Terrier de Pelo Duro</v>
      </c>
      <c r="AH684">
        <f>VLOOKUP('Fichas clínicas'!AG684,razas!$A$2:$D$66,3,FALSE)</f>
        <v>18</v>
      </c>
      <c r="AI684" t="str">
        <f t="shared" si="32"/>
        <v>M</v>
      </c>
    </row>
    <row r="685" spans="1:35" x14ac:dyDescent="0.2">
      <c r="A685">
        <v>687</v>
      </c>
      <c r="B685" t="s">
        <v>1677</v>
      </c>
      <c r="C685" t="s">
        <v>361</v>
      </c>
      <c r="D685" t="s">
        <v>32</v>
      </c>
      <c r="E685" t="s">
        <v>257</v>
      </c>
      <c r="F685" t="s">
        <v>34</v>
      </c>
      <c r="G685" t="s">
        <v>1676</v>
      </c>
      <c r="J685" t="s">
        <v>1643</v>
      </c>
      <c r="K685" t="s">
        <v>38</v>
      </c>
      <c r="L685" t="s">
        <v>38</v>
      </c>
      <c r="M685" t="s">
        <v>38</v>
      </c>
      <c r="N685" t="s">
        <v>38</v>
      </c>
      <c r="O685" t="s">
        <v>38</v>
      </c>
      <c r="T685" t="s">
        <v>38</v>
      </c>
      <c r="U685">
        <v>0</v>
      </c>
      <c r="V685">
        <v>1</v>
      </c>
      <c r="W685">
        <v>0</v>
      </c>
      <c r="X685">
        <v>0</v>
      </c>
      <c r="Y685">
        <v>0</v>
      </c>
      <c r="AE685">
        <f t="shared" si="30"/>
        <v>1</v>
      </c>
      <c r="AF685">
        <f>VLOOKUP(D685,especies!$A$2:$C$9,3,FALSE)</f>
        <v>1</v>
      </c>
      <c r="AG685" t="str">
        <f t="shared" si="31"/>
        <v>1-Terrier Chileno</v>
      </c>
      <c r="AH685">
        <f>VLOOKUP('Fichas clínicas'!AG685,razas!$A$2:$D$66,3,FALSE)</f>
        <v>10</v>
      </c>
      <c r="AI685" t="str">
        <f t="shared" si="32"/>
        <v>H</v>
      </c>
    </row>
    <row r="686" spans="1:35" x14ac:dyDescent="0.2">
      <c r="A686">
        <v>688</v>
      </c>
      <c r="B686" t="s">
        <v>1678</v>
      </c>
      <c r="C686" t="s">
        <v>1679</v>
      </c>
      <c r="D686" t="s">
        <v>32</v>
      </c>
      <c r="E686" t="s">
        <v>33</v>
      </c>
      <c r="F686" t="s">
        <v>47</v>
      </c>
      <c r="G686" t="s">
        <v>306</v>
      </c>
      <c r="J686" t="s">
        <v>1680</v>
      </c>
      <c r="K686" t="s">
        <v>38</v>
      </c>
      <c r="L686" t="s">
        <v>38</v>
      </c>
      <c r="M686" t="s">
        <v>38</v>
      </c>
      <c r="N686" t="s">
        <v>38</v>
      </c>
      <c r="O686" t="s">
        <v>38</v>
      </c>
      <c r="T686" t="s">
        <v>38</v>
      </c>
      <c r="U686">
        <v>0</v>
      </c>
      <c r="V686">
        <v>1</v>
      </c>
      <c r="W686">
        <v>0</v>
      </c>
      <c r="X686">
        <v>0</v>
      </c>
      <c r="Y686">
        <v>0</v>
      </c>
      <c r="AE686">
        <f t="shared" si="30"/>
        <v>1</v>
      </c>
      <c r="AF686">
        <f>VLOOKUP(D686,especies!$A$2:$C$9,3,FALSE)</f>
        <v>1</v>
      </c>
      <c r="AG686" t="str">
        <f t="shared" si="31"/>
        <v>1-Mestizo</v>
      </c>
      <c r="AH686">
        <f>VLOOKUP('Fichas clínicas'!AG686,razas!$A$2:$D$66,3,FALSE)</f>
        <v>1</v>
      </c>
      <c r="AI686" t="str">
        <f t="shared" si="32"/>
        <v>M</v>
      </c>
    </row>
    <row r="687" spans="1:35" x14ac:dyDescent="0.2">
      <c r="A687">
        <v>689</v>
      </c>
      <c r="B687" t="s">
        <v>1678</v>
      </c>
      <c r="C687" t="s">
        <v>1681</v>
      </c>
      <c r="D687" t="s">
        <v>32</v>
      </c>
      <c r="E687" t="s">
        <v>1682</v>
      </c>
      <c r="F687" t="s">
        <v>34</v>
      </c>
      <c r="G687" t="s">
        <v>123</v>
      </c>
      <c r="J687" t="s">
        <v>809</v>
      </c>
      <c r="K687" t="s">
        <v>38</v>
      </c>
      <c r="L687" t="s">
        <v>38</v>
      </c>
      <c r="M687" t="s">
        <v>38</v>
      </c>
      <c r="N687" t="s">
        <v>38</v>
      </c>
      <c r="O687" t="s">
        <v>38</v>
      </c>
      <c r="Q687">
        <v>0</v>
      </c>
      <c r="T687" t="s">
        <v>38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f t="shared" si="30"/>
        <v>1</v>
      </c>
      <c r="AF687">
        <f>VLOOKUP(D687,especies!$A$2:$C$9,3,FALSE)</f>
        <v>1</v>
      </c>
      <c r="AG687" t="str">
        <f t="shared" si="31"/>
        <v>1-Perro de la Montaña de los pirineos</v>
      </c>
      <c r="AH687">
        <f>VLOOKUP('Fichas clínicas'!AG687,razas!$A$2:$D$66,3,FALSE)</f>
        <v>32</v>
      </c>
      <c r="AI687" t="str">
        <f t="shared" si="32"/>
        <v>H</v>
      </c>
    </row>
    <row r="688" spans="1:35" x14ac:dyDescent="0.2">
      <c r="A688">
        <v>690</v>
      </c>
      <c r="B688" t="s">
        <v>1683</v>
      </c>
      <c r="C688" t="s">
        <v>76</v>
      </c>
      <c r="D688" t="s">
        <v>32</v>
      </c>
      <c r="E688" t="s">
        <v>33</v>
      </c>
      <c r="F688" t="s">
        <v>47</v>
      </c>
      <c r="G688" t="s">
        <v>639</v>
      </c>
      <c r="J688" t="s">
        <v>271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T688" t="s">
        <v>38</v>
      </c>
      <c r="U688">
        <v>0</v>
      </c>
      <c r="W688">
        <v>0</v>
      </c>
      <c r="X688">
        <v>0</v>
      </c>
      <c r="Y688">
        <v>0</v>
      </c>
      <c r="AE688">
        <f t="shared" si="30"/>
        <v>1</v>
      </c>
      <c r="AF688">
        <f>VLOOKUP(D688,especies!$A$2:$C$9,3,FALSE)</f>
        <v>1</v>
      </c>
      <c r="AG688" t="str">
        <f t="shared" si="31"/>
        <v>1-Mestizo</v>
      </c>
      <c r="AH688">
        <f>VLOOKUP('Fichas clínicas'!AG688,razas!$A$2:$D$66,3,FALSE)</f>
        <v>1</v>
      </c>
      <c r="AI688" t="str">
        <f t="shared" si="32"/>
        <v>M</v>
      </c>
    </row>
    <row r="689" spans="1:35" x14ac:dyDescent="0.2">
      <c r="A689">
        <v>691</v>
      </c>
      <c r="B689" t="s">
        <v>1684</v>
      </c>
      <c r="C689" t="s">
        <v>1685</v>
      </c>
      <c r="D689" t="s">
        <v>32</v>
      </c>
      <c r="E689" t="s">
        <v>33</v>
      </c>
      <c r="F689" t="s">
        <v>34</v>
      </c>
      <c r="G689" t="s">
        <v>306</v>
      </c>
      <c r="J689" t="s">
        <v>58</v>
      </c>
      <c r="K689" t="s">
        <v>38</v>
      </c>
      <c r="L689" t="s">
        <v>38</v>
      </c>
      <c r="M689" t="s">
        <v>38</v>
      </c>
      <c r="N689" t="s">
        <v>38</v>
      </c>
      <c r="O689" t="s">
        <v>38</v>
      </c>
      <c r="T689" t="s">
        <v>38</v>
      </c>
      <c r="U689">
        <v>0</v>
      </c>
      <c r="V689">
        <v>1</v>
      </c>
      <c r="W689">
        <v>0</v>
      </c>
      <c r="X689">
        <v>0</v>
      </c>
      <c r="Y689">
        <v>0</v>
      </c>
      <c r="AE689">
        <f t="shared" si="30"/>
        <v>1</v>
      </c>
      <c r="AF689">
        <f>VLOOKUP(D689,especies!$A$2:$C$9,3,FALSE)</f>
        <v>1</v>
      </c>
      <c r="AG689" t="str">
        <f t="shared" si="31"/>
        <v>1-Mestizo</v>
      </c>
      <c r="AH689">
        <f>VLOOKUP('Fichas clínicas'!AG689,razas!$A$2:$D$66,3,FALSE)</f>
        <v>1</v>
      </c>
      <c r="AI689" t="str">
        <f t="shared" si="32"/>
        <v>H</v>
      </c>
    </row>
    <row r="690" spans="1:35" x14ac:dyDescent="0.2">
      <c r="A690">
        <v>692</v>
      </c>
      <c r="B690" t="s">
        <v>1684</v>
      </c>
      <c r="C690" t="s">
        <v>280</v>
      </c>
      <c r="D690" t="s">
        <v>32</v>
      </c>
      <c r="E690" t="s">
        <v>33</v>
      </c>
      <c r="F690" t="s">
        <v>34</v>
      </c>
      <c r="G690" t="s">
        <v>306</v>
      </c>
      <c r="J690" t="s">
        <v>1624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T690" t="s">
        <v>38</v>
      </c>
      <c r="U690">
        <v>0</v>
      </c>
      <c r="W690">
        <v>0</v>
      </c>
      <c r="X690">
        <v>0</v>
      </c>
      <c r="Y690">
        <v>0</v>
      </c>
      <c r="AE690">
        <f t="shared" si="30"/>
        <v>1</v>
      </c>
      <c r="AF690">
        <f>VLOOKUP(D690,especies!$A$2:$C$9,3,FALSE)</f>
        <v>1</v>
      </c>
      <c r="AG690" t="str">
        <f t="shared" si="31"/>
        <v>1-Mestizo</v>
      </c>
      <c r="AH690">
        <f>VLOOKUP('Fichas clínicas'!AG690,razas!$A$2:$D$66,3,FALSE)</f>
        <v>1</v>
      </c>
      <c r="AI690" t="str">
        <f t="shared" si="32"/>
        <v>H</v>
      </c>
    </row>
    <row r="691" spans="1:35" x14ac:dyDescent="0.2">
      <c r="A691">
        <v>693</v>
      </c>
      <c r="B691" t="s">
        <v>1648</v>
      </c>
      <c r="C691" t="s">
        <v>1686</v>
      </c>
      <c r="D691" t="s">
        <v>32</v>
      </c>
      <c r="E691" t="s">
        <v>143</v>
      </c>
      <c r="F691" t="s">
        <v>34</v>
      </c>
      <c r="G691" t="s">
        <v>1560</v>
      </c>
      <c r="J691" t="s">
        <v>1687</v>
      </c>
      <c r="K691" t="s">
        <v>38</v>
      </c>
      <c r="L691" t="s">
        <v>38</v>
      </c>
      <c r="M691" t="s">
        <v>38</v>
      </c>
      <c r="N691" t="s">
        <v>38</v>
      </c>
      <c r="O691" t="s">
        <v>38</v>
      </c>
      <c r="T691" t="s">
        <v>38</v>
      </c>
      <c r="U691">
        <v>0</v>
      </c>
      <c r="W691">
        <v>0</v>
      </c>
      <c r="X691">
        <v>0</v>
      </c>
      <c r="Y691">
        <v>0</v>
      </c>
      <c r="AE691">
        <f t="shared" si="30"/>
        <v>1</v>
      </c>
      <c r="AF691">
        <f>VLOOKUP(D691,especies!$A$2:$C$9,3,FALSE)</f>
        <v>1</v>
      </c>
      <c r="AG691" t="str">
        <f t="shared" si="31"/>
        <v>1-Yorkshire Terrier</v>
      </c>
      <c r="AH691">
        <f>VLOOKUP('Fichas clínicas'!AG691,razas!$A$2:$D$66,3,FALSE)</f>
        <v>5</v>
      </c>
      <c r="AI691" t="str">
        <f t="shared" si="32"/>
        <v>H</v>
      </c>
    </row>
    <row r="692" spans="1:35" x14ac:dyDescent="0.2">
      <c r="A692">
        <v>694</v>
      </c>
      <c r="B692" t="s">
        <v>1688</v>
      </c>
      <c r="C692" t="s">
        <v>1689</v>
      </c>
      <c r="D692" t="s">
        <v>32</v>
      </c>
      <c r="E692" t="s">
        <v>33</v>
      </c>
      <c r="F692" t="s">
        <v>47</v>
      </c>
      <c r="G692" t="s">
        <v>656</v>
      </c>
      <c r="J692" t="s">
        <v>628</v>
      </c>
      <c r="K692" t="s">
        <v>38</v>
      </c>
      <c r="L692" t="s">
        <v>38</v>
      </c>
      <c r="M692" t="s">
        <v>38</v>
      </c>
      <c r="N692" t="s">
        <v>38</v>
      </c>
      <c r="O692" t="s">
        <v>38</v>
      </c>
      <c r="T692" t="s">
        <v>38</v>
      </c>
      <c r="U692">
        <v>0</v>
      </c>
      <c r="W692">
        <v>0</v>
      </c>
      <c r="X692">
        <v>0</v>
      </c>
      <c r="Y692">
        <v>0</v>
      </c>
      <c r="AE692">
        <f t="shared" si="30"/>
        <v>1</v>
      </c>
      <c r="AF692">
        <f>VLOOKUP(D692,especies!$A$2:$C$9,3,FALSE)</f>
        <v>1</v>
      </c>
      <c r="AG692" t="str">
        <f t="shared" si="31"/>
        <v>1-Mestizo</v>
      </c>
      <c r="AH692">
        <f>VLOOKUP('Fichas clínicas'!AG692,razas!$A$2:$D$66,3,FALSE)</f>
        <v>1</v>
      </c>
      <c r="AI692" t="str">
        <f t="shared" si="32"/>
        <v>M</v>
      </c>
    </row>
    <row r="693" spans="1:35" x14ac:dyDescent="0.2">
      <c r="A693">
        <v>695</v>
      </c>
      <c r="B693" t="s">
        <v>1690</v>
      </c>
      <c r="C693" t="s">
        <v>378</v>
      </c>
      <c r="D693" t="s">
        <v>32</v>
      </c>
      <c r="E693" t="s">
        <v>33</v>
      </c>
      <c r="F693" t="s">
        <v>34</v>
      </c>
      <c r="G693" t="s">
        <v>165</v>
      </c>
      <c r="J693" t="s">
        <v>1691</v>
      </c>
      <c r="K693" t="s">
        <v>38</v>
      </c>
      <c r="L693" t="s">
        <v>38</v>
      </c>
      <c r="M693" t="s">
        <v>38</v>
      </c>
      <c r="N693" t="s">
        <v>38</v>
      </c>
      <c r="O693" t="s">
        <v>38</v>
      </c>
      <c r="T693" t="s">
        <v>38</v>
      </c>
      <c r="U693">
        <v>0</v>
      </c>
      <c r="V693">
        <v>1</v>
      </c>
      <c r="W693">
        <v>0</v>
      </c>
      <c r="X693">
        <v>0</v>
      </c>
      <c r="Y693">
        <v>0</v>
      </c>
      <c r="AE693">
        <f t="shared" si="30"/>
        <v>1</v>
      </c>
      <c r="AF693">
        <f>VLOOKUP(D693,especies!$A$2:$C$9,3,FALSE)</f>
        <v>1</v>
      </c>
      <c r="AG693" t="str">
        <f t="shared" si="31"/>
        <v>1-Mestizo</v>
      </c>
      <c r="AH693">
        <f>VLOOKUP('Fichas clínicas'!AG693,razas!$A$2:$D$66,3,FALSE)</f>
        <v>1</v>
      </c>
      <c r="AI693" t="str">
        <f t="shared" si="32"/>
        <v>H</v>
      </c>
    </row>
    <row r="694" spans="1:35" x14ac:dyDescent="0.2">
      <c r="A694">
        <v>696</v>
      </c>
      <c r="B694" t="s">
        <v>1692</v>
      </c>
      <c r="C694" t="s">
        <v>1693</v>
      </c>
      <c r="D694" t="s">
        <v>41</v>
      </c>
      <c r="E694" t="s">
        <v>42</v>
      </c>
      <c r="F694" t="s">
        <v>47</v>
      </c>
      <c r="G694" t="s">
        <v>109</v>
      </c>
      <c r="J694" t="s">
        <v>48</v>
      </c>
      <c r="K694" t="s">
        <v>38</v>
      </c>
      <c r="L694" t="s">
        <v>38</v>
      </c>
      <c r="M694" t="s">
        <v>38</v>
      </c>
      <c r="N694" t="s">
        <v>38</v>
      </c>
      <c r="O694" t="s">
        <v>38</v>
      </c>
      <c r="T694" t="s">
        <v>38</v>
      </c>
      <c r="U694">
        <v>0</v>
      </c>
      <c r="V694">
        <v>1</v>
      </c>
      <c r="W694">
        <v>0</v>
      </c>
      <c r="X694">
        <v>0</v>
      </c>
      <c r="Y694">
        <v>0</v>
      </c>
      <c r="AE694">
        <f t="shared" si="30"/>
        <v>1</v>
      </c>
      <c r="AF694">
        <f>VLOOKUP(D694,especies!$A$2:$C$9,3,FALSE)</f>
        <v>2</v>
      </c>
      <c r="AG694" t="str">
        <f t="shared" si="31"/>
        <v>2-DPC (Doméstico de pelo corto o DSH)</v>
      </c>
      <c r="AH694">
        <f>VLOOKUP('Fichas clínicas'!AG694,razas!$A$2:$D$66,3,FALSE)</f>
        <v>51</v>
      </c>
      <c r="AI694" t="str">
        <f t="shared" si="32"/>
        <v>M</v>
      </c>
    </row>
    <row r="695" spans="1:35" x14ac:dyDescent="0.2">
      <c r="A695">
        <v>697</v>
      </c>
      <c r="B695" t="s">
        <v>1602</v>
      </c>
      <c r="C695" t="s">
        <v>832</v>
      </c>
      <c r="D695" t="s">
        <v>41</v>
      </c>
      <c r="E695" t="s">
        <v>93</v>
      </c>
      <c r="F695" t="s">
        <v>47</v>
      </c>
      <c r="G695" t="s">
        <v>169</v>
      </c>
      <c r="J695" t="s">
        <v>58</v>
      </c>
      <c r="K695" t="s">
        <v>38</v>
      </c>
      <c r="L695" t="s">
        <v>38</v>
      </c>
      <c r="M695" t="s">
        <v>38</v>
      </c>
      <c r="N695" t="s">
        <v>38</v>
      </c>
      <c r="O695" t="s">
        <v>38</v>
      </c>
      <c r="T695" t="s">
        <v>38</v>
      </c>
      <c r="U695">
        <v>0</v>
      </c>
      <c r="V695">
        <v>1</v>
      </c>
      <c r="W695">
        <v>0</v>
      </c>
      <c r="X695">
        <v>0</v>
      </c>
      <c r="Y695">
        <v>0</v>
      </c>
      <c r="AE695">
        <f t="shared" si="30"/>
        <v>1</v>
      </c>
      <c r="AF695">
        <f>VLOOKUP(D695,especies!$A$2:$C$9,3,FALSE)</f>
        <v>2</v>
      </c>
      <c r="AG695" t="str">
        <f t="shared" si="31"/>
        <v>2-DPL (Doméstico de pelo Largo o DLH)</v>
      </c>
      <c r="AH695">
        <f>VLOOKUP('Fichas clínicas'!AG695,razas!$A$2:$D$66,3,FALSE)</f>
        <v>52</v>
      </c>
      <c r="AI695" t="str">
        <f t="shared" si="32"/>
        <v>M</v>
      </c>
    </row>
    <row r="696" spans="1:35" x14ac:dyDescent="0.2">
      <c r="A696">
        <v>698</v>
      </c>
      <c r="B696" t="s">
        <v>1274</v>
      </c>
      <c r="C696" t="s">
        <v>1694</v>
      </c>
      <c r="D696" t="s">
        <v>41</v>
      </c>
      <c r="E696" t="s">
        <v>42</v>
      </c>
      <c r="F696" t="s">
        <v>34</v>
      </c>
      <c r="G696" t="s">
        <v>1695</v>
      </c>
      <c r="J696" t="s">
        <v>1696</v>
      </c>
      <c r="K696" t="s">
        <v>38</v>
      </c>
      <c r="L696" t="s">
        <v>38</v>
      </c>
      <c r="M696" t="s">
        <v>38</v>
      </c>
      <c r="N696" t="s">
        <v>38</v>
      </c>
      <c r="O696" t="s">
        <v>38</v>
      </c>
      <c r="Q696">
        <v>0</v>
      </c>
      <c r="T696" t="s">
        <v>38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f t="shared" si="30"/>
        <v>1</v>
      </c>
      <c r="AF696">
        <f>VLOOKUP(D696,especies!$A$2:$C$9,3,FALSE)</f>
        <v>2</v>
      </c>
      <c r="AG696" t="str">
        <f t="shared" si="31"/>
        <v>2-DPC (Doméstico de pelo corto o DSH)</v>
      </c>
      <c r="AH696">
        <f>VLOOKUP('Fichas clínicas'!AG696,razas!$A$2:$D$66,3,FALSE)</f>
        <v>51</v>
      </c>
      <c r="AI696" t="str">
        <f t="shared" si="32"/>
        <v>H</v>
      </c>
    </row>
    <row r="697" spans="1:35" x14ac:dyDescent="0.2">
      <c r="A697">
        <v>699</v>
      </c>
      <c r="B697" t="s">
        <v>1697</v>
      </c>
      <c r="C697" t="s">
        <v>1698</v>
      </c>
      <c r="D697" t="s">
        <v>32</v>
      </c>
      <c r="E697" t="s">
        <v>164</v>
      </c>
      <c r="F697" t="s">
        <v>34</v>
      </c>
      <c r="G697" t="s">
        <v>99</v>
      </c>
      <c r="J697" t="s">
        <v>1699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T697" t="s">
        <v>38</v>
      </c>
      <c r="U697">
        <v>0</v>
      </c>
      <c r="V697">
        <v>1</v>
      </c>
      <c r="W697">
        <v>0</v>
      </c>
      <c r="X697">
        <v>0</v>
      </c>
      <c r="Y697">
        <v>0</v>
      </c>
      <c r="AE697">
        <f t="shared" si="30"/>
        <v>1</v>
      </c>
      <c r="AF697">
        <f>VLOOKUP(D697,especies!$A$2:$C$9,3,FALSE)</f>
        <v>1</v>
      </c>
      <c r="AG697" t="str">
        <f t="shared" si="31"/>
        <v>1-Teckel</v>
      </c>
      <c r="AH697">
        <f>VLOOKUP('Fichas clínicas'!AG697,razas!$A$2:$D$66,3,FALSE)</f>
        <v>8</v>
      </c>
      <c r="AI697" t="str">
        <f t="shared" si="32"/>
        <v>H</v>
      </c>
    </row>
    <row r="698" spans="1:35" x14ac:dyDescent="0.2">
      <c r="A698">
        <v>700</v>
      </c>
      <c r="B698" t="s">
        <v>1700</v>
      </c>
      <c r="C698" t="s">
        <v>1701</v>
      </c>
      <c r="D698" t="s">
        <v>32</v>
      </c>
      <c r="E698" t="s">
        <v>33</v>
      </c>
      <c r="F698" t="s">
        <v>47</v>
      </c>
      <c r="G698" t="s">
        <v>560</v>
      </c>
      <c r="J698" t="s">
        <v>1702</v>
      </c>
      <c r="K698" t="s">
        <v>38</v>
      </c>
      <c r="L698" t="s">
        <v>38</v>
      </c>
      <c r="M698" t="s">
        <v>38</v>
      </c>
      <c r="N698" t="s">
        <v>38</v>
      </c>
      <c r="O698" t="s">
        <v>38</v>
      </c>
      <c r="T698" t="s">
        <v>38</v>
      </c>
      <c r="U698">
        <v>0</v>
      </c>
      <c r="V698">
        <v>1</v>
      </c>
      <c r="W698">
        <v>0</v>
      </c>
      <c r="X698">
        <v>0</v>
      </c>
      <c r="Y698">
        <v>0</v>
      </c>
      <c r="AE698">
        <f t="shared" si="30"/>
        <v>1</v>
      </c>
      <c r="AF698">
        <f>VLOOKUP(D698,especies!$A$2:$C$9,3,FALSE)</f>
        <v>1</v>
      </c>
      <c r="AG698" t="str">
        <f t="shared" si="31"/>
        <v>1-Mestizo</v>
      </c>
      <c r="AH698">
        <f>VLOOKUP('Fichas clínicas'!AG698,razas!$A$2:$D$66,3,FALSE)</f>
        <v>1</v>
      </c>
      <c r="AI698" t="str">
        <f t="shared" si="32"/>
        <v>M</v>
      </c>
    </row>
    <row r="699" spans="1:35" x14ac:dyDescent="0.2">
      <c r="A699">
        <v>701</v>
      </c>
      <c r="B699" t="s">
        <v>1703</v>
      </c>
      <c r="C699" t="s">
        <v>1704</v>
      </c>
      <c r="D699" t="s">
        <v>41</v>
      </c>
      <c r="E699" t="s">
        <v>93</v>
      </c>
      <c r="F699" t="s">
        <v>47</v>
      </c>
      <c r="G699" t="s">
        <v>1705</v>
      </c>
      <c r="J699" t="s">
        <v>348</v>
      </c>
      <c r="K699" t="s">
        <v>38</v>
      </c>
      <c r="L699" t="s">
        <v>38</v>
      </c>
      <c r="M699" t="s">
        <v>38</v>
      </c>
      <c r="N699" t="s">
        <v>38</v>
      </c>
      <c r="O699" t="s">
        <v>38</v>
      </c>
      <c r="T699" t="s">
        <v>38</v>
      </c>
      <c r="U699">
        <v>0</v>
      </c>
      <c r="V699">
        <v>1</v>
      </c>
      <c r="W699">
        <v>0</v>
      </c>
      <c r="X699">
        <v>0</v>
      </c>
      <c r="Y699">
        <v>0</v>
      </c>
      <c r="AE699">
        <f t="shared" si="30"/>
        <v>1</v>
      </c>
      <c r="AF699">
        <f>VLOOKUP(D699,especies!$A$2:$C$9,3,FALSE)</f>
        <v>2</v>
      </c>
      <c r="AG699" t="str">
        <f t="shared" si="31"/>
        <v>2-DPL (Doméstico de pelo Largo o DLH)</v>
      </c>
      <c r="AH699">
        <f>VLOOKUP('Fichas clínicas'!AG699,razas!$A$2:$D$66,3,FALSE)</f>
        <v>52</v>
      </c>
      <c r="AI699" t="str">
        <f t="shared" si="32"/>
        <v>M</v>
      </c>
    </row>
    <row r="700" spans="1:35" x14ac:dyDescent="0.2">
      <c r="A700">
        <v>702</v>
      </c>
      <c r="B700" t="s">
        <v>1706</v>
      </c>
      <c r="C700" t="s">
        <v>1707</v>
      </c>
      <c r="D700" t="s">
        <v>32</v>
      </c>
      <c r="E700" t="s">
        <v>33</v>
      </c>
      <c r="F700" t="s">
        <v>47</v>
      </c>
      <c r="G700" t="s">
        <v>77</v>
      </c>
      <c r="J700" t="s">
        <v>127</v>
      </c>
      <c r="K700" t="s">
        <v>38</v>
      </c>
      <c r="L700" t="s">
        <v>38</v>
      </c>
      <c r="M700" t="s">
        <v>38</v>
      </c>
      <c r="N700" t="s">
        <v>38</v>
      </c>
      <c r="O700" t="s">
        <v>38</v>
      </c>
      <c r="T700" t="s">
        <v>38</v>
      </c>
      <c r="U700">
        <v>0</v>
      </c>
      <c r="V700">
        <v>1</v>
      </c>
      <c r="W700">
        <v>0</v>
      </c>
      <c r="X700">
        <v>0</v>
      </c>
      <c r="Y700">
        <v>0</v>
      </c>
      <c r="AE700">
        <f t="shared" si="30"/>
        <v>1</v>
      </c>
      <c r="AF700">
        <f>VLOOKUP(D700,especies!$A$2:$C$9,3,FALSE)</f>
        <v>1</v>
      </c>
      <c r="AG700" t="str">
        <f t="shared" si="31"/>
        <v>1-Mestizo</v>
      </c>
      <c r="AH700">
        <f>VLOOKUP('Fichas clínicas'!AG700,razas!$A$2:$D$66,3,FALSE)</f>
        <v>1</v>
      </c>
      <c r="AI700" t="str">
        <f t="shared" si="32"/>
        <v>M</v>
      </c>
    </row>
    <row r="701" spans="1:35" x14ac:dyDescent="0.2">
      <c r="A701">
        <v>703</v>
      </c>
      <c r="B701" t="s">
        <v>1706</v>
      </c>
      <c r="C701" t="s">
        <v>315</v>
      </c>
      <c r="D701" t="s">
        <v>32</v>
      </c>
      <c r="E701" t="s">
        <v>33</v>
      </c>
      <c r="F701" t="s">
        <v>34</v>
      </c>
      <c r="G701" t="s">
        <v>1708</v>
      </c>
      <c r="J701" t="s">
        <v>127</v>
      </c>
      <c r="K701" t="s">
        <v>38</v>
      </c>
      <c r="L701" t="s">
        <v>38</v>
      </c>
      <c r="M701" t="s">
        <v>38</v>
      </c>
      <c r="N701" t="s">
        <v>38</v>
      </c>
      <c r="O701" t="s">
        <v>38</v>
      </c>
      <c r="T701" t="s">
        <v>38</v>
      </c>
      <c r="U701">
        <v>0</v>
      </c>
      <c r="V701">
        <v>1</v>
      </c>
      <c r="W701">
        <v>0</v>
      </c>
      <c r="X701">
        <v>0</v>
      </c>
      <c r="Y701">
        <v>0</v>
      </c>
      <c r="AE701">
        <f t="shared" si="30"/>
        <v>1</v>
      </c>
      <c r="AF701">
        <f>VLOOKUP(D701,especies!$A$2:$C$9,3,FALSE)</f>
        <v>1</v>
      </c>
      <c r="AG701" t="str">
        <f t="shared" si="31"/>
        <v>1-Mestizo</v>
      </c>
      <c r="AH701">
        <f>VLOOKUP('Fichas clínicas'!AG701,razas!$A$2:$D$66,3,FALSE)</f>
        <v>1</v>
      </c>
      <c r="AI701" t="str">
        <f t="shared" si="32"/>
        <v>H</v>
      </c>
    </row>
    <row r="702" spans="1:35" x14ac:dyDescent="0.2">
      <c r="A702">
        <v>704</v>
      </c>
      <c r="B702" t="s">
        <v>1602</v>
      </c>
      <c r="C702" t="s">
        <v>1709</v>
      </c>
      <c r="D702" t="s">
        <v>41</v>
      </c>
      <c r="E702" t="s">
        <v>42</v>
      </c>
      <c r="F702" t="s">
        <v>34</v>
      </c>
      <c r="G702" t="s">
        <v>1710</v>
      </c>
      <c r="J702" t="s">
        <v>58</v>
      </c>
      <c r="K702" t="s">
        <v>38</v>
      </c>
      <c r="L702" t="s">
        <v>38</v>
      </c>
      <c r="M702" t="s">
        <v>38</v>
      </c>
      <c r="N702" t="s">
        <v>38</v>
      </c>
      <c r="O702" t="s">
        <v>38</v>
      </c>
      <c r="Q702">
        <v>1</v>
      </c>
      <c r="T702" t="s">
        <v>38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f t="shared" si="30"/>
        <v>1</v>
      </c>
      <c r="AF702">
        <f>VLOOKUP(D702,especies!$A$2:$C$9,3,FALSE)</f>
        <v>2</v>
      </c>
      <c r="AG702" t="str">
        <f t="shared" si="31"/>
        <v>2-DPC (Doméstico de pelo corto o DSH)</v>
      </c>
      <c r="AH702">
        <f>VLOOKUP('Fichas clínicas'!AG702,razas!$A$2:$D$66,3,FALSE)</f>
        <v>51</v>
      </c>
      <c r="AI702" t="str">
        <f t="shared" si="32"/>
        <v>H</v>
      </c>
    </row>
    <row r="703" spans="1:35" x14ac:dyDescent="0.2">
      <c r="A703">
        <v>705</v>
      </c>
      <c r="B703" t="s">
        <v>1711</v>
      </c>
      <c r="C703" t="s">
        <v>1712</v>
      </c>
      <c r="D703" t="s">
        <v>32</v>
      </c>
      <c r="E703" t="s">
        <v>33</v>
      </c>
      <c r="F703" t="s">
        <v>34</v>
      </c>
      <c r="G703" t="s">
        <v>322</v>
      </c>
      <c r="J703" t="s">
        <v>595</v>
      </c>
      <c r="K703" t="s">
        <v>38</v>
      </c>
      <c r="L703" t="s">
        <v>38</v>
      </c>
      <c r="M703" t="s">
        <v>38</v>
      </c>
      <c r="N703" t="s">
        <v>38</v>
      </c>
      <c r="O703" t="s">
        <v>38</v>
      </c>
      <c r="T703" t="s">
        <v>38</v>
      </c>
      <c r="U703">
        <v>0</v>
      </c>
      <c r="V703">
        <v>1</v>
      </c>
      <c r="W703">
        <v>0</v>
      </c>
      <c r="X703">
        <v>0</v>
      </c>
      <c r="Y703">
        <v>0</v>
      </c>
      <c r="AE703">
        <f t="shared" si="30"/>
        <v>1</v>
      </c>
      <c r="AF703">
        <f>VLOOKUP(D703,especies!$A$2:$C$9,3,FALSE)</f>
        <v>1</v>
      </c>
      <c r="AG703" t="str">
        <f t="shared" si="31"/>
        <v>1-Mestizo</v>
      </c>
      <c r="AH703">
        <f>VLOOKUP('Fichas clínicas'!AG703,razas!$A$2:$D$66,3,FALSE)</f>
        <v>1</v>
      </c>
      <c r="AI703" t="str">
        <f t="shared" si="32"/>
        <v>H</v>
      </c>
    </row>
    <row r="704" spans="1:35" x14ac:dyDescent="0.2">
      <c r="A704">
        <v>706</v>
      </c>
      <c r="B704" t="s">
        <v>892</v>
      </c>
      <c r="C704" t="s">
        <v>551</v>
      </c>
      <c r="D704" t="s">
        <v>41</v>
      </c>
      <c r="E704" t="s">
        <v>93</v>
      </c>
      <c r="F704" t="s">
        <v>34</v>
      </c>
      <c r="G704" t="s">
        <v>297</v>
      </c>
      <c r="J704" t="s">
        <v>1713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T704" t="s">
        <v>38</v>
      </c>
      <c r="U704">
        <v>0</v>
      </c>
      <c r="W704">
        <v>0</v>
      </c>
      <c r="X704">
        <v>0</v>
      </c>
      <c r="Y704">
        <v>0</v>
      </c>
      <c r="AE704">
        <f t="shared" si="30"/>
        <v>1</v>
      </c>
      <c r="AF704">
        <f>VLOOKUP(D704,especies!$A$2:$C$9,3,FALSE)</f>
        <v>2</v>
      </c>
      <c r="AG704" t="str">
        <f t="shared" si="31"/>
        <v>2-DPL (Doméstico de pelo Largo o DLH)</v>
      </c>
      <c r="AH704">
        <f>VLOOKUP('Fichas clínicas'!AG704,razas!$A$2:$D$66,3,FALSE)</f>
        <v>52</v>
      </c>
      <c r="AI704" t="str">
        <f t="shared" si="32"/>
        <v>H</v>
      </c>
    </row>
    <row r="705" spans="1:35" x14ac:dyDescent="0.2">
      <c r="A705">
        <v>707</v>
      </c>
      <c r="B705" t="s">
        <v>1714</v>
      </c>
      <c r="C705" t="s">
        <v>1715</v>
      </c>
      <c r="D705" t="s">
        <v>32</v>
      </c>
      <c r="E705" t="s">
        <v>508</v>
      </c>
      <c r="F705" t="s">
        <v>34</v>
      </c>
      <c r="G705" t="s">
        <v>673</v>
      </c>
      <c r="J705" t="s">
        <v>1716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T705" t="s">
        <v>38</v>
      </c>
      <c r="U705">
        <v>0</v>
      </c>
      <c r="W705">
        <v>0</v>
      </c>
      <c r="X705">
        <v>0</v>
      </c>
      <c r="Y705">
        <v>0</v>
      </c>
      <c r="AE705">
        <f t="shared" si="30"/>
        <v>1</v>
      </c>
      <c r="AF705">
        <f>VLOOKUP(D705,especies!$A$2:$C$9,3,FALSE)</f>
        <v>1</v>
      </c>
      <c r="AG705" t="str">
        <f t="shared" si="31"/>
        <v>1-Akita Americano</v>
      </c>
      <c r="AH705">
        <f>VLOOKUP('Fichas clínicas'!AG705,razas!$A$2:$D$66,3,FALSE)</f>
        <v>15</v>
      </c>
      <c r="AI705" t="str">
        <f t="shared" si="32"/>
        <v>H</v>
      </c>
    </row>
    <row r="706" spans="1:35" x14ac:dyDescent="0.2">
      <c r="A706">
        <v>708</v>
      </c>
      <c r="B706" t="s">
        <v>1567</v>
      </c>
      <c r="C706" t="s">
        <v>424</v>
      </c>
      <c r="D706" t="s">
        <v>41</v>
      </c>
      <c r="E706" t="s">
        <v>93</v>
      </c>
      <c r="F706" t="s">
        <v>34</v>
      </c>
      <c r="G706" t="s">
        <v>1717</v>
      </c>
      <c r="J706" t="s">
        <v>1012</v>
      </c>
      <c r="K706" t="s">
        <v>38</v>
      </c>
      <c r="L706" t="s">
        <v>38</v>
      </c>
      <c r="M706" t="s">
        <v>38</v>
      </c>
      <c r="N706" t="s">
        <v>38</v>
      </c>
      <c r="O706" t="s">
        <v>38</v>
      </c>
      <c r="T706" t="s">
        <v>38</v>
      </c>
      <c r="U706">
        <v>0</v>
      </c>
      <c r="V706">
        <v>1</v>
      </c>
      <c r="W706">
        <v>0</v>
      </c>
      <c r="X706">
        <v>0</v>
      </c>
      <c r="Y706">
        <v>0</v>
      </c>
      <c r="AE706">
        <f t="shared" si="30"/>
        <v>1</v>
      </c>
      <c r="AF706">
        <f>VLOOKUP(D706,especies!$A$2:$C$9,3,FALSE)</f>
        <v>2</v>
      </c>
      <c r="AG706" t="str">
        <f t="shared" si="31"/>
        <v>2-DPL (Doméstico de pelo Largo o DLH)</v>
      </c>
      <c r="AH706">
        <f>VLOOKUP('Fichas clínicas'!AG706,razas!$A$2:$D$66,3,FALSE)</f>
        <v>52</v>
      </c>
      <c r="AI706" t="str">
        <f t="shared" si="32"/>
        <v>H</v>
      </c>
    </row>
    <row r="707" spans="1:35" x14ac:dyDescent="0.2">
      <c r="A707">
        <v>709</v>
      </c>
      <c r="B707" t="s">
        <v>1718</v>
      </c>
      <c r="C707" t="s">
        <v>1719</v>
      </c>
      <c r="D707" t="s">
        <v>32</v>
      </c>
      <c r="E707" t="s">
        <v>33</v>
      </c>
      <c r="F707" t="s">
        <v>47</v>
      </c>
      <c r="G707" t="s">
        <v>284</v>
      </c>
      <c r="J707" t="s">
        <v>1720</v>
      </c>
      <c r="K707" t="s">
        <v>38</v>
      </c>
      <c r="L707" t="s">
        <v>38</v>
      </c>
      <c r="M707" t="s">
        <v>38</v>
      </c>
      <c r="N707" t="s">
        <v>38</v>
      </c>
      <c r="O707" t="s">
        <v>38</v>
      </c>
      <c r="Q707">
        <v>0</v>
      </c>
      <c r="T707" t="s">
        <v>38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f t="shared" ref="AE707:AE770" si="33">SUBTOTAL(103,E707)</f>
        <v>1</v>
      </c>
      <c r="AF707">
        <f>VLOOKUP(D707,especies!$A$2:$C$9,3,FALSE)</f>
        <v>1</v>
      </c>
      <c r="AG707" t="str">
        <f t="shared" ref="AG707:AG770" si="34">AF707&amp;"-"&amp;E707</f>
        <v>1-Mestizo</v>
      </c>
      <c r="AH707">
        <f>VLOOKUP('Fichas clínicas'!AG707,razas!$A$2:$D$66,3,FALSE)</f>
        <v>1</v>
      </c>
      <c r="AI707" t="str">
        <f t="shared" ref="AI707:AI770" si="35">IF(F707="Hembra","H","M")</f>
        <v>M</v>
      </c>
    </row>
    <row r="708" spans="1:35" x14ac:dyDescent="0.2">
      <c r="A708">
        <v>710</v>
      </c>
      <c r="B708" t="s">
        <v>1721</v>
      </c>
      <c r="C708" t="s">
        <v>1722</v>
      </c>
      <c r="D708" t="s">
        <v>41</v>
      </c>
      <c r="E708" t="s">
        <v>42</v>
      </c>
      <c r="F708" t="s">
        <v>47</v>
      </c>
      <c r="G708" t="s">
        <v>652</v>
      </c>
      <c r="J708" t="s">
        <v>1439</v>
      </c>
      <c r="K708" t="s">
        <v>38</v>
      </c>
      <c r="L708" t="s">
        <v>38</v>
      </c>
      <c r="M708" t="s">
        <v>38</v>
      </c>
      <c r="N708" t="s">
        <v>38</v>
      </c>
      <c r="O708" t="s">
        <v>38</v>
      </c>
      <c r="T708" t="s">
        <v>38</v>
      </c>
      <c r="U708">
        <v>0</v>
      </c>
      <c r="V708">
        <v>1</v>
      </c>
      <c r="W708">
        <v>0</v>
      </c>
      <c r="X708">
        <v>0</v>
      </c>
      <c r="Y708">
        <v>0</v>
      </c>
      <c r="AE708">
        <f t="shared" si="33"/>
        <v>1</v>
      </c>
      <c r="AF708">
        <f>VLOOKUP(D708,especies!$A$2:$C$9,3,FALSE)</f>
        <v>2</v>
      </c>
      <c r="AG708" t="str">
        <f t="shared" si="34"/>
        <v>2-DPC (Doméstico de pelo corto o DSH)</v>
      </c>
      <c r="AH708">
        <f>VLOOKUP('Fichas clínicas'!AG708,razas!$A$2:$D$66,3,FALSE)</f>
        <v>51</v>
      </c>
      <c r="AI708" t="str">
        <f t="shared" si="35"/>
        <v>M</v>
      </c>
    </row>
    <row r="709" spans="1:35" x14ac:dyDescent="0.2">
      <c r="A709">
        <v>711</v>
      </c>
      <c r="B709" t="s">
        <v>403</v>
      </c>
      <c r="C709" t="s">
        <v>1723</v>
      </c>
      <c r="D709" t="s">
        <v>41</v>
      </c>
      <c r="E709" t="s">
        <v>93</v>
      </c>
      <c r="F709" t="s">
        <v>34</v>
      </c>
      <c r="G709" t="s">
        <v>1639</v>
      </c>
      <c r="J709" t="s">
        <v>1713</v>
      </c>
      <c r="K709" t="s">
        <v>38</v>
      </c>
      <c r="L709" t="s">
        <v>38</v>
      </c>
      <c r="M709" t="s">
        <v>38</v>
      </c>
      <c r="N709" t="s">
        <v>38</v>
      </c>
      <c r="O709" t="s">
        <v>38</v>
      </c>
      <c r="Q709">
        <v>0</v>
      </c>
      <c r="T709" t="s">
        <v>38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f t="shared" si="33"/>
        <v>1</v>
      </c>
      <c r="AF709">
        <f>VLOOKUP(D709,especies!$A$2:$C$9,3,FALSE)</f>
        <v>2</v>
      </c>
      <c r="AG709" t="str">
        <f t="shared" si="34"/>
        <v>2-DPL (Doméstico de pelo Largo o DLH)</v>
      </c>
      <c r="AH709">
        <f>VLOOKUP('Fichas clínicas'!AG709,razas!$A$2:$D$66,3,FALSE)</f>
        <v>52</v>
      </c>
      <c r="AI709" t="str">
        <f t="shared" si="35"/>
        <v>H</v>
      </c>
    </row>
    <row r="710" spans="1:35" x14ac:dyDescent="0.2">
      <c r="A710">
        <v>712</v>
      </c>
      <c r="B710" t="s">
        <v>1724</v>
      </c>
      <c r="C710" t="s">
        <v>1056</v>
      </c>
      <c r="D710" t="s">
        <v>32</v>
      </c>
      <c r="E710" t="s">
        <v>33</v>
      </c>
      <c r="F710" t="s">
        <v>34</v>
      </c>
      <c r="G710" t="s">
        <v>300</v>
      </c>
      <c r="J710" t="s">
        <v>1725</v>
      </c>
      <c r="K710" t="s">
        <v>38</v>
      </c>
      <c r="L710" t="s">
        <v>38</v>
      </c>
      <c r="M710" t="s">
        <v>38</v>
      </c>
      <c r="N710" t="s">
        <v>38</v>
      </c>
      <c r="O710" t="s">
        <v>38</v>
      </c>
      <c r="T710" t="s">
        <v>38</v>
      </c>
      <c r="U710">
        <v>0</v>
      </c>
      <c r="W710">
        <v>0</v>
      </c>
      <c r="X710">
        <v>0</v>
      </c>
      <c r="Y710">
        <v>0</v>
      </c>
      <c r="AE710">
        <f t="shared" si="33"/>
        <v>1</v>
      </c>
      <c r="AF710">
        <f>VLOOKUP(D710,especies!$A$2:$C$9,3,FALSE)</f>
        <v>1</v>
      </c>
      <c r="AG710" t="str">
        <f t="shared" si="34"/>
        <v>1-Mestizo</v>
      </c>
      <c r="AH710">
        <f>VLOOKUP('Fichas clínicas'!AG710,razas!$A$2:$D$66,3,FALSE)</f>
        <v>1</v>
      </c>
      <c r="AI710" t="str">
        <f t="shared" si="35"/>
        <v>H</v>
      </c>
    </row>
    <row r="711" spans="1:35" x14ac:dyDescent="0.2">
      <c r="A711">
        <v>713</v>
      </c>
      <c r="B711" t="s">
        <v>1726</v>
      </c>
      <c r="C711" t="s">
        <v>1727</v>
      </c>
      <c r="D711" t="s">
        <v>41</v>
      </c>
      <c r="E711" t="s">
        <v>93</v>
      </c>
      <c r="F711" t="s">
        <v>47</v>
      </c>
      <c r="G711" t="s">
        <v>1728</v>
      </c>
      <c r="J711" t="s">
        <v>1729</v>
      </c>
      <c r="K711" t="s">
        <v>38</v>
      </c>
      <c r="L711" t="s">
        <v>38</v>
      </c>
      <c r="M711" t="s">
        <v>38</v>
      </c>
      <c r="N711" t="s">
        <v>38</v>
      </c>
      <c r="O711" t="s">
        <v>38</v>
      </c>
      <c r="T711" t="s">
        <v>38</v>
      </c>
      <c r="U711">
        <v>0</v>
      </c>
      <c r="V711">
        <v>1</v>
      </c>
      <c r="W711">
        <v>0</v>
      </c>
      <c r="X711">
        <v>0</v>
      </c>
      <c r="Y711">
        <v>0</v>
      </c>
      <c r="AE711">
        <f t="shared" si="33"/>
        <v>1</v>
      </c>
      <c r="AF711">
        <f>VLOOKUP(D711,especies!$A$2:$C$9,3,FALSE)</f>
        <v>2</v>
      </c>
      <c r="AG711" t="str">
        <f t="shared" si="34"/>
        <v>2-DPL (Doméstico de pelo Largo o DLH)</v>
      </c>
      <c r="AH711">
        <f>VLOOKUP('Fichas clínicas'!AG711,razas!$A$2:$D$66,3,FALSE)</f>
        <v>52</v>
      </c>
      <c r="AI711" t="str">
        <f t="shared" si="35"/>
        <v>M</v>
      </c>
    </row>
    <row r="712" spans="1:35" x14ac:dyDescent="0.2">
      <c r="A712">
        <v>714</v>
      </c>
      <c r="B712" t="s">
        <v>1730</v>
      </c>
      <c r="C712" t="s">
        <v>1316</v>
      </c>
      <c r="D712" t="s">
        <v>32</v>
      </c>
      <c r="E712" t="s">
        <v>1731</v>
      </c>
      <c r="F712" t="s">
        <v>34</v>
      </c>
      <c r="G712" t="s">
        <v>740</v>
      </c>
      <c r="J712" t="s">
        <v>1732</v>
      </c>
      <c r="K712" t="s">
        <v>38</v>
      </c>
      <c r="L712" t="s">
        <v>38</v>
      </c>
      <c r="M712" t="s">
        <v>38</v>
      </c>
      <c r="N712" t="s">
        <v>38</v>
      </c>
      <c r="O712" t="s">
        <v>38</v>
      </c>
      <c r="T712" t="s">
        <v>38</v>
      </c>
      <c r="U712">
        <v>0</v>
      </c>
      <c r="V712">
        <v>1</v>
      </c>
      <c r="W712">
        <v>0</v>
      </c>
      <c r="X712">
        <v>0</v>
      </c>
      <c r="Y712">
        <v>0</v>
      </c>
      <c r="AE712">
        <f t="shared" si="33"/>
        <v>1</v>
      </c>
      <c r="AF712">
        <f>VLOOKUP(D712,especies!$A$2:$C$9,3,FALSE)</f>
        <v>1</v>
      </c>
      <c r="AG712" t="str">
        <f t="shared" si="34"/>
        <v>1-Basset Hound</v>
      </c>
      <c r="AH712">
        <f>VLOOKUP('Fichas clínicas'!AG712,razas!$A$2:$D$66,3,FALSE)</f>
        <v>33</v>
      </c>
      <c r="AI712" t="str">
        <f t="shared" si="35"/>
        <v>H</v>
      </c>
    </row>
    <row r="713" spans="1:35" x14ac:dyDescent="0.2">
      <c r="A713">
        <v>715</v>
      </c>
      <c r="B713" t="s">
        <v>1331</v>
      </c>
      <c r="C713" t="s">
        <v>1733</v>
      </c>
      <c r="D713" t="s">
        <v>41</v>
      </c>
      <c r="E713" t="s">
        <v>93</v>
      </c>
      <c r="F713" t="s">
        <v>47</v>
      </c>
      <c r="G713" t="s">
        <v>277</v>
      </c>
      <c r="J713" t="s">
        <v>1079</v>
      </c>
      <c r="K713" t="s">
        <v>38</v>
      </c>
      <c r="L713" t="s">
        <v>38</v>
      </c>
      <c r="M713" t="s">
        <v>38</v>
      </c>
      <c r="N713" t="s">
        <v>38</v>
      </c>
      <c r="O713" t="s">
        <v>38</v>
      </c>
      <c r="T713" t="s">
        <v>38</v>
      </c>
      <c r="U713">
        <v>0</v>
      </c>
      <c r="V713">
        <v>1</v>
      </c>
      <c r="W713">
        <v>0</v>
      </c>
      <c r="X713">
        <v>0</v>
      </c>
      <c r="Y713">
        <v>0</v>
      </c>
      <c r="AE713">
        <f t="shared" si="33"/>
        <v>1</v>
      </c>
      <c r="AF713">
        <f>VLOOKUP(D713,especies!$A$2:$C$9,3,FALSE)</f>
        <v>2</v>
      </c>
      <c r="AG713" t="str">
        <f t="shared" si="34"/>
        <v>2-DPL (Doméstico de pelo Largo o DLH)</v>
      </c>
      <c r="AH713">
        <f>VLOOKUP('Fichas clínicas'!AG713,razas!$A$2:$D$66,3,FALSE)</f>
        <v>52</v>
      </c>
      <c r="AI713" t="str">
        <f t="shared" si="35"/>
        <v>M</v>
      </c>
    </row>
    <row r="714" spans="1:35" x14ac:dyDescent="0.2">
      <c r="A714">
        <v>716</v>
      </c>
      <c r="B714" t="s">
        <v>1734</v>
      </c>
      <c r="C714" t="s">
        <v>1735</v>
      </c>
      <c r="D714" t="s">
        <v>41</v>
      </c>
      <c r="E714" t="s">
        <v>93</v>
      </c>
      <c r="F714" t="s">
        <v>47</v>
      </c>
      <c r="G714" t="s">
        <v>297</v>
      </c>
      <c r="J714" t="s">
        <v>58</v>
      </c>
      <c r="K714" t="s">
        <v>38</v>
      </c>
      <c r="L714" t="s">
        <v>38</v>
      </c>
      <c r="M714" t="s">
        <v>38</v>
      </c>
      <c r="N714" t="s">
        <v>38</v>
      </c>
      <c r="O714" t="s">
        <v>38</v>
      </c>
      <c r="T714" t="s">
        <v>38</v>
      </c>
      <c r="U714">
        <v>0</v>
      </c>
      <c r="V714">
        <v>1</v>
      </c>
      <c r="W714">
        <v>0</v>
      </c>
      <c r="X714">
        <v>0</v>
      </c>
      <c r="Y714">
        <v>0</v>
      </c>
      <c r="AE714">
        <f t="shared" si="33"/>
        <v>1</v>
      </c>
      <c r="AF714">
        <f>VLOOKUP(D714,especies!$A$2:$C$9,3,FALSE)</f>
        <v>2</v>
      </c>
      <c r="AG714" t="str">
        <f t="shared" si="34"/>
        <v>2-DPL (Doméstico de pelo Largo o DLH)</v>
      </c>
      <c r="AH714">
        <f>VLOOKUP('Fichas clínicas'!AG714,razas!$A$2:$D$66,3,FALSE)</f>
        <v>52</v>
      </c>
      <c r="AI714" t="str">
        <f t="shared" si="35"/>
        <v>M</v>
      </c>
    </row>
    <row r="715" spans="1:35" x14ac:dyDescent="0.2">
      <c r="A715">
        <v>717</v>
      </c>
      <c r="B715" t="s">
        <v>1736</v>
      </c>
      <c r="C715" t="s">
        <v>1737</v>
      </c>
      <c r="D715" t="s">
        <v>32</v>
      </c>
      <c r="E715" t="s">
        <v>150</v>
      </c>
      <c r="F715" t="s">
        <v>34</v>
      </c>
      <c r="G715" t="s">
        <v>102</v>
      </c>
      <c r="J715" t="s">
        <v>1738</v>
      </c>
      <c r="K715" t="s">
        <v>38</v>
      </c>
      <c r="L715" t="s">
        <v>38</v>
      </c>
      <c r="M715" t="s">
        <v>38</v>
      </c>
      <c r="N715" t="s">
        <v>38</v>
      </c>
      <c r="O715" t="s">
        <v>38</v>
      </c>
      <c r="T715" t="s">
        <v>38</v>
      </c>
      <c r="U715">
        <v>0</v>
      </c>
      <c r="W715">
        <v>0</v>
      </c>
      <c r="X715">
        <v>0</v>
      </c>
      <c r="Y715">
        <v>0</v>
      </c>
      <c r="AE715">
        <f t="shared" si="33"/>
        <v>1</v>
      </c>
      <c r="AF715">
        <f>VLOOKUP(D715,especies!$A$2:$C$9,3,FALSE)</f>
        <v>1</v>
      </c>
      <c r="AG715" t="str">
        <f t="shared" si="34"/>
        <v>1-Poodle</v>
      </c>
      <c r="AH715">
        <f>VLOOKUP('Fichas clínicas'!AG715,razas!$A$2:$D$66,3,FALSE)</f>
        <v>6</v>
      </c>
      <c r="AI715" t="str">
        <f t="shared" si="35"/>
        <v>H</v>
      </c>
    </row>
    <row r="716" spans="1:35" x14ac:dyDescent="0.2">
      <c r="A716">
        <v>718</v>
      </c>
      <c r="B716" t="s">
        <v>1739</v>
      </c>
      <c r="C716" t="s">
        <v>1740</v>
      </c>
      <c r="D716" t="s">
        <v>41</v>
      </c>
      <c r="E716" t="s">
        <v>42</v>
      </c>
      <c r="F716" t="s">
        <v>34</v>
      </c>
      <c r="G716" t="s">
        <v>526</v>
      </c>
      <c r="J716" t="s">
        <v>1687</v>
      </c>
      <c r="K716" t="s">
        <v>38</v>
      </c>
      <c r="L716" t="s">
        <v>38</v>
      </c>
      <c r="M716" t="s">
        <v>38</v>
      </c>
      <c r="N716" t="s">
        <v>38</v>
      </c>
      <c r="O716" t="s">
        <v>38</v>
      </c>
      <c r="T716" t="s">
        <v>38</v>
      </c>
      <c r="U716">
        <v>0</v>
      </c>
      <c r="W716">
        <v>0</v>
      </c>
      <c r="X716">
        <v>0</v>
      </c>
      <c r="Y716">
        <v>0</v>
      </c>
      <c r="AE716">
        <f t="shared" si="33"/>
        <v>1</v>
      </c>
      <c r="AF716">
        <f>VLOOKUP(D716,especies!$A$2:$C$9,3,FALSE)</f>
        <v>2</v>
      </c>
      <c r="AG716" t="str">
        <f t="shared" si="34"/>
        <v>2-DPC (Doméstico de pelo corto o DSH)</v>
      </c>
      <c r="AH716">
        <f>VLOOKUP('Fichas clínicas'!AG716,razas!$A$2:$D$66,3,FALSE)</f>
        <v>51</v>
      </c>
      <c r="AI716" t="str">
        <f t="shared" si="35"/>
        <v>H</v>
      </c>
    </row>
    <row r="717" spans="1:35" x14ac:dyDescent="0.2">
      <c r="A717">
        <v>719</v>
      </c>
      <c r="B717" t="s">
        <v>1741</v>
      </c>
      <c r="C717" t="s">
        <v>1742</v>
      </c>
      <c r="D717" t="s">
        <v>41</v>
      </c>
      <c r="E717" t="s">
        <v>93</v>
      </c>
      <c r="F717" t="s">
        <v>47</v>
      </c>
      <c r="G717" t="s">
        <v>81</v>
      </c>
      <c r="J717" t="s">
        <v>1743</v>
      </c>
      <c r="K717" t="s">
        <v>38</v>
      </c>
      <c r="L717" t="s">
        <v>38</v>
      </c>
      <c r="M717" t="s">
        <v>38</v>
      </c>
      <c r="N717" t="s">
        <v>38</v>
      </c>
      <c r="O717" t="s">
        <v>38</v>
      </c>
      <c r="Q717">
        <v>0</v>
      </c>
      <c r="T717" t="s">
        <v>38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f t="shared" si="33"/>
        <v>1</v>
      </c>
      <c r="AF717">
        <f>VLOOKUP(D717,especies!$A$2:$C$9,3,FALSE)</f>
        <v>2</v>
      </c>
      <c r="AG717" t="str">
        <f t="shared" si="34"/>
        <v>2-DPL (Doméstico de pelo Largo o DLH)</v>
      </c>
      <c r="AH717">
        <f>VLOOKUP('Fichas clínicas'!AG717,razas!$A$2:$D$66,3,FALSE)</f>
        <v>52</v>
      </c>
      <c r="AI717" t="str">
        <f t="shared" si="35"/>
        <v>M</v>
      </c>
    </row>
    <row r="718" spans="1:35" x14ac:dyDescent="0.2">
      <c r="A718">
        <v>720</v>
      </c>
      <c r="B718" t="s">
        <v>1744</v>
      </c>
      <c r="C718" t="s">
        <v>914</v>
      </c>
      <c r="D718" t="s">
        <v>32</v>
      </c>
      <c r="E718" t="s">
        <v>33</v>
      </c>
      <c r="F718" t="s">
        <v>47</v>
      </c>
      <c r="G718" t="s">
        <v>583</v>
      </c>
      <c r="J718" t="s">
        <v>1745</v>
      </c>
      <c r="K718" t="s">
        <v>38</v>
      </c>
      <c r="L718" t="s">
        <v>38</v>
      </c>
      <c r="M718" t="s">
        <v>38</v>
      </c>
      <c r="N718" t="s">
        <v>38</v>
      </c>
      <c r="O718" t="s">
        <v>38</v>
      </c>
      <c r="T718" t="s">
        <v>38</v>
      </c>
      <c r="U718">
        <v>0</v>
      </c>
      <c r="W718">
        <v>0</v>
      </c>
      <c r="X718">
        <v>0</v>
      </c>
      <c r="Y718">
        <v>0</v>
      </c>
      <c r="AE718">
        <f t="shared" si="33"/>
        <v>1</v>
      </c>
      <c r="AF718">
        <f>VLOOKUP(D718,especies!$A$2:$C$9,3,FALSE)</f>
        <v>1</v>
      </c>
      <c r="AG718" t="str">
        <f t="shared" si="34"/>
        <v>1-Mestizo</v>
      </c>
      <c r="AH718">
        <f>VLOOKUP('Fichas clínicas'!AG718,razas!$A$2:$D$66,3,FALSE)</f>
        <v>1</v>
      </c>
      <c r="AI718" t="str">
        <f t="shared" si="35"/>
        <v>M</v>
      </c>
    </row>
    <row r="719" spans="1:35" x14ac:dyDescent="0.2">
      <c r="A719">
        <v>721</v>
      </c>
      <c r="B719" t="s">
        <v>1746</v>
      </c>
      <c r="C719" t="s">
        <v>1747</v>
      </c>
      <c r="D719" t="s">
        <v>32</v>
      </c>
      <c r="E719" t="s">
        <v>1067</v>
      </c>
      <c r="F719" t="s">
        <v>34</v>
      </c>
      <c r="G719" t="s">
        <v>583</v>
      </c>
      <c r="J719" t="s">
        <v>1748</v>
      </c>
      <c r="K719" t="s">
        <v>38</v>
      </c>
      <c r="L719" t="s">
        <v>38</v>
      </c>
      <c r="M719" t="s">
        <v>38</v>
      </c>
      <c r="N719" t="s">
        <v>38</v>
      </c>
      <c r="O719" t="s">
        <v>38</v>
      </c>
      <c r="Q719">
        <v>0</v>
      </c>
      <c r="T719" t="s">
        <v>38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f t="shared" si="33"/>
        <v>1</v>
      </c>
      <c r="AF719">
        <f>VLOOKUP(D719,especies!$A$2:$C$9,3,FALSE)</f>
        <v>1</v>
      </c>
      <c r="AG719" t="str">
        <f t="shared" si="34"/>
        <v>1-Chihuahua</v>
      </c>
      <c r="AH719">
        <f>VLOOKUP('Fichas clínicas'!AG719,razas!$A$2:$D$66,3,FALSE)</f>
        <v>27</v>
      </c>
      <c r="AI719" t="str">
        <f t="shared" si="35"/>
        <v>H</v>
      </c>
    </row>
    <row r="720" spans="1:35" x14ac:dyDescent="0.2">
      <c r="A720">
        <v>722</v>
      </c>
      <c r="B720" t="s">
        <v>1749</v>
      </c>
      <c r="C720" t="s">
        <v>1750</v>
      </c>
      <c r="D720" t="s">
        <v>41</v>
      </c>
      <c r="E720" t="s">
        <v>93</v>
      </c>
      <c r="F720" t="s">
        <v>34</v>
      </c>
      <c r="G720" t="s">
        <v>1751</v>
      </c>
      <c r="J720" t="s">
        <v>1752</v>
      </c>
      <c r="K720" t="s">
        <v>38</v>
      </c>
      <c r="L720" t="s">
        <v>38</v>
      </c>
      <c r="M720" t="s">
        <v>38</v>
      </c>
      <c r="N720" t="s">
        <v>38</v>
      </c>
      <c r="O720" t="s">
        <v>38</v>
      </c>
      <c r="Q720">
        <v>0</v>
      </c>
      <c r="T720" t="s">
        <v>38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f t="shared" si="33"/>
        <v>1</v>
      </c>
      <c r="AF720">
        <f>VLOOKUP(D720,especies!$A$2:$C$9,3,FALSE)</f>
        <v>2</v>
      </c>
      <c r="AG720" t="str">
        <f t="shared" si="34"/>
        <v>2-DPL (Doméstico de pelo Largo o DLH)</v>
      </c>
      <c r="AH720">
        <f>VLOOKUP('Fichas clínicas'!AG720,razas!$A$2:$D$66,3,FALSE)</f>
        <v>52</v>
      </c>
      <c r="AI720" t="str">
        <f t="shared" si="35"/>
        <v>H</v>
      </c>
    </row>
    <row r="721" spans="1:35" x14ac:dyDescent="0.2">
      <c r="A721">
        <v>723</v>
      </c>
      <c r="B721" t="s">
        <v>1080</v>
      </c>
      <c r="C721" t="s">
        <v>1753</v>
      </c>
      <c r="D721" t="s">
        <v>32</v>
      </c>
      <c r="E721" t="s">
        <v>33</v>
      </c>
      <c r="F721" t="s">
        <v>34</v>
      </c>
      <c r="G721" t="s">
        <v>1054</v>
      </c>
      <c r="J721" t="s">
        <v>809</v>
      </c>
      <c r="K721" t="s">
        <v>38</v>
      </c>
      <c r="L721" t="s">
        <v>38</v>
      </c>
      <c r="M721" t="s">
        <v>38</v>
      </c>
      <c r="N721" t="s">
        <v>38</v>
      </c>
      <c r="O721" t="s">
        <v>38</v>
      </c>
      <c r="T721" t="s">
        <v>38</v>
      </c>
      <c r="U721">
        <v>0</v>
      </c>
      <c r="W721">
        <v>0</v>
      </c>
      <c r="X721">
        <v>0</v>
      </c>
      <c r="Y721">
        <v>0</v>
      </c>
      <c r="AE721">
        <f t="shared" si="33"/>
        <v>1</v>
      </c>
      <c r="AF721">
        <f>VLOOKUP(D721,especies!$A$2:$C$9,3,FALSE)</f>
        <v>1</v>
      </c>
      <c r="AG721" t="str">
        <f t="shared" si="34"/>
        <v>1-Mestizo</v>
      </c>
      <c r="AH721">
        <f>VLOOKUP('Fichas clínicas'!AG721,razas!$A$2:$D$66,3,FALSE)</f>
        <v>1</v>
      </c>
      <c r="AI721" t="str">
        <f t="shared" si="35"/>
        <v>H</v>
      </c>
    </row>
    <row r="722" spans="1:35" x14ac:dyDescent="0.2">
      <c r="A722">
        <v>724</v>
      </c>
      <c r="B722" t="s">
        <v>1754</v>
      </c>
      <c r="C722" t="s">
        <v>1755</v>
      </c>
      <c r="D722" t="s">
        <v>32</v>
      </c>
      <c r="E722" t="s">
        <v>33</v>
      </c>
      <c r="F722" t="s">
        <v>47</v>
      </c>
      <c r="G722" t="s">
        <v>220</v>
      </c>
      <c r="I722">
        <v>900223000240247</v>
      </c>
      <c r="J722" t="s">
        <v>1756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Q722">
        <v>0</v>
      </c>
      <c r="T722" t="s">
        <v>38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f t="shared" si="33"/>
        <v>1</v>
      </c>
      <c r="AF722">
        <f>VLOOKUP(D722,especies!$A$2:$C$9,3,FALSE)</f>
        <v>1</v>
      </c>
      <c r="AG722" t="str">
        <f t="shared" si="34"/>
        <v>1-Mestizo</v>
      </c>
      <c r="AH722">
        <f>VLOOKUP('Fichas clínicas'!AG722,razas!$A$2:$D$66,3,FALSE)</f>
        <v>1</v>
      </c>
      <c r="AI722" t="str">
        <f t="shared" si="35"/>
        <v>M</v>
      </c>
    </row>
    <row r="723" spans="1:35" x14ac:dyDescent="0.2">
      <c r="A723">
        <v>725</v>
      </c>
      <c r="B723" t="s">
        <v>1757</v>
      </c>
      <c r="C723" t="s">
        <v>1758</v>
      </c>
      <c r="D723" t="s">
        <v>32</v>
      </c>
      <c r="E723" t="s">
        <v>33</v>
      </c>
      <c r="F723" t="s">
        <v>47</v>
      </c>
      <c r="G723" t="s">
        <v>1759</v>
      </c>
      <c r="J723" t="s">
        <v>1745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Q723">
        <v>0</v>
      </c>
      <c r="T723" t="s">
        <v>38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f t="shared" si="33"/>
        <v>1</v>
      </c>
      <c r="AF723">
        <f>VLOOKUP(D723,especies!$A$2:$C$9,3,FALSE)</f>
        <v>1</v>
      </c>
      <c r="AG723" t="str">
        <f t="shared" si="34"/>
        <v>1-Mestizo</v>
      </c>
      <c r="AH723">
        <f>VLOOKUP('Fichas clínicas'!AG723,razas!$A$2:$D$66,3,FALSE)</f>
        <v>1</v>
      </c>
      <c r="AI723" t="str">
        <f t="shared" si="35"/>
        <v>M</v>
      </c>
    </row>
    <row r="724" spans="1:35" x14ac:dyDescent="0.2">
      <c r="A724">
        <v>726</v>
      </c>
      <c r="B724" t="s">
        <v>1760</v>
      </c>
      <c r="C724" t="s">
        <v>1761</v>
      </c>
      <c r="D724" t="s">
        <v>32</v>
      </c>
      <c r="E724" t="s">
        <v>33</v>
      </c>
      <c r="F724" t="s">
        <v>34</v>
      </c>
      <c r="G724" t="s">
        <v>81</v>
      </c>
      <c r="J724" t="s">
        <v>1762</v>
      </c>
      <c r="K724" t="s">
        <v>38</v>
      </c>
      <c r="L724" t="s">
        <v>38</v>
      </c>
      <c r="M724" t="s">
        <v>38</v>
      </c>
      <c r="N724" t="s">
        <v>38</v>
      </c>
      <c r="O724" t="s">
        <v>38</v>
      </c>
      <c r="T724" t="s">
        <v>38</v>
      </c>
      <c r="U724">
        <v>0</v>
      </c>
      <c r="V724">
        <v>1</v>
      </c>
      <c r="W724">
        <v>0</v>
      </c>
      <c r="X724">
        <v>0</v>
      </c>
      <c r="Y724">
        <v>0</v>
      </c>
      <c r="AE724">
        <f t="shared" si="33"/>
        <v>1</v>
      </c>
      <c r="AF724">
        <f>VLOOKUP(D724,especies!$A$2:$C$9,3,FALSE)</f>
        <v>1</v>
      </c>
      <c r="AG724" t="str">
        <f t="shared" si="34"/>
        <v>1-Mestizo</v>
      </c>
      <c r="AH724">
        <f>VLOOKUP('Fichas clínicas'!AG724,razas!$A$2:$D$66,3,FALSE)</f>
        <v>1</v>
      </c>
      <c r="AI724" t="str">
        <f t="shared" si="35"/>
        <v>H</v>
      </c>
    </row>
    <row r="725" spans="1:35" x14ac:dyDescent="0.2">
      <c r="A725">
        <v>727</v>
      </c>
      <c r="B725" t="s">
        <v>1674</v>
      </c>
      <c r="C725" t="s">
        <v>1763</v>
      </c>
      <c r="D725" t="s">
        <v>32</v>
      </c>
      <c r="E725" t="s">
        <v>257</v>
      </c>
      <c r="F725" t="s">
        <v>47</v>
      </c>
      <c r="G725" t="s">
        <v>1000</v>
      </c>
      <c r="J725" t="s">
        <v>628</v>
      </c>
      <c r="K725" t="s">
        <v>38</v>
      </c>
      <c r="L725" t="s">
        <v>38</v>
      </c>
      <c r="M725" t="s">
        <v>38</v>
      </c>
      <c r="N725" t="s">
        <v>38</v>
      </c>
      <c r="O725" t="s">
        <v>38</v>
      </c>
      <c r="Q725">
        <v>0</v>
      </c>
      <c r="T725" t="s">
        <v>38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f t="shared" si="33"/>
        <v>1</v>
      </c>
      <c r="AF725">
        <f>VLOOKUP(D725,especies!$A$2:$C$9,3,FALSE)</f>
        <v>1</v>
      </c>
      <c r="AG725" t="str">
        <f t="shared" si="34"/>
        <v>1-Terrier Chileno</v>
      </c>
      <c r="AH725">
        <f>VLOOKUP('Fichas clínicas'!AG725,razas!$A$2:$D$66,3,FALSE)</f>
        <v>10</v>
      </c>
      <c r="AI725" t="str">
        <f t="shared" si="35"/>
        <v>M</v>
      </c>
    </row>
    <row r="726" spans="1:35" x14ac:dyDescent="0.2">
      <c r="A726">
        <v>728</v>
      </c>
      <c r="B726" t="s">
        <v>1311</v>
      </c>
      <c r="C726" t="s">
        <v>1619</v>
      </c>
      <c r="D726" t="s">
        <v>32</v>
      </c>
      <c r="E726" t="s">
        <v>33</v>
      </c>
      <c r="F726" t="s">
        <v>34</v>
      </c>
      <c r="G726" t="s">
        <v>116</v>
      </c>
      <c r="J726" t="s">
        <v>1764</v>
      </c>
      <c r="K726" t="s">
        <v>38</v>
      </c>
      <c r="L726" t="s">
        <v>38</v>
      </c>
      <c r="M726" t="s">
        <v>38</v>
      </c>
      <c r="N726" t="s">
        <v>38</v>
      </c>
      <c r="O726" t="s">
        <v>38</v>
      </c>
      <c r="Q726">
        <v>0</v>
      </c>
      <c r="T726" t="s">
        <v>38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f t="shared" si="33"/>
        <v>1</v>
      </c>
      <c r="AF726">
        <f>VLOOKUP(D726,especies!$A$2:$C$9,3,FALSE)</f>
        <v>1</v>
      </c>
      <c r="AG726" t="str">
        <f t="shared" si="34"/>
        <v>1-Mestizo</v>
      </c>
      <c r="AH726">
        <f>VLOOKUP('Fichas clínicas'!AG726,razas!$A$2:$D$66,3,FALSE)</f>
        <v>1</v>
      </c>
      <c r="AI726" t="str">
        <f t="shared" si="35"/>
        <v>H</v>
      </c>
    </row>
    <row r="727" spans="1:35" x14ac:dyDescent="0.2">
      <c r="A727">
        <v>729</v>
      </c>
      <c r="B727" t="s">
        <v>1311</v>
      </c>
      <c r="C727" t="s">
        <v>1765</v>
      </c>
      <c r="D727" t="s">
        <v>32</v>
      </c>
      <c r="E727" t="s">
        <v>33</v>
      </c>
      <c r="F727" t="s">
        <v>47</v>
      </c>
      <c r="G727" t="s">
        <v>284</v>
      </c>
      <c r="J727" t="s">
        <v>1764</v>
      </c>
      <c r="K727" t="s">
        <v>38</v>
      </c>
      <c r="L727" t="s">
        <v>38</v>
      </c>
      <c r="M727" t="s">
        <v>38</v>
      </c>
      <c r="N727" t="s">
        <v>38</v>
      </c>
      <c r="O727" t="s">
        <v>38</v>
      </c>
      <c r="Q727">
        <v>0</v>
      </c>
      <c r="T727" t="s">
        <v>38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f t="shared" si="33"/>
        <v>1</v>
      </c>
      <c r="AF727">
        <f>VLOOKUP(D727,especies!$A$2:$C$9,3,FALSE)</f>
        <v>1</v>
      </c>
      <c r="AG727" t="str">
        <f t="shared" si="34"/>
        <v>1-Mestizo</v>
      </c>
      <c r="AH727">
        <f>VLOOKUP('Fichas clínicas'!AG727,razas!$A$2:$D$66,3,FALSE)</f>
        <v>1</v>
      </c>
      <c r="AI727" t="str">
        <f t="shared" si="35"/>
        <v>M</v>
      </c>
    </row>
    <row r="728" spans="1:35" x14ac:dyDescent="0.2">
      <c r="A728">
        <v>730</v>
      </c>
      <c r="B728" t="s">
        <v>263</v>
      </c>
      <c r="C728" t="s">
        <v>1766</v>
      </c>
      <c r="D728" t="s">
        <v>41</v>
      </c>
      <c r="E728" t="s">
        <v>42</v>
      </c>
      <c r="F728" t="s">
        <v>34</v>
      </c>
      <c r="G728" t="s">
        <v>81</v>
      </c>
      <c r="J728" t="s">
        <v>1346</v>
      </c>
      <c r="K728" t="s">
        <v>38</v>
      </c>
      <c r="L728" t="s">
        <v>38</v>
      </c>
      <c r="M728" t="s">
        <v>38</v>
      </c>
      <c r="N728" t="s">
        <v>38</v>
      </c>
      <c r="O728" t="s">
        <v>38</v>
      </c>
      <c r="Q728">
        <v>0</v>
      </c>
      <c r="T728" t="s">
        <v>38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f t="shared" si="33"/>
        <v>1</v>
      </c>
      <c r="AF728">
        <f>VLOOKUP(D728,especies!$A$2:$C$9,3,FALSE)</f>
        <v>2</v>
      </c>
      <c r="AG728" t="str">
        <f t="shared" si="34"/>
        <v>2-DPC (Doméstico de pelo corto o DSH)</v>
      </c>
      <c r="AH728">
        <f>VLOOKUP('Fichas clínicas'!AG728,razas!$A$2:$D$66,3,FALSE)</f>
        <v>51</v>
      </c>
      <c r="AI728" t="str">
        <f t="shared" si="35"/>
        <v>H</v>
      </c>
    </row>
    <row r="729" spans="1:35" x14ac:dyDescent="0.2">
      <c r="A729">
        <v>731</v>
      </c>
      <c r="B729" t="s">
        <v>1767</v>
      </c>
      <c r="C729" t="s">
        <v>1768</v>
      </c>
      <c r="D729" t="s">
        <v>41</v>
      </c>
      <c r="E729" t="s">
        <v>93</v>
      </c>
      <c r="F729" t="s">
        <v>47</v>
      </c>
      <c r="G729" t="s">
        <v>1769</v>
      </c>
      <c r="J729" t="s">
        <v>1725</v>
      </c>
      <c r="K729" t="s">
        <v>38</v>
      </c>
      <c r="L729" t="s">
        <v>38</v>
      </c>
      <c r="M729" t="s">
        <v>38</v>
      </c>
      <c r="N729" t="s">
        <v>38</v>
      </c>
      <c r="O729" t="s">
        <v>38</v>
      </c>
      <c r="Q729">
        <v>0</v>
      </c>
      <c r="T729" t="s">
        <v>38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f t="shared" si="33"/>
        <v>1</v>
      </c>
      <c r="AF729">
        <f>VLOOKUP(D729,especies!$A$2:$C$9,3,FALSE)</f>
        <v>2</v>
      </c>
      <c r="AG729" t="str">
        <f t="shared" si="34"/>
        <v>2-DPL (Doméstico de pelo Largo o DLH)</v>
      </c>
      <c r="AH729">
        <f>VLOOKUP('Fichas clínicas'!AG729,razas!$A$2:$D$66,3,FALSE)</f>
        <v>52</v>
      </c>
      <c r="AI729" t="str">
        <f t="shared" si="35"/>
        <v>M</v>
      </c>
    </row>
    <row r="730" spans="1:35" x14ac:dyDescent="0.2">
      <c r="A730">
        <v>732</v>
      </c>
      <c r="B730" t="s">
        <v>1770</v>
      </c>
      <c r="C730" t="s">
        <v>1771</v>
      </c>
      <c r="D730" t="s">
        <v>41</v>
      </c>
      <c r="E730" t="s">
        <v>42</v>
      </c>
      <c r="F730" t="s">
        <v>47</v>
      </c>
      <c r="G730" t="s">
        <v>1639</v>
      </c>
      <c r="J730" t="s">
        <v>858</v>
      </c>
      <c r="K730" t="s">
        <v>38</v>
      </c>
      <c r="L730" t="s">
        <v>38</v>
      </c>
      <c r="M730" t="s">
        <v>38</v>
      </c>
      <c r="N730" t="s">
        <v>38</v>
      </c>
      <c r="O730" t="s">
        <v>38</v>
      </c>
      <c r="T730" t="s">
        <v>38</v>
      </c>
      <c r="U730">
        <v>0</v>
      </c>
      <c r="V730">
        <v>1</v>
      </c>
      <c r="W730">
        <v>0</v>
      </c>
      <c r="X730">
        <v>0</v>
      </c>
      <c r="Y730">
        <v>0</v>
      </c>
      <c r="AE730">
        <f t="shared" si="33"/>
        <v>1</v>
      </c>
      <c r="AF730">
        <f>VLOOKUP(D730,especies!$A$2:$C$9,3,FALSE)</f>
        <v>2</v>
      </c>
      <c r="AG730" t="str">
        <f t="shared" si="34"/>
        <v>2-DPC (Doméstico de pelo corto o DSH)</v>
      </c>
      <c r="AH730">
        <f>VLOOKUP('Fichas clínicas'!AG730,razas!$A$2:$D$66,3,FALSE)</f>
        <v>51</v>
      </c>
      <c r="AI730" t="str">
        <f t="shared" si="35"/>
        <v>M</v>
      </c>
    </row>
    <row r="731" spans="1:35" x14ac:dyDescent="0.2">
      <c r="A731">
        <v>733</v>
      </c>
      <c r="B731" t="s">
        <v>1772</v>
      </c>
      <c r="C731" t="s">
        <v>1773</v>
      </c>
      <c r="D731" t="s">
        <v>32</v>
      </c>
      <c r="E731" t="s">
        <v>823</v>
      </c>
      <c r="F731" t="s">
        <v>34</v>
      </c>
      <c r="G731" t="s">
        <v>102</v>
      </c>
      <c r="J731" t="s">
        <v>1774</v>
      </c>
      <c r="K731" t="s">
        <v>38</v>
      </c>
      <c r="L731" t="s">
        <v>38</v>
      </c>
      <c r="M731" t="s">
        <v>38</v>
      </c>
      <c r="N731" t="s">
        <v>38</v>
      </c>
      <c r="O731" t="s">
        <v>38</v>
      </c>
      <c r="T731" t="s">
        <v>38</v>
      </c>
      <c r="U731">
        <v>0</v>
      </c>
      <c r="W731">
        <v>0</v>
      </c>
      <c r="X731">
        <v>0</v>
      </c>
      <c r="Y731">
        <v>0</v>
      </c>
      <c r="AE731">
        <f t="shared" si="33"/>
        <v>1</v>
      </c>
      <c r="AF731">
        <f>VLOOKUP(D731,especies!$A$2:$C$9,3,FALSE)</f>
        <v>1</v>
      </c>
      <c r="AG731" t="str">
        <f t="shared" si="34"/>
        <v>1-Dogo Argentino</v>
      </c>
      <c r="AH731">
        <f>VLOOKUP('Fichas clínicas'!AG731,razas!$A$2:$D$66,3,FALSE)</f>
        <v>19</v>
      </c>
      <c r="AI731" t="str">
        <f t="shared" si="35"/>
        <v>H</v>
      </c>
    </row>
    <row r="732" spans="1:35" x14ac:dyDescent="0.2">
      <c r="A732">
        <v>734</v>
      </c>
      <c r="B732" t="s">
        <v>1775</v>
      </c>
      <c r="C732" t="s">
        <v>1776</v>
      </c>
      <c r="D732" t="s">
        <v>41</v>
      </c>
      <c r="E732" t="s">
        <v>42</v>
      </c>
      <c r="F732" t="s">
        <v>34</v>
      </c>
      <c r="G732" t="s">
        <v>1777</v>
      </c>
      <c r="J732" t="s">
        <v>1522</v>
      </c>
      <c r="K732" t="s">
        <v>38</v>
      </c>
      <c r="L732" t="s">
        <v>38</v>
      </c>
      <c r="M732" t="s">
        <v>38</v>
      </c>
      <c r="N732" t="s">
        <v>38</v>
      </c>
      <c r="O732" t="s">
        <v>38</v>
      </c>
      <c r="Q732">
        <v>0</v>
      </c>
      <c r="T732" t="s">
        <v>38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f t="shared" si="33"/>
        <v>1</v>
      </c>
      <c r="AF732">
        <f>VLOOKUP(D732,especies!$A$2:$C$9,3,FALSE)</f>
        <v>2</v>
      </c>
      <c r="AG732" t="str">
        <f t="shared" si="34"/>
        <v>2-DPC (Doméstico de pelo corto o DSH)</v>
      </c>
      <c r="AH732">
        <f>VLOOKUP('Fichas clínicas'!AG732,razas!$A$2:$D$66,3,FALSE)</f>
        <v>51</v>
      </c>
      <c r="AI732" t="str">
        <f t="shared" si="35"/>
        <v>H</v>
      </c>
    </row>
    <row r="733" spans="1:35" x14ac:dyDescent="0.2">
      <c r="A733">
        <v>735</v>
      </c>
      <c r="B733" t="s">
        <v>1775</v>
      </c>
      <c r="C733" t="s">
        <v>1778</v>
      </c>
      <c r="D733" t="s">
        <v>41</v>
      </c>
      <c r="E733" t="s">
        <v>42</v>
      </c>
      <c r="F733" t="s">
        <v>34</v>
      </c>
      <c r="G733" t="s">
        <v>1779</v>
      </c>
      <c r="J733" t="s">
        <v>1522</v>
      </c>
      <c r="K733" t="s">
        <v>38</v>
      </c>
      <c r="L733" t="s">
        <v>38</v>
      </c>
      <c r="M733" t="s">
        <v>38</v>
      </c>
      <c r="N733" t="s">
        <v>38</v>
      </c>
      <c r="O733" t="s">
        <v>38</v>
      </c>
      <c r="Q733">
        <v>0</v>
      </c>
      <c r="T733" t="s">
        <v>38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f t="shared" si="33"/>
        <v>1</v>
      </c>
      <c r="AF733">
        <f>VLOOKUP(D733,especies!$A$2:$C$9,3,FALSE)</f>
        <v>2</v>
      </c>
      <c r="AG733" t="str">
        <f t="shared" si="34"/>
        <v>2-DPC (Doméstico de pelo corto o DSH)</v>
      </c>
      <c r="AH733">
        <f>VLOOKUP('Fichas clínicas'!AG733,razas!$A$2:$D$66,3,FALSE)</f>
        <v>51</v>
      </c>
      <c r="AI733" t="str">
        <f t="shared" si="35"/>
        <v>H</v>
      </c>
    </row>
    <row r="734" spans="1:35" x14ac:dyDescent="0.2">
      <c r="A734">
        <v>736</v>
      </c>
      <c r="B734" t="s">
        <v>1780</v>
      </c>
      <c r="C734" t="s">
        <v>1781</v>
      </c>
      <c r="D734" t="s">
        <v>32</v>
      </c>
      <c r="E734" t="s">
        <v>150</v>
      </c>
      <c r="F734" t="s">
        <v>47</v>
      </c>
      <c r="G734" t="s">
        <v>102</v>
      </c>
      <c r="J734" t="s">
        <v>103</v>
      </c>
      <c r="K734" t="s">
        <v>38</v>
      </c>
      <c r="L734" t="s">
        <v>38</v>
      </c>
      <c r="M734" t="s">
        <v>38</v>
      </c>
      <c r="N734" t="s">
        <v>38</v>
      </c>
      <c r="O734" t="s">
        <v>38</v>
      </c>
      <c r="Q734">
        <v>0</v>
      </c>
      <c r="T734" t="s">
        <v>38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f t="shared" si="33"/>
        <v>1</v>
      </c>
      <c r="AF734">
        <f>VLOOKUP(D734,especies!$A$2:$C$9,3,FALSE)</f>
        <v>1</v>
      </c>
      <c r="AG734" t="str">
        <f t="shared" si="34"/>
        <v>1-Poodle</v>
      </c>
      <c r="AH734">
        <f>VLOOKUP('Fichas clínicas'!AG734,razas!$A$2:$D$66,3,FALSE)</f>
        <v>6</v>
      </c>
      <c r="AI734" t="str">
        <f t="shared" si="35"/>
        <v>M</v>
      </c>
    </row>
    <row r="735" spans="1:35" x14ac:dyDescent="0.2">
      <c r="A735">
        <v>737</v>
      </c>
      <c r="B735" t="s">
        <v>1782</v>
      </c>
      <c r="C735" t="s">
        <v>582</v>
      </c>
      <c r="D735" t="s">
        <v>41</v>
      </c>
      <c r="E735" t="s">
        <v>93</v>
      </c>
      <c r="F735" t="s">
        <v>47</v>
      </c>
      <c r="G735" t="s">
        <v>81</v>
      </c>
      <c r="J735" t="s">
        <v>1783</v>
      </c>
      <c r="K735" t="s">
        <v>38</v>
      </c>
      <c r="L735" t="s">
        <v>38</v>
      </c>
      <c r="M735" t="s">
        <v>38</v>
      </c>
      <c r="N735" t="s">
        <v>38</v>
      </c>
      <c r="O735" t="s">
        <v>38</v>
      </c>
      <c r="T735" t="s">
        <v>38</v>
      </c>
      <c r="U735">
        <v>0</v>
      </c>
      <c r="V735">
        <v>1</v>
      </c>
      <c r="W735">
        <v>0</v>
      </c>
      <c r="X735">
        <v>0</v>
      </c>
      <c r="Y735">
        <v>0</v>
      </c>
      <c r="AE735">
        <f t="shared" si="33"/>
        <v>1</v>
      </c>
      <c r="AF735">
        <f>VLOOKUP(D735,especies!$A$2:$C$9,3,FALSE)</f>
        <v>2</v>
      </c>
      <c r="AG735" t="str">
        <f t="shared" si="34"/>
        <v>2-DPL (Doméstico de pelo Largo o DLH)</v>
      </c>
      <c r="AH735">
        <f>VLOOKUP('Fichas clínicas'!AG735,razas!$A$2:$D$66,3,FALSE)</f>
        <v>52</v>
      </c>
      <c r="AI735" t="str">
        <f t="shared" si="35"/>
        <v>M</v>
      </c>
    </row>
    <row r="736" spans="1:35" x14ac:dyDescent="0.2">
      <c r="A736">
        <v>738</v>
      </c>
      <c r="B736" t="s">
        <v>1784</v>
      </c>
      <c r="C736" t="s">
        <v>1785</v>
      </c>
      <c r="D736" t="s">
        <v>41</v>
      </c>
      <c r="E736" t="s">
        <v>42</v>
      </c>
      <c r="F736" t="s">
        <v>34</v>
      </c>
      <c r="G736" t="s">
        <v>1759</v>
      </c>
      <c r="J736" t="s">
        <v>1786</v>
      </c>
      <c r="K736" t="s">
        <v>38</v>
      </c>
      <c r="L736" t="s">
        <v>38</v>
      </c>
      <c r="M736" t="s">
        <v>38</v>
      </c>
      <c r="N736" t="s">
        <v>38</v>
      </c>
      <c r="O736" t="s">
        <v>38</v>
      </c>
      <c r="T736" t="s">
        <v>38</v>
      </c>
      <c r="U736">
        <v>0</v>
      </c>
      <c r="W736">
        <v>0</v>
      </c>
      <c r="X736">
        <v>0</v>
      </c>
      <c r="Y736">
        <v>0</v>
      </c>
      <c r="AE736">
        <f t="shared" si="33"/>
        <v>1</v>
      </c>
      <c r="AF736">
        <f>VLOOKUP(D736,especies!$A$2:$C$9,3,FALSE)</f>
        <v>2</v>
      </c>
      <c r="AG736" t="str">
        <f t="shared" si="34"/>
        <v>2-DPC (Doméstico de pelo corto o DSH)</v>
      </c>
      <c r="AH736">
        <f>VLOOKUP('Fichas clínicas'!AG736,razas!$A$2:$D$66,3,FALSE)</f>
        <v>51</v>
      </c>
      <c r="AI736" t="str">
        <f t="shared" si="35"/>
        <v>H</v>
      </c>
    </row>
    <row r="737" spans="1:35" x14ac:dyDescent="0.2">
      <c r="A737">
        <v>739</v>
      </c>
      <c r="B737" t="s">
        <v>1787</v>
      </c>
      <c r="C737" t="s">
        <v>1788</v>
      </c>
      <c r="D737" t="s">
        <v>32</v>
      </c>
      <c r="E737" t="s">
        <v>150</v>
      </c>
      <c r="F737" t="s">
        <v>34</v>
      </c>
      <c r="G737" t="s">
        <v>77</v>
      </c>
      <c r="J737" t="s">
        <v>493</v>
      </c>
      <c r="K737" t="s">
        <v>38</v>
      </c>
      <c r="L737" t="s">
        <v>38</v>
      </c>
      <c r="M737" t="s">
        <v>38</v>
      </c>
      <c r="N737" t="s">
        <v>38</v>
      </c>
      <c r="O737" t="s">
        <v>38</v>
      </c>
      <c r="T737" t="s">
        <v>38</v>
      </c>
      <c r="U737">
        <v>0</v>
      </c>
      <c r="V737">
        <v>1</v>
      </c>
      <c r="W737">
        <v>0</v>
      </c>
      <c r="X737">
        <v>0</v>
      </c>
      <c r="Y737">
        <v>0</v>
      </c>
      <c r="AE737">
        <f t="shared" si="33"/>
        <v>1</v>
      </c>
      <c r="AF737">
        <f>VLOOKUP(D737,especies!$A$2:$C$9,3,FALSE)</f>
        <v>1</v>
      </c>
      <c r="AG737" t="str">
        <f t="shared" si="34"/>
        <v>1-Poodle</v>
      </c>
      <c r="AH737">
        <f>VLOOKUP('Fichas clínicas'!AG737,razas!$A$2:$D$66,3,FALSE)</f>
        <v>6</v>
      </c>
      <c r="AI737" t="str">
        <f t="shared" si="35"/>
        <v>H</v>
      </c>
    </row>
    <row r="738" spans="1:35" x14ac:dyDescent="0.2">
      <c r="A738">
        <v>740</v>
      </c>
      <c r="B738" t="s">
        <v>1789</v>
      </c>
      <c r="C738" t="s">
        <v>1790</v>
      </c>
      <c r="D738" t="s">
        <v>41</v>
      </c>
      <c r="E738" t="s">
        <v>42</v>
      </c>
      <c r="F738" t="s">
        <v>47</v>
      </c>
      <c r="G738" t="s">
        <v>77</v>
      </c>
      <c r="J738" t="s">
        <v>1791</v>
      </c>
      <c r="K738" t="s">
        <v>38</v>
      </c>
      <c r="L738" t="s">
        <v>38</v>
      </c>
      <c r="M738" t="s">
        <v>38</v>
      </c>
      <c r="N738" t="s">
        <v>38</v>
      </c>
      <c r="O738" t="s">
        <v>38</v>
      </c>
      <c r="Q738">
        <v>0</v>
      </c>
      <c r="T738" t="s">
        <v>38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f t="shared" si="33"/>
        <v>1</v>
      </c>
      <c r="AF738">
        <f>VLOOKUP(D738,especies!$A$2:$C$9,3,FALSE)</f>
        <v>2</v>
      </c>
      <c r="AG738" t="str">
        <f t="shared" si="34"/>
        <v>2-DPC (Doméstico de pelo corto o DSH)</v>
      </c>
      <c r="AH738">
        <f>VLOOKUP('Fichas clínicas'!AG738,razas!$A$2:$D$66,3,FALSE)</f>
        <v>51</v>
      </c>
      <c r="AI738" t="str">
        <f t="shared" si="35"/>
        <v>M</v>
      </c>
    </row>
    <row r="739" spans="1:35" x14ac:dyDescent="0.2">
      <c r="A739">
        <v>741</v>
      </c>
      <c r="B739" t="s">
        <v>548</v>
      </c>
      <c r="C739" t="s">
        <v>1792</v>
      </c>
      <c r="D739" t="s">
        <v>41</v>
      </c>
      <c r="E739" t="s">
        <v>42</v>
      </c>
      <c r="F739" t="s">
        <v>47</v>
      </c>
      <c r="G739" t="s">
        <v>43</v>
      </c>
      <c r="J739" t="s">
        <v>44</v>
      </c>
      <c r="K739" t="s">
        <v>38</v>
      </c>
      <c r="L739" t="s">
        <v>38</v>
      </c>
      <c r="M739" t="s">
        <v>38</v>
      </c>
      <c r="N739" t="s">
        <v>38</v>
      </c>
      <c r="O739" t="s">
        <v>38</v>
      </c>
      <c r="T739" t="s">
        <v>38</v>
      </c>
      <c r="U739">
        <v>0</v>
      </c>
      <c r="W739">
        <v>0</v>
      </c>
      <c r="X739">
        <v>0</v>
      </c>
      <c r="Y739">
        <v>0</v>
      </c>
      <c r="AE739">
        <f t="shared" si="33"/>
        <v>1</v>
      </c>
      <c r="AF739">
        <f>VLOOKUP(D739,especies!$A$2:$C$9,3,FALSE)</f>
        <v>2</v>
      </c>
      <c r="AG739" t="str">
        <f t="shared" si="34"/>
        <v>2-DPC (Doméstico de pelo corto o DSH)</v>
      </c>
      <c r="AH739">
        <f>VLOOKUP('Fichas clínicas'!AG739,razas!$A$2:$D$66,3,FALSE)</f>
        <v>51</v>
      </c>
      <c r="AI739" t="str">
        <f t="shared" si="35"/>
        <v>M</v>
      </c>
    </row>
    <row r="740" spans="1:35" x14ac:dyDescent="0.2">
      <c r="A740">
        <v>742</v>
      </c>
      <c r="B740" t="s">
        <v>1793</v>
      </c>
      <c r="C740" t="s">
        <v>1794</v>
      </c>
      <c r="D740" t="s">
        <v>242</v>
      </c>
      <c r="E740" t="s">
        <v>242</v>
      </c>
      <c r="F740" t="s">
        <v>47</v>
      </c>
      <c r="G740" t="s">
        <v>694</v>
      </c>
      <c r="J740" t="s">
        <v>1795</v>
      </c>
      <c r="K740" t="s">
        <v>38</v>
      </c>
      <c r="L740" t="s">
        <v>38</v>
      </c>
      <c r="M740" t="s">
        <v>38</v>
      </c>
      <c r="N740" t="s">
        <v>38</v>
      </c>
      <c r="O740" t="s">
        <v>38</v>
      </c>
      <c r="T740" t="s">
        <v>38</v>
      </c>
      <c r="U740">
        <v>0</v>
      </c>
      <c r="W740">
        <v>0</v>
      </c>
      <c r="X740">
        <v>0</v>
      </c>
      <c r="Y740">
        <v>0</v>
      </c>
      <c r="AE740">
        <f t="shared" si="33"/>
        <v>1</v>
      </c>
      <c r="AF740">
        <f>VLOOKUP(D740,especies!$A$2:$C$9,3,FALSE)</f>
        <v>3</v>
      </c>
      <c r="AG740" t="str">
        <f t="shared" si="34"/>
        <v>3-Otra</v>
      </c>
      <c r="AH740">
        <f>VLOOKUP('Fichas clínicas'!AG740,razas!$A$2:$D$66,3,FALSE)</f>
        <v>55</v>
      </c>
      <c r="AI740" t="str">
        <f t="shared" si="35"/>
        <v>M</v>
      </c>
    </row>
    <row r="741" spans="1:35" x14ac:dyDescent="0.2">
      <c r="A741">
        <v>743</v>
      </c>
      <c r="B741" t="s">
        <v>1796</v>
      </c>
      <c r="C741" t="s">
        <v>1797</v>
      </c>
      <c r="D741" t="s">
        <v>32</v>
      </c>
      <c r="E741" t="s">
        <v>33</v>
      </c>
      <c r="F741" t="s">
        <v>47</v>
      </c>
      <c r="G741" t="s">
        <v>698</v>
      </c>
      <c r="J741" t="s">
        <v>1798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T741" t="s">
        <v>38</v>
      </c>
      <c r="U741">
        <v>0</v>
      </c>
      <c r="W741">
        <v>0</v>
      </c>
      <c r="X741">
        <v>0</v>
      </c>
      <c r="Y741">
        <v>0</v>
      </c>
      <c r="AE741">
        <f t="shared" si="33"/>
        <v>1</v>
      </c>
      <c r="AF741">
        <f>VLOOKUP(D741,especies!$A$2:$C$9,3,FALSE)</f>
        <v>1</v>
      </c>
      <c r="AG741" t="str">
        <f t="shared" si="34"/>
        <v>1-Mestizo</v>
      </c>
      <c r="AH741">
        <f>VLOOKUP('Fichas clínicas'!AG741,razas!$A$2:$D$66,3,FALSE)</f>
        <v>1</v>
      </c>
      <c r="AI741" t="str">
        <f t="shared" si="35"/>
        <v>M</v>
      </c>
    </row>
    <row r="742" spans="1:35" x14ac:dyDescent="0.2">
      <c r="A742">
        <v>744</v>
      </c>
      <c r="B742" t="s">
        <v>1799</v>
      </c>
      <c r="C742" t="s">
        <v>1800</v>
      </c>
      <c r="D742" t="s">
        <v>32</v>
      </c>
      <c r="E742" t="s">
        <v>122</v>
      </c>
      <c r="F742" t="s">
        <v>34</v>
      </c>
      <c r="G742" t="s">
        <v>587</v>
      </c>
      <c r="J742" t="s">
        <v>1522</v>
      </c>
      <c r="K742" t="s">
        <v>38</v>
      </c>
      <c r="L742" t="s">
        <v>38</v>
      </c>
      <c r="M742" t="s">
        <v>38</v>
      </c>
      <c r="N742" t="s">
        <v>38</v>
      </c>
      <c r="O742" t="s">
        <v>38</v>
      </c>
      <c r="T742" t="s">
        <v>38</v>
      </c>
      <c r="U742">
        <v>0</v>
      </c>
      <c r="W742">
        <v>0</v>
      </c>
      <c r="X742">
        <v>0</v>
      </c>
      <c r="Y742">
        <v>0</v>
      </c>
      <c r="AE742">
        <f t="shared" si="33"/>
        <v>1</v>
      </c>
      <c r="AF742">
        <f>VLOOKUP(D742,especies!$A$2:$C$9,3,FALSE)</f>
        <v>1</v>
      </c>
      <c r="AG742" t="str">
        <f t="shared" si="34"/>
        <v>1-Caniche</v>
      </c>
      <c r="AH742">
        <f>VLOOKUP('Fichas clínicas'!AG742,razas!$A$2:$D$66,3,FALSE)</f>
        <v>4</v>
      </c>
      <c r="AI742" t="str">
        <f t="shared" si="35"/>
        <v>H</v>
      </c>
    </row>
    <row r="743" spans="1:35" x14ac:dyDescent="0.2">
      <c r="A743">
        <v>745</v>
      </c>
      <c r="B743" t="s">
        <v>1801</v>
      </c>
      <c r="C743" t="s">
        <v>1802</v>
      </c>
      <c r="D743" t="s">
        <v>41</v>
      </c>
      <c r="E743" t="s">
        <v>93</v>
      </c>
      <c r="F743" t="s">
        <v>47</v>
      </c>
      <c r="G743" t="s">
        <v>81</v>
      </c>
      <c r="J743" t="s">
        <v>338</v>
      </c>
      <c r="K743" t="s">
        <v>38</v>
      </c>
      <c r="L743" t="s">
        <v>38</v>
      </c>
      <c r="M743" t="s">
        <v>38</v>
      </c>
      <c r="N743" t="s">
        <v>38</v>
      </c>
      <c r="O743" t="s">
        <v>38</v>
      </c>
      <c r="T743" t="s">
        <v>38</v>
      </c>
      <c r="U743">
        <v>0</v>
      </c>
      <c r="V743">
        <v>1</v>
      </c>
      <c r="W743">
        <v>0</v>
      </c>
      <c r="X743">
        <v>0</v>
      </c>
      <c r="Y743">
        <v>0</v>
      </c>
      <c r="AE743">
        <f t="shared" si="33"/>
        <v>1</v>
      </c>
      <c r="AF743">
        <f>VLOOKUP(D743,especies!$A$2:$C$9,3,FALSE)</f>
        <v>2</v>
      </c>
      <c r="AG743" t="str">
        <f t="shared" si="34"/>
        <v>2-DPL (Doméstico de pelo Largo o DLH)</v>
      </c>
      <c r="AH743">
        <f>VLOOKUP('Fichas clínicas'!AG743,razas!$A$2:$D$66,3,FALSE)</f>
        <v>52</v>
      </c>
      <c r="AI743" t="str">
        <f t="shared" si="35"/>
        <v>M</v>
      </c>
    </row>
    <row r="744" spans="1:35" x14ac:dyDescent="0.2">
      <c r="A744">
        <v>746</v>
      </c>
      <c r="B744" t="s">
        <v>1803</v>
      </c>
      <c r="C744" t="s">
        <v>1804</v>
      </c>
      <c r="D744" t="s">
        <v>41</v>
      </c>
      <c r="E744" t="s">
        <v>42</v>
      </c>
      <c r="F744" t="s">
        <v>34</v>
      </c>
      <c r="G744" t="s">
        <v>616</v>
      </c>
      <c r="J744" t="s">
        <v>1346</v>
      </c>
      <c r="K744" t="s">
        <v>38</v>
      </c>
      <c r="L744" t="s">
        <v>38</v>
      </c>
      <c r="M744" t="s">
        <v>38</v>
      </c>
      <c r="N744" t="s">
        <v>38</v>
      </c>
      <c r="O744" t="s">
        <v>38</v>
      </c>
      <c r="T744" t="s">
        <v>38</v>
      </c>
      <c r="U744">
        <v>0</v>
      </c>
      <c r="V744">
        <v>1</v>
      </c>
      <c r="W744">
        <v>0</v>
      </c>
      <c r="X744">
        <v>0</v>
      </c>
      <c r="Y744">
        <v>0</v>
      </c>
      <c r="AE744">
        <f t="shared" si="33"/>
        <v>1</v>
      </c>
      <c r="AF744">
        <f>VLOOKUP(D744,especies!$A$2:$C$9,3,FALSE)</f>
        <v>2</v>
      </c>
      <c r="AG744" t="str">
        <f t="shared" si="34"/>
        <v>2-DPC (Doméstico de pelo corto o DSH)</v>
      </c>
      <c r="AH744">
        <f>VLOOKUP('Fichas clínicas'!AG744,razas!$A$2:$D$66,3,FALSE)</f>
        <v>51</v>
      </c>
      <c r="AI744" t="str">
        <f t="shared" si="35"/>
        <v>H</v>
      </c>
    </row>
    <row r="745" spans="1:35" x14ac:dyDescent="0.2">
      <c r="A745">
        <v>747</v>
      </c>
      <c r="B745" t="s">
        <v>1805</v>
      </c>
      <c r="C745" t="s">
        <v>1806</v>
      </c>
      <c r="D745" t="s">
        <v>32</v>
      </c>
      <c r="E745" t="s">
        <v>33</v>
      </c>
      <c r="F745" t="s">
        <v>47</v>
      </c>
      <c r="G745" t="s">
        <v>102</v>
      </c>
      <c r="J745" t="s">
        <v>468</v>
      </c>
      <c r="K745" t="s">
        <v>38</v>
      </c>
      <c r="L745" t="s">
        <v>38</v>
      </c>
      <c r="M745" t="s">
        <v>38</v>
      </c>
      <c r="N745" t="s">
        <v>38</v>
      </c>
      <c r="O745" t="s">
        <v>38</v>
      </c>
      <c r="T745" t="s">
        <v>38</v>
      </c>
      <c r="U745">
        <v>0</v>
      </c>
      <c r="W745">
        <v>0</v>
      </c>
      <c r="X745">
        <v>0</v>
      </c>
      <c r="Y745">
        <v>0</v>
      </c>
      <c r="AE745">
        <f t="shared" si="33"/>
        <v>1</v>
      </c>
      <c r="AF745">
        <f>VLOOKUP(D745,especies!$A$2:$C$9,3,FALSE)</f>
        <v>1</v>
      </c>
      <c r="AG745" t="str">
        <f t="shared" si="34"/>
        <v>1-Mestizo</v>
      </c>
      <c r="AH745">
        <f>VLOOKUP('Fichas clínicas'!AG745,razas!$A$2:$D$66,3,FALSE)</f>
        <v>1</v>
      </c>
      <c r="AI745" t="str">
        <f t="shared" si="35"/>
        <v>M</v>
      </c>
    </row>
    <row r="746" spans="1:35" x14ac:dyDescent="0.2">
      <c r="A746">
        <v>748</v>
      </c>
      <c r="B746" t="s">
        <v>1807</v>
      </c>
      <c r="C746" t="s">
        <v>126</v>
      </c>
      <c r="D746" t="s">
        <v>32</v>
      </c>
      <c r="E746" t="s">
        <v>33</v>
      </c>
      <c r="F746" t="s">
        <v>47</v>
      </c>
      <c r="G746" t="s">
        <v>43</v>
      </c>
      <c r="J746" t="s">
        <v>1808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T746" t="s">
        <v>38</v>
      </c>
      <c r="U746">
        <v>0</v>
      </c>
      <c r="W746">
        <v>0</v>
      </c>
      <c r="X746">
        <v>0</v>
      </c>
      <c r="Y746">
        <v>0</v>
      </c>
      <c r="AE746">
        <f t="shared" si="33"/>
        <v>1</v>
      </c>
      <c r="AF746">
        <f>VLOOKUP(D746,especies!$A$2:$C$9,3,FALSE)</f>
        <v>1</v>
      </c>
      <c r="AG746" t="str">
        <f t="shared" si="34"/>
        <v>1-Mestizo</v>
      </c>
      <c r="AH746">
        <f>VLOOKUP('Fichas clínicas'!AG746,razas!$A$2:$D$66,3,FALSE)</f>
        <v>1</v>
      </c>
      <c r="AI746" t="str">
        <f t="shared" si="35"/>
        <v>M</v>
      </c>
    </row>
    <row r="747" spans="1:35" x14ac:dyDescent="0.2">
      <c r="A747">
        <v>749</v>
      </c>
      <c r="B747" t="s">
        <v>298</v>
      </c>
      <c r="C747" t="s">
        <v>559</v>
      </c>
      <c r="D747" t="s">
        <v>41</v>
      </c>
      <c r="E747" t="s">
        <v>42</v>
      </c>
      <c r="F747" t="s">
        <v>34</v>
      </c>
      <c r="G747" t="s">
        <v>1809</v>
      </c>
      <c r="J747" t="s">
        <v>1810</v>
      </c>
      <c r="K747" t="s">
        <v>38</v>
      </c>
      <c r="L747" t="s">
        <v>38</v>
      </c>
      <c r="M747" t="s">
        <v>38</v>
      </c>
      <c r="N747" t="s">
        <v>38</v>
      </c>
      <c r="O747" t="s">
        <v>38</v>
      </c>
      <c r="Q747">
        <v>0</v>
      </c>
      <c r="T747" t="s">
        <v>38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f t="shared" si="33"/>
        <v>1</v>
      </c>
      <c r="AF747">
        <f>VLOOKUP(D747,especies!$A$2:$C$9,3,FALSE)</f>
        <v>2</v>
      </c>
      <c r="AG747" t="str">
        <f t="shared" si="34"/>
        <v>2-DPC (Doméstico de pelo corto o DSH)</v>
      </c>
      <c r="AH747">
        <f>VLOOKUP('Fichas clínicas'!AG747,razas!$A$2:$D$66,3,FALSE)</f>
        <v>51</v>
      </c>
      <c r="AI747" t="str">
        <f t="shared" si="35"/>
        <v>H</v>
      </c>
    </row>
    <row r="748" spans="1:35" x14ac:dyDescent="0.2">
      <c r="A748">
        <v>750</v>
      </c>
      <c r="B748" t="s">
        <v>1811</v>
      </c>
      <c r="C748" t="s">
        <v>1812</v>
      </c>
      <c r="D748" t="s">
        <v>32</v>
      </c>
      <c r="E748" t="s">
        <v>33</v>
      </c>
      <c r="F748" t="s">
        <v>47</v>
      </c>
      <c r="G748" t="s">
        <v>694</v>
      </c>
      <c r="J748" t="s">
        <v>1813</v>
      </c>
      <c r="K748" t="s">
        <v>38</v>
      </c>
      <c r="L748" t="s">
        <v>38</v>
      </c>
      <c r="M748" t="s">
        <v>38</v>
      </c>
      <c r="N748" t="s">
        <v>38</v>
      </c>
      <c r="O748" t="s">
        <v>38</v>
      </c>
      <c r="T748" t="s">
        <v>38</v>
      </c>
      <c r="U748">
        <v>0</v>
      </c>
      <c r="W748">
        <v>0</v>
      </c>
      <c r="X748">
        <v>0</v>
      </c>
      <c r="Y748">
        <v>0</v>
      </c>
      <c r="AE748">
        <f t="shared" si="33"/>
        <v>1</v>
      </c>
      <c r="AF748">
        <f>VLOOKUP(D748,especies!$A$2:$C$9,3,FALSE)</f>
        <v>1</v>
      </c>
      <c r="AG748" t="str">
        <f t="shared" si="34"/>
        <v>1-Mestizo</v>
      </c>
      <c r="AH748">
        <f>VLOOKUP('Fichas clínicas'!AG748,razas!$A$2:$D$66,3,FALSE)</f>
        <v>1</v>
      </c>
      <c r="AI748" t="str">
        <f t="shared" si="35"/>
        <v>M</v>
      </c>
    </row>
    <row r="749" spans="1:35" x14ac:dyDescent="0.2">
      <c r="A749">
        <v>751</v>
      </c>
      <c r="B749" t="s">
        <v>1533</v>
      </c>
      <c r="C749" t="s">
        <v>318</v>
      </c>
      <c r="D749" t="s">
        <v>41</v>
      </c>
      <c r="E749" t="s">
        <v>42</v>
      </c>
      <c r="F749" t="s">
        <v>47</v>
      </c>
      <c r="G749" t="s">
        <v>277</v>
      </c>
      <c r="J749" t="s">
        <v>44</v>
      </c>
      <c r="K749" t="s">
        <v>38</v>
      </c>
      <c r="L749" t="s">
        <v>38</v>
      </c>
      <c r="M749" t="s">
        <v>38</v>
      </c>
      <c r="N749" t="s">
        <v>38</v>
      </c>
      <c r="O749" t="s">
        <v>38</v>
      </c>
      <c r="T749" t="s">
        <v>38</v>
      </c>
      <c r="U749">
        <v>0</v>
      </c>
      <c r="W749">
        <v>0</v>
      </c>
      <c r="X749">
        <v>0</v>
      </c>
      <c r="Y749">
        <v>0</v>
      </c>
      <c r="AE749">
        <f t="shared" si="33"/>
        <v>1</v>
      </c>
      <c r="AF749">
        <f>VLOOKUP(D749,especies!$A$2:$C$9,3,FALSE)</f>
        <v>2</v>
      </c>
      <c r="AG749" t="str">
        <f t="shared" si="34"/>
        <v>2-DPC (Doméstico de pelo corto o DSH)</v>
      </c>
      <c r="AH749">
        <f>VLOOKUP('Fichas clínicas'!AG749,razas!$A$2:$D$66,3,FALSE)</f>
        <v>51</v>
      </c>
      <c r="AI749" t="str">
        <f t="shared" si="35"/>
        <v>M</v>
      </c>
    </row>
    <row r="750" spans="1:35" x14ac:dyDescent="0.2">
      <c r="A750">
        <v>752</v>
      </c>
      <c r="B750" t="s">
        <v>1814</v>
      </c>
      <c r="C750" t="s">
        <v>1815</v>
      </c>
      <c r="D750" t="s">
        <v>41</v>
      </c>
      <c r="E750" t="s">
        <v>42</v>
      </c>
      <c r="F750" t="s">
        <v>47</v>
      </c>
      <c r="G750" t="s">
        <v>277</v>
      </c>
      <c r="J750" t="s">
        <v>44</v>
      </c>
      <c r="K750" t="s">
        <v>38</v>
      </c>
      <c r="L750" t="s">
        <v>38</v>
      </c>
      <c r="M750" t="s">
        <v>38</v>
      </c>
      <c r="N750" t="s">
        <v>38</v>
      </c>
      <c r="O750" t="s">
        <v>38</v>
      </c>
      <c r="T750" t="s">
        <v>38</v>
      </c>
      <c r="U750">
        <v>0</v>
      </c>
      <c r="V750">
        <v>1</v>
      </c>
      <c r="W750">
        <v>0</v>
      </c>
      <c r="X750">
        <v>0</v>
      </c>
      <c r="Y750">
        <v>0</v>
      </c>
      <c r="AE750">
        <f t="shared" si="33"/>
        <v>1</v>
      </c>
      <c r="AF750">
        <f>VLOOKUP(D750,especies!$A$2:$C$9,3,FALSE)</f>
        <v>2</v>
      </c>
      <c r="AG750" t="str">
        <f t="shared" si="34"/>
        <v>2-DPC (Doméstico de pelo corto o DSH)</v>
      </c>
      <c r="AH750">
        <f>VLOOKUP('Fichas clínicas'!AG750,razas!$A$2:$D$66,3,FALSE)</f>
        <v>51</v>
      </c>
      <c r="AI750" t="str">
        <f t="shared" si="35"/>
        <v>M</v>
      </c>
    </row>
    <row r="751" spans="1:35" x14ac:dyDescent="0.2">
      <c r="A751">
        <v>753</v>
      </c>
      <c r="B751" t="s">
        <v>1816</v>
      </c>
      <c r="C751" t="s">
        <v>1817</v>
      </c>
      <c r="D751" t="s">
        <v>41</v>
      </c>
      <c r="E751" t="s">
        <v>42</v>
      </c>
      <c r="F751" t="s">
        <v>34</v>
      </c>
      <c r="G751" t="s">
        <v>1818</v>
      </c>
      <c r="J751" t="s">
        <v>127</v>
      </c>
      <c r="K751" t="s">
        <v>38</v>
      </c>
      <c r="L751" t="s">
        <v>38</v>
      </c>
      <c r="M751" t="s">
        <v>38</v>
      </c>
      <c r="N751" t="s">
        <v>38</v>
      </c>
      <c r="O751" t="s">
        <v>38</v>
      </c>
      <c r="T751" t="s">
        <v>38</v>
      </c>
      <c r="U751">
        <v>0</v>
      </c>
      <c r="V751">
        <v>1</v>
      </c>
      <c r="W751">
        <v>0</v>
      </c>
      <c r="X751">
        <v>0</v>
      </c>
      <c r="Y751">
        <v>0</v>
      </c>
      <c r="AE751">
        <f t="shared" si="33"/>
        <v>1</v>
      </c>
      <c r="AF751">
        <f>VLOOKUP(D751,especies!$A$2:$C$9,3,FALSE)</f>
        <v>2</v>
      </c>
      <c r="AG751" t="str">
        <f t="shared" si="34"/>
        <v>2-DPC (Doméstico de pelo corto o DSH)</v>
      </c>
      <c r="AH751">
        <f>VLOOKUP('Fichas clínicas'!AG751,razas!$A$2:$D$66,3,FALSE)</f>
        <v>51</v>
      </c>
      <c r="AI751" t="str">
        <f t="shared" si="35"/>
        <v>H</v>
      </c>
    </row>
    <row r="752" spans="1:35" x14ac:dyDescent="0.2">
      <c r="A752">
        <v>754</v>
      </c>
      <c r="B752" t="s">
        <v>1819</v>
      </c>
      <c r="C752" t="s">
        <v>1820</v>
      </c>
      <c r="D752" t="s">
        <v>41</v>
      </c>
      <c r="E752" t="s">
        <v>42</v>
      </c>
      <c r="F752" t="s">
        <v>34</v>
      </c>
      <c r="G752" t="s">
        <v>1639</v>
      </c>
      <c r="J752" t="s">
        <v>1821</v>
      </c>
      <c r="K752" t="s">
        <v>38</v>
      </c>
      <c r="L752" t="s">
        <v>38</v>
      </c>
      <c r="M752" t="s">
        <v>38</v>
      </c>
      <c r="N752" t="s">
        <v>38</v>
      </c>
      <c r="O752" t="s">
        <v>38</v>
      </c>
      <c r="T752" t="s">
        <v>38</v>
      </c>
      <c r="U752">
        <v>0</v>
      </c>
      <c r="W752">
        <v>0</v>
      </c>
      <c r="X752">
        <v>0</v>
      </c>
      <c r="Y752">
        <v>0</v>
      </c>
      <c r="AE752">
        <f t="shared" si="33"/>
        <v>1</v>
      </c>
      <c r="AF752">
        <f>VLOOKUP(D752,especies!$A$2:$C$9,3,FALSE)</f>
        <v>2</v>
      </c>
      <c r="AG752" t="str">
        <f t="shared" si="34"/>
        <v>2-DPC (Doméstico de pelo corto o DSH)</v>
      </c>
      <c r="AH752">
        <f>VLOOKUP('Fichas clínicas'!AG752,razas!$A$2:$D$66,3,FALSE)</f>
        <v>51</v>
      </c>
      <c r="AI752" t="str">
        <f t="shared" si="35"/>
        <v>H</v>
      </c>
    </row>
    <row r="753" spans="1:35" x14ac:dyDescent="0.2">
      <c r="A753">
        <v>755</v>
      </c>
      <c r="B753" t="s">
        <v>1822</v>
      </c>
      <c r="C753" t="s">
        <v>1823</v>
      </c>
      <c r="D753" t="s">
        <v>41</v>
      </c>
      <c r="E753" t="s">
        <v>42</v>
      </c>
      <c r="F753" t="s">
        <v>47</v>
      </c>
      <c r="G753" t="s">
        <v>1054</v>
      </c>
      <c r="J753" t="s">
        <v>1824</v>
      </c>
      <c r="K753" t="s">
        <v>38</v>
      </c>
      <c r="L753" t="s">
        <v>38</v>
      </c>
      <c r="M753" t="s">
        <v>38</v>
      </c>
      <c r="N753" t="s">
        <v>38</v>
      </c>
      <c r="O753" t="s">
        <v>38</v>
      </c>
      <c r="T753" t="s">
        <v>38</v>
      </c>
      <c r="U753">
        <v>0</v>
      </c>
      <c r="W753">
        <v>0</v>
      </c>
      <c r="X753">
        <v>0</v>
      </c>
      <c r="Y753">
        <v>0</v>
      </c>
      <c r="AE753">
        <f t="shared" si="33"/>
        <v>1</v>
      </c>
      <c r="AF753">
        <f>VLOOKUP(D753,especies!$A$2:$C$9,3,FALSE)</f>
        <v>2</v>
      </c>
      <c r="AG753" t="str">
        <f t="shared" si="34"/>
        <v>2-DPC (Doméstico de pelo corto o DSH)</v>
      </c>
      <c r="AH753">
        <f>VLOOKUP('Fichas clínicas'!AG753,razas!$A$2:$D$66,3,FALSE)</f>
        <v>51</v>
      </c>
      <c r="AI753" t="str">
        <f t="shared" si="35"/>
        <v>M</v>
      </c>
    </row>
    <row r="754" spans="1:35" x14ac:dyDescent="0.2">
      <c r="A754">
        <v>756</v>
      </c>
      <c r="B754" t="s">
        <v>690</v>
      </c>
      <c r="C754" t="s">
        <v>1619</v>
      </c>
      <c r="D754" t="s">
        <v>32</v>
      </c>
      <c r="E754" t="s">
        <v>33</v>
      </c>
      <c r="F754" t="s">
        <v>34</v>
      </c>
      <c r="G754" t="s">
        <v>583</v>
      </c>
      <c r="J754" t="s">
        <v>1825</v>
      </c>
      <c r="K754" t="s">
        <v>38</v>
      </c>
      <c r="L754" t="s">
        <v>38</v>
      </c>
      <c r="M754" t="s">
        <v>38</v>
      </c>
      <c r="N754" t="s">
        <v>38</v>
      </c>
      <c r="O754" t="s">
        <v>38</v>
      </c>
      <c r="T754" t="s">
        <v>38</v>
      </c>
      <c r="U754">
        <v>0</v>
      </c>
      <c r="W754">
        <v>0</v>
      </c>
      <c r="X754">
        <v>0</v>
      </c>
      <c r="Y754">
        <v>0</v>
      </c>
      <c r="AE754">
        <f t="shared" si="33"/>
        <v>1</v>
      </c>
      <c r="AF754">
        <f>VLOOKUP(D754,especies!$A$2:$C$9,3,FALSE)</f>
        <v>1</v>
      </c>
      <c r="AG754" t="str">
        <f t="shared" si="34"/>
        <v>1-Mestizo</v>
      </c>
      <c r="AH754">
        <f>VLOOKUP('Fichas clínicas'!AG754,razas!$A$2:$D$66,3,FALSE)</f>
        <v>1</v>
      </c>
      <c r="AI754" t="str">
        <f t="shared" si="35"/>
        <v>H</v>
      </c>
    </row>
    <row r="755" spans="1:35" x14ac:dyDescent="0.2">
      <c r="A755">
        <v>757</v>
      </c>
      <c r="B755" t="s">
        <v>1826</v>
      </c>
      <c r="C755" t="s">
        <v>1827</v>
      </c>
      <c r="D755" t="s">
        <v>41</v>
      </c>
      <c r="E755" t="s">
        <v>42</v>
      </c>
      <c r="F755" t="s">
        <v>34</v>
      </c>
      <c r="G755" t="s">
        <v>1828</v>
      </c>
      <c r="J755" t="s">
        <v>1285</v>
      </c>
      <c r="K755" t="s">
        <v>38</v>
      </c>
      <c r="L755" t="s">
        <v>38</v>
      </c>
      <c r="M755" t="s">
        <v>38</v>
      </c>
      <c r="N755" t="s">
        <v>38</v>
      </c>
      <c r="O755" t="s">
        <v>38</v>
      </c>
      <c r="Q755">
        <v>1</v>
      </c>
      <c r="T755" t="s">
        <v>38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f t="shared" si="33"/>
        <v>1</v>
      </c>
      <c r="AF755">
        <f>VLOOKUP(D755,especies!$A$2:$C$9,3,FALSE)</f>
        <v>2</v>
      </c>
      <c r="AG755" t="str">
        <f t="shared" si="34"/>
        <v>2-DPC (Doméstico de pelo corto o DSH)</v>
      </c>
      <c r="AH755">
        <f>VLOOKUP('Fichas clínicas'!AG755,razas!$A$2:$D$66,3,FALSE)</f>
        <v>51</v>
      </c>
      <c r="AI755" t="str">
        <f t="shared" si="35"/>
        <v>H</v>
      </c>
    </row>
    <row r="756" spans="1:35" x14ac:dyDescent="0.2">
      <c r="A756">
        <v>758</v>
      </c>
      <c r="B756" t="s">
        <v>1829</v>
      </c>
      <c r="C756" t="s">
        <v>1830</v>
      </c>
      <c r="D756" t="s">
        <v>41</v>
      </c>
      <c r="E756" t="s">
        <v>42</v>
      </c>
      <c r="F756" t="s">
        <v>47</v>
      </c>
      <c r="G756" t="s">
        <v>1708</v>
      </c>
      <c r="J756" t="s">
        <v>1831</v>
      </c>
      <c r="K756" t="s">
        <v>38</v>
      </c>
      <c r="L756" t="s">
        <v>38</v>
      </c>
      <c r="M756" t="s">
        <v>38</v>
      </c>
      <c r="N756" t="s">
        <v>38</v>
      </c>
      <c r="O756" t="s">
        <v>38</v>
      </c>
      <c r="T756" t="s">
        <v>38</v>
      </c>
      <c r="U756">
        <v>0</v>
      </c>
      <c r="W756">
        <v>0</v>
      </c>
      <c r="X756">
        <v>0</v>
      </c>
      <c r="Y756">
        <v>0</v>
      </c>
      <c r="AE756">
        <f t="shared" si="33"/>
        <v>1</v>
      </c>
      <c r="AF756">
        <f>VLOOKUP(D756,especies!$A$2:$C$9,3,FALSE)</f>
        <v>2</v>
      </c>
      <c r="AG756" t="str">
        <f t="shared" si="34"/>
        <v>2-DPC (Doméstico de pelo corto o DSH)</v>
      </c>
      <c r="AH756">
        <f>VLOOKUP('Fichas clínicas'!AG756,razas!$A$2:$D$66,3,FALSE)</f>
        <v>51</v>
      </c>
      <c r="AI756" t="str">
        <f t="shared" si="35"/>
        <v>M</v>
      </c>
    </row>
    <row r="757" spans="1:35" x14ac:dyDescent="0.2">
      <c r="A757">
        <v>759</v>
      </c>
      <c r="B757" t="s">
        <v>1832</v>
      </c>
      <c r="C757" t="s">
        <v>223</v>
      </c>
      <c r="D757" t="s">
        <v>32</v>
      </c>
      <c r="E757" t="s">
        <v>33</v>
      </c>
      <c r="F757" t="s">
        <v>47</v>
      </c>
      <c r="G757" t="s">
        <v>165</v>
      </c>
      <c r="J757" t="s">
        <v>717</v>
      </c>
      <c r="K757" t="s">
        <v>38</v>
      </c>
      <c r="L757" t="s">
        <v>38</v>
      </c>
      <c r="M757" t="s">
        <v>38</v>
      </c>
      <c r="N757" t="s">
        <v>38</v>
      </c>
      <c r="O757" t="s">
        <v>38</v>
      </c>
      <c r="T757" t="s">
        <v>38</v>
      </c>
      <c r="U757">
        <v>0</v>
      </c>
      <c r="W757">
        <v>0</v>
      </c>
      <c r="X757">
        <v>0</v>
      </c>
      <c r="Y757">
        <v>0</v>
      </c>
      <c r="AE757">
        <f t="shared" si="33"/>
        <v>1</v>
      </c>
      <c r="AF757">
        <f>VLOOKUP(D757,especies!$A$2:$C$9,3,FALSE)</f>
        <v>1</v>
      </c>
      <c r="AG757" t="str">
        <f t="shared" si="34"/>
        <v>1-Mestizo</v>
      </c>
      <c r="AH757">
        <f>VLOOKUP('Fichas clínicas'!AG757,razas!$A$2:$D$66,3,FALSE)</f>
        <v>1</v>
      </c>
      <c r="AI757" t="str">
        <f t="shared" si="35"/>
        <v>M</v>
      </c>
    </row>
    <row r="758" spans="1:35" x14ac:dyDescent="0.2">
      <c r="A758">
        <v>760</v>
      </c>
      <c r="B758" t="s">
        <v>1833</v>
      </c>
      <c r="C758" t="s">
        <v>1834</v>
      </c>
      <c r="D758" t="s">
        <v>32</v>
      </c>
      <c r="E758" t="s">
        <v>994</v>
      </c>
      <c r="F758" t="s">
        <v>34</v>
      </c>
      <c r="G758" t="s">
        <v>77</v>
      </c>
      <c r="J758" t="s">
        <v>1835</v>
      </c>
      <c r="K758" t="s">
        <v>38</v>
      </c>
      <c r="L758" t="s">
        <v>38</v>
      </c>
      <c r="M758" t="s">
        <v>38</v>
      </c>
      <c r="N758" t="s">
        <v>38</v>
      </c>
      <c r="O758" t="s">
        <v>38</v>
      </c>
      <c r="T758" t="s">
        <v>38</v>
      </c>
      <c r="U758">
        <v>0</v>
      </c>
      <c r="W758">
        <v>0</v>
      </c>
      <c r="X758">
        <v>0</v>
      </c>
      <c r="Y758">
        <v>0</v>
      </c>
      <c r="AE758">
        <f t="shared" si="33"/>
        <v>1</v>
      </c>
      <c r="AF758">
        <f>VLOOKUP(D758,especies!$A$2:$C$9,3,FALSE)</f>
        <v>1</v>
      </c>
      <c r="AG758" t="str">
        <f t="shared" si="34"/>
        <v>1-Bulldog Francés</v>
      </c>
      <c r="AH758">
        <f>VLOOKUP('Fichas clínicas'!AG758,razas!$A$2:$D$66,3,FALSE)</f>
        <v>26</v>
      </c>
      <c r="AI758" t="str">
        <f t="shared" si="35"/>
        <v>H</v>
      </c>
    </row>
    <row r="759" spans="1:35" x14ac:dyDescent="0.2">
      <c r="A759">
        <v>761</v>
      </c>
      <c r="B759" t="s">
        <v>1836</v>
      </c>
      <c r="C759" t="s">
        <v>1408</v>
      </c>
      <c r="D759" t="s">
        <v>41</v>
      </c>
      <c r="E759" t="s">
        <v>42</v>
      </c>
      <c r="F759" t="s">
        <v>34</v>
      </c>
      <c r="G759" t="s">
        <v>1837</v>
      </c>
      <c r="J759" t="s">
        <v>1838</v>
      </c>
      <c r="K759" t="s">
        <v>38</v>
      </c>
      <c r="L759" t="s">
        <v>38</v>
      </c>
      <c r="M759" t="s">
        <v>38</v>
      </c>
      <c r="N759" t="s">
        <v>38</v>
      </c>
      <c r="O759" t="s">
        <v>38</v>
      </c>
      <c r="T759" t="s">
        <v>38</v>
      </c>
      <c r="U759">
        <v>0</v>
      </c>
      <c r="W759">
        <v>0</v>
      </c>
      <c r="X759">
        <v>0</v>
      </c>
      <c r="Y759">
        <v>0</v>
      </c>
      <c r="AE759">
        <f t="shared" si="33"/>
        <v>1</v>
      </c>
      <c r="AF759">
        <f>VLOOKUP(D759,especies!$A$2:$C$9,3,FALSE)</f>
        <v>2</v>
      </c>
      <c r="AG759" t="str">
        <f t="shared" si="34"/>
        <v>2-DPC (Doméstico de pelo corto o DSH)</v>
      </c>
      <c r="AH759">
        <f>VLOOKUP('Fichas clínicas'!AG759,razas!$A$2:$D$66,3,FALSE)</f>
        <v>51</v>
      </c>
      <c r="AI759" t="str">
        <f t="shared" si="35"/>
        <v>H</v>
      </c>
    </row>
    <row r="760" spans="1:35" x14ac:dyDescent="0.2">
      <c r="A760">
        <v>762</v>
      </c>
      <c r="B760" t="s">
        <v>1839</v>
      </c>
      <c r="C760" t="s">
        <v>378</v>
      </c>
      <c r="D760" t="s">
        <v>32</v>
      </c>
      <c r="E760" t="s">
        <v>150</v>
      </c>
      <c r="F760" t="s">
        <v>34</v>
      </c>
      <c r="G760" t="s">
        <v>102</v>
      </c>
      <c r="J760" t="s">
        <v>1840</v>
      </c>
      <c r="K760" t="s">
        <v>38</v>
      </c>
      <c r="L760" t="s">
        <v>38</v>
      </c>
      <c r="M760" t="s">
        <v>38</v>
      </c>
      <c r="N760" t="s">
        <v>38</v>
      </c>
      <c r="O760" t="s">
        <v>38</v>
      </c>
      <c r="T760" t="s">
        <v>38</v>
      </c>
      <c r="U760">
        <v>0</v>
      </c>
      <c r="W760">
        <v>0</v>
      </c>
      <c r="X760">
        <v>0</v>
      </c>
      <c r="Y760">
        <v>0</v>
      </c>
      <c r="AE760">
        <f t="shared" si="33"/>
        <v>1</v>
      </c>
      <c r="AF760">
        <f>VLOOKUP(D760,especies!$A$2:$C$9,3,FALSE)</f>
        <v>1</v>
      </c>
      <c r="AG760" t="str">
        <f t="shared" si="34"/>
        <v>1-Poodle</v>
      </c>
      <c r="AH760">
        <f>VLOOKUP('Fichas clínicas'!AG760,razas!$A$2:$D$66,3,FALSE)</f>
        <v>6</v>
      </c>
      <c r="AI760" t="str">
        <f t="shared" si="35"/>
        <v>H</v>
      </c>
    </row>
    <row r="761" spans="1:35" x14ac:dyDescent="0.2">
      <c r="A761">
        <v>763</v>
      </c>
      <c r="B761" t="s">
        <v>1841</v>
      </c>
      <c r="C761" t="s">
        <v>1842</v>
      </c>
      <c r="D761" t="s">
        <v>32</v>
      </c>
      <c r="E761" t="s">
        <v>33</v>
      </c>
      <c r="F761" t="s">
        <v>47</v>
      </c>
      <c r="G761" t="s">
        <v>165</v>
      </c>
      <c r="J761" t="s">
        <v>1825</v>
      </c>
      <c r="K761" t="s">
        <v>38</v>
      </c>
      <c r="L761" t="s">
        <v>38</v>
      </c>
      <c r="M761" t="s">
        <v>38</v>
      </c>
      <c r="N761" t="s">
        <v>38</v>
      </c>
      <c r="O761" t="s">
        <v>38</v>
      </c>
      <c r="T761" t="s">
        <v>38</v>
      </c>
      <c r="U761">
        <v>0</v>
      </c>
      <c r="W761">
        <v>0</v>
      </c>
      <c r="X761">
        <v>0</v>
      </c>
      <c r="Y761">
        <v>0</v>
      </c>
      <c r="AE761">
        <f t="shared" si="33"/>
        <v>1</v>
      </c>
      <c r="AF761">
        <f>VLOOKUP(D761,especies!$A$2:$C$9,3,FALSE)</f>
        <v>1</v>
      </c>
      <c r="AG761" t="str">
        <f t="shared" si="34"/>
        <v>1-Mestizo</v>
      </c>
      <c r="AH761">
        <f>VLOOKUP('Fichas clínicas'!AG761,razas!$A$2:$D$66,3,FALSE)</f>
        <v>1</v>
      </c>
      <c r="AI761" t="str">
        <f t="shared" si="35"/>
        <v>M</v>
      </c>
    </row>
    <row r="762" spans="1:35" x14ac:dyDescent="0.2">
      <c r="A762">
        <v>764</v>
      </c>
      <c r="B762" t="s">
        <v>1843</v>
      </c>
      <c r="C762" t="s">
        <v>1093</v>
      </c>
      <c r="D762" t="s">
        <v>41</v>
      </c>
      <c r="E762" t="s">
        <v>42</v>
      </c>
      <c r="F762" t="s">
        <v>34</v>
      </c>
      <c r="G762" t="s">
        <v>81</v>
      </c>
      <c r="J762" t="s">
        <v>1786</v>
      </c>
      <c r="K762" t="s">
        <v>38</v>
      </c>
      <c r="L762" t="s">
        <v>38</v>
      </c>
      <c r="M762" t="s">
        <v>38</v>
      </c>
      <c r="N762" t="s">
        <v>38</v>
      </c>
      <c r="O762" t="s">
        <v>38</v>
      </c>
      <c r="T762" t="s">
        <v>38</v>
      </c>
      <c r="U762">
        <v>0</v>
      </c>
      <c r="W762">
        <v>0</v>
      </c>
      <c r="X762">
        <v>0</v>
      </c>
      <c r="Y762">
        <v>0</v>
      </c>
      <c r="AE762">
        <f t="shared" si="33"/>
        <v>1</v>
      </c>
      <c r="AF762">
        <f>VLOOKUP(D762,especies!$A$2:$C$9,3,FALSE)</f>
        <v>2</v>
      </c>
      <c r="AG762" t="str">
        <f t="shared" si="34"/>
        <v>2-DPC (Doméstico de pelo corto o DSH)</v>
      </c>
      <c r="AH762">
        <f>VLOOKUP('Fichas clínicas'!AG762,razas!$A$2:$D$66,3,FALSE)</f>
        <v>51</v>
      </c>
      <c r="AI762" t="str">
        <f t="shared" si="35"/>
        <v>H</v>
      </c>
    </row>
    <row r="763" spans="1:35" x14ac:dyDescent="0.2">
      <c r="A763">
        <v>765</v>
      </c>
      <c r="B763" t="s">
        <v>1844</v>
      </c>
      <c r="C763" t="s">
        <v>1845</v>
      </c>
      <c r="D763" t="s">
        <v>41</v>
      </c>
      <c r="E763" t="s">
        <v>42</v>
      </c>
      <c r="F763" t="s">
        <v>34</v>
      </c>
      <c r="G763" t="s">
        <v>1846</v>
      </c>
      <c r="J763" t="s">
        <v>1847</v>
      </c>
      <c r="K763" t="s">
        <v>38</v>
      </c>
      <c r="L763" t="s">
        <v>38</v>
      </c>
      <c r="M763" t="s">
        <v>38</v>
      </c>
      <c r="N763" t="s">
        <v>38</v>
      </c>
      <c r="O763" t="s">
        <v>38</v>
      </c>
      <c r="T763" t="s">
        <v>38</v>
      </c>
      <c r="U763">
        <v>0</v>
      </c>
      <c r="V763">
        <v>1</v>
      </c>
      <c r="W763">
        <v>0</v>
      </c>
      <c r="X763">
        <v>0</v>
      </c>
      <c r="Y763">
        <v>0</v>
      </c>
      <c r="AE763">
        <f t="shared" si="33"/>
        <v>1</v>
      </c>
      <c r="AF763">
        <f>VLOOKUP(D763,especies!$A$2:$C$9,3,FALSE)</f>
        <v>2</v>
      </c>
      <c r="AG763" t="str">
        <f t="shared" si="34"/>
        <v>2-DPC (Doméstico de pelo corto o DSH)</v>
      </c>
      <c r="AH763">
        <f>VLOOKUP('Fichas clínicas'!AG763,razas!$A$2:$D$66,3,FALSE)</f>
        <v>51</v>
      </c>
      <c r="AI763" t="str">
        <f t="shared" si="35"/>
        <v>H</v>
      </c>
    </row>
    <row r="764" spans="1:35" x14ac:dyDescent="0.2">
      <c r="A764">
        <v>766</v>
      </c>
      <c r="B764" t="s">
        <v>200</v>
      </c>
      <c r="C764" t="s">
        <v>1848</v>
      </c>
      <c r="D764" t="s">
        <v>32</v>
      </c>
      <c r="E764" t="s">
        <v>33</v>
      </c>
      <c r="F764" t="s">
        <v>34</v>
      </c>
      <c r="G764" t="s">
        <v>587</v>
      </c>
      <c r="J764" t="s">
        <v>1849</v>
      </c>
      <c r="K764" t="s">
        <v>38</v>
      </c>
      <c r="L764" t="s">
        <v>38</v>
      </c>
      <c r="M764" t="s">
        <v>38</v>
      </c>
      <c r="N764" t="s">
        <v>38</v>
      </c>
      <c r="O764" t="s">
        <v>38</v>
      </c>
      <c r="Q764">
        <v>0</v>
      </c>
      <c r="T764" t="s">
        <v>38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f t="shared" si="33"/>
        <v>1</v>
      </c>
      <c r="AF764">
        <f>VLOOKUP(D764,especies!$A$2:$C$9,3,FALSE)</f>
        <v>1</v>
      </c>
      <c r="AG764" t="str">
        <f t="shared" si="34"/>
        <v>1-Mestizo</v>
      </c>
      <c r="AH764">
        <f>VLOOKUP('Fichas clínicas'!AG764,razas!$A$2:$D$66,3,FALSE)</f>
        <v>1</v>
      </c>
      <c r="AI764" t="str">
        <f t="shared" si="35"/>
        <v>H</v>
      </c>
    </row>
    <row r="765" spans="1:35" x14ac:dyDescent="0.2">
      <c r="A765">
        <v>767</v>
      </c>
      <c r="B765" t="s">
        <v>1850</v>
      </c>
      <c r="C765" t="s">
        <v>1851</v>
      </c>
      <c r="D765" t="s">
        <v>32</v>
      </c>
      <c r="E765" t="s">
        <v>33</v>
      </c>
      <c r="F765" t="s">
        <v>47</v>
      </c>
      <c r="G765" t="s">
        <v>199</v>
      </c>
      <c r="J765" t="s">
        <v>1825</v>
      </c>
      <c r="K765" t="s">
        <v>38</v>
      </c>
      <c r="L765" t="s">
        <v>38</v>
      </c>
      <c r="M765" t="s">
        <v>38</v>
      </c>
      <c r="N765" t="s">
        <v>38</v>
      </c>
      <c r="O765" t="s">
        <v>38</v>
      </c>
      <c r="T765" t="s">
        <v>38</v>
      </c>
      <c r="U765">
        <v>0</v>
      </c>
      <c r="W765">
        <v>0</v>
      </c>
      <c r="X765">
        <v>0</v>
      </c>
      <c r="Y765">
        <v>0</v>
      </c>
      <c r="AE765">
        <f t="shared" si="33"/>
        <v>1</v>
      </c>
      <c r="AF765">
        <f>VLOOKUP(D765,especies!$A$2:$C$9,3,FALSE)</f>
        <v>1</v>
      </c>
      <c r="AG765" t="str">
        <f t="shared" si="34"/>
        <v>1-Mestizo</v>
      </c>
      <c r="AH765">
        <f>VLOOKUP('Fichas clínicas'!AG765,razas!$A$2:$D$66,3,FALSE)</f>
        <v>1</v>
      </c>
      <c r="AI765" t="str">
        <f t="shared" si="35"/>
        <v>M</v>
      </c>
    </row>
    <row r="766" spans="1:35" x14ac:dyDescent="0.2">
      <c r="A766">
        <v>768</v>
      </c>
      <c r="B766" t="s">
        <v>1852</v>
      </c>
      <c r="C766" t="s">
        <v>1853</v>
      </c>
      <c r="D766" t="s">
        <v>41</v>
      </c>
      <c r="E766" t="s">
        <v>42</v>
      </c>
      <c r="F766" t="s">
        <v>47</v>
      </c>
      <c r="G766" t="s">
        <v>656</v>
      </c>
      <c r="J766" t="s">
        <v>61</v>
      </c>
      <c r="K766" t="s">
        <v>38</v>
      </c>
      <c r="L766" t="s">
        <v>38</v>
      </c>
      <c r="M766" t="s">
        <v>38</v>
      </c>
      <c r="N766" t="s">
        <v>38</v>
      </c>
      <c r="O766" t="s">
        <v>38</v>
      </c>
      <c r="T766" t="s">
        <v>38</v>
      </c>
      <c r="U766">
        <v>0</v>
      </c>
      <c r="W766">
        <v>0</v>
      </c>
      <c r="X766">
        <v>0</v>
      </c>
      <c r="Y766">
        <v>0</v>
      </c>
      <c r="AE766">
        <f t="shared" si="33"/>
        <v>1</v>
      </c>
      <c r="AF766">
        <f>VLOOKUP(D766,especies!$A$2:$C$9,3,FALSE)</f>
        <v>2</v>
      </c>
      <c r="AG766" t="str">
        <f t="shared" si="34"/>
        <v>2-DPC (Doméstico de pelo corto o DSH)</v>
      </c>
      <c r="AH766">
        <f>VLOOKUP('Fichas clínicas'!AG766,razas!$A$2:$D$66,3,FALSE)</f>
        <v>51</v>
      </c>
      <c r="AI766" t="str">
        <f t="shared" si="35"/>
        <v>M</v>
      </c>
    </row>
    <row r="767" spans="1:35" x14ac:dyDescent="0.2">
      <c r="A767">
        <v>769</v>
      </c>
      <c r="B767" t="s">
        <v>1854</v>
      </c>
      <c r="C767" t="s">
        <v>1855</v>
      </c>
      <c r="D767" t="s">
        <v>32</v>
      </c>
      <c r="E767" t="s">
        <v>143</v>
      </c>
      <c r="F767" t="s">
        <v>47</v>
      </c>
      <c r="G767" t="s">
        <v>54</v>
      </c>
      <c r="J767" t="s">
        <v>1856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T767" t="s">
        <v>38</v>
      </c>
      <c r="U767">
        <v>0</v>
      </c>
      <c r="W767">
        <v>0</v>
      </c>
      <c r="X767">
        <v>0</v>
      </c>
      <c r="Y767">
        <v>0</v>
      </c>
      <c r="AE767">
        <f t="shared" si="33"/>
        <v>1</v>
      </c>
      <c r="AF767">
        <f>VLOOKUP(D767,especies!$A$2:$C$9,3,FALSE)</f>
        <v>1</v>
      </c>
      <c r="AG767" t="str">
        <f t="shared" si="34"/>
        <v>1-Yorkshire Terrier</v>
      </c>
      <c r="AH767">
        <f>VLOOKUP('Fichas clínicas'!AG767,razas!$A$2:$D$66,3,FALSE)</f>
        <v>5</v>
      </c>
      <c r="AI767" t="str">
        <f t="shared" si="35"/>
        <v>M</v>
      </c>
    </row>
    <row r="768" spans="1:35" x14ac:dyDescent="0.2">
      <c r="A768">
        <v>770</v>
      </c>
      <c r="B768" t="s">
        <v>1854</v>
      </c>
      <c r="C768" t="s">
        <v>1857</v>
      </c>
      <c r="D768" t="s">
        <v>32</v>
      </c>
      <c r="E768" t="s">
        <v>143</v>
      </c>
      <c r="F768" t="s">
        <v>34</v>
      </c>
      <c r="G768" t="s">
        <v>54</v>
      </c>
      <c r="J768" t="s">
        <v>1810</v>
      </c>
      <c r="K768" t="s">
        <v>38</v>
      </c>
      <c r="L768" t="s">
        <v>38</v>
      </c>
      <c r="M768" t="s">
        <v>38</v>
      </c>
      <c r="N768" t="s">
        <v>38</v>
      </c>
      <c r="O768" t="s">
        <v>38</v>
      </c>
      <c r="T768" t="s">
        <v>38</v>
      </c>
      <c r="U768">
        <v>0</v>
      </c>
      <c r="W768">
        <v>0</v>
      </c>
      <c r="X768">
        <v>0</v>
      </c>
      <c r="Y768">
        <v>0</v>
      </c>
      <c r="AE768">
        <f t="shared" si="33"/>
        <v>1</v>
      </c>
      <c r="AF768">
        <f>VLOOKUP(D768,especies!$A$2:$C$9,3,FALSE)</f>
        <v>1</v>
      </c>
      <c r="AG768" t="str">
        <f t="shared" si="34"/>
        <v>1-Yorkshire Terrier</v>
      </c>
      <c r="AH768">
        <f>VLOOKUP('Fichas clínicas'!AG768,razas!$A$2:$D$66,3,FALSE)</f>
        <v>5</v>
      </c>
      <c r="AI768" t="str">
        <f t="shared" si="35"/>
        <v>H</v>
      </c>
    </row>
    <row r="769" spans="1:35" x14ac:dyDescent="0.2">
      <c r="A769">
        <v>771</v>
      </c>
      <c r="B769" t="s">
        <v>1858</v>
      </c>
      <c r="C769" t="s">
        <v>1859</v>
      </c>
      <c r="D769" t="s">
        <v>32</v>
      </c>
      <c r="E769" t="s">
        <v>150</v>
      </c>
      <c r="F769" t="s">
        <v>34</v>
      </c>
      <c r="G769" t="s">
        <v>123</v>
      </c>
      <c r="J769" t="s">
        <v>1012</v>
      </c>
      <c r="K769" t="s">
        <v>38</v>
      </c>
      <c r="L769" t="s">
        <v>38</v>
      </c>
      <c r="M769" t="s">
        <v>38</v>
      </c>
      <c r="N769" t="s">
        <v>38</v>
      </c>
      <c r="O769" t="s">
        <v>38</v>
      </c>
      <c r="Q769">
        <v>0</v>
      </c>
      <c r="T769" t="s">
        <v>38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f t="shared" si="33"/>
        <v>1</v>
      </c>
      <c r="AF769">
        <f>VLOOKUP(D769,especies!$A$2:$C$9,3,FALSE)</f>
        <v>1</v>
      </c>
      <c r="AG769" t="str">
        <f t="shared" si="34"/>
        <v>1-Poodle</v>
      </c>
      <c r="AH769">
        <f>VLOOKUP('Fichas clínicas'!AG769,razas!$A$2:$D$66,3,FALSE)</f>
        <v>6</v>
      </c>
      <c r="AI769" t="str">
        <f t="shared" si="35"/>
        <v>H</v>
      </c>
    </row>
    <row r="770" spans="1:35" x14ac:dyDescent="0.2">
      <c r="A770">
        <v>772</v>
      </c>
      <c r="B770" t="s">
        <v>1860</v>
      </c>
      <c r="C770" t="s">
        <v>1861</v>
      </c>
      <c r="D770" t="s">
        <v>41</v>
      </c>
      <c r="E770" t="s">
        <v>42</v>
      </c>
      <c r="F770" t="s">
        <v>34</v>
      </c>
      <c r="G770" t="s">
        <v>1862</v>
      </c>
      <c r="J770" t="s">
        <v>1863</v>
      </c>
      <c r="K770" t="s">
        <v>38</v>
      </c>
      <c r="L770" t="s">
        <v>38</v>
      </c>
      <c r="M770" t="s">
        <v>38</v>
      </c>
      <c r="N770" t="s">
        <v>38</v>
      </c>
      <c r="O770" t="s">
        <v>38</v>
      </c>
      <c r="T770" t="s">
        <v>38</v>
      </c>
      <c r="U770">
        <v>0</v>
      </c>
      <c r="W770">
        <v>0</v>
      </c>
      <c r="X770">
        <v>0</v>
      </c>
      <c r="Y770">
        <v>0</v>
      </c>
      <c r="AE770">
        <f t="shared" si="33"/>
        <v>1</v>
      </c>
      <c r="AF770">
        <f>VLOOKUP(D770,especies!$A$2:$C$9,3,FALSE)</f>
        <v>2</v>
      </c>
      <c r="AG770" t="str">
        <f t="shared" si="34"/>
        <v>2-DPC (Doméstico de pelo corto o DSH)</v>
      </c>
      <c r="AH770">
        <f>VLOOKUP('Fichas clínicas'!AG770,razas!$A$2:$D$66,3,FALSE)</f>
        <v>51</v>
      </c>
      <c r="AI770" t="str">
        <f t="shared" si="35"/>
        <v>H</v>
      </c>
    </row>
    <row r="771" spans="1:35" x14ac:dyDescent="0.2">
      <c r="A771">
        <v>773</v>
      </c>
      <c r="B771" t="s">
        <v>1864</v>
      </c>
      <c r="C771" t="s">
        <v>1865</v>
      </c>
      <c r="D771" t="s">
        <v>41</v>
      </c>
      <c r="E771" t="s">
        <v>93</v>
      </c>
      <c r="F771" t="s">
        <v>47</v>
      </c>
      <c r="G771" t="s">
        <v>77</v>
      </c>
      <c r="J771" t="s">
        <v>1866</v>
      </c>
      <c r="K771" t="s">
        <v>38</v>
      </c>
      <c r="L771" t="s">
        <v>38</v>
      </c>
      <c r="M771" t="s">
        <v>38</v>
      </c>
      <c r="N771" t="s">
        <v>38</v>
      </c>
      <c r="O771" t="s">
        <v>38</v>
      </c>
      <c r="T771" t="s">
        <v>38</v>
      </c>
      <c r="U771">
        <v>0</v>
      </c>
      <c r="V771">
        <v>1</v>
      </c>
      <c r="W771">
        <v>0</v>
      </c>
      <c r="X771">
        <v>0</v>
      </c>
      <c r="Y771">
        <v>0</v>
      </c>
      <c r="AE771">
        <f t="shared" ref="AE771:AE834" si="36">SUBTOTAL(103,E771)</f>
        <v>1</v>
      </c>
      <c r="AF771">
        <f>VLOOKUP(D771,especies!$A$2:$C$9,3,FALSE)</f>
        <v>2</v>
      </c>
      <c r="AG771" t="str">
        <f t="shared" ref="AG771:AG834" si="37">AF771&amp;"-"&amp;E771</f>
        <v>2-DPL (Doméstico de pelo Largo o DLH)</v>
      </c>
      <c r="AH771">
        <f>VLOOKUP('Fichas clínicas'!AG771,razas!$A$2:$D$66,3,FALSE)</f>
        <v>52</v>
      </c>
      <c r="AI771" t="str">
        <f t="shared" ref="AI771:AI834" si="38">IF(F771="Hembra","H","M")</f>
        <v>M</v>
      </c>
    </row>
    <row r="772" spans="1:35" x14ac:dyDescent="0.2">
      <c r="A772">
        <v>774</v>
      </c>
      <c r="B772" t="s">
        <v>1867</v>
      </c>
      <c r="C772" t="s">
        <v>126</v>
      </c>
      <c r="D772" t="s">
        <v>32</v>
      </c>
      <c r="E772" t="s">
        <v>33</v>
      </c>
      <c r="F772" t="s">
        <v>47</v>
      </c>
      <c r="G772" t="s">
        <v>54</v>
      </c>
      <c r="J772" t="s">
        <v>127</v>
      </c>
      <c r="K772" t="s">
        <v>38</v>
      </c>
      <c r="L772" t="s">
        <v>38</v>
      </c>
      <c r="M772" t="s">
        <v>38</v>
      </c>
      <c r="N772" t="s">
        <v>38</v>
      </c>
      <c r="O772" t="s">
        <v>38</v>
      </c>
      <c r="T772" t="s">
        <v>38</v>
      </c>
      <c r="U772">
        <v>0</v>
      </c>
      <c r="W772">
        <v>0</v>
      </c>
      <c r="X772">
        <v>0</v>
      </c>
      <c r="Y772">
        <v>0</v>
      </c>
      <c r="AE772">
        <f t="shared" si="36"/>
        <v>1</v>
      </c>
      <c r="AF772">
        <f>VLOOKUP(D772,especies!$A$2:$C$9,3,FALSE)</f>
        <v>1</v>
      </c>
      <c r="AG772" t="str">
        <f t="shared" si="37"/>
        <v>1-Mestizo</v>
      </c>
      <c r="AH772">
        <f>VLOOKUP('Fichas clínicas'!AG772,razas!$A$2:$D$66,3,FALSE)</f>
        <v>1</v>
      </c>
      <c r="AI772" t="str">
        <f t="shared" si="38"/>
        <v>M</v>
      </c>
    </row>
    <row r="773" spans="1:35" x14ac:dyDescent="0.2">
      <c r="A773">
        <v>775</v>
      </c>
      <c r="B773" t="s">
        <v>1868</v>
      </c>
      <c r="C773" t="s">
        <v>342</v>
      </c>
      <c r="D773" t="s">
        <v>41</v>
      </c>
      <c r="E773" t="s">
        <v>42</v>
      </c>
      <c r="F773" t="s">
        <v>34</v>
      </c>
      <c r="G773" t="s">
        <v>77</v>
      </c>
      <c r="J773" t="s">
        <v>356</v>
      </c>
      <c r="K773" t="s">
        <v>38</v>
      </c>
      <c r="L773" t="s">
        <v>38</v>
      </c>
      <c r="M773" t="s">
        <v>38</v>
      </c>
      <c r="N773" t="s">
        <v>38</v>
      </c>
      <c r="O773" t="s">
        <v>38</v>
      </c>
      <c r="T773" t="s">
        <v>38</v>
      </c>
      <c r="U773">
        <v>0</v>
      </c>
      <c r="V773">
        <v>1</v>
      </c>
      <c r="W773">
        <v>0</v>
      </c>
      <c r="X773">
        <v>0</v>
      </c>
      <c r="Y773">
        <v>0</v>
      </c>
      <c r="AE773">
        <f t="shared" si="36"/>
        <v>1</v>
      </c>
      <c r="AF773">
        <f>VLOOKUP(D773,especies!$A$2:$C$9,3,FALSE)</f>
        <v>2</v>
      </c>
      <c r="AG773" t="str">
        <f t="shared" si="37"/>
        <v>2-DPC (Doméstico de pelo corto o DSH)</v>
      </c>
      <c r="AH773">
        <f>VLOOKUP('Fichas clínicas'!AG773,razas!$A$2:$D$66,3,FALSE)</f>
        <v>51</v>
      </c>
      <c r="AI773" t="str">
        <f t="shared" si="38"/>
        <v>H</v>
      </c>
    </row>
    <row r="774" spans="1:35" x14ac:dyDescent="0.2">
      <c r="A774">
        <v>776</v>
      </c>
      <c r="B774" t="s">
        <v>1869</v>
      </c>
      <c r="C774" t="s">
        <v>1626</v>
      </c>
      <c r="D774" t="s">
        <v>41</v>
      </c>
      <c r="E774" t="s">
        <v>42</v>
      </c>
      <c r="F774" t="s">
        <v>47</v>
      </c>
      <c r="G774" t="s">
        <v>1639</v>
      </c>
      <c r="J774" t="s">
        <v>1870</v>
      </c>
      <c r="K774" t="s">
        <v>38</v>
      </c>
      <c r="L774" t="s">
        <v>38</v>
      </c>
      <c r="M774" t="s">
        <v>38</v>
      </c>
      <c r="N774" t="s">
        <v>38</v>
      </c>
      <c r="O774" t="s">
        <v>38</v>
      </c>
      <c r="Q774">
        <v>0</v>
      </c>
      <c r="T774" t="s">
        <v>38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f t="shared" si="36"/>
        <v>1</v>
      </c>
      <c r="AF774">
        <f>VLOOKUP(D774,especies!$A$2:$C$9,3,FALSE)</f>
        <v>2</v>
      </c>
      <c r="AG774" t="str">
        <f t="shared" si="37"/>
        <v>2-DPC (Doméstico de pelo corto o DSH)</v>
      </c>
      <c r="AH774">
        <f>VLOOKUP('Fichas clínicas'!AG774,razas!$A$2:$D$66,3,FALSE)</f>
        <v>51</v>
      </c>
      <c r="AI774" t="str">
        <f t="shared" si="38"/>
        <v>M</v>
      </c>
    </row>
    <row r="775" spans="1:35" x14ac:dyDescent="0.2">
      <c r="A775">
        <v>777</v>
      </c>
      <c r="B775" t="s">
        <v>128</v>
      </c>
      <c r="C775" t="s">
        <v>1871</v>
      </c>
      <c r="D775" t="s">
        <v>32</v>
      </c>
      <c r="E775" t="s">
        <v>33</v>
      </c>
      <c r="F775" t="s">
        <v>47</v>
      </c>
      <c r="G775" t="s">
        <v>1872</v>
      </c>
      <c r="J775" t="s">
        <v>1873</v>
      </c>
      <c r="K775" t="s">
        <v>38</v>
      </c>
      <c r="L775" t="s">
        <v>38</v>
      </c>
      <c r="M775" t="s">
        <v>38</v>
      </c>
      <c r="N775" t="s">
        <v>38</v>
      </c>
      <c r="O775" t="s">
        <v>38</v>
      </c>
      <c r="Q775">
        <v>0</v>
      </c>
      <c r="T775" t="s">
        <v>38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f t="shared" si="36"/>
        <v>1</v>
      </c>
      <c r="AF775">
        <f>VLOOKUP(D775,especies!$A$2:$C$9,3,FALSE)</f>
        <v>1</v>
      </c>
      <c r="AG775" t="str">
        <f t="shared" si="37"/>
        <v>1-Mestizo</v>
      </c>
      <c r="AH775">
        <f>VLOOKUP('Fichas clínicas'!AG775,razas!$A$2:$D$66,3,FALSE)</f>
        <v>1</v>
      </c>
      <c r="AI775" t="str">
        <f t="shared" si="38"/>
        <v>M</v>
      </c>
    </row>
    <row r="776" spans="1:35" x14ac:dyDescent="0.2">
      <c r="A776">
        <v>778</v>
      </c>
      <c r="B776" t="s">
        <v>1874</v>
      </c>
      <c r="C776" t="s">
        <v>1875</v>
      </c>
      <c r="D776" t="s">
        <v>41</v>
      </c>
      <c r="E776" t="s">
        <v>42</v>
      </c>
      <c r="F776" t="s">
        <v>34</v>
      </c>
      <c r="G776" t="s">
        <v>1647</v>
      </c>
      <c r="J776" t="s">
        <v>493</v>
      </c>
      <c r="K776" t="s">
        <v>38</v>
      </c>
      <c r="L776" t="s">
        <v>38</v>
      </c>
      <c r="M776" t="s">
        <v>38</v>
      </c>
      <c r="N776" t="s">
        <v>38</v>
      </c>
      <c r="O776" t="s">
        <v>38</v>
      </c>
      <c r="Q776">
        <v>0</v>
      </c>
      <c r="T776" t="s">
        <v>38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f t="shared" si="36"/>
        <v>1</v>
      </c>
      <c r="AF776">
        <f>VLOOKUP(D776,especies!$A$2:$C$9,3,FALSE)</f>
        <v>2</v>
      </c>
      <c r="AG776" t="str">
        <f t="shared" si="37"/>
        <v>2-DPC (Doméstico de pelo corto o DSH)</v>
      </c>
      <c r="AH776">
        <f>VLOOKUP('Fichas clínicas'!AG776,razas!$A$2:$D$66,3,FALSE)</f>
        <v>51</v>
      </c>
      <c r="AI776" t="str">
        <f t="shared" si="38"/>
        <v>H</v>
      </c>
    </row>
    <row r="777" spans="1:35" x14ac:dyDescent="0.2">
      <c r="A777">
        <v>779</v>
      </c>
      <c r="B777" t="s">
        <v>1876</v>
      </c>
      <c r="C777" t="s">
        <v>1877</v>
      </c>
      <c r="D777" t="s">
        <v>32</v>
      </c>
      <c r="E777" t="s">
        <v>33</v>
      </c>
      <c r="F777" t="s">
        <v>47</v>
      </c>
      <c r="G777" t="s">
        <v>587</v>
      </c>
      <c r="J777" t="s">
        <v>1795</v>
      </c>
      <c r="K777" t="s">
        <v>38</v>
      </c>
      <c r="L777" t="s">
        <v>38</v>
      </c>
      <c r="M777" t="s">
        <v>38</v>
      </c>
      <c r="N777" t="s">
        <v>38</v>
      </c>
      <c r="O777" t="s">
        <v>38</v>
      </c>
      <c r="Q777">
        <v>0</v>
      </c>
      <c r="T777" t="s">
        <v>38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f t="shared" si="36"/>
        <v>1</v>
      </c>
      <c r="AF777">
        <f>VLOOKUP(D777,especies!$A$2:$C$9,3,FALSE)</f>
        <v>1</v>
      </c>
      <c r="AG777" t="str">
        <f t="shared" si="37"/>
        <v>1-Mestizo</v>
      </c>
      <c r="AH777">
        <f>VLOOKUP('Fichas clínicas'!AG777,razas!$A$2:$D$66,3,FALSE)</f>
        <v>1</v>
      </c>
      <c r="AI777" t="str">
        <f t="shared" si="38"/>
        <v>M</v>
      </c>
    </row>
    <row r="778" spans="1:35" x14ac:dyDescent="0.2">
      <c r="A778">
        <v>780</v>
      </c>
      <c r="B778" t="s">
        <v>831</v>
      </c>
      <c r="C778" t="s">
        <v>1878</v>
      </c>
      <c r="D778" t="s">
        <v>32</v>
      </c>
      <c r="E778" t="s">
        <v>33</v>
      </c>
      <c r="F778" t="s">
        <v>34</v>
      </c>
      <c r="G778" t="s">
        <v>81</v>
      </c>
      <c r="J778" t="s">
        <v>493</v>
      </c>
      <c r="K778" t="s">
        <v>38</v>
      </c>
      <c r="L778" t="s">
        <v>38</v>
      </c>
      <c r="M778" t="s">
        <v>38</v>
      </c>
      <c r="N778" t="s">
        <v>38</v>
      </c>
      <c r="O778" t="s">
        <v>38</v>
      </c>
      <c r="T778" t="s">
        <v>38</v>
      </c>
      <c r="U778">
        <v>0</v>
      </c>
      <c r="V778">
        <v>1</v>
      </c>
      <c r="W778">
        <v>0</v>
      </c>
      <c r="X778">
        <v>0</v>
      </c>
      <c r="Y778">
        <v>0</v>
      </c>
      <c r="AE778">
        <f t="shared" si="36"/>
        <v>1</v>
      </c>
      <c r="AF778">
        <f>VLOOKUP(D778,especies!$A$2:$C$9,3,FALSE)</f>
        <v>1</v>
      </c>
      <c r="AG778" t="str">
        <f t="shared" si="37"/>
        <v>1-Mestizo</v>
      </c>
      <c r="AH778">
        <f>VLOOKUP('Fichas clínicas'!AG778,razas!$A$2:$D$66,3,FALSE)</f>
        <v>1</v>
      </c>
      <c r="AI778" t="str">
        <f t="shared" si="38"/>
        <v>H</v>
      </c>
    </row>
    <row r="779" spans="1:35" x14ac:dyDescent="0.2">
      <c r="A779">
        <v>781</v>
      </c>
      <c r="B779" t="s">
        <v>1879</v>
      </c>
      <c r="C779" t="s">
        <v>129</v>
      </c>
      <c r="D779" t="s">
        <v>32</v>
      </c>
      <c r="E779" t="s">
        <v>150</v>
      </c>
      <c r="F779" t="s">
        <v>34</v>
      </c>
      <c r="G779" t="s">
        <v>123</v>
      </c>
      <c r="J779" t="s">
        <v>1880</v>
      </c>
      <c r="K779" t="s">
        <v>38</v>
      </c>
      <c r="L779" t="s">
        <v>38</v>
      </c>
      <c r="M779" t="s">
        <v>38</v>
      </c>
      <c r="N779" t="s">
        <v>38</v>
      </c>
      <c r="O779" t="s">
        <v>38</v>
      </c>
      <c r="T779" t="s">
        <v>38</v>
      </c>
      <c r="U779">
        <v>0</v>
      </c>
      <c r="W779">
        <v>0</v>
      </c>
      <c r="X779">
        <v>0</v>
      </c>
      <c r="Y779">
        <v>0</v>
      </c>
      <c r="AE779">
        <f t="shared" si="36"/>
        <v>1</v>
      </c>
      <c r="AF779">
        <f>VLOOKUP(D779,especies!$A$2:$C$9,3,FALSE)</f>
        <v>1</v>
      </c>
      <c r="AG779" t="str">
        <f t="shared" si="37"/>
        <v>1-Poodle</v>
      </c>
      <c r="AH779">
        <f>VLOOKUP('Fichas clínicas'!AG779,razas!$A$2:$D$66,3,FALSE)</f>
        <v>6</v>
      </c>
      <c r="AI779" t="str">
        <f t="shared" si="38"/>
        <v>H</v>
      </c>
    </row>
    <row r="780" spans="1:35" x14ac:dyDescent="0.2">
      <c r="A780">
        <v>782</v>
      </c>
      <c r="B780" t="s">
        <v>1881</v>
      </c>
      <c r="C780" t="s">
        <v>832</v>
      </c>
      <c r="D780" t="s">
        <v>32</v>
      </c>
      <c r="E780" t="s">
        <v>150</v>
      </c>
      <c r="F780" t="s">
        <v>47</v>
      </c>
      <c r="G780" t="s">
        <v>123</v>
      </c>
      <c r="J780" t="s">
        <v>348</v>
      </c>
      <c r="K780" t="s">
        <v>38</v>
      </c>
      <c r="L780" t="s">
        <v>38</v>
      </c>
      <c r="M780" t="s">
        <v>38</v>
      </c>
      <c r="N780" t="s">
        <v>38</v>
      </c>
      <c r="O780" t="s">
        <v>38</v>
      </c>
      <c r="T780" t="s">
        <v>38</v>
      </c>
      <c r="U780">
        <v>0</v>
      </c>
      <c r="W780">
        <v>0</v>
      </c>
      <c r="X780">
        <v>0</v>
      </c>
      <c r="Y780">
        <v>0</v>
      </c>
      <c r="AE780">
        <f t="shared" si="36"/>
        <v>1</v>
      </c>
      <c r="AF780">
        <f>VLOOKUP(D780,especies!$A$2:$C$9,3,FALSE)</f>
        <v>1</v>
      </c>
      <c r="AG780" t="str">
        <f t="shared" si="37"/>
        <v>1-Poodle</v>
      </c>
      <c r="AH780">
        <f>VLOOKUP('Fichas clínicas'!AG780,razas!$A$2:$D$66,3,FALSE)</f>
        <v>6</v>
      </c>
      <c r="AI780" t="str">
        <f t="shared" si="38"/>
        <v>M</v>
      </c>
    </row>
    <row r="781" spans="1:35" x14ac:dyDescent="0.2">
      <c r="A781">
        <v>783</v>
      </c>
      <c r="B781" t="s">
        <v>1882</v>
      </c>
      <c r="C781" t="s">
        <v>1883</v>
      </c>
      <c r="D781" t="s">
        <v>32</v>
      </c>
      <c r="E781" t="s">
        <v>33</v>
      </c>
      <c r="F781" t="s">
        <v>34</v>
      </c>
      <c r="G781" t="s">
        <v>123</v>
      </c>
      <c r="J781" t="s">
        <v>1821</v>
      </c>
      <c r="K781" t="s">
        <v>38</v>
      </c>
      <c r="L781" t="s">
        <v>38</v>
      </c>
      <c r="M781" t="s">
        <v>38</v>
      </c>
      <c r="N781" t="s">
        <v>38</v>
      </c>
      <c r="O781" t="s">
        <v>38</v>
      </c>
      <c r="T781" t="s">
        <v>38</v>
      </c>
      <c r="U781">
        <v>0</v>
      </c>
      <c r="W781">
        <v>0</v>
      </c>
      <c r="X781">
        <v>0</v>
      </c>
      <c r="Y781">
        <v>0</v>
      </c>
      <c r="AE781">
        <f t="shared" si="36"/>
        <v>1</v>
      </c>
      <c r="AF781">
        <f>VLOOKUP(D781,especies!$A$2:$C$9,3,FALSE)</f>
        <v>1</v>
      </c>
      <c r="AG781" t="str">
        <f t="shared" si="37"/>
        <v>1-Mestizo</v>
      </c>
      <c r="AH781">
        <f>VLOOKUP('Fichas clínicas'!AG781,razas!$A$2:$D$66,3,FALSE)</f>
        <v>1</v>
      </c>
      <c r="AI781" t="str">
        <f t="shared" si="38"/>
        <v>H</v>
      </c>
    </row>
    <row r="782" spans="1:35" x14ac:dyDescent="0.2">
      <c r="A782">
        <v>784</v>
      </c>
      <c r="B782" t="s">
        <v>1884</v>
      </c>
      <c r="C782" t="s">
        <v>1885</v>
      </c>
      <c r="D782" t="s">
        <v>32</v>
      </c>
      <c r="E782" t="s">
        <v>33</v>
      </c>
      <c r="F782" t="s">
        <v>47</v>
      </c>
      <c r="G782" t="s">
        <v>587</v>
      </c>
      <c r="J782" t="s">
        <v>737</v>
      </c>
      <c r="K782" t="s">
        <v>38</v>
      </c>
      <c r="L782" t="s">
        <v>38</v>
      </c>
      <c r="M782" t="s">
        <v>38</v>
      </c>
      <c r="N782" t="s">
        <v>38</v>
      </c>
      <c r="O782" t="s">
        <v>38</v>
      </c>
      <c r="T782" t="s">
        <v>38</v>
      </c>
      <c r="U782">
        <v>0</v>
      </c>
      <c r="W782">
        <v>0</v>
      </c>
      <c r="X782">
        <v>0</v>
      </c>
      <c r="Y782">
        <v>0</v>
      </c>
      <c r="AE782">
        <f t="shared" si="36"/>
        <v>1</v>
      </c>
      <c r="AF782">
        <f>VLOOKUP(D782,especies!$A$2:$C$9,3,FALSE)</f>
        <v>1</v>
      </c>
      <c r="AG782" t="str">
        <f t="shared" si="37"/>
        <v>1-Mestizo</v>
      </c>
      <c r="AH782">
        <f>VLOOKUP('Fichas clínicas'!AG782,razas!$A$2:$D$66,3,FALSE)</f>
        <v>1</v>
      </c>
      <c r="AI782" t="str">
        <f t="shared" si="38"/>
        <v>M</v>
      </c>
    </row>
    <row r="783" spans="1:35" x14ac:dyDescent="0.2">
      <c r="A783">
        <v>785</v>
      </c>
      <c r="B783" t="s">
        <v>1886</v>
      </c>
      <c r="C783" t="s">
        <v>1887</v>
      </c>
      <c r="D783" t="s">
        <v>32</v>
      </c>
      <c r="E783" t="s">
        <v>164</v>
      </c>
      <c r="F783" t="s">
        <v>47</v>
      </c>
      <c r="G783" t="s">
        <v>1402</v>
      </c>
      <c r="J783" t="s">
        <v>1888</v>
      </c>
      <c r="K783" t="s">
        <v>38</v>
      </c>
      <c r="L783" t="s">
        <v>38</v>
      </c>
      <c r="M783" t="s">
        <v>38</v>
      </c>
      <c r="N783" t="s">
        <v>38</v>
      </c>
      <c r="O783" t="s">
        <v>38</v>
      </c>
      <c r="P783" t="s">
        <v>1889</v>
      </c>
      <c r="Q783">
        <v>0</v>
      </c>
      <c r="T783" t="s">
        <v>38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f t="shared" si="36"/>
        <v>1</v>
      </c>
      <c r="AF783">
        <f>VLOOKUP(D783,especies!$A$2:$C$9,3,FALSE)</f>
        <v>1</v>
      </c>
      <c r="AG783" t="str">
        <f t="shared" si="37"/>
        <v>1-Teckel</v>
      </c>
      <c r="AH783">
        <f>VLOOKUP('Fichas clínicas'!AG783,razas!$A$2:$D$66,3,FALSE)</f>
        <v>8</v>
      </c>
      <c r="AI783" t="str">
        <f t="shared" si="38"/>
        <v>M</v>
      </c>
    </row>
    <row r="784" spans="1:35" x14ac:dyDescent="0.2">
      <c r="A784">
        <v>786</v>
      </c>
      <c r="B784" t="s">
        <v>1890</v>
      </c>
      <c r="C784" t="s">
        <v>1891</v>
      </c>
      <c r="D784" t="s">
        <v>41</v>
      </c>
      <c r="E784" t="s">
        <v>93</v>
      </c>
      <c r="F784" t="s">
        <v>34</v>
      </c>
      <c r="G784" t="s">
        <v>587</v>
      </c>
      <c r="J784" t="s">
        <v>1892</v>
      </c>
      <c r="K784" t="s">
        <v>38</v>
      </c>
      <c r="L784" t="s">
        <v>38</v>
      </c>
      <c r="M784" t="s">
        <v>38</v>
      </c>
      <c r="N784" t="s">
        <v>38</v>
      </c>
      <c r="O784" t="s">
        <v>38</v>
      </c>
      <c r="T784" t="s">
        <v>38</v>
      </c>
      <c r="U784">
        <v>0</v>
      </c>
      <c r="V784">
        <v>1</v>
      </c>
      <c r="W784">
        <v>0</v>
      </c>
      <c r="X784">
        <v>0</v>
      </c>
      <c r="Y784">
        <v>0</v>
      </c>
      <c r="AE784">
        <f t="shared" si="36"/>
        <v>1</v>
      </c>
      <c r="AF784">
        <f>VLOOKUP(D784,especies!$A$2:$C$9,3,FALSE)</f>
        <v>2</v>
      </c>
      <c r="AG784" t="str">
        <f t="shared" si="37"/>
        <v>2-DPL (Doméstico de pelo Largo o DLH)</v>
      </c>
      <c r="AH784">
        <f>VLOOKUP('Fichas clínicas'!AG784,razas!$A$2:$D$66,3,FALSE)</f>
        <v>52</v>
      </c>
      <c r="AI784" t="str">
        <f t="shared" si="38"/>
        <v>H</v>
      </c>
    </row>
    <row r="785" spans="1:35" x14ac:dyDescent="0.2">
      <c r="A785">
        <v>787</v>
      </c>
      <c r="B785" t="s">
        <v>1893</v>
      </c>
      <c r="C785" t="s">
        <v>1046</v>
      </c>
      <c r="D785" t="s">
        <v>32</v>
      </c>
      <c r="E785" t="s">
        <v>122</v>
      </c>
      <c r="F785" t="s">
        <v>47</v>
      </c>
      <c r="G785" t="s">
        <v>123</v>
      </c>
      <c r="J785" t="s">
        <v>1894</v>
      </c>
      <c r="K785" t="s">
        <v>38</v>
      </c>
      <c r="L785" t="s">
        <v>38</v>
      </c>
      <c r="M785" t="s">
        <v>38</v>
      </c>
      <c r="N785" t="s">
        <v>38</v>
      </c>
      <c r="O785" t="s">
        <v>38</v>
      </c>
      <c r="T785" t="s">
        <v>38</v>
      </c>
      <c r="U785">
        <v>0</v>
      </c>
      <c r="V785">
        <v>1</v>
      </c>
      <c r="W785">
        <v>0</v>
      </c>
      <c r="X785">
        <v>0</v>
      </c>
      <c r="Y785">
        <v>0</v>
      </c>
      <c r="AE785">
        <f t="shared" si="36"/>
        <v>1</v>
      </c>
      <c r="AF785">
        <f>VLOOKUP(D785,especies!$A$2:$C$9,3,FALSE)</f>
        <v>1</v>
      </c>
      <c r="AG785" t="str">
        <f t="shared" si="37"/>
        <v>1-Caniche</v>
      </c>
      <c r="AH785">
        <f>VLOOKUP('Fichas clínicas'!AG785,razas!$A$2:$D$66,3,FALSE)</f>
        <v>4</v>
      </c>
      <c r="AI785" t="str">
        <f t="shared" si="38"/>
        <v>M</v>
      </c>
    </row>
    <row r="786" spans="1:35" x14ac:dyDescent="0.2">
      <c r="A786">
        <v>788</v>
      </c>
      <c r="B786" t="s">
        <v>1895</v>
      </c>
      <c r="C786" t="s">
        <v>318</v>
      </c>
      <c r="D786" t="s">
        <v>41</v>
      </c>
      <c r="E786" t="s">
        <v>42</v>
      </c>
      <c r="F786" t="s">
        <v>47</v>
      </c>
      <c r="G786" t="s">
        <v>965</v>
      </c>
      <c r="J786" t="s">
        <v>1873</v>
      </c>
      <c r="K786" t="s">
        <v>38</v>
      </c>
      <c r="L786" t="s">
        <v>38</v>
      </c>
      <c r="M786" t="s">
        <v>38</v>
      </c>
      <c r="N786" t="s">
        <v>38</v>
      </c>
      <c r="O786" t="s">
        <v>38</v>
      </c>
      <c r="T786" t="s">
        <v>38</v>
      </c>
      <c r="U786">
        <v>0</v>
      </c>
      <c r="W786">
        <v>0</v>
      </c>
      <c r="X786">
        <v>0</v>
      </c>
      <c r="Y786">
        <v>0</v>
      </c>
      <c r="AE786">
        <f t="shared" si="36"/>
        <v>1</v>
      </c>
      <c r="AF786">
        <f>VLOOKUP(D786,especies!$A$2:$C$9,3,FALSE)</f>
        <v>2</v>
      </c>
      <c r="AG786" t="str">
        <f t="shared" si="37"/>
        <v>2-DPC (Doméstico de pelo corto o DSH)</v>
      </c>
      <c r="AH786">
        <f>VLOOKUP('Fichas clínicas'!AG786,razas!$A$2:$D$66,3,FALSE)</f>
        <v>51</v>
      </c>
      <c r="AI786" t="str">
        <f t="shared" si="38"/>
        <v>M</v>
      </c>
    </row>
    <row r="787" spans="1:35" x14ac:dyDescent="0.2">
      <c r="A787">
        <v>789</v>
      </c>
      <c r="B787" t="s">
        <v>1896</v>
      </c>
      <c r="C787" t="s">
        <v>1897</v>
      </c>
      <c r="D787" t="s">
        <v>32</v>
      </c>
      <c r="E787" t="s">
        <v>122</v>
      </c>
      <c r="F787" t="s">
        <v>34</v>
      </c>
      <c r="G787" t="s">
        <v>123</v>
      </c>
      <c r="J787" t="s">
        <v>1847</v>
      </c>
      <c r="K787" t="s">
        <v>38</v>
      </c>
      <c r="L787" t="s">
        <v>38</v>
      </c>
      <c r="M787" t="s">
        <v>38</v>
      </c>
      <c r="N787" t="s">
        <v>38</v>
      </c>
      <c r="O787" t="s">
        <v>38</v>
      </c>
      <c r="T787" t="s">
        <v>38</v>
      </c>
      <c r="U787">
        <v>0</v>
      </c>
      <c r="W787">
        <v>0</v>
      </c>
      <c r="X787">
        <v>0</v>
      </c>
      <c r="Y787">
        <v>0</v>
      </c>
      <c r="AE787">
        <f t="shared" si="36"/>
        <v>1</v>
      </c>
      <c r="AF787">
        <f>VLOOKUP(D787,especies!$A$2:$C$9,3,FALSE)</f>
        <v>1</v>
      </c>
      <c r="AG787" t="str">
        <f t="shared" si="37"/>
        <v>1-Caniche</v>
      </c>
      <c r="AH787">
        <f>VLOOKUP('Fichas clínicas'!AG787,razas!$A$2:$D$66,3,FALSE)</f>
        <v>4</v>
      </c>
      <c r="AI787" t="str">
        <f t="shared" si="38"/>
        <v>H</v>
      </c>
    </row>
    <row r="788" spans="1:35" x14ac:dyDescent="0.2">
      <c r="A788">
        <v>790</v>
      </c>
      <c r="B788" t="s">
        <v>1898</v>
      </c>
      <c r="C788" t="s">
        <v>1899</v>
      </c>
      <c r="D788" t="s">
        <v>32</v>
      </c>
      <c r="E788" t="s">
        <v>508</v>
      </c>
      <c r="F788" t="s">
        <v>34</v>
      </c>
      <c r="G788" t="s">
        <v>1900</v>
      </c>
      <c r="J788" t="s">
        <v>1285</v>
      </c>
      <c r="K788" t="s">
        <v>38</v>
      </c>
      <c r="L788" t="s">
        <v>38</v>
      </c>
      <c r="M788" t="s">
        <v>38</v>
      </c>
      <c r="N788" t="s">
        <v>38</v>
      </c>
      <c r="O788" t="s">
        <v>38</v>
      </c>
      <c r="T788" t="s">
        <v>38</v>
      </c>
      <c r="U788">
        <v>0</v>
      </c>
      <c r="W788">
        <v>0</v>
      </c>
      <c r="X788">
        <v>0</v>
      </c>
      <c r="Y788">
        <v>0</v>
      </c>
      <c r="AE788">
        <f t="shared" si="36"/>
        <v>1</v>
      </c>
      <c r="AF788">
        <f>VLOOKUP(D788,especies!$A$2:$C$9,3,FALSE)</f>
        <v>1</v>
      </c>
      <c r="AG788" t="str">
        <f t="shared" si="37"/>
        <v>1-Akita Americano</v>
      </c>
      <c r="AH788">
        <f>VLOOKUP('Fichas clínicas'!AG788,razas!$A$2:$D$66,3,FALSE)</f>
        <v>15</v>
      </c>
      <c r="AI788" t="str">
        <f t="shared" si="38"/>
        <v>H</v>
      </c>
    </row>
    <row r="789" spans="1:35" x14ac:dyDescent="0.2">
      <c r="A789">
        <v>791</v>
      </c>
      <c r="B789" t="s">
        <v>1901</v>
      </c>
      <c r="C789" t="s">
        <v>886</v>
      </c>
      <c r="D789" t="s">
        <v>32</v>
      </c>
      <c r="E789" t="s">
        <v>33</v>
      </c>
      <c r="F789" t="s">
        <v>47</v>
      </c>
      <c r="G789" t="s">
        <v>99</v>
      </c>
      <c r="J789" t="s">
        <v>1902</v>
      </c>
      <c r="K789" t="s">
        <v>38</v>
      </c>
      <c r="L789" t="s">
        <v>38</v>
      </c>
      <c r="M789" t="s">
        <v>38</v>
      </c>
      <c r="N789" t="s">
        <v>38</v>
      </c>
      <c r="O789" t="s">
        <v>38</v>
      </c>
      <c r="Q789">
        <v>0</v>
      </c>
      <c r="T789" t="s">
        <v>38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f t="shared" si="36"/>
        <v>1</v>
      </c>
      <c r="AF789">
        <f>VLOOKUP(D789,especies!$A$2:$C$9,3,FALSE)</f>
        <v>1</v>
      </c>
      <c r="AG789" t="str">
        <f t="shared" si="37"/>
        <v>1-Mestizo</v>
      </c>
      <c r="AH789">
        <f>VLOOKUP('Fichas clínicas'!AG789,razas!$A$2:$D$66,3,FALSE)</f>
        <v>1</v>
      </c>
      <c r="AI789" t="str">
        <f t="shared" si="38"/>
        <v>M</v>
      </c>
    </row>
    <row r="790" spans="1:35" x14ac:dyDescent="0.2">
      <c r="A790">
        <v>792</v>
      </c>
      <c r="B790" t="s">
        <v>1903</v>
      </c>
      <c r="C790" t="s">
        <v>1904</v>
      </c>
      <c r="D790" t="s">
        <v>41</v>
      </c>
      <c r="E790" t="s">
        <v>42</v>
      </c>
      <c r="F790" t="s">
        <v>34</v>
      </c>
      <c r="G790" t="s">
        <v>1905</v>
      </c>
      <c r="J790" t="s">
        <v>1079</v>
      </c>
      <c r="K790" t="s">
        <v>38</v>
      </c>
      <c r="L790" t="s">
        <v>38</v>
      </c>
      <c r="M790" t="s">
        <v>38</v>
      </c>
      <c r="N790" t="s">
        <v>38</v>
      </c>
      <c r="O790" t="s">
        <v>38</v>
      </c>
      <c r="T790" t="s">
        <v>38</v>
      </c>
      <c r="U790">
        <v>0</v>
      </c>
      <c r="V790">
        <v>1</v>
      </c>
      <c r="W790">
        <v>0</v>
      </c>
      <c r="X790">
        <v>0</v>
      </c>
      <c r="Y790">
        <v>0</v>
      </c>
      <c r="AE790">
        <f t="shared" si="36"/>
        <v>1</v>
      </c>
      <c r="AF790">
        <f>VLOOKUP(D790,especies!$A$2:$C$9,3,FALSE)</f>
        <v>2</v>
      </c>
      <c r="AG790" t="str">
        <f t="shared" si="37"/>
        <v>2-DPC (Doméstico de pelo corto o DSH)</v>
      </c>
      <c r="AH790">
        <f>VLOOKUP('Fichas clínicas'!AG790,razas!$A$2:$D$66,3,FALSE)</f>
        <v>51</v>
      </c>
      <c r="AI790" t="str">
        <f t="shared" si="38"/>
        <v>H</v>
      </c>
    </row>
    <row r="791" spans="1:35" x14ac:dyDescent="0.2">
      <c r="A791">
        <v>793</v>
      </c>
      <c r="B791" t="s">
        <v>1906</v>
      </c>
      <c r="C791" t="s">
        <v>1907</v>
      </c>
      <c r="D791" t="s">
        <v>32</v>
      </c>
      <c r="E791" t="s">
        <v>33</v>
      </c>
      <c r="F791" t="s">
        <v>34</v>
      </c>
      <c r="G791" t="s">
        <v>99</v>
      </c>
      <c r="J791" t="s">
        <v>1240</v>
      </c>
      <c r="K791" t="s">
        <v>38</v>
      </c>
      <c r="L791" t="s">
        <v>38</v>
      </c>
      <c r="M791" t="s">
        <v>38</v>
      </c>
      <c r="N791" t="s">
        <v>38</v>
      </c>
      <c r="O791" t="s">
        <v>38</v>
      </c>
      <c r="T791" t="s">
        <v>38</v>
      </c>
      <c r="U791">
        <v>0</v>
      </c>
      <c r="V791">
        <v>1</v>
      </c>
      <c r="W791">
        <v>0</v>
      </c>
      <c r="X791">
        <v>0</v>
      </c>
      <c r="Y791">
        <v>0</v>
      </c>
      <c r="AE791">
        <f t="shared" si="36"/>
        <v>1</v>
      </c>
      <c r="AF791">
        <f>VLOOKUP(D791,especies!$A$2:$C$9,3,FALSE)</f>
        <v>1</v>
      </c>
      <c r="AG791" t="str">
        <f t="shared" si="37"/>
        <v>1-Mestizo</v>
      </c>
      <c r="AH791">
        <f>VLOOKUP('Fichas clínicas'!AG791,razas!$A$2:$D$66,3,FALSE)</f>
        <v>1</v>
      </c>
      <c r="AI791" t="str">
        <f t="shared" si="38"/>
        <v>H</v>
      </c>
    </row>
    <row r="792" spans="1:35" x14ac:dyDescent="0.2">
      <c r="A792">
        <v>794</v>
      </c>
      <c r="B792" t="s">
        <v>1908</v>
      </c>
      <c r="C792" t="s">
        <v>1909</v>
      </c>
      <c r="D792" t="s">
        <v>32</v>
      </c>
      <c r="E792" t="s">
        <v>508</v>
      </c>
      <c r="F792" t="s">
        <v>47</v>
      </c>
      <c r="G792" t="s">
        <v>1402</v>
      </c>
      <c r="J792" t="s">
        <v>1910</v>
      </c>
      <c r="K792" t="s">
        <v>38</v>
      </c>
      <c r="L792" t="s">
        <v>38</v>
      </c>
      <c r="M792" t="s">
        <v>38</v>
      </c>
      <c r="N792" t="s">
        <v>38</v>
      </c>
      <c r="O792" t="s">
        <v>38</v>
      </c>
      <c r="Q792">
        <v>0</v>
      </c>
      <c r="T792" t="s">
        <v>38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f t="shared" si="36"/>
        <v>1</v>
      </c>
      <c r="AF792">
        <f>VLOOKUP(D792,especies!$A$2:$C$9,3,FALSE)</f>
        <v>1</v>
      </c>
      <c r="AG792" t="str">
        <f t="shared" si="37"/>
        <v>1-Akita Americano</v>
      </c>
      <c r="AH792">
        <f>VLOOKUP('Fichas clínicas'!AG792,razas!$A$2:$D$66,3,FALSE)</f>
        <v>15</v>
      </c>
      <c r="AI792" t="str">
        <f t="shared" si="38"/>
        <v>M</v>
      </c>
    </row>
    <row r="793" spans="1:35" x14ac:dyDescent="0.2">
      <c r="A793">
        <v>795</v>
      </c>
      <c r="B793" t="s">
        <v>1911</v>
      </c>
      <c r="C793" t="s">
        <v>1912</v>
      </c>
      <c r="D793" t="s">
        <v>41</v>
      </c>
      <c r="E793" t="s">
        <v>42</v>
      </c>
      <c r="F793" t="s">
        <v>47</v>
      </c>
      <c r="G793" t="s">
        <v>1769</v>
      </c>
      <c r="J793" t="s">
        <v>393</v>
      </c>
      <c r="K793" t="s">
        <v>38</v>
      </c>
      <c r="L793" t="s">
        <v>38</v>
      </c>
      <c r="M793" t="s">
        <v>38</v>
      </c>
      <c r="N793" t="s">
        <v>38</v>
      </c>
      <c r="O793" t="s">
        <v>38</v>
      </c>
      <c r="T793" t="s">
        <v>38</v>
      </c>
      <c r="U793">
        <v>0</v>
      </c>
      <c r="W793">
        <v>0</v>
      </c>
      <c r="X793">
        <v>0</v>
      </c>
      <c r="Y793">
        <v>0</v>
      </c>
      <c r="AE793">
        <f t="shared" si="36"/>
        <v>1</v>
      </c>
      <c r="AF793">
        <f>VLOOKUP(D793,especies!$A$2:$C$9,3,FALSE)</f>
        <v>2</v>
      </c>
      <c r="AG793" t="str">
        <f t="shared" si="37"/>
        <v>2-DPC (Doméstico de pelo corto o DSH)</v>
      </c>
      <c r="AH793">
        <f>VLOOKUP('Fichas clínicas'!AG793,razas!$A$2:$D$66,3,FALSE)</f>
        <v>51</v>
      </c>
      <c r="AI793" t="str">
        <f t="shared" si="38"/>
        <v>M</v>
      </c>
    </row>
    <row r="794" spans="1:35" x14ac:dyDescent="0.2">
      <c r="A794">
        <v>796</v>
      </c>
      <c r="B794" t="s">
        <v>1913</v>
      </c>
      <c r="C794" t="s">
        <v>1914</v>
      </c>
      <c r="D794" t="s">
        <v>32</v>
      </c>
      <c r="E794" t="s">
        <v>33</v>
      </c>
      <c r="F794" t="s">
        <v>34</v>
      </c>
      <c r="G794" t="s">
        <v>1915</v>
      </c>
      <c r="J794" t="s">
        <v>1810</v>
      </c>
      <c r="K794" t="s">
        <v>38</v>
      </c>
      <c r="L794" t="s">
        <v>38</v>
      </c>
      <c r="M794" t="s">
        <v>38</v>
      </c>
      <c r="N794" t="s">
        <v>38</v>
      </c>
      <c r="O794" t="s">
        <v>38</v>
      </c>
      <c r="T794" t="s">
        <v>38</v>
      </c>
      <c r="U794">
        <v>0</v>
      </c>
      <c r="W794">
        <v>0</v>
      </c>
      <c r="X794">
        <v>0</v>
      </c>
      <c r="Y794">
        <v>0</v>
      </c>
      <c r="AE794">
        <f t="shared" si="36"/>
        <v>1</v>
      </c>
      <c r="AF794">
        <f>VLOOKUP(D794,especies!$A$2:$C$9,3,FALSE)</f>
        <v>1</v>
      </c>
      <c r="AG794" t="str">
        <f t="shared" si="37"/>
        <v>1-Mestizo</v>
      </c>
      <c r="AH794">
        <f>VLOOKUP('Fichas clínicas'!AG794,razas!$A$2:$D$66,3,FALSE)</f>
        <v>1</v>
      </c>
      <c r="AI794" t="str">
        <f t="shared" si="38"/>
        <v>H</v>
      </c>
    </row>
    <row r="795" spans="1:35" x14ac:dyDescent="0.2">
      <c r="A795">
        <v>797</v>
      </c>
      <c r="B795" t="s">
        <v>1475</v>
      </c>
      <c r="C795" t="s">
        <v>1916</v>
      </c>
      <c r="D795" t="s">
        <v>32</v>
      </c>
      <c r="E795" t="s">
        <v>438</v>
      </c>
      <c r="F795" t="s">
        <v>47</v>
      </c>
      <c r="G795" t="s">
        <v>1917</v>
      </c>
      <c r="J795" t="s">
        <v>1918</v>
      </c>
      <c r="K795" t="s">
        <v>38</v>
      </c>
      <c r="L795" t="s">
        <v>38</v>
      </c>
      <c r="M795" t="s">
        <v>38</v>
      </c>
      <c r="N795" t="s">
        <v>38</v>
      </c>
      <c r="O795" t="s">
        <v>38</v>
      </c>
      <c r="Q795">
        <v>1</v>
      </c>
      <c r="T795" t="s">
        <v>38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f t="shared" si="36"/>
        <v>1</v>
      </c>
      <c r="AF795">
        <f>VLOOKUP(D795,especies!$A$2:$C$9,3,FALSE)</f>
        <v>1</v>
      </c>
      <c r="AG795" t="str">
        <f t="shared" si="37"/>
        <v>1-Ovejero Alemán</v>
      </c>
      <c r="AH795">
        <f>VLOOKUP('Fichas clínicas'!AG795,razas!$A$2:$D$66,3,FALSE)</f>
        <v>12</v>
      </c>
      <c r="AI795" t="str">
        <f t="shared" si="38"/>
        <v>M</v>
      </c>
    </row>
    <row r="796" spans="1:35" x14ac:dyDescent="0.2">
      <c r="A796">
        <v>798</v>
      </c>
      <c r="B796" t="s">
        <v>1919</v>
      </c>
      <c r="C796" t="s">
        <v>1920</v>
      </c>
      <c r="D796" t="s">
        <v>41</v>
      </c>
      <c r="E796" t="s">
        <v>42</v>
      </c>
      <c r="F796" t="s">
        <v>47</v>
      </c>
      <c r="G796" t="s">
        <v>1921</v>
      </c>
      <c r="J796" t="s">
        <v>1810</v>
      </c>
      <c r="K796" t="s">
        <v>38</v>
      </c>
      <c r="L796" t="s">
        <v>38</v>
      </c>
      <c r="M796" t="s">
        <v>38</v>
      </c>
      <c r="N796" t="s">
        <v>38</v>
      </c>
      <c r="O796" t="s">
        <v>38</v>
      </c>
      <c r="Q796">
        <v>0</v>
      </c>
      <c r="T796" t="s">
        <v>38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f t="shared" si="36"/>
        <v>1</v>
      </c>
      <c r="AF796">
        <f>VLOOKUP(D796,especies!$A$2:$C$9,3,FALSE)</f>
        <v>2</v>
      </c>
      <c r="AG796" t="str">
        <f t="shared" si="37"/>
        <v>2-DPC (Doméstico de pelo corto o DSH)</v>
      </c>
      <c r="AH796">
        <f>VLOOKUP('Fichas clínicas'!AG796,razas!$A$2:$D$66,3,FALSE)</f>
        <v>51</v>
      </c>
      <c r="AI796" t="str">
        <f t="shared" si="38"/>
        <v>M</v>
      </c>
    </row>
    <row r="797" spans="1:35" x14ac:dyDescent="0.2">
      <c r="A797">
        <v>799</v>
      </c>
      <c r="B797" t="s">
        <v>1922</v>
      </c>
      <c r="C797" t="s">
        <v>1923</v>
      </c>
      <c r="D797" t="s">
        <v>32</v>
      </c>
      <c r="E797" t="s">
        <v>33</v>
      </c>
      <c r="F797" t="s">
        <v>34</v>
      </c>
      <c r="G797" t="s">
        <v>1759</v>
      </c>
      <c r="J797" t="s">
        <v>1406</v>
      </c>
      <c r="K797" t="s">
        <v>38</v>
      </c>
      <c r="L797" t="s">
        <v>38</v>
      </c>
      <c r="M797" t="s">
        <v>38</v>
      </c>
      <c r="N797" t="s">
        <v>38</v>
      </c>
      <c r="O797" t="s">
        <v>38</v>
      </c>
      <c r="T797" t="s">
        <v>38</v>
      </c>
      <c r="U797">
        <v>0</v>
      </c>
      <c r="V797">
        <v>1</v>
      </c>
      <c r="W797">
        <v>0</v>
      </c>
      <c r="X797">
        <v>0</v>
      </c>
      <c r="Y797">
        <v>0</v>
      </c>
      <c r="AE797">
        <f t="shared" si="36"/>
        <v>1</v>
      </c>
      <c r="AF797">
        <f>VLOOKUP(D797,especies!$A$2:$C$9,3,FALSE)</f>
        <v>1</v>
      </c>
      <c r="AG797" t="str">
        <f t="shared" si="37"/>
        <v>1-Mestizo</v>
      </c>
      <c r="AH797">
        <f>VLOOKUP('Fichas clínicas'!AG797,razas!$A$2:$D$66,3,FALSE)</f>
        <v>1</v>
      </c>
      <c r="AI797" t="str">
        <f t="shared" si="38"/>
        <v>H</v>
      </c>
    </row>
    <row r="798" spans="1:35" x14ac:dyDescent="0.2">
      <c r="A798">
        <v>800</v>
      </c>
      <c r="B798" t="s">
        <v>1924</v>
      </c>
      <c r="C798" t="s">
        <v>1925</v>
      </c>
      <c r="D798" t="s">
        <v>32</v>
      </c>
      <c r="E798" t="s">
        <v>33</v>
      </c>
      <c r="F798" t="s">
        <v>47</v>
      </c>
      <c r="G798" t="s">
        <v>694</v>
      </c>
      <c r="J798" t="s">
        <v>1810</v>
      </c>
      <c r="K798" t="s">
        <v>38</v>
      </c>
      <c r="L798" t="s">
        <v>38</v>
      </c>
      <c r="M798" t="s">
        <v>38</v>
      </c>
      <c r="N798" t="s">
        <v>38</v>
      </c>
      <c r="O798" t="s">
        <v>38</v>
      </c>
      <c r="T798" t="s">
        <v>38</v>
      </c>
      <c r="U798">
        <v>0</v>
      </c>
      <c r="W798">
        <v>0</v>
      </c>
      <c r="X798">
        <v>0</v>
      </c>
      <c r="Y798">
        <v>0</v>
      </c>
      <c r="AE798">
        <f t="shared" si="36"/>
        <v>1</v>
      </c>
      <c r="AF798">
        <f>VLOOKUP(D798,especies!$A$2:$C$9,3,FALSE)</f>
        <v>1</v>
      </c>
      <c r="AG798" t="str">
        <f t="shared" si="37"/>
        <v>1-Mestizo</v>
      </c>
      <c r="AH798">
        <f>VLOOKUP('Fichas clínicas'!AG798,razas!$A$2:$D$66,3,FALSE)</f>
        <v>1</v>
      </c>
      <c r="AI798" t="str">
        <f t="shared" si="38"/>
        <v>M</v>
      </c>
    </row>
    <row r="799" spans="1:35" x14ac:dyDescent="0.2">
      <c r="A799">
        <v>801</v>
      </c>
      <c r="B799" t="s">
        <v>1926</v>
      </c>
      <c r="C799" t="s">
        <v>1927</v>
      </c>
      <c r="D799" t="s">
        <v>32</v>
      </c>
      <c r="E799" t="s">
        <v>33</v>
      </c>
      <c r="F799" t="s">
        <v>47</v>
      </c>
      <c r="G799" t="s">
        <v>1928</v>
      </c>
      <c r="J799" t="s">
        <v>1929</v>
      </c>
      <c r="K799" t="s">
        <v>38</v>
      </c>
      <c r="L799" t="s">
        <v>38</v>
      </c>
      <c r="M799" t="s">
        <v>38</v>
      </c>
      <c r="N799" t="s">
        <v>38</v>
      </c>
      <c r="O799" t="s">
        <v>38</v>
      </c>
      <c r="Q799">
        <v>0</v>
      </c>
      <c r="T799" t="s">
        <v>38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f t="shared" si="36"/>
        <v>1</v>
      </c>
      <c r="AF799">
        <f>VLOOKUP(D799,especies!$A$2:$C$9,3,FALSE)</f>
        <v>1</v>
      </c>
      <c r="AG799" t="str">
        <f t="shared" si="37"/>
        <v>1-Mestizo</v>
      </c>
      <c r="AH799">
        <f>VLOOKUP('Fichas clínicas'!AG799,razas!$A$2:$D$66,3,FALSE)</f>
        <v>1</v>
      </c>
      <c r="AI799" t="str">
        <f t="shared" si="38"/>
        <v>M</v>
      </c>
    </row>
    <row r="800" spans="1:35" x14ac:dyDescent="0.2">
      <c r="A800">
        <v>802</v>
      </c>
      <c r="B800" t="s">
        <v>1930</v>
      </c>
      <c r="C800" t="s">
        <v>1931</v>
      </c>
      <c r="D800" t="s">
        <v>32</v>
      </c>
      <c r="E800" t="s">
        <v>143</v>
      </c>
      <c r="F800" t="s">
        <v>47</v>
      </c>
      <c r="G800" t="s">
        <v>1560</v>
      </c>
      <c r="J800" t="s">
        <v>1932</v>
      </c>
      <c r="K800" t="s">
        <v>38</v>
      </c>
      <c r="L800" t="s">
        <v>38</v>
      </c>
      <c r="M800" t="s">
        <v>38</v>
      </c>
      <c r="N800" t="s">
        <v>38</v>
      </c>
      <c r="O800" t="s">
        <v>38</v>
      </c>
      <c r="T800" t="s">
        <v>38</v>
      </c>
      <c r="U800">
        <v>0</v>
      </c>
      <c r="W800">
        <v>0</v>
      </c>
      <c r="X800">
        <v>0</v>
      </c>
      <c r="Y800">
        <v>0</v>
      </c>
      <c r="AE800">
        <f t="shared" si="36"/>
        <v>1</v>
      </c>
      <c r="AF800">
        <f>VLOOKUP(D800,especies!$A$2:$C$9,3,FALSE)</f>
        <v>1</v>
      </c>
      <c r="AG800" t="str">
        <f t="shared" si="37"/>
        <v>1-Yorkshire Terrier</v>
      </c>
      <c r="AH800">
        <f>VLOOKUP('Fichas clínicas'!AG800,razas!$A$2:$D$66,3,FALSE)</f>
        <v>5</v>
      </c>
      <c r="AI800" t="str">
        <f t="shared" si="38"/>
        <v>M</v>
      </c>
    </row>
    <row r="801" spans="1:35" x14ac:dyDescent="0.2">
      <c r="A801">
        <v>803</v>
      </c>
      <c r="B801" t="s">
        <v>831</v>
      </c>
      <c r="C801" t="s">
        <v>1933</v>
      </c>
      <c r="D801" t="s">
        <v>32</v>
      </c>
      <c r="E801" t="s">
        <v>33</v>
      </c>
      <c r="F801" t="s">
        <v>34</v>
      </c>
      <c r="G801" t="s">
        <v>300</v>
      </c>
      <c r="J801" t="s">
        <v>37</v>
      </c>
      <c r="K801" t="s">
        <v>38</v>
      </c>
      <c r="L801" t="s">
        <v>38</v>
      </c>
      <c r="M801" t="s">
        <v>38</v>
      </c>
      <c r="N801" t="s">
        <v>38</v>
      </c>
      <c r="O801" t="s">
        <v>38</v>
      </c>
      <c r="T801" t="s">
        <v>38</v>
      </c>
      <c r="U801">
        <v>0</v>
      </c>
      <c r="W801">
        <v>0</v>
      </c>
      <c r="X801">
        <v>0</v>
      </c>
      <c r="Y801">
        <v>0</v>
      </c>
      <c r="AE801">
        <f t="shared" si="36"/>
        <v>1</v>
      </c>
      <c r="AF801">
        <f>VLOOKUP(D801,especies!$A$2:$C$9,3,FALSE)</f>
        <v>1</v>
      </c>
      <c r="AG801" t="str">
        <f t="shared" si="37"/>
        <v>1-Mestizo</v>
      </c>
      <c r="AH801">
        <f>VLOOKUP('Fichas clínicas'!AG801,razas!$A$2:$D$66,3,FALSE)</f>
        <v>1</v>
      </c>
      <c r="AI801" t="str">
        <f t="shared" si="38"/>
        <v>H</v>
      </c>
    </row>
    <row r="802" spans="1:35" x14ac:dyDescent="0.2">
      <c r="A802">
        <v>804</v>
      </c>
      <c r="B802" t="s">
        <v>1934</v>
      </c>
      <c r="C802" t="s">
        <v>1935</v>
      </c>
      <c r="D802" t="s">
        <v>32</v>
      </c>
      <c r="E802" t="s">
        <v>33</v>
      </c>
      <c r="F802" t="s">
        <v>47</v>
      </c>
      <c r="G802" t="s">
        <v>284</v>
      </c>
      <c r="J802" t="s">
        <v>1936</v>
      </c>
      <c r="K802" t="s">
        <v>38</v>
      </c>
      <c r="L802" t="s">
        <v>38</v>
      </c>
      <c r="M802" t="s">
        <v>38</v>
      </c>
      <c r="N802" t="s">
        <v>38</v>
      </c>
      <c r="O802" t="s">
        <v>38</v>
      </c>
      <c r="Q802">
        <v>0</v>
      </c>
      <c r="T802" t="s">
        <v>38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f t="shared" si="36"/>
        <v>1</v>
      </c>
      <c r="AF802">
        <f>VLOOKUP(D802,especies!$A$2:$C$9,3,FALSE)</f>
        <v>1</v>
      </c>
      <c r="AG802" t="str">
        <f t="shared" si="37"/>
        <v>1-Mestizo</v>
      </c>
      <c r="AH802">
        <f>VLOOKUP('Fichas clínicas'!AG802,razas!$A$2:$D$66,3,FALSE)</f>
        <v>1</v>
      </c>
      <c r="AI802" t="str">
        <f t="shared" si="38"/>
        <v>M</v>
      </c>
    </row>
    <row r="803" spans="1:35" x14ac:dyDescent="0.2">
      <c r="A803">
        <v>805</v>
      </c>
      <c r="B803" t="s">
        <v>1937</v>
      </c>
      <c r="C803" t="s">
        <v>1938</v>
      </c>
      <c r="D803" t="s">
        <v>32</v>
      </c>
      <c r="E803" t="s">
        <v>150</v>
      </c>
      <c r="F803" t="s">
        <v>34</v>
      </c>
      <c r="G803" t="s">
        <v>123</v>
      </c>
      <c r="J803" t="s">
        <v>459</v>
      </c>
      <c r="K803" t="s">
        <v>38</v>
      </c>
      <c r="L803" t="s">
        <v>38</v>
      </c>
      <c r="M803" t="s">
        <v>38</v>
      </c>
      <c r="N803" t="s">
        <v>38</v>
      </c>
      <c r="O803" t="s">
        <v>38</v>
      </c>
      <c r="T803" t="s">
        <v>38</v>
      </c>
      <c r="U803">
        <v>0</v>
      </c>
      <c r="W803">
        <v>0</v>
      </c>
      <c r="X803">
        <v>0</v>
      </c>
      <c r="Y803">
        <v>0</v>
      </c>
      <c r="AE803">
        <f t="shared" si="36"/>
        <v>1</v>
      </c>
      <c r="AF803">
        <f>VLOOKUP(D803,especies!$A$2:$C$9,3,FALSE)</f>
        <v>1</v>
      </c>
      <c r="AG803" t="str">
        <f t="shared" si="37"/>
        <v>1-Poodle</v>
      </c>
      <c r="AH803">
        <f>VLOOKUP('Fichas clínicas'!AG803,razas!$A$2:$D$66,3,FALSE)</f>
        <v>6</v>
      </c>
      <c r="AI803" t="str">
        <f t="shared" si="38"/>
        <v>H</v>
      </c>
    </row>
    <row r="804" spans="1:35" x14ac:dyDescent="0.2">
      <c r="A804">
        <v>806</v>
      </c>
      <c r="B804" t="s">
        <v>1939</v>
      </c>
      <c r="C804" t="s">
        <v>1940</v>
      </c>
      <c r="D804" t="s">
        <v>32</v>
      </c>
      <c r="E804" t="s">
        <v>164</v>
      </c>
      <c r="F804" t="s">
        <v>47</v>
      </c>
      <c r="G804" t="s">
        <v>1402</v>
      </c>
      <c r="J804" t="s">
        <v>1941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T804" t="s">
        <v>38</v>
      </c>
      <c r="U804">
        <v>0</v>
      </c>
      <c r="W804">
        <v>0</v>
      </c>
      <c r="X804">
        <v>0</v>
      </c>
      <c r="Y804">
        <v>0</v>
      </c>
      <c r="AE804">
        <f t="shared" si="36"/>
        <v>1</v>
      </c>
      <c r="AF804">
        <f>VLOOKUP(D804,especies!$A$2:$C$9,3,FALSE)</f>
        <v>1</v>
      </c>
      <c r="AG804" t="str">
        <f t="shared" si="37"/>
        <v>1-Teckel</v>
      </c>
      <c r="AH804">
        <f>VLOOKUP('Fichas clínicas'!AG804,razas!$A$2:$D$66,3,FALSE)</f>
        <v>8</v>
      </c>
      <c r="AI804" t="str">
        <f t="shared" si="38"/>
        <v>M</v>
      </c>
    </row>
    <row r="805" spans="1:35" x14ac:dyDescent="0.2">
      <c r="A805">
        <v>807</v>
      </c>
      <c r="B805" t="s">
        <v>1942</v>
      </c>
      <c r="C805" t="s">
        <v>1943</v>
      </c>
      <c r="D805" t="s">
        <v>41</v>
      </c>
      <c r="E805" t="s">
        <v>93</v>
      </c>
      <c r="F805" t="s">
        <v>47</v>
      </c>
      <c r="G805" t="s">
        <v>1837</v>
      </c>
      <c r="I805">
        <v>939000007188551</v>
      </c>
      <c r="J805" t="s">
        <v>87</v>
      </c>
      <c r="K805" t="s">
        <v>38</v>
      </c>
      <c r="L805" t="s">
        <v>38</v>
      </c>
      <c r="M805" t="s">
        <v>38</v>
      </c>
      <c r="N805" t="s">
        <v>38</v>
      </c>
      <c r="O805" t="s">
        <v>38</v>
      </c>
      <c r="Q805">
        <v>0</v>
      </c>
      <c r="T805" t="s">
        <v>38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f t="shared" si="36"/>
        <v>1</v>
      </c>
      <c r="AF805">
        <f>VLOOKUP(D805,especies!$A$2:$C$9,3,FALSE)</f>
        <v>2</v>
      </c>
      <c r="AG805" t="str">
        <f t="shared" si="37"/>
        <v>2-DPL (Doméstico de pelo Largo o DLH)</v>
      </c>
      <c r="AH805">
        <f>VLOOKUP('Fichas clínicas'!AG805,razas!$A$2:$D$66,3,FALSE)</f>
        <v>52</v>
      </c>
      <c r="AI805" t="str">
        <f t="shared" si="38"/>
        <v>M</v>
      </c>
    </row>
    <row r="806" spans="1:35" x14ac:dyDescent="0.2">
      <c r="A806">
        <v>808</v>
      </c>
      <c r="B806" t="s">
        <v>1944</v>
      </c>
      <c r="C806" t="s">
        <v>1773</v>
      </c>
      <c r="D806" t="s">
        <v>41</v>
      </c>
      <c r="E806" t="s">
        <v>93</v>
      </c>
      <c r="F806" t="s">
        <v>34</v>
      </c>
      <c r="G806" t="s">
        <v>1945</v>
      </c>
      <c r="J806" t="s">
        <v>87</v>
      </c>
      <c r="K806" t="s">
        <v>38</v>
      </c>
      <c r="L806" t="s">
        <v>38</v>
      </c>
      <c r="M806" t="s">
        <v>38</v>
      </c>
      <c r="N806" t="s">
        <v>38</v>
      </c>
      <c r="O806" t="s">
        <v>38</v>
      </c>
      <c r="T806" t="s">
        <v>38</v>
      </c>
      <c r="U806">
        <v>0</v>
      </c>
      <c r="V806">
        <v>1</v>
      </c>
      <c r="W806">
        <v>0</v>
      </c>
      <c r="X806">
        <v>0</v>
      </c>
      <c r="Y806">
        <v>0</v>
      </c>
      <c r="AE806">
        <f t="shared" si="36"/>
        <v>1</v>
      </c>
      <c r="AF806">
        <f>VLOOKUP(D806,especies!$A$2:$C$9,3,FALSE)</f>
        <v>2</v>
      </c>
      <c r="AG806" t="str">
        <f t="shared" si="37"/>
        <v>2-DPL (Doméstico de pelo Largo o DLH)</v>
      </c>
      <c r="AH806">
        <f>VLOOKUP('Fichas clínicas'!AG806,razas!$A$2:$D$66,3,FALSE)</f>
        <v>52</v>
      </c>
      <c r="AI806" t="str">
        <f t="shared" si="38"/>
        <v>H</v>
      </c>
    </row>
    <row r="807" spans="1:35" x14ac:dyDescent="0.2">
      <c r="A807">
        <v>809</v>
      </c>
      <c r="B807" t="s">
        <v>1946</v>
      </c>
      <c r="C807" t="s">
        <v>1947</v>
      </c>
      <c r="D807" t="s">
        <v>32</v>
      </c>
      <c r="E807" t="s">
        <v>143</v>
      </c>
      <c r="F807" t="s">
        <v>47</v>
      </c>
      <c r="G807" t="s">
        <v>1948</v>
      </c>
      <c r="J807" t="s">
        <v>1949</v>
      </c>
      <c r="K807" t="s">
        <v>38</v>
      </c>
      <c r="L807" t="s">
        <v>38</v>
      </c>
      <c r="M807" t="s">
        <v>38</v>
      </c>
      <c r="N807" t="s">
        <v>38</v>
      </c>
      <c r="O807" t="s">
        <v>38</v>
      </c>
      <c r="Q807">
        <v>0</v>
      </c>
      <c r="T807" t="s">
        <v>38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f t="shared" si="36"/>
        <v>1</v>
      </c>
      <c r="AF807">
        <f>VLOOKUP(D807,especies!$A$2:$C$9,3,FALSE)</f>
        <v>1</v>
      </c>
      <c r="AG807" t="str">
        <f t="shared" si="37"/>
        <v>1-Yorkshire Terrier</v>
      </c>
      <c r="AH807">
        <f>VLOOKUP('Fichas clínicas'!AG807,razas!$A$2:$D$66,3,FALSE)</f>
        <v>5</v>
      </c>
      <c r="AI807" t="str">
        <f t="shared" si="38"/>
        <v>M</v>
      </c>
    </row>
    <row r="808" spans="1:35" x14ac:dyDescent="0.2">
      <c r="A808">
        <v>810</v>
      </c>
      <c r="B808" t="s">
        <v>634</v>
      </c>
      <c r="C808" t="s">
        <v>1950</v>
      </c>
      <c r="D808" t="s">
        <v>41</v>
      </c>
      <c r="E808" t="s">
        <v>42</v>
      </c>
      <c r="F808" t="s">
        <v>34</v>
      </c>
      <c r="G808" t="s">
        <v>1276</v>
      </c>
      <c r="J808" t="s">
        <v>1951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T808" t="s">
        <v>38</v>
      </c>
      <c r="U808">
        <v>0</v>
      </c>
      <c r="W808">
        <v>0</v>
      </c>
      <c r="X808">
        <v>0</v>
      </c>
      <c r="Y808">
        <v>0</v>
      </c>
      <c r="AE808">
        <f t="shared" si="36"/>
        <v>1</v>
      </c>
      <c r="AF808">
        <f>VLOOKUP(D808,especies!$A$2:$C$9,3,FALSE)</f>
        <v>2</v>
      </c>
      <c r="AG808" t="str">
        <f t="shared" si="37"/>
        <v>2-DPC (Doméstico de pelo corto o DSH)</v>
      </c>
      <c r="AH808">
        <f>VLOOKUP('Fichas clínicas'!AG808,razas!$A$2:$D$66,3,FALSE)</f>
        <v>51</v>
      </c>
      <c r="AI808" t="str">
        <f t="shared" si="38"/>
        <v>H</v>
      </c>
    </row>
    <row r="809" spans="1:35" x14ac:dyDescent="0.2">
      <c r="A809">
        <v>811</v>
      </c>
      <c r="B809" t="s">
        <v>1952</v>
      </c>
      <c r="C809" t="s">
        <v>276</v>
      </c>
      <c r="D809" t="s">
        <v>32</v>
      </c>
      <c r="E809" t="s">
        <v>164</v>
      </c>
      <c r="F809" t="s">
        <v>47</v>
      </c>
      <c r="G809" t="s">
        <v>54</v>
      </c>
      <c r="J809" t="s">
        <v>1953</v>
      </c>
      <c r="K809" t="s">
        <v>38</v>
      </c>
      <c r="L809" t="s">
        <v>38</v>
      </c>
      <c r="M809" t="s">
        <v>38</v>
      </c>
      <c r="N809" t="s">
        <v>38</v>
      </c>
      <c r="O809" t="s">
        <v>38</v>
      </c>
      <c r="T809" t="s">
        <v>38</v>
      </c>
      <c r="U809">
        <v>0</v>
      </c>
      <c r="V809">
        <v>1</v>
      </c>
      <c r="W809">
        <v>0</v>
      </c>
      <c r="X809">
        <v>0</v>
      </c>
      <c r="Y809">
        <v>0</v>
      </c>
      <c r="AE809">
        <f t="shared" si="36"/>
        <v>1</v>
      </c>
      <c r="AF809">
        <f>VLOOKUP(D809,especies!$A$2:$C$9,3,FALSE)</f>
        <v>1</v>
      </c>
      <c r="AG809" t="str">
        <f t="shared" si="37"/>
        <v>1-Teckel</v>
      </c>
      <c r="AH809">
        <f>VLOOKUP('Fichas clínicas'!AG809,razas!$A$2:$D$66,3,FALSE)</f>
        <v>8</v>
      </c>
      <c r="AI809" t="str">
        <f t="shared" si="38"/>
        <v>M</v>
      </c>
    </row>
    <row r="810" spans="1:35" x14ac:dyDescent="0.2">
      <c r="A810">
        <v>812</v>
      </c>
      <c r="B810" t="s">
        <v>1954</v>
      </c>
      <c r="C810" t="s">
        <v>1955</v>
      </c>
      <c r="D810" t="s">
        <v>32</v>
      </c>
      <c r="E810" t="s">
        <v>150</v>
      </c>
      <c r="F810" t="s">
        <v>47</v>
      </c>
      <c r="G810" t="s">
        <v>123</v>
      </c>
      <c r="J810" t="s">
        <v>1956</v>
      </c>
      <c r="K810" t="s">
        <v>38</v>
      </c>
      <c r="L810" t="s">
        <v>38</v>
      </c>
      <c r="M810" t="s">
        <v>38</v>
      </c>
      <c r="N810" t="s">
        <v>38</v>
      </c>
      <c r="O810" t="s">
        <v>38</v>
      </c>
      <c r="T810" t="s">
        <v>38</v>
      </c>
      <c r="U810">
        <v>0</v>
      </c>
      <c r="V810">
        <v>1</v>
      </c>
      <c r="W810">
        <v>0</v>
      </c>
      <c r="X810">
        <v>0</v>
      </c>
      <c r="Y810">
        <v>0</v>
      </c>
      <c r="AE810">
        <f t="shared" si="36"/>
        <v>1</v>
      </c>
      <c r="AF810">
        <f>VLOOKUP(D810,especies!$A$2:$C$9,3,FALSE)</f>
        <v>1</v>
      </c>
      <c r="AG810" t="str">
        <f t="shared" si="37"/>
        <v>1-Poodle</v>
      </c>
      <c r="AH810">
        <f>VLOOKUP('Fichas clínicas'!AG810,razas!$A$2:$D$66,3,FALSE)</f>
        <v>6</v>
      </c>
      <c r="AI810" t="str">
        <f t="shared" si="38"/>
        <v>M</v>
      </c>
    </row>
    <row r="811" spans="1:35" x14ac:dyDescent="0.2">
      <c r="A811">
        <v>813</v>
      </c>
      <c r="B811" t="s">
        <v>243</v>
      </c>
      <c r="C811" t="s">
        <v>1957</v>
      </c>
      <c r="D811" t="s">
        <v>32</v>
      </c>
      <c r="E811" t="s">
        <v>545</v>
      </c>
      <c r="F811" t="s">
        <v>47</v>
      </c>
      <c r="G811" t="s">
        <v>656</v>
      </c>
      <c r="J811" t="s">
        <v>1958</v>
      </c>
      <c r="K811" t="s">
        <v>38</v>
      </c>
      <c r="L811" t="s">
        <v>38</v>
      </c>
      <c r="M811" t="s">
        <v>38</v>
      </c>
      <c r="N811" t="s">
        <v>38</v>
      </c>
      <c r="O811" t="s">
        <v>38</v>
      </c>
      <c r="T811" t="s">
        <v>38</v>
      </c>
      <c r="U811">
        <v>0</v>
      </c>
      <c r="W811">
        <v>0</v>
      </c>
      <c r="X811">
        <v>0</v>
      </c>
      <c r="Y811">
        <v>0</v>
      </c>
      <c r="AE811">
        <f t="shared" si="36"/>
        <v>1</v>
      </c>
      <c r="AF811">
        <f>VLOOKUP(D811,especies!$A$2:$C$9,3,FALSE)</f>
        <v>1</v>
      </c>
      <c r="AG811" t="str">
        <f t="shared" si="37"/>
        <v>1-Golden Retriever</v>
      </c>
      <c r="AH811">
        <f>VLOOKUP('Fichas clínicas'!AG811,razas!$A$2:$D$66,3,FALSE)</f>
        <v>16</v>
      </c>
      <c r="AI811" t="str">
        <f t="shared" si="38"/>
        <v>M</v>
      </c>
    </row>
    <row r="812" spans="1:35" x14ac:dyDescent="0.2">
      <c r="A812">
        <v>814</v>
      </c>
      <c r="B812" t="s">
        <v>1959</v>
      </c>
      <c r="C812" t="s">
        <v>1960</v>
      </c>
      <c r="D812" t="s">
        <v>32</v>
      </c>
      <c r="E812" t="s">
        <v>33</v>
      </c>
      <c r="F812" t="s">
        <v>47</v>
      </c>
      <c r="G812" t="s">
        <v>1961</v>
      </c>
      <c r="J812" t="s">
        <v>1821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T812" t="s">
        <v>38</v>
      </c>
      <c r="U812">
        <v>0</v>
      </c>
      <c r="W812">
        <v>0</v>
      </c>
      <c r="X812">
        <v>0</v>
      </c>
      <c r="Y812">
        <v>0</v>
      </c>
      <c r="AE812">
        <f t="shared" si="36"/>
        <v>1</v>
      </c>
      <c r="AF812">
        <f>VLOOKUP(D812,especies!$A$2:$C$9,3,FALSE)</f>
        <v>1</v>
      </c>
      <c r="AG812" t="str">
        <f t="shared" si="37"/>
        <v>1-Mestizo</v>
      </c>
      <c r="AH812">
        <f>VLOOKUP('Fichas clínicas'!AG812,razas!$A$2:$D$66,3,FALSE)</f>
        <v>1</v>
      </c>
      <c r="AI812" t="str">
        <f t="shared" si="38"/>
        <v>M</v>
      </c>
    </row>
    <row r="813" spans="1:35" x14ac:dyDescent="0.2">
      <c r="A813">
        <v>815</v>
      </c>
      <c r="B813" t="s">
        <v>1962</v>
      </c>
      <c r="C813" t="s">
        <v>981</v>
      </c>
      <c r="D813" t="s">
        <v>32</v>
      </c>
      <c r="E813" t="s">
        <v>1963</v>
      </c>
      <c r="F813" t="s">
        <v>34</v>
      </c>
      <c r="G813" t="s">
        <v>123</v>
      </c>
      <c r="J813" t="s">
        <v>1964</v>
      </c>
      <c r="K813" t="s">
        <v>38</v>
      </c>
      <c r="L813" t="s">
        <v>38</v>
      </c>
      <c r="M813" t="s">
        <v>38</v>
      </c>
      <c r="N813" t="s">
        <v>38</v>
      </c>
      <c r="O813" t="s">
        <v>38</v>
      </c>
      <c r="T813" t="s">
        <v>38</v>
      </c>
      <c r="U813">
        <v>0</v>
      </c>
      <c r="W813">
        <v>0</v>
      </c>
      <c r="X813">
        <v>0</v>
      </c>
      <c r="Y813">
        <v>0</v>
      </c>
      <c r="AE813">
        <f t="shared" si="36"/>
        <v>1</v>
      </c>
      <c r="AF813">
        <f>VLOOKUP(D813,especies!$A$2:$C$9,3,FALSE)</f>
        <v>1</v>
      </c>
      <c r="AG813" t="str">
        <f t="shared" si="37"/>
        <v>1-Pastor de los Pirineos de pelo largo</v>
      </c>
      <c r="AH813">
        <f>VLOOKUP('Fichas clínicas'!AG813,razas!$A$2:$D$66,3,FALSE)</f>
        <v>34</v>
      </c>
      <c r="AI813" t="str">
        <f t="shared" si="38"/>
        <v>H</v>
      </c>
    </row>
    <row r="814" spans="1:35" x14ac:dyDescent="0.2">
      <c r="A814">
        <v>816</v>
      </c>
      <c r="B814" t="s">
        <v>1965</v>
      </c>
      <c r="C814" t="s">
        <v>1966</v>
      </c>
      <c r="D814" t="s">
        <v>32</v>
      </c>
      <c r="E814" t="s">
        <v>1967</v>
      </c>
      <c r="F814" t="s">
        <v>34</v>
      </c>
      <c r="G814" t="s">
        <v>99</v>
      </c>
      <c r="J814" t="s">
        <v>1968</v>
      </c>
      <c r="K814" t="s">
        <v>38</v>
      </c>
      <c r="L814" t="s">
        <v>38</v>
      </c>
      <c r="M814" t="s">
        <v>38</v>
      </c>
      <c r="N814" t="s">
        <v>38</v>
      </c>
      <c r="O814" t="s">
        <v>38</v>
      </c>
      <c r="T814" t="s">
        <v>38</v>
      </c>
      <c r="U814">
        <v>0</v>
      </c>
      <c r="W814">
        <v>0</v>
      </c>
      <c r="X814">
        <v>0</v>
      </c>
      <c r="Y814">
        <v>0</v>
      </c>
      <c r="AE814">
        <f t="shared" si="36"/>
        <v>1</v>
      </c>
      <c r="AF814">
        <f>VLOOKUP(D814,especies!$A$2:$C$9,3,FALSE)</f>
        <v>1</v>
      </c>
      <c r="AG814" t="str">
        <f t="shared" si="37"/>
        <v>1-Fila Brasilero</v>
      </c>
      <c r="AH814">
        <f>VLOOKUP('Fichas clínicas'!AG814,razas!$A$2:$D$66,3,FALSE)</f>
        <v>35</v>
      </c>
      <c r="AI814" t="str">
        <f t="shared" si="38"/>
        <v>H</v>
      </c>
    </row>
    <row r="815" spans="1:35" x14ac:dyDescent="0.2">
      <c r="A815">
        <v>817</v>
      </c>
      <c r="B815" t="s">
        <v>1850</v>
      </c>
      <c r="C815" t="s">
        <v>1969</v>
      </c>
      <c r="D815" t="s">
        <v>41</v>
      </c>
      <c r="E815" t="s">
        <v>93</v>
      </c>
      <c r="F815" t="s">
        <v>34</v>
      </c>
      <c r="G815" t="s">
        <v>1639</v>
      </c>
      <c r="J815" t="s">
        <v>1970</v>
      </c>
      <c r="K815" t="s">
        <v>38</v>
      </c>
      <c r="L815" t="s">
        <v>38</v>
      </c>
      <c r="M815" t="s">
        <v>38</v>
      </c>
      <c r="N815" t="s">
        <v>38</v>
      </c>
      <c r="O815" t="s">
        <v>38</v>
      </c>
      <c r="Q815">
        <v>0</v>
      </c>
      <c r="T815" t="s">
        <v>38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f t="shared" si="36"/>
        <v>1</v>
      </c>
      <c r="AF815">
        <f>VLOOKUP(D815,especies!$A$2:$C$9,3,FALSE)</f>
        <v>2</v>
      </c>
      <c r="AG815" t="str">
        <f t="shared" si="37"/>
        <v>2-DPL (Doméstico de pelo Largo o DLH)</v>
      </c>
      <c r="AH815">
        <f>VLOOKUP('Fichas clínicas'!AG815,razas!$A$2:$D$66,3,FALSE)</f>
        <v>52</v>
      </c>
      <c r="AI815" t="str">
        <f t="shared" si="38"/>
        <v>H</v>
      </c>
    </row>
    <row r="816" spans="1:35" x14ac:dyDescent="0.2">
      <c r="A816">
        <v>818</v>
      </c>
      <c r="B816" t="s">
        <v>1971</v>
      </c>
      <c r="C816" t="s">
        <v>373</v>
      </c>
      <c r="D816" t="s">
        <v>32</v>
      </c>
      <c r="E816" t="s">
        <v>33</v>
      </c>
      <c r="F816" t="s">
        <v>34</v>
      </c>
      <c r="G816" t="s">
        <v>297</v>
      </c>
      <c r="J816" t="s">
        <v>374</v>
      </c>
      <c r="K816" t="s">
        <v>38</v>
      </c>
      <c r="L816" t="s">
        <v>38</v>
      </c>
      <c r="M816" t="s">
        <v>38</v>
      </c>
      <c r="N816" t="s">
        <v>38</v>
      </c>
      <c r="O816" t="s">
        <v>38</v>
      </c>
      <c r="T816" t="s">
        <v>38</v>
      </c>
      <c r="U816">
        <v>0</v>
      </c>
      <c r="V816">
        <v>1</v>
      </c>
      <c r="W816">
        <v>0</v>
      </c>
      <c r="X816">
        <v>0</v>
      </c>
      <c r="Y816">
        <v>0</v>
      </c>
      <c r="AE816">
        <f t="shared" si="36"/>
        <v>1</v>
      </c>
      <c r="AF816">
        <f>VLOOKUP(D816,especies!$A$2:$C$9,3,FALSE)</f>
        <v>1</v>
      </c>
      <c r="AG816" t="str">
        <f t="shared" si="37"/>
        <v>1-Mestizo</v>
      </c>
      <c r="AH816">
        <f>VLOOKUP('Fichas clínicas'!AG816,razas!$A$2:$D$66,3,FALSE)</f>
        <v>1</v>
      </c>
      <c r="AI816" t="str">
        <f t="shared" si="38"/>
        <v>H</v>
      </c>
    </row>
    <row r="817" spans="1:35" x14ac:dyDescent="0.2">
      <c r="A817">
        <v>819</v>
      </c>
      <c r="B817" t="s">
        <v>1457</v>
      </c>
      <c r="C817" t="s">
        <v>1972</v>
      </c>
      <c r="D817" t="s">
        <v>41</v>
      </c>
      <c r="E817" t="s">
        <v>42</v>
      </c>
      <c r="F817" t="s">
        <v>47</v>
      </c>
      <c r="G817" t="s">
        <v>277</v>
      </c>
      <c r="J817" t="s">
        <v>1973</v>
      </c>
      <c r="K817" t="s">
        <v>38</v>
      </c>
      <c r="L817" t="s">
        <v>38</v>
      </c>
      <c r="M817" t="s">
        <v>38</v>
      </c>
      <c r="N817" t="s">
        <v>38</v>
      </c>
      <c r="O817" t="s">
        <v>38</v>
      </c>
      <c r="T817" t="s">
        <v>38</v>
      </c>
      <c r="U817">
        <v>0</v>
      </c>
      <c r="V817">
        <v>1</v>
      </c>
      <c r="W817">
        <v>0</v>
      </c>
      <c r="X817">
        <v>0</v>
      </c>
      <c r="Y817">
        <v>0</v>
      </c>
      <c r="AE817">
        <f t="shared" si="36"/>
        <v>1</v>
      </c>
      <c r="AF817">
        <f>VLOOKUP(D817,especies!$A$2:$C$9,3,FALSE)</f>
        <v>2</v>
      </c>
      <c r="AG817" t="str">
        <f t="shared" si="37"/>
        <v>2-DPC (Doméstico de pelo corto o DSH)</v>
      </c>
      <c r="AH817">
        <f>VLOOKUP('Fichas clínicas'!AG817,razas!$A$2:$D$66,3,FALSE)</f>
        <v>51</v>
      </c>
      <c r="AI817" t="str">
        <f t="shared" si="38"/>
        <v>M</v>
      </c>
    </row>
    <row r="818" spans="1:35" x14ac:dyDescent="0.2">
      <c r="A818">
        <v>820</v>
      </c>
      <c r="B818" t="s">
        <v>1684</v>
      </c>
      <c r="C818" t="s">
        <v>1974</v>
      </c>
      <c r="D818" t="s">
        <v>32</v>
      </c>
      <c r="E818" t="s">
        <v>33</v>
      </c>
      <c r="F818" t="s">
        <v>34</v>
      </c>
      <c r="G818" t="s">
        <v>297</v>
      </c>
      <c r="J818" t="s">
        <v>119</v>
      </c>
      <c r="K818" t="s">
        <v>38</v>
      </c>
      <c r="L818" t="s">
        <v>38</v>
      </c>
      <c r="M818" t="s">
        <v>38</v>
      </c>
      <c r="N818" t="s">
        <v>38</v>
      </c>
      <c r="O818" t="s">
        <v>38</v>
      </c>
      <c r="T818" t="s">
        <v>38</v>
      </c>
      <c r="U818">
        <v>0</v>
      </c>
      <c r="V818">
        <v>1</v>
      </c>
      <c r="W818">
        <v>0</v>
      </c>
      <c r="X818">
        <v>0</v>
      </c>
      <c r="Y818">
        <v>0</v>
      </c>
      <c r="AE818">
        <f t="shared" si="36"/>
        <v>1</v>
      </c>
      <c r="AF818">
        <f>VLOOKUP(D818,especies!$A$2:$C$9,3,FALSE)</f>
        <v>1</v>
      </c>
      <c r="AG818" t="str">
        <f t="shared" si="37"/>
        <v>1-Mestizo</v>
      </c>
      <c r="AH818">
        <f>VLOOKUP('Fichas clínicas'!AG818,razas!$A$2:$D$66,3,FALSE)</f>
        <v>1</v>
      </c>
      <c r="AI818" t="str">
        <f t="shared" si="38"/>
        <v>H</v>
      </c>
    </row>
    <row r="819" spans="1:35" x14ac:dyDescent="0.2">
      <c r="A819">
        <v>821</v>
      </c>
      <c r="B819" t="s">
        <v>1975</v>
      </c>
      <c r="C819" t="s">
        <v>1976</v>
      </c>
      <c r="D819" t="s">
        <v>32</v>
      </c>
      <c r="E819" t="s">
        <v>150</v>
      </c>
      <c r="F819" t="s">
        <v>34</v>
      </c>
      <c r="G819" t="s">
        <v>123</v>
      </c>
      <c r="J819" t="s">
        <v>1977</v>
      </c>
      <c r="K819" t="s">
        <v>38</v>
      </c>
      <c r="L819" t="s">
        <v>38</v>
      </c>
      <c r="M819" t="s">
        <v>38</v>
      </c>
      <c r="N819" t="s">
        <v>38</v>
      </c>
      <c r="O819" t="s">
        <v>38</v>
      </c>
      <c r="T819" t="s">
        <v>38</v>
      </c>
      <c r="U819">
        <v>0</v>
      </c>
      <c r="W819">
        <v>0</v>
      </c>
      <c r="X819">
        <v>0</v>
      </c>
      <c r="Y819">
        <v>0</v>
      </c>
      <c r="AE819">
        <f t="shared" si="36"/>
        <v>1</v>
      </c>
      <c r="AF819">
        <f>VLOOKUP(D819,especies!$A$2:$C$9,3,FALSE)</f>
        <v>1</v>
      </c>
      <c r="AG819" t="str">
        <f t="shared" si="37"/>
        <v>1-Poodle</v>
      </c>
      <c r="AH819">
        <f>VLOOKUP('Fichas clínicas'!AG819,razas!$A$2:$D$66,3,FALSE)</f>
        <v>6</v>
      </c>
      <c r="AI819" t="str">
        <f t="shared" si="38"/>
        <v>H</v>
      </c>
    </row>
    <row r="820" spans="1:35" x14ac:dyDescent="0.2">
      <c r="A820">
        <v>822</v>
      </c>
      <c r="B820" t="s">
        <v>1978</v>
      </c>
      <c r="C820" t="s">
        <v>1979</v>
      </c>
      <c r="D820" t="s">
        <v>32</v>
      </c>
      <c r="E820" t="s">
        <v>33</v>
      </c>
      <c r="F820" t="s">
        <v>47</v>
      </c>
      <c r="G820" t="s">
        <v>306</v>
      </c>
      <c r="J820" t="s">
        <v>826</v>
      </c>
      <c r="K820" t="s">
        <v>38</v>
      </c>
      <c r="L820" t="s">
        <v>38</v>
      </c>
      <c r="M820" t="s">
        <v>38</v>
      </c>
      <c r="N820" t="s">
        <v>38</v>
      </c>
      <c r="O820" t="s">
        <v>38</v>
      </c>
      <c r="T820" t="s">
        <v>38</v>
      </c>
      <c r="U820">
        <v>0</v>
      </c>
      <c r="V820">
        <v>1</v>
      </c>
      <c r="W820">
        <v>0</v>
      </c>
      <c r="X820">
        <v>0</v>
      </c>
      <c r="Y820">
        <v>0</v>
      </c>
      <c r="AE820">
        <f t="shared" si="36"/>
        <v>1</v>
      </c>
      <c r="AF820">
        <f>VLOOKUP(D820,especies!$A$2:$C$9,3,FALSE)</f>
        <v>1</v>
      </c>
      <c r="AG820" t="str">
        <f t="shared" si="37"/>
        <v>1-Mestizo</v>
      </c>
      <c r="AH820">
        <f>VLOOKUP('Fichas clínicas'!AG820,razas!$A$2:$D$66,3,FALSE)</f>
        <v>1</v>
      </c>
      <c r="AI820" t="str">
        <f t="shared" si="38"/>
        <v>M</v>
      </c>
    </row>
    <row r="821" spans="1:35" x14ac:dyDescent="0.2">
      <c r="A821">
        <v>823</v>
      </c>
      <c r="B821" t="s">
        <v>1724</v>
      </c>
      <c r="C821" t="s">
        <v>280</v>
      </c>
      <c r="D821" t="s">
        <v>41</v>
      </c>
      <c r="E821" t="s">
        <v>93</v>
      </c>
      <c r="F821" t="s">
        <v>34</v>
      </c>
      <c r="G821" t="s">
        <v>1980</v>
      </c>
      <c r="J821" t="s">
        <v>259</v>
      </c>
      <c r="K821" t="s">
        <v>38</v>
      </c>
      <c r="L821" t="s">
        <v>38</v>
      </c>
      <c r="M821" t="s">
        <v>38</v>
      </c>
      <c r="N821" t="s">
        <v>38</v>
      </c>
      <c r="O821" t="s">
        <v>38</v>
      </c>
      <c r="Q821">
        <v>0</v>
      </c>
      <c r="T821" t="s">
        <v>38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f t="shared" si="36"/>
        <v>1</v>
      </c>
      <c r="AF821">
        <f>VLOOKUP(D821,especies!$A$2:$C$9,3,FALSE)</f>
        <v>2</v>
      </c>
      <c r="AG821" t="str">
        <f t="shared" si="37"/>
        <v>2-DPL (Doméstico de pelo Largo o DLH)</v>
      </c>
      <c r="AH821">
        <f>VLOOKUP('Fichas clínicas'!AG821,razas!$A$2:$D$66,3,FALSE)</f>
        <v>52</v>
      </c>
      <c r="AI821" t="str">
        <f t="shared" si="38"/>
        <v>H</v>
      </c>
    </row>
    <row r="822" spans="1:35" x14ac:dyDescent="0.2">
      <c r="A822">
        <v>824</v>
      </c>
      <c r="B822" t="s">
        <v>1981</v>
      </c>
      <c r="C822" t="s">
        <v>1982</v>
      </c>
      <c r="D822" t="s">
        <v>41</v>
      </c>
      <c r="E822" t="s">
        <v>42</v>
      </c>
      <c r="F822" t="s">
        <v>34</v>
      </c>
      <c r="G822" t="s">
        <v>587</v>
      </c>
      <c r="J822" t="s">
        <v>1983</v>
      </c>
      <c r="K822" t="s">
        <v>38</v>
      </c>
      <c r="L822" t="s">
        <v>38</v>
      </c>
      <c r="M822" t="s">
        <v>38</v>
      </c>
      <c r="N822" t="s">
        <v>38</v>
      </c>
      <c r="O822" t="s">
        <v>38</v>
      </c>
      <c r="T822" t="s">
        <v>38</v>
      </c>
      <c r="U822">
        <v>0</v>
      </c>
      <c r="W822">
        <v>0</v>
      </c>
      <c r="X822">
        <v>0</v>
      </c>
      <c r="Y822">
        <v>0</v>
      </c>
      <c r="AE822">
        <f t="shared" si="36"/>
        <v>1</v>
      </c>
      <c r="AF822">
        <f>VLOOKUP(D822,especies!$A$2:$C$9,3,FALSE)</f>
        <v>2</v>
      </c>
      <c r="AG822" t="str">
        <f t="shared" si="37"/>
        <v>2-DPC (Doméstico de pelo corto o DSH)</v>
      </c>
      <c r="AH822">
        <f>VLOOKUP('Fichas clínicas'!AG822,razas!$A$2:$D$66,3,FALSE)</f>
        <v>51</v>
      </c>
      <c r="AI822" t="str">
        <f t="shared" si="38"/>
        <v>H</v>
      </c>
    </row>
    <row r="823" spans="1:35" x14ac:dyDescent="0.2">
      <c r="A823">
        <v>825</v>
      </c>
      <c r="B823" t="s">
        <v>1975</v>
      </c>
      <c r="C823" t="s">
        <v>1984</v>
      </c>
      <c r="D823" t="s">
        <v>32</v>
      </c>
      <c r="E823" t="s">
        <v>33</v>
      </c>
      <c r="F823" t="s">
        <v>34</v>
      </c>
      <c r="G823" t="s">
        <v>452</v>
      </c>
      <c r="J823" t="s">
        <v>1985</v>
      </c>
      <c r="K823" t="s">
        <v>38</v>
      </c>
      <c r="L823" t="s">
        <v>38</v>
      </c>
      <c r="M823" t="s">
        <v>38</v>
      </c>
      <c r="N823" t="s">
        <v>38</v>
      </c>
      <c r="O823" t="s">
        <v>38</v>
      </c>
      <c r="Q823">
        <v>0</v>
      </c>
      <c r="T823" t="s">
        <v>38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f t="shared" si="36"/>
        <v>1</v>
      </c>
      <c r="AF823">
        <f>VLOOKUP(D823,especies!$A$2:$C$9,3,FALSE)</f>
        <v>1</v>
      </c>
      <c r="AG823" t="str">
        <f t="shared" si="37"/>
        <v>1-Mestizo</v>
      </c>
      <c r="AH823">
        <f>VLOOKUP('Fichas clínicas'!AG823,razas!$A$2:$D$66,3,FALSE)</f>
        <v>1</v>
      </c>
      <c r="AI823" t="str">
        <f t="shared" si="38"/>
        <v>H</v>
      </c>
    </row>
    <row r="824" spans="1:35" x14ac:dyDescent="0.2">
      <c r="A824">
        <v>826</v>
      </c>
      <c r="B824" t="s">
        <v>1986</v>
      </c>
      <c r="C824" t="s">
        <v>680</v>
      </c>
      <c r="D824" t="s">
        <v>32</v>
      </c>
      <c r="E824" t="s">
        <v>33</v>
      </c>
      <c r="F824" t="s">
        <v>34</v>
      </c>
      <c r="G824" t="s">
        <v>43</v>
      </c>
      <c r="J824" t="s">
        <v>1987</v>
      </c>
      <c r="K824" t="s">
        <v>38</v>
      </c>
      <c r="L824" t="s">
        <v>38</v>
      </c>
      <c r="M824" t="s">
        <v>38</v>
      </c>
      <c r="N824" t="s">
        <v>38</v>
      </c>
      <c r="O824" t="s">
        <v>38</v>
      </c>
      <c r="Q824">
        <v>0</v>
      </c>
      <c r="T824" t="s">
        <v>38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f t="shared" si="36"/>
        <v>1</v>
      </c>
      <c r="AF824">
        <f>VLOOKUP(D824,especies!$A$2:$C$9,3,FALSE)</f>
        <v>1</v>
      </c>
      <c r="AG824" t="str">
        <f t="shared" si="37"/>
        <v>1-Mestizo</v>
      </c>
      <c r="AH824">
        <f>VLOOKUP('Fichas clínicas'!AG824,razas!$A$2:$D$66,3,FALSE)</f>
        <v>1</v>
      </c>
      <c r="AI824" t="str">
        <f t="shared" si="38"/>
        <v>H</v>
      </c>
    </row>
    <row r="825" spans="1:35" x14ac:dyDescent="0.2">
      <c r="A825">
        <v>827</v>
      </c>
      <c r="B825" t="s">
        <v>1988</v>
      </c>
      <c r="C825" t="s">
        <v>1989</v>
      </c>
      <c r="D825" t="s">
        <v>32</v>
      </c>
      <c r="E825" t="s">
        <v>1067</v>
      </c>
      <c r="F825" t="s">
        <v>47</v>
      </c>
      <c r="G825" t="s">
        <v>351</v>
      </c>
      <c r="I825">
        <v>939000007188548</v>
      </c>
      <c r="J825" t="s">
        <v>1987</v>
      </c>
      <c r="K825" t="s">
        <v>38</v>
      </c>
      <c r="L825" t="s">
        <v>38</v>
      </c>
      <c r="M825" t="s">
        <v>38</v>
      </c>
      <c r="N825" t="s">
        <v>38</v>
      </c>
      <c r="O825" t="s">
        <v>38</v>
      </c>
      <c r="Q825">
        <v>0</v>
      </c>
      <c r="T825" t="s">
        <v>38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f t="shared" si="36"/>
        <v>1</v>
      </c>
      <c r="AF825">
        <f>VLOOKUP(D825,especies!$A$2:$C$9,3,FALSE)</f>
        <v>1</v>
      </c>
      <c r="AG825" t="str">
        <f t="shared" si="37"/>
        <v>1-Chihuahua</v>
      </c>
      <c r="AH825">
        <f>VLOOKUP('Fichas clínicas'!AG825,razas!$A$2:$D$66,3,FALSE)</f>
        <v>27</v>
      </c>
      <c r="AI825" t="str">
        <f t="shared" si="38"/>
        <v>M</v>
      </c>
    </row>
    <row r="826" spans="1:35" x14ac:dyDescent="0.2">
      <c r="A826">
        <v>828</v>
      </c>
      <c r="B826" t="s">
        <v>1990</v>
      </c>
      <c r="C826" t="s">
        <v>1773</v>
      </c>
      <c r="D826" t="s">
        <v>32</v>
      </c>
      <c r="E826" t="s">
        <v>309</v>
      </c>
      <c r="F826" t="s">
        <v>34</v>
      </c>
      <c r="G826" t="s">
        <v>1900</v>
      </c>
      <c r="J826" t="s">
        <v>1991</v>
      </c>
      <c r="K826" t="s">
        <v>38</v>
      </c>
      <c r="L826" t="s">
        <v>38</v>
      </c>
      <c r="M826" t="s">
        <v>38</v>
      </c>
      <c r="N826" t="s">
        <v>38</v>
      </c>
      <c r="O826" t="s">
        <v>38</v>
      </c>
      <c r="T826" t="s">
        <v>38</v>
      </c>
      <c r="U826">
        <v>0</v>
      </c>
      <c r="W826">
        <v>0</v>
      </c>
      <c r="X826">
        <v>0</v>
      </c>
      <c r="Y826">
        <v>0</v>
      </c>
      <c r="AE826">
        <f t="shared" si="36"/>
        <v>1</v>
      </c>
      <c r="AF826">
        <f>VLOOKUP(D826,especies!$A$2:$C$9,3,FALSE)</f>
        <v>1</v>
      </c>
      <c r="AG826" t="str">
        <f t="shared" si="37"/>
        <v>1-Pug</v>
      </c>
      <c r="AH826">
        <f>VLOOKUP('Fichas clínicas'!AG826,razas!$A$2:$D$66,3,FALSE)</f>
        <v>11</v>
      </c>
      <c r="AI826" t="str">
        <f t="shared" si="38"/>
        <v>H</v>
      </c>
    </row>
    <row r="827" spans="1:35" x14ac:dyDescent="0.2">
      <c r="A827">
        <v>829</v>
      </c>
      <c r="B827" t="s">
        <v>1992</v>
      </c>
      <c r="C827" t="s">
        <v>1834</v>
      </c>
      <c r="D827" t="s">
        <v>32</v>
      </c>
      <c r="E827" t="s">
        <v>33</v>
      </c>
      <c r="F827" t="s">
        <v>34</v>
      </c>
      <c r="G827" t="s">
        <v>329</v>
      </c>
      <c r="J827" t="s">
        <v>1993</v>
      </c>
      <c r="K827" t="s">
        <v>38</v>
      </c>
      <c r="L827" t="s">
        <v>38</v>
      </c>
      <c r="M827" t="s">
        <v>38</v>
      </c>
      <c r="N827" t="s">
        <v>38</v>
      </c>
      <c r="O827" t="s">
        <v>38</v>
      </c>
      <c r="T827" t="s">
        <v>38</v>
      </c>
      <c r="U827">
        <v>0</v>
      </c>
      <c r="W827">
        <v>0</v>
      </c>
      <c r="X827">
        <v>0</v>
      </c>
      <c r="Y827">
        <v>0</v>
      </c>
      <c r="AE827">
        <f t="shared" si="36"/>
        <v>1</v>
      </c>
      <c r="AF827">
        <f>VLOOKUP(D827,especies!$A$2:$C$9,3,FALSE)</f>
        <v>1</v>
      </c>
      <c r="AG827" t="str">
        <f t="shared" si="37"/>
        <v>1-Mestizo</v>
      </c>
      <c r="AH827">
        <f>VLOOKUP('Fichas clínicas'!AG827,razas!$A$2:$D$66,3,FALSE)</f>
        <v>1</v>
      </c>
      <c r="AI827" t="str">
        <f t="shared" si="38"/>
        <v>H</v>
      </c>
    </row>
    <row r="828" spans="1:35" x14ac:dyDescent="0.2">
      <c r="A828">
        <v>830</v>
      </c>
      <c r="B828" t="s">
        <v>1994</v>
      </c>
      <c r="C828" t="s">
        <v>1995</v>
      </c>
      <c r="D828" t="s">
        <v>32</v>
      </c>
      <c r="E828" t="s">
        <v>33</v>
      </c>
      <c r="F828" t="s">
        <v>34</v>
      </c>
      <c r="G828" t="s">
        <v>1928</v>
      </c>
      <c r="J828" t="s">
        <v>1378</v>
      </c>
      <c r="K828" t="s">
        <v>38</v>
      </c>
      <c r="L828" t="s">
        <v>38</v>
      </c>
      <c r="M828" t="s">
        <v>38</v>
      </c>
      <c r="N828" t="s">
        <v>38</v>
      </c>
      <c r="O828" t="s">
        <v>38</v>
      </c>
      <c r="Q828">
        <v>0</v>
      </c>
      <c r="T828" t="s">
        <v>38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f t="shared" si="36"/>
        <v>1</v>
      </c>
      <c r="AF828">
        <f>VLOOKUP(D828,especies!$A$2:$C$9,3,FALSE)</f>
        <v>1</v>
      </c>
      <c r="AG828" t="str">
        <f t="shared" si="37"/>
        <v>1-Mestizo</v>
      </c>
      <c r="AH828">
        <f>VLOOKUP('Fichas clínicas'!AG828,razas!$A$2:$D$66,3,FALSE)</f>
        <v>1</v>
      </c>
      <c r="AI828" t="str">
        <f t="shared" si="38"/>
        <v>H</v>
      </c>
    </row>
    <row r="829" spans="1:35" x14ac:dyDescent="0.2">
      <c r="A829">
        <v>831</v>
      </c>
      <c r="B829" t="s">
        <v>1684</v>
      </c>
      <c r="C829" t="s">
        <v>1996</v>
      </c>
      <c r="D829" t="s">
        <v>32</v>
      </c>
      <c r="E829" t="s">
        <v>438</v>
      </c>
      <c r="F829" t="s">
        <v>47</v>
      </c>
      <c r="G829" t="s">
        <v>694</v>
      </c>
      <c r="J829" t="s">
        <v>1997</v>
      </c>
      <c r="K829" t="s">
        <v>38</v>
      </c>
      <c r="L829" t="s">
        <v>38</v>
      </c>
      <c r="M829" t="s">
        <v>38</v>
      </c>
      <c r="N829" t="s">
        <v>38</v>
      </c>
      <c r="O829" t="s">
        <v>38</v>
      </c>
      <c r="Q829">
        <v>0</v>
      </c>
      <c r="T829" t="s">
        <v>38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f t="shared" si="36"/>
        <v>1</v>
      </c>
      <c r="AF829">
        <f>VLOOKUP(D829,especies!$A$2:$C$9,3,FALSE)</f>
        <v>1</v>
      </c>
      <c r="AG829" t="str">
        <f t="shared" si="37"/>
        <v>1-Ovejero Alemán</v>
      </c>
      <c r="AH829">
        <f>VLOOKUP('Fichas clínicas'!AG829,razas!$A$2:$D$66,3,FALSE)</f>
        <v>12</v>
      </c>
      <c r="AI829" t="str">
        <f t="shared" si="38"/>
        <v>M</v>
      </c>
    </row>
    <row r="830" spans="1:35" x14ac:dyDescent="0.2">
      <c r="A830">
        <v>832</v>
      </c>
      <c r="B830" t="s">
        <v>1684</v>
      </c>
      <c r="C830" t="s">
        <v>1998</v>
      </c>
      <c r="D830" t="s">
        <v>32</v>
      </c>
      <c r="E830" t="s">
        <v>438</v>
      </c>
      <c r="F830" t="s">
        <v>34</v>
      </c>
      <c r="G830" t="s">
        <v>694</v>
      </c>
      <c r="J830" t="s">
        <v>1997</v>
      </c>
      <c r="K830" t="s">
        <v>38</v>
      </c>
      <c r="L830" t="s">
        <v>38</v>
      </c>
      <c r="M830" t="s">
        <v>38</v>
      </c>
      <c r="N830" t="s">
        <v>38</v>
      </c>
      <c r="O830" t="s">
        <v>38</v>
      </c>
      <c r="T830" t="s">
        <v>38</v>
      </c>
      <c r="U830">
        <v>0</v>
      </c>
      <c r="W830">
        <v>0</v>
      </c>
      <c r="X830">
        <v>0</v>
      </c>
      <c r="Y830">
        <v>0</v>
      </c>
      <c r="AE830">
        <f t="shared" si="36"/>
        <v>1</v>
      </c>
      <c r="AF830">
        <f>VLOOKUP(D830,especies!$A$2:$C$9,3,FALSE)</f>
        <v>1</v>
      </c>
      <c r="AG830" t="str">
        <f t="shared" si="37"/>
        <v>1-Ovejero Alemán</v>
      </c>
      <c r="AH830">
        <f>VLOOKUP('Fichas clínicas'!AG830,razas!$A$2:$D$66,3,FALSE)</f>
        <v>12</v>
      </c>
      <c r="AI830" t="str">
        <f t="shared" si="38"/>
        <v>H</v>
      </c>
    </row>
    <row r="831" spans="1:35" x14ac:dyDescent="0.2">
      <c r="A831">
        <v>833</v>
      </c>
      <c r="B831" t="s">
        <v>1930</v>
      </c>
      <c r="C831" t="s">
        <v>1999</v>
      </c>
      <c r="D831" t="s">
        <v>32</v>
      </c>
      <c r="E831" t="s">
        <v>309</v>
      </c>
      <c r="F831" t="s">
        <v>34</v>
      </c>
      <c r="G831" t="s">
        <v>351</v>
      </c>
      <c r="J831" t="s">
        <v>2000</v>
      </c>
      <c r="K831" t="s">
        <v>38</v>
      </c>
      <c r="L831" t="s">
        <v>38</v>
      </c>
      <c r="M831" t="s">
        <v>38</v>
      </c>
      <c r="N831" t="s">
        <v>38</v>
      </c>
      <c r="O831" t="s">
        <v>38</v>
      </c>
      <c r="Q831">
        <v>0</v>
      </c>
      <c r="T831" t="s">
        <v>38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f t="shared" si="36"/>
        <v>1</v>
      </c>
      <c r="AF831">
        <f>VLOOKUP(D831,especies!$A$2:$C$9,3,FALSE)</f>
        <v>1</v>
      </c>
      <c r="AG831" t="str">
        <f t="shared" si="37"/>
        <v>1-Pug</v>
      </c>
      <c r="AH831">
        <f>VLOOKUP('Fichas clínicas'!AG831,razas!$A$2:$D$66,3,FALSE)</f>
        <v>11</v>
      </c>
      <c r="AI831" t="str">
        <f t="shared" si="38"/>
        <v>H</v>
      </c>
    </row>
    <row r="832" spans="1:35" x14ac:dyDescent="0.2">
      <c r="A832">
        <v>834</v>
      </c>
      <c r="B832" t="s">
        <v>941</v>
      </c>
      <c r="C832" t="s">
        <v>2001</v>
      </c>
      <c r="D832" t="s">
        <v>32</v>
      </c>
      <c r="E832" t="s">
        <v>143</v>
      </c>
      <c r="F832" t="s">
        <v>34</v>
      </c>
      <c r="G832" t="s">
        <v>1543</v>
      </c>
      <c r="J832" t="s">
        <v>2002</v>
      </c>
      <c r="K832" t="s">
        <v>38</v>
      </c>
      <c r="L832" t="s">
        <v>38</v>
      </c>
      <c r="M832" t="s">
        <v>38</v>
      </c>
      <c r="N832" t="s">
        <v>38</v>
      </c>
      <c r="O832" t="s">
        <v>38</v>
      </c>
      <c r="Q832">
        <v>0</v>
      </c>
      <c r="T832" t="s">
        <v>38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f t="shared" si="36"/>
        <v>1</v>
      </c>
      <c r="AF832">
        <f>VLOOKUP(D832,especies!$A$2:$C$9,3,FALSE)</f>
        <v>1</v>
      </c>
      <c r="AG832" t="str">
        <f t="shared" si="37"/>
        <v>1-Yorkshire Terrier</v>
      </c>
      <c r="AH832">
        <f>VLOOKUP('Fichas clínicas'!AG832,razas!$A$2:$D$66,3,FALSE)</f>
        <v>5</v>
      </c>
      <c r="AI832" t="str">
        <f t="shared" si="38"/>
        <v>H</v>
      </c>
    </row>
    <row r="833" spans="1:35" x14ac:dyDescent="0.2">
      <c r="A833">
        <v>835</v>
      </c>
      <c r="B833" t="s">
        <v>475</v>
      </c>
      <c r="C833" t="s">
        <v>2003</v>
      </c>
      <c r="D833" t="s">
        <v>41</v>
      </c>
      <c r="E833" t="s">
        <v>93</v>
      </c>
      <c r="F833" t="s">
        <v>34</v>
      </c>
      <c r="G833" t="s">
        <v>102</v>
      </c>
      <c r="J833" t="s">
        <v>1983</v>
      </c>
      <c r="K833" t="s">
        <v>38</v>
      </c>
      <c r="L833" t="s">
        <v>38</v>
      </c>
      <c r="M833" t="s">
        <v>38</v>
      </c>
      <c r="N833" t="s">
        <v>38</v>
      </c>
      <c r="O833" t="s">
        <v>38</v>
      </c>
      <c r="Q833">
        <v>0</v>
      </c>
      <c r="T833" t="s">
        <v>38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f t="shared" si="36"/>
        <v>1</v>
      </c>
      <c r="AF833">
        <f>VLOOKUP(D833,especies!$A$2:$C$9,3,FALSE)</f>
        <v>2</v>
      </c>
      <c r="AG833" t="str">
        <f t="shared" si="37"/>
        <v>2-DPL (Doméstico de pelo Largo o DLH)</v>
      </c>
      <c r="AH833">
        <f>VLOOKUP('Fichas clínicas'!AG833,razas!$A$2:$D$66,3,FALSE)</f>
        <v>52</v>
      </c>
      <c r="AI833" t="str">
        <f t="shared" si="38"/>
        <v>H</v>
      </c>
    </row>
    <row r="834" spans="1:35" x14ac:dyDescent="0.2">
      <c r="A834">
        <v>836</v>
      </c>
      <c r="B834" t="s">
        <v>1602</v>
      </c>
      <c r="C834" t="s">
        <v>2004</v>
      </c>
      <c r="D834" t="s">
        <v>41</v>
      </c>
      <c r="E834" t="s">
        <v>93</v>
      </c>
      <c r="F834" t="s">
        <v>47</v>
      </c>
      <c r="G834" t="s">
        <v>123</v>
      </c>
      <c r="J834" t="s">
        <v>841</v>
      </c>
      <c r="K834" t="s">
        <v>38</v>
      </c>
      <c r="L834" t="s">
        <v>38</v>
      </c>
      <c r="M834" t="s">
        <v>38</v>
      </c>
      <c r="N834" t="s">
        <v>38</v>
      </c>
      <c r="O834" t="s">
        <v>38</v>
      </c>
      <c r="Q834">
        <v>0</v>
      </c>
      <c r="T834" t="s">
        <v>38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f t="shared" si="36"/>
        <v>1</v>
      </c>
      <c r="AF834">
        <f>VLOOKUP(D834,especies!$A$2:$C$9,3,FALSE)</f>
        <v>2</v>
      </c>
      <c r="AG834" t="str">
        <f t="shared" si="37"/>
        <v>2-DPL (Doméstico de pelo Largo o DLH)</v>
      </c>
      <c r="AH834">
        <f>VLOOKUP('Fichas clínicas'!AG834,razas!$A$2:$D$66,3,FALSE)</f>
        <v>52</v>
      </c>
      <c r="AI834" t="str">
        <f t="shared" si="38"/>
        <v>M</v>
      </c>
    </row>
    <row r="835" spans="1:35" x14ac:dyDescent="0.2">
      <c r="A835">
        <v>837</v>
      </c>
      <c r="B835" t="s">
        <v>2005</v>
      </c>
      <c r="C835" t="s">
        <v>2006</v>
      </c>
      <c r="D835" t="s">
        <v>32</v>
      </c>
      <c r="E835" t="s">
        <v>150</v>
      </c>
      <c r="F835" t="s">
        <v>34</v>
      </c>
      <c r="G835" t="s">
        <v>123</v>
      </c>
      <c r="J835" t="s">
        <v>1745</v>
      </c>
      <c r="K835" t="s">
        <v>38</v>
      </c>
      <c r="L835" t="s">
        <v>38</v>
      </c>
      <c r="M835" t="s">
        <v>38</v>
      </c>
      <c r="N835" t="s">
        <v>38</v>
      </c>
      <c r="O835" t="s">
        <v>38</v>
      </c>
      <c r="T835" t="s">
        <v>38</v>
      </c>
      <c r="U835">
        <v>0</v>
      </c>
      <c r="V835">
        <v>1</v>
      </c>
      <c r="W835">
        <v>0</v>
      </c>
      <c r="X835">
        <v>0</v>
      </c>
      <c r="Y835">
        <v>0</v>
      </c>
      <c r="AE835">
        <f t="shared" ref="AE835:AE898" si="39">SUBTOTAL(103,E835)</f>
        <v>1</v>
      </c>
      <c r="AF835">
        <f>VLOOKUP(D835,especies!$A$2:$C$9,3,FALSE)</f>
        <v>1</v>
      </c>
      <c r="AG835" t="str">
        <f t="shared" ref="AG835:AG898" si="40">AF835&amp;"-"&amp;E835</f>
        <v>1-Poodle</v>
      </c>
      <c r="AH835">
        <f>VLOOKUP('Fichas clínicas'!AG835,razas!$A$2:$D$66,3,FALSE)</f>
        <v>6</v>
      </c>
      <c r="AI835" t="str">
        <f t="shared" ref="AI835:AI898" si="41">IF(F835="Hembra","H","M")</f>
        <v>H</v>
      </c>
    </row>
    <row r="836" spans="1:35" x14ac:dyDescent="0.2">
      <c r="A836">
        <v>838</v>
      </c>
      <c r="B836" t="s">
        <v>2007</v>
      </c>
      <c r="C836" t="s">
        <v>2008</v>
      </c>
      <c r="D836" t="s">
        <v>32</v>
      </c>
      <c r="E836" t="s">
        <v>438</v>
      </c>
      <c r="F836" t="s">
        <v>34</v>
      </c>
      <c r="G836" t="s">
        <v>54</v>
      </c>
      <c r="J836" t="s">
        <v>784</v>
      </c>
      <c r="K836" t="s">
        <v>38</v>
      </c>
      <c r="L836" t="s">
        <v>38</v>
      </c>
      <c r="M836" t="s">
        <v>38</v>
      </c>
      <c r="N836" t="s">
        <v>38</v>
      </c>
      <c r="O836" t="s">
        <v>38</v>
      </c>
      <c r="T836" t="s">
        <v>38</v>
      </c>
      <c r="U836">
        <v>0</v>
      </c>
      <c r="V836">
        <v>1</v>
      </c>
      <c r="W836">
        <v>0</v>
      </c>
      <c r="X836">
        <v>0</v>
      </c>
      <c r="Y836">
        <v>0</v>
      </c>
      <c r="AE836">
        <f t="shared" si="39"/>
        <v>1</v>
      </c>
      <c r="AF836">
        <f>VLOOKUP(D836,especies!$A$2:$C$9,3,FALSE)</f>
        <v>1</v>
      </c>
      <c r="AG836" t="str">
        <f t="shared" si="40"/>
        <v>1-Ovejero Alemán</v>
      </c>
      <c r="AH836">
        <f>VLOOKUP('Fichas clínicas'!AG836,razas!$A$2:$D$66,3,FALSE)</f>
        <v>12</v>
      </c>
      <c r="AI836" t="str">
        <f t="shared" si="41"/>
        <v>H</v>
      </c>
    </row>
    <row r="837" spans="1:35" x14ac:dyDescent="0.2">
      <c r="A837">
        <v>839</v>
      </c>
      <c r="B837" t="s">
        <v>2009</v>
      </c>
      <c r="C837" t="s">
        <v>2010</v>
      </c>
      <c r="D837" t="s">
        <v>41</v>
      </c>
      <c r="E837" t="s">
        <v>42</v>
      </c>
      <c r="F837" t="s">
        <v>47</v>
      </c>
      <c r="G837" t="s">
        <v>199</v>
      </c>
      <c r="J837" t="s">
        <v>737</v>
      </c>
      <c r="K837" t="s">
        <v>38</v>
      </c>
      <c r="L837" t="s">
        <v>38</v>
      </c>
      <c r="M837" t="s">
        <v>38</v>
      </c>
      <c r="N837" t="s">
        <v>38</v>
      </c>
      <c r="O837" t="s">
        <v>38</v>
      </c>
      <c r="T837" t="s">
        <v>38</v>
      </c>
      <c r="U837">
        <v>0</v>
      </c>
      <c r="V837">
        <v>1</v>
      </c>
      <c r="W837">
        <v>0</v>
      </c>
      <c r="X837">
        <v>0</v>
      </c>
      <c r="Y837">
        <v>0</v>
      </c>
      <c r="AE837">
        <f t="shared" si="39"/>
        <v>1</v>
      </c>
      <c r="AF837">
        <f>VLOOKUP(D837,especies!$A$2:$C$9,3,FALSE)</f>
        <v>2</v>
      </c>
      <c r="AG837" t="str">
        <f t="shared" si="40"/>
        <v>2-DPC (Doméstico de pelo corto o DSH)</v>
      </c>
      <c r="AH837">
        <f>VLOOKUP('Fichas clínicas'!AG837,razas!$A$2:$D$66,3,FALSE)</f>
        <v>51</v>
      </c>
      <c r="AI837" t="str">
        <f t="shared" si="41"/>
        <v>M</v>
      </c>
    </row>
    <row r="838" spans="1:35" x14ac:dyDescent="0.2">
      <c r="A838">
        <v>840</v>
      </c>
      <c r="B838" t="s">
        <v>2011</v>
      </c>
      <c r="C838" t="s">
        <v>667</v>
      </c>
      <c r="D838" t="s">
        <v>41</v>
      </c>
      <c r="E838" t="s">
        <v>42</v>
      </c>
      <c r="F838" t="s">
        <v>47</v>
      </c>
      <c r="G838" t="s">
        <v>81</v>
      </c>
      <c r="J838" t="s">
        <v>58</v>
      </c>
      <c r="K838" t="s">
        <v>38</v>
      </c>
      <c r="L838" t="s">
        <v>38</v>
      </c>
      <c r="M838" t="s">
        <v>38</v>
      </c>
      <c r="N838" t="s">
        <v>38</v>
      </c>
      <c r="O838" t="s">
        <v>38</v>
      </c>
      <c r="T838" t="s">
        <v>38</v>
      </c>
      <c r="U838">
        <v>0</v>
      </c>
      <c r="V838">
        <v>1</v>
      </c>
      <c r="W838">
        <v>0</v>
      </c>
      <c r="X838">
        <v>0</v>
      </c>
      <c r="Y838">
        <v>0</v>
      </c>
      <c r="AE838">
        <f t="shared" si="39"/>
        <v>1</v>
      </c>
      <c r="AF838">
        <f>VLOOKUP(D838,especies!$A$2:$C$9,3,FALSE)</f>
        <v>2</v>
      </c>
      <c r="AG838" t="str">
        <f t="shared" si="40"/>
        <v>2-DPC (Doméstico de pelo corto o DSH)</v>
      </c>
      <c r="AH838">
        <f>VLOOKUP('Fichas clínicas'!AG838,razas!$A$2:$D$66,3,FALSE)</f>
        <v>51</v>
      </c>
      <c r="AI838" t="str">
        <f t="shared" si="41"/>
        <v>M</v>
      </c>
    </row>
    <row r="839" spans="1:35" x14ac:dyDescent="0.2">
      <c r="A839">
        <v>841</v>
      </c>
      <c r="B839" t="s">
        <v>2012</v>
      </c>
      <c r="C839" t="s">
        <v>2013</v>
      </c>
      <c r="D839" t="s">
        <v>41</v>
      </c>
      <c r="E839" t="s">
        <v>42</v>
      </c>
      <c r="F839" t="s">
        <v>47</v>
      </c>
      <c r="G839" t="s">
        <v>123</v>
      </c>
      <c r="J839" t="s">
        <v>2014</v>
      </c>
      <c r="K839" t="s">
        <v>38</v>
      </c>
      <c r="L839" t="s">
        <v>38</v>
      </c>
      <c r="M839" t="s">
        <v>38</v>
      </c>
      <c r="N839" t="s">
        <v>38</v>
      </c>
      <c r="O839" t="s">
        <v>38</v>
      </c>
      <c r="T839" t="s">
        <v>38</v>
      </c>
      <c r="U839">
        <v>0</v>
      </c>
      <c r="W839">
        <v>0</v>
      </c>
      <c r="X839">
        <v>0</v>
      </c>
      <c r="Y839">
        <v>0</v>
      </c>
      <c r="AE839">
        <f t="shared" si="39"/>
        <v>1</v>
      </c>
      <c r="AF839">
        <f>VLOOKUP(D839,especies!$A$2:$C$9,3,FALSE)</f>
        <v>2</v>
      </c>
      <c r="AG839" t="str">
        <f t="shared" si="40"/>
        <v>2-DPC (Doméstico de pelo corto o DSH)</v>
      </c>
      <c r="AH839">
        <f>VLOOKUP('Fichas clínicas'!AG839,razas!$A$2:$D$66,3,FALSE)</f>
        <v>51</v>
      </c>
      <c r="AI839" t="str">
        <f t="shared" si="41"/>
        <v>M</v>
      </c>
    </row>
    <row r="840" spans="1:35" x14ac:dyDescent="0.2">
      <c r="A840">
        <v>842</v>
      </c>
      <c r="B840" t="s">
        <v>2015</v>
      </c>
      <c r="C840" t="s">
        <v>2016</v>
      </c>
      <c r="D840" t="s">
        <v>41</v>
      </c>
      <c r="E840" t="s">
        <v>93</v>
      </c>
      <c r="F840" t="s">
        <v>47</v>
      </c>
      <c r="G840" t="s">
        <v>199</v>
      </c>
      <c r="J840" t="s">
        <v>1983</v>
      </c>
      <c r="K840" t="s">
        <v>38</v>
      </c>
      <c r="L840" t="s">
        <v>38</v>
      </c>
      <c r="M840" t="s">
        <v>38</v>
      </c>
      <c r="N840" t="s">
        <v>38</v>
      </c>
      <c r="O840" t="s">
        <v>38</v>
      </c>
      <c r="T840" t="s">
        <v>38</v>
      </c>
      <c r="U840">
        <v>0</v>
      </c>
      <c r="W840">
        <v>0</v>
      </c>
      <c r="X840">
        <v>0</v>
      </c>
      <c r="Y840">
        <v>0</v>
      </c>
      <c r="AE840">
        <f t="shared" si="39"/>
        <v>1</v>
      </c>
      <c r="AF840">
        <f>VLOOKUP(D840,especies!$A$2:$C$9,3,FALSE)</f>
        <v>2</v>
      </c>
      <c r="AG840" t="str">
        <f t="shared" si="40"/>
        <v>2-DPL (Doméstico de pelo Largo o DLH)</v>
      </c>
      <c r="AH840">
        <f>VLOOKUP('Fichas clínicas'!AG840,razas!$A$2:$D$66,3,FALSE)</f>
        <v>52</v>
      </c>
      <c r="AI840" t="str">
        <f t="shared" si="41"/>
        <v>M</v>
      </c>
    </row>
    <row r="841" spans="1:35" x14ac:dyDescent="0.2">
      <c r="A841">
        <v>843</v>
      </c>
      <c r="B841" t="s">
        <v>1549</v>
      </c>
      <c r="C841" t="s">
        <v>2017</v>
      </c>
      <c r="D841" t="s">
        <v>41</v>
      </c>
      <c r="E841" t="s">
        <v>42</v>
      </c>
      <c r="F841" t="s">
        <v>47</v>
      </c>
      <c r="G841" t="s">
        <v>656</v>
      </c>
      <c r="J841" t="s">
        <v>2018</v>
      </c>
      <c r="K841" t="s">
        <v>38</v>
      </c>
      <c r="L841" t="s">
        <v>38</v>
      </c>
      <c r="M841" t="s">
        <v>38</v>
      </c>
      <c r="N841" t="s">
        <v>38</v>
      </c>
      <c r="O841" t="s">
        <v>38</v>
      </c>
      <c r="T841" t="s">
        <v>38</v>
      </c>
      <c r="U841">
        <v>0</v>
      </c>
      <c r="W841">
        <v>0</v>
      </c>
      <c r="X841">
        <v>0</v>
      </c>
      <c r="Y841">
        <v>0</v>
      </c>
      <c r="AE841">
        <f t="shared" si="39"/>
        <v>1</v>
      </c>
      <c r="AF841">
        <f>VLOOKUP(D841,especies!$A$2:$C$9,3,FALSE)</f>
        <v>2</v>
      </c>
      <c r="AG841" t="str">
        <f t="shared" si="40"/>
        <v>2-DPC (Doméstico de pelo corto o DSH)</v>
      </c>
      <c r="AH841">
        <f>VLOOKUP('Fichas clínicas'!AG841,razas!$A$2:$D$66,3,FALSE)</f>
        <v>51</v>
      </c>
      <c r="AI841" t="str">
        <f t="shared" si="41"/>
        <v>M</v>
      </c>
    </row>
    <row r="842" spans="1:35" x14ac:dyDescent="0.2">
      <c r="A842">
        <v>844</v>
      </c>
      <c r="B842" t="s">
        <v>2019</v>
      </c>
      <c r="C842" t="s">
        <v>2020</v>
      </c>
      <c r="D842" t="s">
        <v>32</v>
      </c>
      <c r="E842" t="s">
        <v>33</v>
      </c>
      <c r="F842" t="s">
        <v>34</v>
      </c>
      <c r="G842" t="s">
        <v>54</v>
      </c>
      <c r="J842" t="s">
        <v>2021</v>
      </c>
      <c r="K842" t="s">
        <v>38</v>
      </c>
      <c r="L842" t="s">
        <v>38</v>
      </c>
      <c r="M842" t="s">
        <v>38</v>
      </c>
      <c r="N842" t="s">
        <v>38</v>
      </c>
      <c r="O842" t="s">
        <v>38</v>
      </c>
      <c r="Q842">
        <v>0</v>
      </c>
      <c r="T842" t="s">
        <v>38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f t="shared" si="39"/>
        <v>1</v>
      </c>
      <c r="AF842">
        <f>VLOOKUP(D842,especies!$A$2:$C$9,3,FALSE)</f>
        <v>1</v>
      </c>
      <c r="AG842" t="str">
        <f t="shared" si="40"/>
        <v>1-Mestizo</v>
      </c>
      <c r="AH842">
        <f>VLOOKUP('Fichas clínicas'!AG842,razas!$A$2:$D$66,3,FALSE)</f>
        <v>1</v>
      </c>
      <c r="AI842" t="str">
        <f t="shared" si="41"/>
        <v>H</v>
      </c>
    </row>
    <row r="843" spans="1:35" x14ac:dyDescent="0.2">
      <c r="A843">
        <v>845</v>
      </c>
      <c r="B843" t="s">
        <v>2022</v>
      </c>
      <c r="C843" t="s">
        <v>2023</v>
      </c>
      <c r="D843" t="s">
        <v>32</v>
      </c>
      <c r="E843" t="s">
        <v>33</v>
      </c>
      <c r="F843" t="s">
        <v>47</v>
      </c>
      <c r="G843" t="s">
        <v>199</v>
      </c>
      <c r="J843" t="s">
        <v>2021</v>
      </c>
      <c r="K843" t="s">
        <v>38</v>
      </c>
      <c r="L843" t="s">
        <v>38</v>
      </c>
      <c r="M843" t="s">
        <v>38</v>
      </c>
      <c r="N843" t="s">
        <v>38</v>
      </c>
      <c r="O843" t="s">
        <v>38</v>
      </c>
      <c r="Q843">
        <v>0</v>
      </c>
      <c r="T843" t="s">
        <v>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f t="shared" si="39"/>
        <v>1</v>
      </c>
      <c r="AF843">
        <f>VLOOKUP(D843,especies!$A$2:$C$9,3,FALSE)</f>
        <v>1</v>
      </c>
      <c r="AG843" t="str">
        <f t="shared" si="40"/>
        <v>1-Mestizo</v>
      </c>
      <c r="AH843">
        <f>VLOOKUP('Fichas clínicas'!AG843,razas!$A$2:$D$66,3,FALSE)</f>
        <v>1</v>
      </c>
      <c r="AI843" t="str">
        <f t="shared" si="41"/>
        <v>M</v>
      </c>
    </row>
    <row r="844" spans="1:35" x14ac:dyDescent="0.2">
      <c r="A844">
        <v>846</v>
      </c>
      <c r="B844" t="s">
        <v>2024</v>
      </c>
      <c r="C844" t="s">
        <v>2025</v>
      </c>
      <c r="D844" t="s">
        <v>41</v>
      </c>
      <c r="E844" t="s">
        <v>42</v>
      </c>
      <c r="F844" t="s">
        <v>47</v>
      </c>
      <c r="G844" t="s">
        <v>656</v>
      </c>
      <c r="J844" t="s">
        <v>2026</v>
      </c>
      <c r="K844" t="s">
        <v>38</v>
      </c>
      <c r="L844" t="s">
        <v>38</v>
      </c>
      <c r="M844" t="s">
        <v>38</v>
      </c>
      <c r="N844" t="s">
        <v>38</v>
      </c>
      <c r="O844" t="s">
        <v>38</v>
      </c>
      <c r="T844" t="s">
        <v>38</v>
      </c>
      <c r="U844">
        <v>0</v>
      </c>
      <c r="W844">
        <v>0</v>
      </c>
      <c r="X844">
        <v>0</v>
      </c>
      <c r="Y844">
        <v>0</v>
      </c>
      <c r="AE844">
        <f t="shared" si="39"/>
        <v>1</v>
      </c>
      <c r="AF844">
        <f>VLOOKUP(D844,especies!$A$2:$C$9,3,FALSE)</f>
        <v>2</v>
      </c>
      <c r="AG844" t="str">
        <f t="shared" si="40"/>
        <v>2-DPC (Doméstico de pelo corto o DSH)</v>
      </c>
      <c r="AH844">
        <f>VLOOKUP('Fichas clínicas'!AG844,razas!$A$2:$D$66,3,FALSE)</f>
        <v>51</v>
      </c>
      <c r="AI844" t="str">
        <f t="shared" si="41"/>
        <v>M</v>
      </c>
    </row>
    <row r="845" spans="1:35" x14ac:dyDescent="0.2">
      <c r="A845">
        <v>847</v>
      </c>
      <c r="B845" t="s">
        <v>2024</v>
      </c>
      <c r="C845" t="s">
        <v>2027</v>
      </c>
      <c r="D845" t="s">
        <v>41</v>
      </c>
      <c r="E845" t="s">
        <v>42</v>
      </c>
      <c r="F845" t="s">
        <v>47</v>
      </c>
      <c r="G845" t="s">
        <v>1007</v>
      </c>
      <c r="J845" t="s">
        <v>2026</v>
      </c>
      <c r="K845" t="s">
        <v>38</v>
      </c>
      <c r="L845" t="s">
        <v>38</v>
      </c>
      <c r="M845" t="s">
        <v>38</v>
      </c>
      <c r="N845" t="s">
        <v>38</v>
      </c>
      <c r="O845" t="s">
        <v>38</v>
      </c>
      <c r="T845" t="s">
        <v>38</v>
      </c>
      <c r="U845">
        <v>0</v>
      </c>
      <c r="W845">
        <v>0</v>
      </c>
      <c r="X845">
        <v>0</v>
      </c>
      <c r="Y845">
        <v>0</v>
      </c>
      <c r="AE845">
        <f t="shared" si="39"/>
        <v>1</v>
      </c>
      <c r="AF845">
        <f>VLOOKUP(D845,especies!$A$2:$C$9,3,FALSE)</f>
        <v>2</v>
      </c>
      <c r="AG845" t="str">
        <f t="shared" si="40"/>
        <v>2-DPC (Doméstico de pelo corto o DSH)</v>
      </c>
      <c r="AH845">
        <f>VLOOKUP('Fichas clínicas'!AG845,razas!$A$2:$D$66,3,FALSE)</f>
        <v>51</v>
      </c>
      <c r="AI845" t="str">
        <f t="shared" si="41"/>
        <v>M</v>
      </c>
    </row>
    <row r="846" spans="1:35" x14ac:dyDescent="0.2">
      <c r="A846">
        <v>848</v>
      </c>
      <c r="B846" t="s">
        <v>1113</v>
      </c>
      <c r="C846" t="s">
        <v>2028</v>
      </c>
      <c r="D846" t="s">
        <v>41</v>
      </c>
      <c r="E846" t="s">
        <v>42</v>
      </c>
      <c r="F846" t="s">
        <v>34</v>
      </c>
      <c r="G846" t="s">
        <v>81</v>
      </c>
      <c r="J846" t="s">
        <v>2029</v>
      </c>
      <c r="K846" t="s">
        <v>38</v>
      </c>
      <c r="L846" t="s">
        <v>38</v>
      </c>
      <c r="M846" t="s">
        <v>38</v>
      </c>
      <c r="N846" t="s">
        <v>38</v>
      </c>
      <c r="O846" t="s">
        <v>38</v>
      </c>
      <c r="T846" t="s">
        <v>38</v>
      </c>
      <c r="U846">
        <v>0</v>
      </c>
      <c r="V846">
        <v>1</v>
      </c>
      <c r="W846">
        <v>0</v>
      </c>
      <c r="X846">
        <v>0</v>
      </c>
      <c r="Y846">
        <v>0</v>
      </c>
      <c r="AE846">
        <f t="shared" si="39"/>
        <v>1</v>
      </c>
      <c r="AF846">
        <f>VLOOKUP(D846,especies!$A$2:$C$9,3,FALSE)</f>
        <v>2</v>
      </c>
      <c r="AG846" t="str">
        <f t="shared" si="40"/>
        <v>2-DPC (Doméstico de pelo corto o DSH)</v>
      </c>
      <c r="AH846">
        <f>VLOOKUP('Fichas clínicas'!AG846,razas!$A$2:$D$66,3,FALSE)</f>
        <v>51</v>
      </c>
      <c r="AI846" t="str">
        <f t="shared" si="41"/>
        <v>H</v>
      </c>
    </row>
    <row r="847" spans="1:35" x14ac:dyDescent="0.2">
      <c r="A847">
        <v>849</v>
      </c>
      <c r="B847" t="s">
        <v>2030</v>
      </c>
      <c r="C847" t="s">
        <v>2031</v>
      </c>
      <c r="D847" t="s">
        <v>41</v>
      </c>
      <c r="E847" t="s">
        <v>93</v>
      </c>
      <c r="F847" t="s">
        <v>34</v>
      </c>
      <c r="G847" t="s">
        <v>116</v>
      </c>
      <c r="J847" t="s">
        <v>2032</v>
      </c>
      <c r="K847" t="s">
        <v>38</v>
      </c>
      <c r="L847" t="s">
        <v>38</v>
      </c>
      <c r="M847" t="s">
        <v>38</v>
      </c>
      <c r="N847" t="s">
        <v>38</v>
      </c>
      <c r="O847" t="s">
        <v>38</v>
      </c>
      <c r="T847" t="s">
        <v>38</v>
      </c>
      <c r="U847">
        <v>0</v>
      </c>
      <c r="W847">
        <v>0</v>
      </c>
      <c r="X847">
        <v>0</v>
      </c>
      <c r="Y847">
        <v>0</v>
      </c>
      <c r="AE847">
        <f t="shared" si="39"/>
        <v>1</v>
      </c>
      <c r="AF847">
        <f>VLOOKUP(D847,especies!$A$2:$C$9,3,FALSE)</f>
        <v>2</v>
      </c>
      <c r="AG847" t="str">
        <f t="shared" si="40"/>
        <v>2-DPL (Doméstico de pelo Largo o DLH)</v>
      </c>
      <c r="AH847">
        <f>VLOOKUP('Fichas clínicas'!AG847,razas!$A$2:$D$66,3,FALSE)</f>
        <v>52</v>
      </c>
      <c r="AI847" t="str">
        <f t="shared" si="41"/>
        <v>H</v>
      </c>
    </row>
    <row r="848" spans="1:35" x14ac:dyDescent="0.2">
      <c r="A848">
        <v>850</v>
      </c>
      <c r="B848" t="s">
        <v>2033</v>
      </c>
      <c r="C848" t="s">
        <v>1006</v>
      </c>
      <c r="D848" t="s">
        <v>41</v>
      </c>
      <c r="E848" t="s">
        <v>93</v>
      </c>
      <c r="F848" t="s">
        <v>47</v>
      </c>
      <c r="G848" t="s">
        <v>277</v>
      </c>
      <c r="H848">
        <v>999020190506683</v>
      </c>
      <c r="J848" t="s">
        <v>393</v>
      </c>
      <c r="K848" t="s">
        <v>38</v>
      </c>
      <c r="L848" t="s">
        <v>38</v>
      </c>
      <c r="M848" t="s">
        <v>38</v>
      </c>
      <c r="N848" t="s">
        <v>38</v>
      </c>
      <c r="O848" t="s">
        <v>38</v>
      </c>
      <c r="Q848">
        <v>0</v>
      </c>
      <c r="T848" t="s">
        <v>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f t="shared" si="39"/>
        <v>1</v>
      </c>
      <c r="AF848">
        <f>VLOOKUP(D848,especies!$A$2:$C$9,3,FALSE)</f>
        <v>2</v>
      </c>
      <c r="AG848" t="str">
        <f t="shared" si="40"/>
        <v>2-DPL (Doméstico de pelo Largo o DLH)</v>
      </c>
      <c r="AH848">
        <f>VLOOKUP('Fichas clínicas'!AG848,razas!$A$2:$D$66,3,FALSE)</f>
        <v>52</v>
      </c>
      <c r="AI848" t="str">
        <f t="shared" si="41"/>
        <v>M</v>
      </c>
    </row>
    <row r="849" spans="1:35" x14ac:dyDescent="0.2">
      <c r="A849">
        <v>851</v>
      </c>
      <c r="B849" t="s">
        <v>2034</v>
      </c>
      <c r="C849" t="s">
        <v>2035</v>
      </c>
      <c r="D849" t="s">
        <v>32</v>
      </c>
      <c r="E849" t="s">
        <v>33</v>
      </c>
      <c r="F849" t="s">
        <v>47</v>
      </c>
      <c r="G849" t="s">
        <v>54</v>
      </c>
      <c r="J849" t="s">
        <v>393</v>
      </c>
      <c r="K849" t="s">
        <v>38</v>
      </c>
      <c r="L849" t="s">
        <v>38</v>
      </c>
      <c r="M849" t="s">
        <v>38</v>
      </c>
      <c r="N849" t="s">
        <v>38</v>
      </c>
      <c r="O849" t="s">
        <v>38</v>
      </c>
      <c r="Q849">
        <v>0</v>
      </c>
      <c r="T849" t="s">
        <v>38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f t="shared" si="39"/>
        <v>1</v>
      </c>
      <c r="AF849">
        <f>VLOOKUP(D849,especies!$A$2:$C$9,3,FALSE)</f>
        <v>1</v>
      </c>
      <c r="AG849" t="str">
        <f t="shared" si="40"/>
        <v>1-Mestizo</v>
      </c>
      <c r="AH849">
        <f>VLOOKUP('Fichas clínicas'!AG849,razas!$A$2:$D$66,3,FALSE)</f>
        <v>1</v>
      </c>
      <c r="AI849" t="str">
        <f t="shared" si="41"/>
        <v>M</v>
      </c>
    </row>
    <row r="850" spans="1:35" x14ac:dyDescent="0.2">
      <c r="A850">
        <v>852</v>
      </c>
      <c r="B850" t="s">
        <v>2036</v>
      </c>
      <c r="C850" t="s">
        <v>2037</v>
      </c>
      <c r="D850" t="s">
        <v>41</v>
      </c>
      <c r="E850" t="s">
        <v>42</v>
      </c>
      <c r="F850" t="s">
        <v>47</v>
      </c>
      <c r="G850" t="s">
        <v>81</v>
      </c>
      <c r="J850" t="s">
        <v>2038</v>
      </c>
      <c r="K850" t="s">
        <v>38</v>
      </c>
      <c r="L850" t="s">
        <v>38</v>
      </c>
      <c r="M850" t="s">
        <v>38</v>
      </c>
      <c r="N850" t="s">
        <v>38</v>
      </c>
      <c r="O850" t="s">
        <v>38</v>
      </c>
      <c r="Q850">
        <v>1</v>
      </c>
      <c r="T850" t="s">
        <v>38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f t="shared" si="39"/>
        <v>1</v>
      </c>
      <c r="AF850">
        <f>VLOOKUP(D850,especies!$A$2:$C$9,3,FALSE)</f>
        <v>2</v>
      </c>
      <c r="AG850" t="str">
        <f t="shared" si="40"/>
        <v>2-DPC (Doméstico de pelo corto o DSH)</v>
      </c>
      <c r="AH850">
        <f>VLOOKUP('Fichas clínicas'!AG850,razas!$A$2:$D$66,3,FALSE)</f>
        <v>51</v>
      </c>
      <c r="AI850" t="str">
        <f t="shared" si="41"/>
        <v>M</v>
      </c>
    </row>
    <row r="851" spans="1:35" x14ac:dyDescent="0.2">
      <c r="A851">
        <v>853</v>
      </c>
      <c r="B851" t="s">
        <v>2039</v>
      </c>
      <c r="C851" t="s">
        <v>483</v>
      </c>
      <c r="D851" t="s">
        <v>32</v>
      </c>
      <c r="E851" t="s">
        <v>33</v>
      </c>
      <c r="F851" t="s">
        <v>47</v>
      </c>
      <c r="G851" t="s">
        <v>165</v>
      </c>
      <c r="I851">
        <v>99902190506695</v>
      </c>
      <c r="J851" t="s">
        <v>2040</v>
      </c>
      <c r="K851" t="s">
        <v>38</v>
      </c>
      <c r="L851" t="s">
        <v>38</v>
      </c>
      <c r="M851" t="s">
        <v>38</v>
      </c>
      <c r="N851" t="s">
        <v>38</v>
      </c>
      <c r="O851" t="s">
        <v>38</v>
      </c>
      <c r="Q851">
        <v>0</v>
      </c>
      <c r="T851" t="s">
        <v>38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f t="shared" si="39"/>
        <v>1</v>
      </c>
      <c r="AF851">
        <f>VLOOKUP(D851,especies!$A$2:$C$9,3,FALSE)</f>
        <v>1</v>
      </c>
      <c r="AG851" t="str">
        <f t="shared" si="40"/>
        <v>1-Mestizo</v>
      </c>
      <c r="AH851">
        <f>VLOOKUP('Fichas clínicas'!AG851,razas!$A$2:$D$66,3,FALSE)</f>
        <v>1</v>
      </c>
      <c r="AI851" t="str">
        <f t="shared" si="41"/>
        <v>M</v>
      </c>
    </row>
    <row r="852" spans="1:35" x14ac:dyDescent="0.2">
      <c r="A852">
        <v>854</v>
      </c>
      <c r="B852" t="s">
        <v>2041</v>
      </c>
      <c r="C852" t="s">
        <v>2042</v>
      </c>
      <c r="D852" t="s">
        <v>32</v>
      </c>
      <c r="E852" t="s">
        <v>150</v>
      </c>
      <c r="F852" t="s">
        <v>47</v>
      </c>
      <c r="G852" t="s">
        <v>467</v>
      </c>
      <c r="J852" t="s">
        <v>2043</v>
      </c>
      <c r="K852" t="s">
        <v>38</v>
      </c>
      <c r="L852" t="s">
        <v>38</v>
      </c>
      <c r="M852" t="s">
        <v>38</v>
      </c>
      <c r="N852" t="s">
        <v>38</v>
      </c>
      <c r="O852" t="s">
        <v>38</v>
      </c>
      <c r="T852" t="s">
        <v>38</v>
      </c>
      <c r="U852">
        <v>0</v>
      </c>
      <c r="W852">
        <v>0</v>
      </c>
      <c r="X852">
        <v>0</v>
      </c>
      <c r="Y852">
        <v>0</v>
      </c>
      <c r="AE852">
        <f t="shared" si="39"/>
        <v>1</v>
      </c>
      <c r="AF852">
        <f>VLOOKUP(D852,especies!$A$2:$C$9,3,FALSE)</f>
        <v>1</v>
      </c>
      <c r="AG852" t="str">
        <f t="shared" si="40"/>
        <v>1-Poodle</v>
      </c>
      <c r="AH852">
        <f>VLOOKUP('Fichas clínicas'!AG852,razas!$A$2:$D$66,3,FALSE)</f>
        <v>6</v>
      </c>
      <c r="AI852" t="str">
        <f t="shared" si="41"/>
        <v>M</v>
      </c>
    </row>
    <row r="853" spans="1:35" x14ac:dyDescent="0.2">
      <c r="A853">
        <v>855</v>
      </c>
      <c r="B853" t="s">
        <v>1210</v>
      </c>
      <c r="C853" t="s">
        <v>2044</v>
      </c>
      <c r="D853" t="s">
        <v>32</v>
      </c>
      <c r="E853" t="s">
        <v>122</v>
      </c>
      <c r="F853" t="s">
        <v>34</v>
      </c>
      <c r="G853" t="s">
        <v>77</v>
      </c>
      <c r="J853" t="s">
        <v>90</v>
      </c>
      <c r="K853" t="s">
        <v>38</v>
      </c>
      <c r="L853" t="s">
        <v>38</v>
      </c>
      <c r="M853" t="s">
        <v>38</v>
      </c>
      <c r="N853" t="s">
        <v>38</v>
      </c>
      <c r="O853" t="s">
        <v>38</v>
      </c>
      <c r="T853" t="s">
        <v>38</v>
      </c>
      <c r="U853">
        <v>0</v>
      </c>
      <c r="V853">
        <v>1</v>
      </c>
      <c r="W853">
        <v>0</v>
      </c>
      <c r="X853">
        <v>0</v>
      </c>
      <c r="Y853">
        <v>0</v>
      </c>
      <c r="AE853">
        <f t="shared" si="39"/>
        <v>1</v>
      </c>
      <c r="AF853">
        <f>VLOOKUP(D853,especies!$A$2:$C$9,3,FALSE)</f>
        <v>1</v>
      </c>
      <c r="AG853" t="str">
        <f t="shared" si="40"/>
        <v>1-Caniche</v>
      </c>
      <c r="AH853">
        <f>VLOOKUP('Fichas clínicas'!AG853,razas!$A$2:$D$66,3,FALSE)</f>
        <v>4</v>
      </c>
      <c r="AI853" t="str">
        <f t="shared" si="41"/>
        <v>H</v>
      </c>
    </row>
    <row r="854" spans="1:35" x14ac:dyDescent="0.2">
      <c r="A854">
        <v>856</v>
      </c>
      <c r="B854" t="s">
        <v>2045</v>
      </c>
      <c r="C854" t="s">
        <v>2046</v>
      </c>
      <c r="D854" t="s">
        <v>32</v>
      </c>
      <c r="E854" t="s">
        <v>33</v>
      </c>
      <c r="F854" t="s">
        <v>34</v>
      </c>
      <c r="G854" t="s">
        <v>2047</v>
      </c>
      <c r="J854" t="s">
        <v>2048</v>
      </c>
      <c r="K854" t="s">
        <v>38</v>
      </c>
      <c r="L854" t="s">
        <v>38</v>
      </c>
      <c r="M854" t="s">
        <v>38</v>
      </c>
      <c r="N854" t="s">
        <v>38</v>
      </c>
      <c r="O854" t="s">
        <v>38</v>
      </c>
      <c r="T854" t="s">
        <v>38</v>
      </c>
      <c r="U854">
        <v>0</v>
      </c>
      <c r="W854">
        <v>0</v>
      </c>
      <c r="X854">
        <v>0</v>
      </c>
      <c r="Y854">
        <v>0</v>
      </c>
      <c r="AE854">
        <f t="shared" si="39"/>
        <v>1</v>
      </c>
      <c r="AF854">
        <f>VLOOKUP(D854,especies!$A$2:$C$9,3,FALSE)</f>
        <v>1</v>
      </c>
      <c r="AG854" t="str">
        <f t="shared" si="40"/>
        <v>1-Mestizo</v>
      </c>
      <c r="AH854">
        <f>VLOOKUP('Fichas clínicas'!AG854,razas!$A$2:$D$66,3,FALSE)</f>
        <v>1</v>
      </c>
      <c r="AI854" t="str">
        <f t="shared" si="41"/>
        <v>H</v>
      </c>
    </row>
    <row r="855" spans="1:35" x14ac:dyDescent="0.2">
      <c r="A855">
        <v>857</v>
      </c>
      <c r="B855" t="s">
        <v>2049</v>
      </c>
      <c r="C855" t="s">
        <v>2050</v>
      </c>
      <c r="D855" t="s">
        <v>32</v>
      </c>
      <c r="E855" t="s">
        <v>72</v>
      </c>
      <c r="F855" t="s">
        <v>34</v>
      </c>
      <c r="G855" t="s">
        <v>1515</v>
      </c>
      <c r="I855">
        <v>99902019056697</v>
      </c>
      <c r="J855" t="s">
        <v>2051</v>
      </c>
      <c r="K855" t="s">
        <v>38</v>
      </c>
      <c r="L855" t="s">
        <v>38</v>
      </c>
      <c r="M855" t="s">
        <v>38</v>
      </c>
      <c r="N855" t="s">
        <v>38</v>
      </c>
      <c r="O855" t="s">
        <v>38</v>
      </c>
      <c r="Q855">
        <v>0</v>
      </c>
      <c r="T855" t="s">
        <v>38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f t="shared" si="39"/>
        <v>1</v>
      </c>
      <c r="AF855">
        <f>VLOOKUP(D855,especies!$A$2:$C$9,3,FALSE)</f>
        <v>1</v>
      </c>
      <c r="AG855" t="str">
        <f t="shared" si="40"/>
        <v>1-Shar-Pei</v>
      </c>
      <c r="AH855">
        <f>VLOOKUP('Fichas clínicas'!AG855,razas!$A$2:$D$66,3,FALSE)</f>
        <v>3</v>
      </c>
      <c r="AI855" t="str">
        <f t="shared" si="41"/>
        <v>H</v>
      </c>
    </row>
    <row r="856" spans="1:35" x14ac:dyDescent="0.2">
      <c r="A856">
        <v>858</v>
      </c>
      <c r="B856" t="s">
        <v>2052</v>
      </c>
      <c r="C856" t="s">
        <v>2053</v>
      </c>
      <c r="D856" t="s">
        <v>32</v>
      </c>
      <c r="E856" t="s">
        <v>160</v>
      </c>
      <c r="F856" t="s">
        <v>47</v>
      </c>
      <c r="G856" t="s">
        <v>2054</v>
      </c>
      <c r="I856">
        <v>900113001676631</v>
      </c>
      <c r="J856" t="s">
        <v>87</v>
      </c>
      <c r="K856" t="s">
        <v>38</v>
      </c>
      <c r="L856" t="s">
        <v>38</v>
      </c>
      <c r="M856" t="s">
        <v>38</v>
      </c>
      <c r="N856" t="s">
        <v>38</v>
      </c>
      <c r="O856" t="s">
        <v>38</v>
      </c>
      <c r="Q856">
        <v>0</v>
      </c>
      <c r="T856" t="s">
        <v>38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f t="shared" si="39"/>
        <v>1</v>
      </c>
      <c r="AF856">
        <f>VLOOKUP(D856,especies!$A$2:$C$9,3,FALSE)</f>
        <v>1</v>
      </c>
      <c r="AG856" t="str">
        <f t="shared" si="40"/>
        <v>1-Shih Tzu</v>
      </c>
      <c r="AH856">
        <f>VLOOKUP('Fichas clínicas'!AG856,razas!$A$2:$D$66,3,FALSE)</f>
        <v>7</v>
      </c>
      <c r="AI856" t="str">
        <f t="shared" si="41"/>
        <v>M</v>
      </c>
    </row>
    <row r="857" spans="1:35" x14ac:dyDescent="0.2">
      <c r="A857">
        <v>859</v>
      </c>
      <c r="B857" t="s">
        <v>2055</v>
      </c>
      <c r="C857" t="s">
        <v>2056</v>
      </c>
      <c r="D857" t="s">
        <v>32</v>
      </c>
      <c r="E857" t="s">
        <v>33</v>
      </c>
      <c r="F857" t="s">
        <v>47</v>
      </c>
      <c r="G857" t="s">
        <v>199</v>
      </c>
      <c r="J857" t="s">
        <v>2057</v>
      </c>
      <c r="K857" t="s">
        <v>38</v>
      </c>
      <c r="L857" t="s">
        <v>38</v>
      </c>
      <c r="M857" t="s">
        <v>38</v>
      </c>
      <c r="N857" t="s">
        <v>38</v>
      </c>
      <c r="O857" t="s">
        <v>38</v>
      </c>
      <c r="Q857">
        <v>0</v>
      </c>
      <c r="T857" t="s">
        <v>38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f t="shared" si="39"/>
        <v>1</v>
      </c>
      <c r="AF857">
        <f>VLOOKUP(D857,especies!$A$2:$C$9,3,FALSE)</f>
        <v>1</v>
      </c>
      <c r="AG857" t="str">
        <f t="shared" si="40"/>
        <v>1-Mestizo</v>
      </c>
      <c r="AH857">
        <f>VLOOKUP('Fichas clínicas'!AG857,razas!$A$2:$D$66,3,FALSE)</f>
        <v>1</v>
      </c>
      <c r="AI857" t="str">
        <f t="shared" si="41"/>
        <v>M</v>
      </c>
    </row>
    <row r="858" spans="1:35" x14ac:dyDescent="0.2">
      <c r="A858">
        <v>860</v>
      </c>
      <c r="B858" t="s">
        <v>2058</v>
      </c>
      <c r="C858" t="s">
        <v>2059</v>
      </c>
      <c r="D858" t="s">
        <v>32</v>
      </c>
      <c r="E858" t="s">
        <v>438</v>
      </c>
      <c r="F858" t="s">
        <v>34</v>
      </c>
      <c r="G858" t="s">
        <v>54</v>
      </c>
      <c r="J858" t="s">
        <v>1308</v>
      </c>
      <c r="K858" t="s">
        <v>38</v>
      </c>
      <c r="L858" t="s">
        <v>38</v>
      </c>
      <c r="M858" t="s">
        <v>38</v>
      </c>
      <c r="N858" t="s">
        <v>38</v>
      </c>
      <c r="O858" t="s">
        <v>38</v>
      </c>
      <c r="T858" t="s">
        <v>38</v>
      </c>
      <c r="U858">
        <v>0</v>
      </c>
      <c r="W858">
        <v>0</v>
      </c>
      <c r="X858">
        <v>0</v>
      </c>
      <c r="Y858">
        <v>0</v>
      </c>
      <c r="AE858">
        <f t="shared" si="39"/>
        <v>1</v>
      </c>
      <c r="AF858">
        <f>VLOOKUP(D858,especies!$A$2:$C$9,3,FALSE)</f>
        <v>1</v>
      </c>
      <c r="AG858" t="str">
        <f t="shared" si="40"/>
        <v>1-Ovejero Alemán</v>
      </c>
      <c r="AH858">
        <f>VLOOKUP('Fichas clínicas'!AG858,razas!$A$2:$D$66,3,FALSE)</f>
        <v>12</v>
      </c>
      <c r="AI858" t="str">
        <f t="shared" si="41"/>
        <v>H</v>
      </c>
    </row>
    <row r="859" spans="1:35" x14ac:dyDescent="0.2">
      <c r="A859">
        <v>861</v>
      </c>
      <c r="B859" t="s">
        <v>2060</v>
      </c>
      <c r="C859" t="s">
        <v>2061</v>
      </c>
      <c r="D859" t="s">
        <v>41</v>
      </c>
      <c r="E859" t="s">
        <v>42</v>
      </c>
      <c r="F859" t="s">
        <v>47</v>
      </c>
      <c r="G859" t="s">
        <v>81</v>
      </c>
      <c r="J859" t="s">
        <v>281</v>
      </c>
      <c r="K859" t="s">
        <v>38</v>
      </c>
      <c r="L859" t="s">
        <v>38</v>
      </c>
      <c r="M859" t="s">
        <v>38</v>
      </c>
      <c r="N859" t="s">
        <v>38</v>
      </c>
      <c r="O859" t="s">
        <v>38</v>
      </c>
      <c r="T859" t="s">
        <v>38</v>
      </c>
      <c r="U859">
        <v>0</v>
      </c>
      <c r="V859">
        <v>1</v>
      </c>
      <c r="W859">
        <v>0</v>
      </c>
      <c r="X859">
        <v>0</v>
      </c>
      <c r="Y859">
        <v>0</v>
      </c>
      <c r="AE859">
        <f t="shared" si="39"/>
        <v>1</v>
      </c>
      <c r="AF859">
        <f>VLOOKUP(D859,especies!$A$2:$C$9,3,FALSE)</f>
        <v>2</v>
      </c>
      <c r="AG859" t="str">
        <f t="shared" si="40"/>
        <v>2-DPC (Doméstico de pelo corto o DSH)</v>
      </c>
      <c r="AH859">
        <f>VLOOKUP('Fichas clínicas'!AG859,razas!$A$2:$D$66,3,FALSE)</f>
        <v>51</v>
      </c>
      <c r="AI859" t="str">
        <f t="shared" si="41"/>
        <v>M</v>
      </c>
    </row>
    <row r="860" spans="1:35" x14ac:dyDescent="0.2">
      <c r="A860">
        <v>862</v>
      </c>
      <c r="B860" t="s">
        <v>2062</v>
      </c>
      <c r="C860" t="s">
        <v>332</v>
      </c>
      <c r="D860" t="s">
        <v>41</v>
      </c>
      <c r="E860" t="s">
        <v>93</v>
      </c>
      <c r="F860" t="s">
        <v>47</v>
      </c>
      <c r="G860" t="s">
        <v>199</v>
      </c>
      <c r="J860" t="s">
        <v>2063</v>
      </c>
      <c r="K860" t="s">
        <v>38</v>
      </c>
      <c r="L860" t="s">
        <v>38</v>
      </c>
      <c r="M860" t="s">
        <v>38</v>
      </c>
      <c r="N860" t="s">
        <v>38</v>
      </c>
      <c r="O860" t="s">
        <v>38</v>
      </c>
      <c r="Q860">
        <v>0</v>
      </c>
      <c r="T860" t="s">
        <v>38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f t="shared" si="39"/>
        <v>1</v>
      </c>
      <c r="AF860">
        <f>VLOOKUP(D860,especies!$A$2:$C$9,3,FALSE)</f>
        <v>2</v>
      </c>
      <c r="AG860" t="str">
        <f t="shared" si="40"/>
        <v>2-DPL (Doméstico de pelo Largo o DLH)</v>
      </c>
      <c r="AH860">
        <f>VLOOKUP('Fichas clínicas'!AG860,razas!$A$2:$D$66,3,FALSE)</f>
        <v>52</v>
      </c>
      <c r="AI860" t="str">
        <f t="shared" si="41"/>
        <v>M</v>
      </c>
    </row>
    <row r="861" spans="1:35" x14ac:dyDescent="0.2">
      <c r="A861">
        <v>863</v>
      </c>
      <c r="B861" t="s">
        <v>2062</v>
      </c>
      <c r="C861" t="s">
        <v>2064</v>
      </c>
      <c r="D861" t="s">
        <v>41</v>
      </c>
      <c r="E861" t="s">
        <v>42</v>
      </c>
      <c r="F861" t="s">
        <v>34</v>
      </c>
      <c r="G861" t="s">
        <v>2065</v>
      </c>
      <c r="J861" t="s">
        <v>356</v>
      </c>
      <c r="K861" t="s">
        <v>38</v>
      </c>
      <c r="L861" t="s">
        <v>38</v>
      </c>
      <c r="M861" t="s">
        <v>38</v>
      </c>
      <c r="N861" t="s">
        <v>38</v>
      </c>
      <c r="O861" t="s">
        <v>38</v>
      </c>
      <c r="T861" t="s">
        <v>38</v>
      </c>
      <c r="U861">
        <v>0</v>
      </c>
      <c r="V861">
        <v>1</v>
      </c>
      <c r="W861">
        <v>0</v>
      </c>
      <c r="X861">
        <v>0</v>
      </c>
      <c r="Y861">
        <v>0</v>
      </c>
      <c r="AE861">
        <f t="shared" si="39"/>
        <v>1</v>
      </c>
      <c r="AF861">
        <f>VLOOKUP(D861,especies!$A$2:$C$9,3,FALSE)</f>
        <v>2</v>
      </c>
      <c r="AG861" t="str">
        <f t="shared" si="40"/>
        <v>2-DPC (Doméstico de pelo corto o DSH)</v>
      </c>
      <c r="AH861">
        <f>VLOOKUP('Fichas clínicas'!AG861,razas!$A$2:$D$66,3,FALSE)</f>
        <v>51</v>
      </c>
      <c r="AI861" t="str">
        <f t="shared" si="41"/>
        <v>H</v>
      </c>
    </row>
    <row r="862" spans="1:35" x14ac:dyDescent="0.2">
      <c r="A862">
        <v>864</v>
      </c>
      <c r="B862" t="s">
        <v>1451</v>
      </c>
      <c r="C862" t="s">
        <v>2066</v>
      </c>
      <c r="D862" t="s">
        <v>32</v>
      </c>
      <c r="E862" t="s">
        <v>150</v>
      </c>
      <c r="F862" t="s">
        <v>47</v>
      </c>
      <c r="G862" t="s">
        <v>102</v>
      </c>
      <c r="J862" t="s">
        <v>2067</v>
      </c>
      <c r="K862" t="s">
        <v>38</v>
      </c>
      <c r="L862" t="s">
        <v>38</v>
      </c>
      <c r="M862" t="s">
        <v>38</v>
      </c>
      <c r="N862" t="s">
        <v>38</v>
      </c>
      <c r="O862" t="s">
        <v>38</v>
      </c>
      <c r="T862" t="s">
        <v>38</v>
      </c>
      <c r="U862">
        <v>0</v>
      </c>
      <c r="W862">
        <v>0</v>
      </c>
      <c r="X862">
        <v>0</v>
      </c>
      <c r="Y862">
        <v>0</v>
      </c>
      <c r="AE862">
        <f t="shared" si="39"/>
        <v>1</v>
      </c>
      <c r="AF862">
        <f>VLOOKUP(D862,especies!$A$2:$C$9,3,FALSE)</f>
        <v>1</v>
      </c>
      <c r="AG862" t="str">
        <f t="shared" si="40"/>
        <v>1-Poodle</v>
      </c>
      <c r="AH862">
        <f>VLOOKUP('Fichas clínicas'!AG862,razas!$A$2:$D$66,3,FALSE)</f>
        <v>6</v>
      </c>
      <c r="AI862" t="str">
        <f t="shared" si="41"/>
        <v>M</v>
      </c>
    </row>
    <row r="863" spans="1:35" x14ac:dyDescent="0.2">
      <c r="A863">
        <v>865</v>
      </c>
      <c r="B863" t="s">
        <v>2068</v>
      </c>
      <c r="C863" t="s">
        <v>1768</v>
      </c>
      <c r="D863" t="s">
        <v>32</v>
      </c>
      <c r="E863" t="s">
        <v>150</v>
      </c>
      <c r="F863" t="s">
        <v>47</v>
      </c>
      <c r="G863" t="s">
        <v>102</v>
      </c>
      <c r="J863" t="s">
        <v>1997</v>
      </c>
      <c r="K863" t="s">
        <v>38</v>
      </c>
      <c r="L863" t="s">
        <v>38</v>
      </c>
      <c r="M863" t="s">
        <v>38</v>
      </c>
      <c r="N863" t="s">
        <v>38</v>
      </c>
      <c r="O863" t="s">
        <v>38</v>
      </c>
      <c r="T863" t="s">
        <v>38</v>
      </c>
      <c r="U863">
        <v>0</v>
      </c>
      <c r="W863">
        <v>0</v>
      </c>
      <c r="X863">
        <v>0</v>
      </c>
      <c r="Y863">
        <v>0</v>
      </c>
      <c r="AE863">
        <f t="shared" si="39"/>
        <v>1</v>
      </c>
      <c r="AF863">
        <f>VLOOKUP(D863,especies!$A$2:$C$9,3,FALSE)</f>
        <v>1</v>
      </c>
      <c r="AG863" t="str">
        <f t="shared" si="40"/>
        <v>1-Poodle</v>
      </c>
      <c r="AH863">
        <f>VLOOKUP('Fichas clínicas'!AG863,razas!$A$2:$D$66,3,FALSE)</f>
        <v>6</v>
      </c>
      <c r="AI863" t="str">
        <f t="shared" si="41"/>
        <v>M</v>
      </c>
    </row>
    <row r="864" spans="1:35" x14ac:dyDescent="0.2">
      <c r="A864">
        <v>866</v>
      </c>
      <c r="B864" t="s">
        <v>2049</v>
      </c>
      <c r="C864" t="s">
        <v>2069</v>
      </c>
      <c r="D864" t="s">
        <v>32</v>
      </c>
      <c r="E864" t="s">
        <v>150</v>
      </c>
      <c r="F864" t="s">
        <v>34</v>
      </c>
      <c r="G864" t="s">
        <v>102</v>
      </c>
      <c r="J864" t="s">
        <v>737</v>
      </c>
      <c r="K864" t="s">
        <v>38</v>
      </c>
      <c r="L864" t="s">
        <v>38</v>
      </c>
      <c r="M864" t="s">
        <v>38</v>
      </c>
      <c r="N864" t="s">
        <v>38</v>
      </c>
      <c r="O864" t="s">
        <v>38</v>
      </c>
      <c r="T864" t="s">
        <v>38</v>
      </c>
      <c r="U864">
        <v>0</v>
      </c>
      <c r="V864">
        <v>1</v>
      </c>
      <c r="W864">
        <v>0</v>
      </c>
      <c r="X864">
        <v>0</v>
      </c>
      <c r="Y864">
        <v>0</v>
      </c>
      <c r="AE864">
        <f t="shared" si="39"/>
        <v>1</v>
      </c>
      <c r="AF864">
        <f>VLOOKUP(D864,especies!$A$2:$C$9,3,FALSE)</f>
        <v>1</v>
      </c>
      <c r="AG864" t="str">
        <f t="shared" si="40"/>
        <v>1-Poodle</v>
      </c>
      <c r="AH864">
        <f>VLOOKUP('Fichas clínicas'!AG864,razas!$A$2:$D$66,3,FALSE)</f>
        <v>6</v>
      </c>
      <c r="AI864" t="str">
        <f t="shared" si="41"/>
        <v>H</v>
      </c>
    </row>
    <row r="865" spans="1:35" x14ac:dyDescent="0.2">
      <c r="A865">
        <v>867</v>
      </c>
      <c r="B865" t="s">
        <v>2049</v>
      </c>
      <c r="C865" t="s">
        <v>2070</v>
      </c>
      <c r="D865" t="s">
        <v>32</v>
      </c>
      <c r="E865" t="s">
        <v>150</v>
      </c>
      <c r="F865" t="s">
        <v>34</v>
      </c>
      <c r="G865" t="s">
        <v>102</v>
      </c>
      <c r="J865" t="s">
        <v>2071</v>
      </c>
      <c r="K865" t="s">
        <v>38</v>
      </c>
      <c r="L865" t="s">
        <v>38</v>
      </c>
      <c r="M865" t="s">
        <v>38</v>
      </c>
      <c r="N865" t="s">
        <v>38</v>
      </c>
      <c r="O865" t="s">
        <v>38</v>
      </c>
      <c r="T865" t="s">
        <v>38</v>
      </c>
      <c r="U865">
        <v>0</v>
      </c>
      <c r="V865">
        <v>1</v>
      </c>
      <c r="W865">
        <v>0</v>
      </c>
      <c r="X865">
        <v>0</v>
      </c>
      <c r="Y865">
        <v>0</v>
      </c>
      <c r="AE865">
        <f t="shared" si="39"/>
        <v>1</v>
      </c>
      <c r="AF865">
        <f>VLOOKUP(D865,especies!$A$2:$C$9,3,FALSE)</f>
        <v>1</v>
      </c>
      <c r="AG865" t="str">
        <f t="shared" si="40"/>
        <v>1-Poodle</v>
      </c>
      <c r="AH865">
        <f>VLOOKUP('Fichas clínicas'!AG865,razas!$A$2:$D$66,3,FALSE)</f>
        <v>6</v>
      </c>
      <c r="AI865" t="str">
        <f t="shared" si="41"/>
        <v>H</v>
      </c>
    </row>
    <row r="866" spans="1:35" x14ac:dyDescent="0.2">
      <c r="A866">
        <v>868</v>
      </c>
      <c r="B866" t="s">
        <v>2072</v>
      </c>
      <c r="C866" t="s">
        <v>2073</v>
      </c>
      <c r="D866" t="s">
        <v>41</v>
      </c>
      <c r="E866" t="s">
        <v>42</v>
      </c>
      <c r="F866" t="s">
        <v>34</v>
      </c>
      <c r="G866" t="s">
        <v>587</v>
      </c>
      <c r="J866" t="s">
        <v>2074</v>
      </c>
      <c r="K866" t="s">
        <v>38</v>
      </c>
      <c r="L866" t="s">
        <v>38</v>
      </c>
      <c r="M866" t="s">
        <v>38</v>
      </c>
      <c r="N866" t="s">
        <v>38</v>
      </c>
      <c r="O866" t="s">
        <v>38</v>
      </c>
      <c r="T866" t="s">
        <v>38</v>
      </c>
      <c r="U866">
        <v>0</v>
      </c>
      <c r="V866">
        <v>1</v>
      </c>
      <c r="W866">
        <v>0</v>
      </c>
      <c r="X866">
        <v>0</v>
      </c>
      <c r="Y866">
        <v>0</v>
      </c>
      <c r="AE866">
        <f t="shared" si="39"/>
        <v>1</v>
      </c>
      <c r="AF866">
        <f>VLOOKUP(D866,especies!$A$2:$C$9,3,FALSE)</f>
        <v>2</v>
      </c>
      <c r="AG866" t="str">
        <f t="shared" si="40"/>
        <v>2-DPC (Doméstico de pelo corto o DSH)</v>
      </c>
      <c r="AH866">
        <f>VLOOKUP('Fichas clínicas'!AG866,razas!$A$2:$D$66,3,FALSE)</f>
        <v>51</v>
      </c>
      <c r="AI866" t="str">
        <f t="shared" si="41"/>
        <v>H</v>
      </c>
    </row>
    <row r="867" spans="1:35" x14ac:dyDescent="0.2">
      <c r="A867">
        <v>869</v>
      </c>
      <c r="B867" t="s">
        <v>2075</v>
      </c>
      <c r="C867" t="s">
        <v>2076</v>
      </c>
      <c r="D867" t="s">
        <v>41</v>
      </c>
      <c r="E867" t="s">
        <v>42</v>
      </c>
      <c r="F867" t="s">
        <v>47</v>
      </c>
      <c r="G867" t="s">
        <v>169</v>
      </c>
      <c r="J867" t="s">
        <v>140</v>
      </c>
      <c r="K867" t="s">
        <v>38</v>
      </c>
      <c r="L867" t="s">
        <v>38</v>
      </c>
      <c r="M867" t="s">
        <v>38</v>
      </c>
      <c r="N867" t="s">
        <v>38</v>
      </c>
      <c r="O867" t="s">
        <v>38</v>
      </c>
      <c r="Q867">
        <v>0</v>
      </c>
      <c r="T867" t="s">
        <v>38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f t="shared" si="39"/>
        <v>1</v>
      </c>
      <c r="AF867">
        <f>VLOOKUP(D867,especies!$A$2:$C$9,3,FALSE)</f>
        <v>2</v>
      </c>
      <c r="AG867" t="str">
        <f t="shared" si="40"/>
        <v>2-DPC (Doméstico de pelo corto o DSH)</v>
      </c>
      <c r="AH867">
        <f>VLOOKUP('Fichas clínicas'!AG867,razas!$A$2:$D$66,3,FALSE)</f>
        <v>51</v>
      </c>
      <c r="AI867" t="str">
        <f t="shared" si="41"/>
        <v>M</v>
      </c>
    </row>
    <row r="868" spans="1:35" x14ac:dyDescent="0.2">
      <c r="A868">
        <v>870</v>
      </c>
      <c r="B868" t="s">
        <v>2077</v>
      </c>
      <c r="C868" t="s">
        <v>2078</v>
      </c>
      <c r="D868" t="s">
        <v>32</v>
      </c>
      <c r="E868" t="s">
        <v>33</v>
      </c>
      <c r="F868" t="s">
        <v>34</v>
      </c>
      <c r="G868" t="s">
        <v>2079</v>
      </c>
      <c r="J868" t="s">
        <v>2080</v>
      </c>
      <c r="K868" t="s">
        <v>38</v>
      </c>
      <c r="L868" t="s">
        <v>38</v>
      </c>
      <c r="M868" t="s">
        <v>38</v>
      </c>
      <c r="N868" t="s">
        <v>38</v>
      </c>
      <c r="O868" t="s">
        <v>38</v>
      </c>
      <c r="T868" t="s">
        <v>38</v>
      </c>
      <c r="U868">
        <v>0</v>
      </c>
      <c r="W868">
        <v>0</v>
      </c>
      <c r="X868">
        <v>0</v>
      </c>
      <c r="Y868">
        <v>0</v>
      </c>
      <c r="AE868">
        <f t="shared" si="39"/>
        <v>1</v>
      </c>
      <c r="AF868">
        <f>VLOOKUP(D868,especies!$A$2:$C$9,3,FALSE)</f>
        <v>1</v>
      </c>
      <c r="AG868" t="str">
        <f t="shared" si="40"/>
        <v>1-Mestizo</v>
      </c>
      <c r="AH868">
        <f>VLOOKUP('Fichas clínicas'!AG868,razas!$A$2:$D$66,3,FALSE)</f>
        <v>1</v>
      </c>
      <c r="AI868" t="str">
        <f t="shared" si="41"/>
        <v>H</v>
      </c>
    </row>
    <row r="869" spans="1:35" x14ac:dyDescent="0.2">
      <c r="A869">
        <v>871</v>
      </c>
      <c r="B869" t="s">
        <v>2081</v>
      </c>
      <c r="C869" t="s">
        <v>486</v>
      </c>
      <c r="D869" t="s">
        <v>32</v>
      </c>
      <c r="E869" t="s">
        <v>33</v>
      </c>
      <c r="F869" t="s">
        <v>34</v>
      </c>
      <c r="G869" t="s">
        <v>284</v>
      </c>
      <c r="J869" t="s">
        <v>2082</v>
      </c>
      <c r="K869" t="s">
        <v>38</v>
      </c>
      <c r="L869" t="s">
        <v>38</v>
      </c>
      <c r="M869" t="s">
        <v>38</v>
      </c>
      <c r="N869" t="s">
        <v>38</v>
      </c>
      <c r="O869" t="s">
        <v>38</v>
      </c>
      <c r="Q869">
        <v>0</v>
      </c>
      <c r="T869" t="s">
        <v>38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f t="shared" si="39"/>
        <v>1</v>
      </c>
      <c r="AF869">
        <f>VLOOKUP(D869,especies!$A$2:$C$9,3,FALSE)</f>
        <v>1</v>
      </c>
      <c r="AG869" t="str">
        <f t="shared" si="40"/>
        <v>1-Mestizo</v>
      </c>
      <c r="AH869">
        <f>VLOOKUP('Fichas clínicas'!AG869,razas!$A$2:$D$66,3,FALSE)</f>
        <v>1</v>
      </c>
      <c r="AI869" t="str">
        <f t="shared" si="41"/>
        <v>H</v>
      </c>
    </row>
    <row r="870" spans="1:35" x14ac:dyDescent="0.2">
      <c r="A870">
        <v>872</v>
      </c>
      <c r="B870" t="s">
        <v>2083</v>
      </c>
      <c r="C870" t="s">
        <v>559</v>
      </c>
      <c r="D870" t="s">
        <v>32</v>
      </c>
      <c r="E870" t="s">
        <v>33</v>
      </c>
      <c r="F870" t="s">
        <v>34</v>
      </c>
      <c r="G870" t="s">
        <v>1402</v>
      </c>
      <c r="J870" t="s">
        <v>940</v>
      </c>
      <c r="K870" t="s">
        <v>38</v>
      </c>
      <c r="L870" t="s">
        <v>38</v>
      </c>
      <c r="M870" t="s">
        <v>38</v>
      </c>
      <c r="N870" t="s">
        <v>38</v>
      </c>
      <c r="O870" t="s">
        <v>38</v>
      </c>
      <c r="T870" t="s">
        <v>38</v>
      </c>
      <c r="U870">
        <v>0</v>
      </c>
      <c r="V870">
        <v>1</v>
      </c>
      <c r="W870">
        <v>0</v>
      </c>
      <c r="X870">
        <v>0</v>
      </c>
      <c r="Y870">
        <v>0</v>
      </c>
      <c r="AE870">
        <f t="shared" si="39"/>
        <v>1</v>
      </c>
      <c r="AF870">
        <f>VLOOKUP(D870,especies!$A$2:$C$9,3,FALSE)</f>
        <v>1</v>
      </c>
      <c r="AG870" t="str">
        <f t="shared" si="40"/>
        <v>1-Mestizo</v>
      </c>
      <c r="AH870">
        <f>VLOOKUP('Fichas clínicas'!AG870,razas!$A$2:$D$66,3,FALSE)</f>
        <v>1</v>
      </c>
      <c r="AI870" t="str">
        <f t="shared" si="41"/>
        <v>H</v>
      </c>
    </row>
    <row r="871" spans="1:35" x14ac:dyDescent="0.2">
      <c r="A871">
        <v>873</v>
      </c>
      <c r="B871" t="s">
        <v>2083</v>
      </c>
      <c r="C871" t="s">
        <v>1462</v>
      </c>
      <c r="D871" t="s">
        <v>32</v>
      </c>
      <c r="E871" t="s">
        <v>33</v>
      </c>
      <c r="F871" t="s">
        <v>34</v>
      </c>
      <c r="G871" t="s">
        <v>587</v>
      </c>
      <c r="J871" t="s">
        <v>695</v>
      </c>
      <c r="K871" t="s">
        <v>38</v>
      </c>
      <c r="L871" t="s">
        <v>38</v>
      </c>
      <c r="M871" t="s">
        <v>38</v>
      </c>
      <c r="N871" t="s">
        <v>38</v>
      </c>
      <c r="O871" t="s">
        <v>38</v>
      </c>
      <c r="T871" t="s">
        <v>38</v>
      </c>
      <c r="U871">
        <v>0</v>
      </c>
      <c r="W871">
        <v>0</v>
      </c>
      <c r="X871">
        <v>0</v>
      </c>
      <c r="Y871">
        <v>0</v>
      </c>
      <c r="AE871">
        <f t="shared" si="39"/>
        <v>1</v>
      </c>
      <c r="AF871">
        <f>VLOOKUP(D871,especies!$A$2:$C$9,3,FALSE)</f>
        <v>1</v>
      </c>
      <c r="AG871" t="str">
        <f t="shared" si="40"/>
        <v>1-Mestizo</v>
      </c>
      <c r="AH871">
        <f>VLOOKUP('Fichas clínicas'!AG871,razas!$A$2:$D$66,3,FALSE)</f>
        <v>1</v>
      </c>
      <c r="AI871" t="str">
        <f t="shared" si="41"/>
        <v>H</v>
      </c>
    </row>
    <row r="872" spans="1:35" x14ac:dyDescent="0.2">
      <c r="A872">
        <v>874</v>
      </c>
      <c r="B872" t="s">
        <v>2084</v>
      </c>
      <c r="C872" t="s">
        <v>2085</v>
      </c>
      <c r="D872" t="s">
        <v>32</v>
      </c>
      <c r="E872" t="s">
        <v>33</v>
      </c>
      <c r="F872" t="s">
        <v>34</v>
      </c>
      <c r="G872" t="s">
        <v>2086</v>
      </c>
      <c r="J872" t="s">
        <v>2087</v>
      </c>
      <c r="K872" t="s">
        <v>38</v>
      </c>
      <c r="L872" t="s">
        <v>38</v>
      </c>
      <c r="M872" t="s">
        <v>38</v>
      </c>
      <c r="N872" t="s">
        <v>38</v>
      </c>
      <c r="O872" t="s">
        <v>38</v>
      </c>
      <c r="T872" t="s">
        <v>38</v>
      </c>
      <c r="U872">
        <v>0</v>
      </c>
      <c r="W872">
        <v>0</v>
      </c>
      <c r="X872">
        <v>0</v>
      </c>
      <c r="Y872">
        <v>0</v>
      </c>
      <c r="AE872">
        <f t="shared" si="39"/>
        <v>1</v>
      </c>
      <c r="AF872">
        <f>VLOOKUP(D872,especies!$A$2:$C$9,3,FALSE)</f>
        <v>1</v>
      </c>
      <c r="AG872" t="str">
        <f t="shared" si="40"/>
        <v>1-Mestizo</v>
      </c>
      <c r="AH872">
        <f>VLOOKUP('Fichas clínicas'!AG872,razas!$A$2:$D$66,3,FALSE)</f>
        <v>1</v>
      </c>
      <c r="AI872" t="str">
        <f t="shared" si="41"/>
        <v>H</v>
      </c>
    </row>
    <row r="873" spans="1:35" x14ac:dyDescent="0.2">
      <c r="A873">
        <v>875</v>
      </c>
      <c r="B873" t="s">
        <v>1741</v>
      </c>
      <c r="C873" t="s">
        <v>378</v>
      </c>
      <c r="D873" t="s">
        <v>32</v>
      </c>
      <c r="E873" t="s">
        <v>33</v>
      </c>
      <c r="F873" t="s">
        <v>34</v>
      </c>
      <c r="G873" t="s">
        <v>2088</v>
      </c>
      <c r="J873" t="s">
        <v>2087</v>
      </c>
      <c r="K873" t="s">
        <v>38</v>
      </c>
      <c r="L873" t="s">
        <v>38</v>
      </c>
      <c r="M873" t="s">
        <v>38</v>
      </c>
      <c r="N873" t="s">
        <v>38</v>
      </c>
      <c r="O873" t="s">
        <v>38</v>
      </c>
      <c r="Q873">
        <v>0</v>
      </c>
      <c r="T873" t="s">
        <v>38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f t="shared" si="39"/>
        <v>1</v>
      </c>
      <c r="AF873">
        <f>VLOOKUP(D873,especies!$A$2:$C$9,3,FALSE)</f>
        <v>1</v>
      </c>
      <c r="AG873" t="str">
        <f t="shared" si="40"/>
        <v>1-Mestizo</v>
      </c>
      <c r="AH873">
        <f>VLOOKUP('Fichas clínicas'!AG873,razas!$A$2:$D$66,3,FALSE)</f>
        <v>1</v>
      </c>
      <c r="AI873" t="str">
        <f t="shared" si="41"/>
        <v>H</v>
      </c>
    </row>
    <row r="874" spans="1:35" x14ac:dyDescent="0.2">
      <c r="A874">
        <v>876</v>
      </c>
      <c r="B874" t="s">
        <v>1741</v>
      </c>
      <c r="C874" t="s">
        <v>2089</v>
      </c>
      <c r="D874" t="s">
        <v>32</v>
      </c>
      <c r="E874" t="s">
        <v>33</v>
      </c>
      <c r="F874" t="s">
        <v>47</v>
      </c>
      <c r="G874" t="s">
        <v>587</v>
      </c>
      <c r="J874" t="s">
        <v>2090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Q874">
        <v>0</v>
      </c>
      <c r="T874" t="s">
        <v>38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f t="shared" si="39"/>
        <v>1</v>
      </c>
      <c r="AF874">
        <f>VLOOKUP(D874,especies!$A$2:$C$9,3,FALSE)</f>
        <v>1</v>
      </c>
      <c r="AG874" t="str">
        <f t="shared" si="40"/>
        <v>1-Mestizo</v>
      </c>
      <c r="AH874">
        <f>VLOOKUP('Fichas clínicas'!AG874,razas!$A$2:$D$66,3,FALSE)</f>
        <v>1</v>
      </c>
      <c r="AI874" t="str">
        <f t="shared" si="41"/>
        <v>M</v>
      </c>
    </row>
    <row r="875" spans="1:35" x14ac:dyDescent="0.2">
      <c r="A875">
        <v>877</v>
      </c>
      <c r="B875" t="s">
        <v>204</v>
      </c>
      <c r="C875" t="s">
        <v>2091</v>
      </c>
      <c r="D875" t="s">
        <v>32</v>
      </c>
      <c r="E875" t="s">
        <v>2092</v>
      </c>
      <c r="F875" t="s">
        <v>47</v>
      </c>
      <c r="G875" t="s">
        <v>123</v>
      </c>
      <c r="J875" t="s">
        <v>2093</v>
      </c>
      <c r="K875" t="s">
        <v>38</v>
      </c>
      <c r="L875" t="s">
        <v>38</v>
      </c>
      <c r="M875" t="s">
        <v>38</v>
      </c>
      <c r="N875" t="s">
        <v>38</v>
      </c>
      <c r="O875" t="s">
        <v>38</v>
      </c>
      <c r="T875" t="s">
        <v>38</v>
      </c>
      <c r="U875">
        <v>0</v>
      </c>
      <c r="V875">
        <v>1</v>
      </c>
      <c r="W875">
        <v>0</v>
      </c>
      <c r="X875">
        <v>0</v>
      </c>
      <c r="Y875">
        <v>0</v>
      </c>
      <c r="AE875">
        <f t="shared" si="39"/>
        <v>1</v>
      </c>
      <c r="AF875">
        <f>VLOOKUP(D875,especies!$A$2:$C$9,3,FALSE)</f>
        <v>1</v>
      </c>
      <c r="AG875" t="str">
        <f t="shared" si="40"/>
        <v>1-Samoyedo</v>
      </c>
      <c r="AH875">
        <f>VLOOKUP('Fichas clínicas'!AG875,razas!$A$2:$D$66,3,FALSE)</f>
        <v>36</v>
      </c>
      <c r="AI875" t="str">
        <f t="shared" si="41"/>
        <v>M</v>
      </c>
    </row>
    <row r="876" spans="1:35" x14ac:dyDescent="0.2">
      <c r="A876">
        <v>878</v>
      </c>
      <c r="B876" t="s">
        <v>1807</v>
      </c>
      <c r="C876" t="s">
        <v>2094</v>
      </c>
      <c r="D876" t="s">
        <v>32</v>
      </c>
      <c r="E876" t="s">
        <v>33</v>
      </c>
      <c r="F876" t="s">
        <v>34</v>
      </c>
      <c r="G876" t="s">
        <v>258</v>
      </c>
      <c r="J876" t="s">
        <v>2095</v>
      </c>
      <c r="K876" t="s">
        <v>38</v>
      </c>
      <c r="L876" t="s">
        <v>38</v>
      </c>
      <c r="M876" t="s">
        <v>38</v>
      </c>
      <c r="N876" t="s">
        <v>38</v>
      </c>
      <c r="O876" t="s">
        <v>38</v>
      </c>
      <c r="T876" t="s">
        <v>38</v>
      </c>
      <c r="U876">
        <v>0</v>
      </c>
      <c r="W876">
        <v>0</v>
      </c>
      <c r="X876">
        <v>0</v>
      </c>
      <c r="Y876">
        <v>0</v>
      </c>
      <c r="AE876">
        <f t="shared" si="39"/>
        <v>1</v>
      </c>
      <c r="AF876">
        <f>VLOOKUP(D876,especies!$A$2:$C$9,3,FALSE)</f>
        <v>1</v>
      </c>
      <c r="AG876" t="str">
        <f t="shared" si="40"/>
        <v>1-Mestizo</v>
      </c>
      <c r="AH876">
        <f>VLOOKUP('Fichas clínicas'!AG876,razas!$A$2:$D$66,3,FALSE)</f>
        <v>1</v>
      </c>
      <c r="AI876" t="str">
        <f t="shared" si="41"/>
        <v>H</v>
      </c>
    </row>
    <row r="877" spans="1:35" x14ac:dyDescent="0.2">
      <c r="A877">
        <v>879</v>
      </c>
      <c r="B877" t="s">
        <v>1506</v>
      </c>
      <c r="C877" t="s">
        <v>2096</v>
      </c>
      <c r="D877" t="s">
        <v>41</v>
      </c>
      <c r="E877" t="s">
        <v>42</v>
      </c>
      <c r="F877" t="s">
        <v>47</v>
      </c>
      <c r="G877" t="s">
        <v>77</v>
      </c>
      <c r="J877" t="s">
        <v>2097</v>
      </c>
      <c r="K877" t="s">
        <v>38</v>
      </c>
      <c r="L877" t="s">
        <v>38</v>
      </c>
      <c r="M877" t="s">
        <v>38</v>
      </c>
      <c r="N877" t="s">
        <v>38</v>
      </c>
      <c r="O877" t="s">
        <v>38</v>
      </c>
      <c r="T877" t="s">
        <v>38</v>
      </c>
      <c r="U877">
        <v>0</v>
      </c>
      <c r="W877">
        <v>0</v>
      </c>
      <c r="X877">
        <v>0</v>
      </c>
      <c r="Y877">
        <v>0</v>
      </c>
      <c r="AE877">
        <f t="shared" si="39"/>
        <v>1</v>
      </c>
      <c r="AF877">
        <f>VLOOKUP(D877,especies!$A$2:$C$9,3,FALSE)</f>
        <v>2</v>
      </c>
      <c r="AG877" t="str">
        <f t="shared" si="40"/>
        <v>2-DPC (Doméstico de pelo corto o DSH)</v>
      </c>
      <c r="AH877">
        <f>VLOOKUP('Fichas clínicas'!AG877,razas!$A$2:$D$66,3,FALSE)</f>
        <v>51</v>
      </c>
      <c r="AI877" t="str">
        <f t="shared" si="41"/>
        <v>M</v>
      </c>
    </row>
    <row r="878" spans="1:35" x14ac:dyDescent="0.2">
      <c r="A878">
        <v>880</v>
      </c>
      <c r="B878" t="s">
        <v>2098</v>
      </c>
      <c r="C878" t="s">
        <v>2099</v>
      </c>
      <c r="D878" t="s">
        <v>32</v>
      </c>
      <c r="E878" t="s">
        <v>33</v>
      </c>
      <c r="F878" t="s">
        <v>34</v>
      </c>
      <c r="G878" t="s">
        <v>639</v>
      </c>
      <c r="J878" t="s">
        <v>230</v>
      </c>
      <c r="K878" t="s">
        <v>38</v>
      </c>
      <c r="L878" t="s">
        <v>38</v>
      </c>
      <c r="M878" t="s">
        <v>38</v>
      </c>
      <c r="N878" t="s">
        <v>38</v>
      </c>
      <c r="O878" t="s">
        <v>38</v>
      </c>
      <c r="T878" t="s">
        <v>38</v>
      </c>
      <c r="U878">
        <v>0</v>
      </c>
      <c r="V878">
        <v>1</v>
      </c>
      <c r="W878">
        <v>0</v>
      </c>
      <c r="X878">
        <v>0</v>
      </c>
      <c r="Y878">
        <v>0</v>
      </c>
      <c r="AE878">
        <f t="shared" si="39"/>
        <v>1</v>
      </c>
      <c r="AF878">
        <f>VLOOKUP(D878,especies!$A$2:$C$9,3,FALSE)</f>
        <v>1</v>
      </c>
      <c r="AG878" t="str">
        <f t="shared" si="40"/>
        <v>1-Mestizo</v>
      </c>
      <c r="AH878">
        <f>VLOOKUP('Fichas clínicas'!AG878,razas!$A$2:$D$66,3,FALSE)</f>
        <v>1</v>
      </c>
      <c r="AI878" t="str">
        <f t="shared" si="41"/>
        <v>H</v>
      </c>
    </row>
    <row r="879" spans="1:35" x14ac:dyDescent="0.2">
      <c r="A879">
        <v>881</v>
      </c>
      <c r="B879" t="s">
        <v>2100</v>
      </c>
      <c r="C879" t="s">
        <v>2101</v>
      </c>
      <c r="D879" t="s">
        <v>41</v>
      </c>
      <c r="E879" t="s">
        <v>42</v>
      </c>
      <c r="F879" t="s">
        <v>34</v>
      </c>
      <c r="G879" t="s">
        <v>2102</v>
      </c>
      <c r="J879" t="s">
        <v>359</v>
      </c>
      <c r="K879" t="s">
        <v>38</v>
      </c>
      <c r="L879" t="s">
        <v>38</v>
      </c>
      <c r="M879" t="s">
        <v>38</v>
      </c>
      <c r="N879" t="s">
        <v>38</v>
      </c>
      <c r="O879" t="s">
        <v>38</v>
      </c>
      <c r="T879" t="s">
        <v>38</v>
      </c>
      <c r="U879">
        <v>0</v>
      </c>
      <c r="W879">
        <v>0</v>
      </c>
      <c r="X879">
        <v>0</v>
      </c>
      <c r="Y879">
        <v>0</v>
      </c>
      <c r="AE879">
        <f t="shared" si="39"/>
        <v>1</v>
      </c>
      <c r="AF879">
        <f>VLOOKUP(D879,especies!$A$2:$C$9,3,FALSE)</f>
        <v>2</v>
      </c>
      <c r="AG879" t="str">
        <f t="shared" si="40"/>
        <v>2-DPC (Doméstico de pelo corto o DSH)</v>
      </c>
      <c r="AH879">
        <f>VLOOKUP('Fichas clínicas'!AG879,razas!$A$2:$D$66,3,FALSE)</f>
        <v>51</v>
      </c>
      <c r="AI879" t="str">
        <f t="shared" si="41"/>
        <v>H</v>
      </c>
    </row>
    <row r="880" spans="1:35" x14ac:dyDescent="0.2">
      <c r="A880">
        <v>882</v>
      </c>
      <c r="B880" t="s">
        <v>2103</v>
      </c>
      <c r="C880" t="s">
        <v>2104</v>
      </c>
      <c r="D880" t="s">
        <v>41</v>
      </c>
      <c r="E880" t="s">
        <v>42</v>
      </c>
      <c r="F880" t="s">
        <v>34</v>
      </c>
      <c r="G880" t="s">
        <v>2105</v>
      </c>
      <c r="J880" t="s">
        <v>1863</v>
      </c>
      <c r="K880" t="s">
        <v>38</v>
      </c>
      <c r="L880" t="s">
        <v>38</v>
      </c>
      <c r="M880" t="s">
        <v>38</v>
      </c>
      <c r="N880" t="s">
        <v>38</v>
      </c>
      <c r="O880" t="s">
        <v>38</v>
      </c>
      <c r="Q880">
        <v>0</v>
      </c>
      <c r="T880" t="s">
        <v>38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f t="shared" si="39"/>
        <v>1</v>
      </c>
      <c r="AF880">
        <f>VLOOKUP(D880,especies!$A$2:$C$9,3,FALSE)</f>
        <v>2</v>
      </c>
      <c r="AG880" t="str">
        <f t="shared" si="40"/>
        <v>2-DPC (Doméstico de pelo corto o DSH)</v>
      </c>
      <c r="AH880">
        <f>VLOOKUP('Fichas clínicas'!AG880,razas!$A$2:$D$66,3,FALSE)</f>
        <v>51</v>
      </c>
      <c r="AI880" t="str">
        <f t="shared" si="41"/>
        <v>H</v>
      </c>
    </row>
    <row r="881" spans="1:35" x14ac:dyDescent="0.2">
      <c r="A881">
        <v>883</v>
      </c>
      <c r="B881" t="s">
        <v>2106</v>
      </c>
      <c r="C881" t="s">
        <v>2107</v>
      </c>
      <c r="D881" t="s">
        <v>32</v>
      </c>
      <c r="E881" t="s">
        <v>33</v>
      </c>
      <c r="F881" t="s">
        <v>34</v>
      </c>
      <c r="G881" t="s">
        <v>698</v>
      </c>
      <c r="J881" t="s">
        <v>2108</v>
      </c>
      <c r="K881" t="s">
        <v>38</v>
      </c>
      <c r="L881" t="s">
        <v>38</v>
      </c>
      <c r="M881" t="s">
        <v>38</v>
      </c>
      <c r="N881" t="s">
        <v>38</v>
      </c>
      <c r="O881" t="s">
        <v>38</v>
      </c>
      <c r="T881" t="s">
        <v>38</v>
      </c>
      <c r="U881">
        <v>0</v>
      </c>
      <c r="V881">
        <v>1</v>
      </c>
      <c r="W881">
        <v>0</v>
      </c>
      <c r="X881">
        <v>0</v>
      </c>
      <c r="Y881">
        <v>0</v>
      </c>
      <c r="AE881">
        <f t="shared" si="39"/>
        <v>1</v>
      </c>
      <c r="AF881">
        <f>VLOOKUP(D881,especies!$A$2:$C$9,3,FALSE)</f>
        <v>1</v>
      </c>
      <c r="AG881" t="str">
        <f t="shared" si="40"/>
        <v>1-Mestizo</v>
      </c>
      <c r="AH881">
        <f>VLOOKUP('Fichas clínicas'!AG881,razas!$A$2:$D$66,3,FALSE)</f>
        <v>1</v>
      </c>
      <c r="AI881" t="str">
        <f t="shared" si="41"/>
        <v>H</v>
      </c>
    </row>
    <row r="882" spans="1:35" x14ac:dyDescent="0.2">
      <c r="A882">
        <v>884</v>
      </c>
      <c r="B882" t="s">
        <v>2109</v>
      </c>
      <c r="C882" t="s">
        <v>1920</v>
      </c>
      <c r="D882" t="s">
        <v>41</v>
      </c>
      <c r="E882" t="s">
        <v>42</v>
      </c>
      <c r="F882" t="s">
        <v>47</v>
      </c>
      <c r="G882" t="s">
        <v>297</v>
      </c>
      <c r="J882" t="s">
        <v>393</v>
      </c>
      <c r="K882" t="s">
        <v>38</v>
      </c>
      <c r="L882" t="s">
        <v>38</v>
      </c>
      <c r="M882" t="s">
        <v>38</v>
      </c>
      <c r="N882" t="s">
        <v>38</v>
      </c>
      <c r="O882" t="s">
        <v>38</v>
      </c>
      <c r="T882" t="s">
        <v>38</v>
      </c>
      <c r="U882">
        <v>0</v>
      </c>
      <c r="W882">
        <v>0</v>
      </c>
      <c r="X882">
        <v>0</v>
      </c>
      <c r="Y882">
        <v>0</v>
      </c>
      <c r="AE882">
        <f t="shared" si="39"/>
        <v>1</v>
      </c>
      <c r="AF882">
        <f>VLOOKUP(D882,especies!$A$2:$C$9,3,FALSE)</f>
        <v>2</v>
      </c>
      <c r="AG882" t="str">
        <f t="shared" si="40"/>
        <v>2-DPC (Doméstico de pelo corto o DSH)</v>
      </c>
      <c r="AH882">
        <f>VLOOKUP('Fichas clínicas'!AG882,razas!$A$2:$D$66,3,FALSE)</f>
        <v>51</v>
      </c>
      <c r="AI882" t="str">
        <f t="shared" si="41"/>
        <v>M</v>
      </c>
    </row>
    <row r="883" spans="1:35" x14ac:dyDescent="0.2">
      <c r="A883">
        <v>885</v>
      </c>
      <c r="B883" t="s">
        <v>2110</v>
      </c>
      <c r="C883" t="s">
        <v>88</v>
      </c>
      <c r="D883" t="s">
        <v>41</v>
      </c>
      <c r="E883" t="s">
        <v>42</v>
      </c>
      <c r="F883" t="s">
        <v>34</v>
      </c>
      <c r="G883" t="s">
        <v>2111</v>
      </c>
      <c r="J883" t="s">
        <v>841</v>
      </c>
      <c r="K883" t="s">
        <v>38</v>
      </c>
      <c r="L883" t="s">
        <v>38</v>
      </c>
      <c r="M883" t="s">
        <v>38</v>
      </c>
      <c r="N883" t="s">
        <v>38</v>
      </c>
      <c r="O883" t="s">
        <v>38</v>
      </c>
      <c r="T883" t="s">
        <v>38</v>
      </c>
      <c r="U883">
        <v>0</v>
      </c>
      <c r="W883">
        <v>0</v>
      </c>
      <c r="X883">
        <v>0</v>
      </c>
      <c r="Y883">
        <v>0</v>
      </c>
      <c r="AE883">
        <f t="shared" si="39"/>
        <v>1</v>
      </c>
      <c r="AF883">
        <f>VLOOKUP(D883,especies!$A$2:$C$9,3,FALSE)</f>
        <v>2</v>
      </c>
      <c r="AG883" t="str">
        <f t="shared" si="40"/>
        <v>2-DPC (Doméstico de pelo corto o DSH)</v>
      </c>
      <c r="AH883">
        <f>VLOOKUP('Fichas clínicas'!AG883,razas!$A$2:$D$66,3,FALSE)</f>
        <v>51</v>
      </c>
      <c r="AI883" t="str">
        <f t="shared" si="41"/>
        <v>H</v>
      </c>
    </row>
    <row r="884" spans="1:35" x14ac:dyDescent="0.2">
      <c r="A884">
        <v>886</v>
      </c>
      <c r="B884" t="s">
        <v>995</v>
      </c>
      <c r="C884" t="s">
        <v>401</v>
      </c>
      <c r="D884" t="s">
        <v>32</v>
      </c>
      <c r="E884" t="s">
        <v>33</v>
      </c>
      <c r="F884" t="s">
        <v>34</v>
      </c>
      <c r="G884" t="s">
        <v>116</v>
      </c>
      <c r="J884" t="s">
        <v>2112</v>
      </c>
      <c r="K884" t="s">
        <v>38</v>
      </c>
      <c r="L884" t="s">
        <v>38</v>
      </c>
      <c r="M884" t="s">
        <v>38</v>
      </c>
      <c r="N884" t="s">
        <v>38</v>
      </c>
      <c r="O884" t="s">
        <v>38</v>
      </c>
      <c r="T884" t="s">
        <v>38</v>
      </c>
      <c r="U884">
        <v>0</v>
      </c>
      <c r="V884">
        <v>1</v>
      </c>
      <c r="W884">
        <v>0</v>
      </c>
      <c r="X884">
        <v>0</v>
      </c>
      <c r="Y884">
        <v>0</v>
      </c>
      <c r="AE884">
        <f t="shared" si="39"/>
        <v>1</v>
      </c>
      <c r="AF884">
        <f>VLOOKUP(D884,especies!$A$2:$C$9,3,FALSE)</f>
        <v>1</v>
      </c>
      <c r="AG884" t="str">
        <f t="shared" si="40"/>
        <v>1-Mestizo</v>
      </c>
      <c r="AH884">
        <f>VLOOKUP('Fichas clínicas'!AG884,razas!$A$2:$D$66,3,FALSE)</f>
        <v>1</v>
      </c>
      <c r="AI884" t="str">
        <f t="shared" si="41"/>
        <v>H</v>
      </c>
    </row>
    <row r="885" spans="1:35" x14ac:dyDescent="0.2">
      <c r="A885">
        <v>887</v>
      </c>
      <c r="B885" t="s">
        <v>2113</v>
      </c>
      <c r="C885" t="s">
        <v>2114</v>
      </c>
      <c r="D885" t="s">
        <v>32</v>
      </c>
      <c r="E885" t="s">
        <v>438</v>
      </c>
      <c r="F885" t="s">
        <v>34</v>
      </c>
      <c r="G885" t="s">
        <v>54</v>
      </c>
      <c r="J885" t="s">
        <v>2115</v>
      </c>
      <c r="K885" t="s">
        <v>38</v>
      </c>
      <c r="L885" t="s">
        <v>38</v>
      </c>
      <c r="M885" t="s">
        <v>38</v>
      </c>
      <c r="N885" t="s">
        <v>38</v>
      </c>
      <c r="O885" t="s">
        <v>38</v>
      </c>
      <c r="T885" t="s">
        <v>38</v>
      </c>
      <c r="U885">
        <v>0</v>
      </c>
      <c r="V885">
        <v>1</v>
      </c>
      <c r="W885">
        <v>0</v>
      </c>
      <c r="X885">
        <v>0</v>
      </c>
      <c r="Y885">
        <v>0</v>
      </c>
      <c r="AE885">
        <f t="shared" si="39"/>
        <v>1</v>
      </c>
      <c r="AF885">
        <f>VLOOKUP(D885,especies!$A$2:$C$9,3,FALSE)</f>
        <v>1</v>
      </c>
      <c r="AG885" t="str">
        <f t="shared" si="40"/>
        <v>1-Ovejero Alemán</v>
      </c>
      <c r="AH885">
        <f>VLOOKUP('Fichas clínicas'!AG885,razas!$A$2:$D$66,3,FALSE)</f>
        <v>12</v>
      </c>
      <c r="AI885" t="str">
        <f t="shared" si="41"/>
        <v>H</v>
      </c>
    </row>
    <row r="886" spans="1:35" x14ac:dyDescent="0.2">
      <c r="A886">
        <v>888</v>
      </c>
      <c r="B886" t="s">
        <v>1937</v>
      </c>
      <c r="C886" t="s">
        <v>2116</v>
      </c>
      <c r="D886" t="s">
        <v>41</v>
      </c>
      <c r="E886" t="s">
        <v>42</v>
      </c>
      <c r="F886" t="s">
        <v>34</v>
      </c>
      <c r="G886" t="s">
        <v>77</v>
      </c>
      <c r="J886" t="s">
        <v>90</v>
      </c>
      <c r="K886" t="s">
        <v>38</v>
      </c>
      <c r="L886" t="s">
        <v>38</v>
      </c>
      <c r="M886" t="s">
        <v>38</v>
      </c>
      <c r="N886" t="s">
        <v>38</v>
      </c>
      <c r="O886" t="s">
        <v>38</v>
      </c>
      <c r="T886" t="s">
        <v>38</v>
      </c>
      <c r="U886">
        <v>0</v>
      </c>
      <c r="V886">
        <v>1</v>
      </c>
      <c r="W886">
        <v>0</v>
      </c>
      <c r="X886">
        <v>0</v>
      </c>
      <c r="Y886">
        <v>0</v>
      </c>
      <c r="AE886">
        <f t="shared" si="39"/>
        <v>1</v>
      </c>
      <c r="AF886">
        <f>VLOOKUP(D886,especies!$A$2:$C$9,3,FALSE)</f>
        <v>2</v>
      </c>
      <c r="AG886" t="str">
        <f t="shared" si="40"/>
        <v>2-DPC (Doméstico de pelo corto o DSH)</v>
      </c>
      <c r="AH886">
        <f>VLOOKUP('Fichas clínicas'!AG886,razas!$A$2:$D$66,3,FALSE)</f>
        <v>51</v>
      </c>
      <c r="AI886" t="str">
        <f t="shared" si="41"/>
        <v>H</v>
      </c>
    </row>
    <row r="887" spans="1:35" x14ac:dyDescent="0.2">
      <c r="A887">
        <v>889</v>
      </c>
      <c r="B887" t="s">
        <v>2117</v>
      </c>
      <c r="C887" t="s">
        <v>1338</v>
      </c>
      <c r="D887" t="s">
        <v>32</v>
      </c>
      <c r="E887" t="s">
        <v>33</v>
      </c>
      <c r="F887" t="s">
        <v>47</v>
      </c>
      <c r="G887" t="s">
        <v>2118</v>
      </c>
      <c r="J887" t="s">
        <v>2119</v>
      </c>
      <c r="K887" t="s">
        <v>38</v>
      </c>
      <c r="L887" t="s">
        <v>38</v>
      </c>
      <c r="M887" t="s">
        <v>38</v>
      </c>
      <c r="N887" t="s">
        <v>38</v>
      </c>
      <c r="O887" t="s">
        <v>38</v>
      </c>
      <c r="T887" t="s">
        <v>38</v>
      </c>
      <c r="U887">
        <v>0</v>
      </c>
      <c r="V887">
        <v>1</v>
      </c>
      <c r="W887">
        <v>0</v>
      </c>
      <c r="X887">
        <v>0</v>
      </c>
      <c r="Y887">
        <v>0</v>
      </c>
      <c r="AE887">
        <f t="shared" si="39"/>
        <v>1</v>
      </c>
      <c r="AF887">
        <f>VLOOKUP(D887,especies!$A$2:$C$9,3,FALSE)</f>
        <v>1</v>
      </c>
      <c r="AG887" t="str">
        <f t="shared" si="40"/>
        <v>1-Mestizo</v>
      </c>
      <c r="AH887">
        <f>VLOOKUP('Fichas clínicas'!AG887,razas!$A$2:$D$66,3,FALSE)</f>
        <v>1</v>
      </c>
      <c r="AI887" t="str">
        <f t="shared" si="41"/>
        <v>M</v>
      </c>
    </row>
    <row r="888" spans="1:35" x14ac:dyDescent="0.2">
      <c r="A888">
        <v>890</v>
      </c>
      <c r="B888" t="s">
        <v>2120</v>
      </c>
      <c r="C888" t="s">
        <v>2121</v>
      </c>
      <c r="D888" t="s">
        <v>41</v>
      </c>
      <c r="E888" t="s">
        <v>42</v>
      </c>
      <c r="F888" t="s">
        <v>47</v>
      </c>
      <c r="G888" t="s">
        <v>2122</v>
      </c>
      <c r="J888" t="s">
        <v>2123</v>
      </c>
      <c r="K888" t="s">
        <v>38</v>
      </c>
      <c r="L888" t="s">
        <v>38</v>
      </c>
      <c r="M888" t="s">
        <v>38</v>
      </c>
      <c r="N888" t="s">
        <v>38</v>
      </c>
      <c r="O888" t="s">
        <v>38</v>
      </c>
      <c r="Q888">
        <v>0</v>
      </c>
      <c r="T888" t="s">
        <v>38</v>
      </c>
      <c r="U888">
        <v>0</v>
      </c>
      <c r="V888">
        <v>1</v>
      </c>
      <c r="W888">
        <v>1574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f t="shared" si="39"/>
        <v>1</v>
      </c>
      <c r="AF888">
        <f>VLOOKUP(D888,especies!$A$2:$C$9,3,FALSE)</f>
        <v>2</v>
      </c>
      <c r="AG888" t="str">
        <f t="shared" si="40"/>
        <v>2-DPC (Doméstico de pelo corto o DSH)</v>
      </c>
      <c r="AH888">
        <f>VLOOKUP('Fichas clínicas'!AG888,razas!$A$2:$D$66,3,FALSE)</f>
        <v>51</v>
      </c>
      <c r="AI888" t="str">
        <f t="shared" si="41"/>
        <v>M</v>
      </c>
    </row>
    <row r="889" spans="1:35" x14ac:dyDescent="0.2">
      <c r="A889">
        <v>891</v>
      </c>
      <c r="B889" t="s">
        <v>2124</v>
      </c>
      <c r="C889" t="s">
        <v>2125</v>
      </c>
      <c r="D889" t="s">
        <v>41</v>
      </c>
      <c r="E889" t="s">
        <v>93</v>
      </c>
      <c r="F889" t="s">
        <v>47</v>
      </c>
      <c r="G889" t="s">
        <v>2126</v>
      </c>
      <c r="J889" t="s">
        <v>2127</v>
      </c>
      <c r="K889" t="s">
        <v>38</v>
      </c>
      <c r="L889" t="s">
        <v>38</v>
      </c>
      <c r="M889" t="s">
        <v>38</v>
      </c>
      <c r="N889" t="s">
        <v>38</v>
      </c>
      <c r="O889" t="s">
        <v>38</v>
      </c>
      <c r="T889" t="s">
        <v>38</v>
      </c>
      <c r="U889">
        <v>0</v>
      </c>
      <c r="V889">
        <v>1</v>
      </c>
      <c r="W889">
        <v>0</v>
      </c>
      <c r="X889">
        <v>0</v>
      </c>
      <c r="Y889">
        <v>0</v>
      </c>
      <c r="AE889">
        <f t="shared" si="39"/>
        <v>1</v>
      </c>
      <c r="AF889">
        <f>VLOOKUP(D889,especies!$A$2:$C$9,3,FALSE)</f>
        <v>2</v>
      </c>
      <c r="AG889" t="str">
        <f t="shared" si="40"/>
        <v>2-DPL (Doméstico de pelo Largo o DLH)</v>
      </c>
      <c r="AH889">
        <f>VLOOKUP('Fichas clínicas'!AG889,razas!$A$2:$D$66,3,FALSE)</f>
        <v>52</v>
      </c>
      <c r="AI889" t="str">
        <f t="shared" si="41"/>
        <v>M</v>
      </c>
    </row>
    <row r="890" spans="1:35" x14ac:dyDescent="0.2">
      <c r="A890">
        <v>892</v>
      </c>
      <c r="B890" t="s">
        <v>726</v>
      </c>
      <c r="C890" t="s">
        <v>2128</v>
      </c>
      <c r="D890" t="s">
        <v>41</v>
      </c>
      <c r="E890" t="s">
        <v>42</v>
      </c>
      <c r="F890" t="s">
        <v>34</v>
      </c>
      <c r="G890" t="s">
        <v>2129</v>
      </c>
      <c r="J890" t="s">
        <v>393</v>
      </c>
      <c r="K890" t="s">
        <v>38</v>
      </c>
      <c r="L890" t="s">
        <v>38</v>
      </c>
      <c r="M890" t="s">
        <v>38</v>
      </c>
      <c r="N890" t="s">
        <v>38</v>
      </c>
      <c r="O890" t="s">
        <v>38</v>
      </c>
      <c r="Q890">
        <v>0</v>
      </c>
      <c r="T890" t="s">
        <v>38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f t="shared" si="39"/>
        <v>1</v>
      </c>
      <c r="AF890">
        <f>VLOOKUP(D890,especies!$A$2:$C$9,3,FALSE)</f>
        <v>2</v>
      </c>
      <c r="AG890" t="str">
        <f t="shared" si="40"/>
        <v>2-DPC (Doméstico de pelo corto o DSH)</v>
      </c>
      <c r="AH890">
        <f>VLOOKUP('Fichas clínicas'!AG890,razas!$A$2:$D$66,3,FALSE)</f>
        <v>51</v>
      </c>
      <c r="AI890" t="str">
        <f t="shared" si="41"/>
        <v>H</v>
      </c>
    </row>
    <row r="891" spans="1:35" x14ac:dyDescent="0.2">
      <c r="A891">
        <v>893</v>
      </c>
      <c r="B891" t="s">
        <v>2130</v>
      </c>
      <c r="C891" t="s">
        <v>2131</v>
      </c>
      <c r="D891" t="s">
        <v>41</v>
      </c>
      <c r="E891" t="s">
        <v>42</v>
      </c>
      <c r="F891" t="s">
        <v>34</v>
      </c>
      <c r="G891" t="s">
        <v>550</v>
      </c>
      <c r="J891" t="s">
        <v>2132</v>
      </c>
      <c r="K891" t="s">
        <v>38</v>
      </c>
      <c r="L891" t="s">
        <v>38</v>
      </c>
      <c r="M891" t="s">
        <v>38</v>
      </c>
      <c r="N891" t="s">
        <v>38</v>
      </c>
      <c r="O891" t="s">
        <v>38</v>
      </c>
      <c r="T891" t="s">
        <v>38</v>
      </c>
      <c r="U891">
        <v>0</v>
      </c>
      <c r="V891">
        <v>1</v>
      </c>
      <c r="W891">
        <v>0</v>
      </c>
      <c r="X891">
        <v>0</v>
      </c>
      <c r="Y891">
        <v>0</v>
      </c>
      <c r="AE891">
        <f t="shared" si="39"/>
        <v>1</v>
      </c>
      <c r="AF891">
        <f>VLOOKUP(D891,especies!$A$2:$C$9,3,FALSE)</f>
        <v>2</v>
      </c>
      <c r="AG891" t="str">
        <f t="shared" si="40"/>
        <v>2-DPC (Doméstico de pelo corto o DSH)</v>
      </c>
      <c r="AH891">
        <f>VLOOKUP('Fichas clínicas'!AG891,razas!$A$2:$D$66,3,FALSE)</f>
        <v>51</v>
      </c>
      <c r="AI891" t="str">
        <f t="shared" si="41"/>
        <v>H</v>
      </c>
    </row>
    <row r="892" spans="1:35" x14ac:dyDescent="0.2">
      <c r="A892">
        <v>894</v>
      </c>
      <c r="B892" t="s">
        <v>179</v>
      </c>
      <c r="C892" t="s">
        <v>2133</v>
      </c>
      <c r="D892" t="s">
        <v>41</v>
      </c>
      <c r="E892" t="s">
        <v>42</v>
      </c>
      <c r="F892" t="s">
        <v>47</v>
      </c>
      <c r="G892" t="s">
        <v>1961</v>
      </c>
      <c r="J892" t="s">
        <v>1983</v>
      </c>
      <c r="K892" t="s">
        <v>38</v>
      </c>
      <c r="L892" t="s">
        <v>38</v>
      </c>
      <c r="M892" t="s">
        <v>38</v>
      </c>
      <c r="N892" t="s">
        <v>38</v>
      </c>
      <c r="O892" t="s">
        <v>38</v>
      </c>
      <c r="T892" t="s">
        <v>38</v>
      </c>
      <c r="U892">
        <v>0</v>
      </c>
      <c r="W892">
        <v>0</v>
      </c>
      <c r="X892">
        <v>0</v>
      </c>
      <c r="Y892">
        <v>0</v>
      </c>
      <c r="AE892">
        <f t="shared" si="39"/>
        <v>1</v>
      </c>
      <c r="AF892">
        <f>VLOOKUP(D892,especies!$A$2:$C$9,3,FALSE)</f>
        <v>2</v>
      </c>
      <c r="AG892" t="str">
        <f t="shared" si="40"/>
        <v>2-DPC (Doméstico de pelo corto o DSH)</v>
      </c>
      <c r="AH892">
        <f>VLOOKUP('Fichas clínicas'!AG892,razas!$A$2:$D$66,3,FALSE)</f>
        <v>51</v>
      </c>
      <c r="AI892" t="str">
        <f t="shared" si="41"/>
        <v>M</v>
      </c>
    </row>
    <row r="893" spans="1:35" x14ac:dyDescent="0.2">
      <c r="A893">
        <v>895</v>
      </c>
      <c r="B893" t="s">
        <v>2134</v>
      </c>
      <c r="C893" t="s">
        <v>2135</v>
      </c>
      <c r="D893" t="s">
        <v>32</v>
      </c>
      <c r="E893" t="s">
        <v>150</v>
      </c>
      <c r="F893" t="s">
        <v>47</v>
      </c>
      <c r="G893" t="s">
        <v>123</v>
      </c>
      <c r="J893" t="s">
        <v>58</v>
      </c>
      <c r="K893" t="s">
        <v>38</v>
      </c>
      <c r="L893" t="s">
        <v>38</v>
      </c>
      <c r="M893" t="s">
        <v>38</v>
      </c>
      <c r="N893" t="s">
        <v>38</v>
      </c>
      <c r="O893" t="s">
        <v>38</v>
      </c>
      <c r="Q893">
        <v>0</v>
      </c>
      <c r="T893" t="s">
        <v>38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f t="shared" si="39"/>
        <v>1</v>
      </c>
      <c r="AF893">
        <f>VLOOKUP(D893,especies!$A$2:$C$9,3,FALSE)</f>
        <v>1</v>
      </c>
      <c r="AG893" t="str">
        <f t="shared" si="40"/>
        <v>1-Poodle</v>
      </c>
      <c r="AH893">
        <f>VLOOKUP('Fichas clínicas'!AG893,razas!$A$2:$D$66,3,FALSE)</f>
        <v>6</v>
      </c>
      <c r="AI893" t="str">
        <f t="shared" si="41"/>
        <v>M</v>
      </c>
    </row>
    <row r="894" spans="1:35" x14ac:dyDescent="0.2">
      <c r="A894">
        <v>896</v>
      </c>
      <c r="B894" t="s">
        <v>2136</v>
      </c>
      <c r="C894" t="s">
        <v>2137</v>
      </c>
      <c r="D894" t="s">
        <v>41</v>
      </c>
      <c r="E894" t="s">
        <v>42</v>
      </c>
      <c r="F894" t="s">
        <v>47</v>
      </c>
      <c r="G894" t="s">
        <v>81</v>
      </c>
      <c r="J894" t="s">
        <v>797</v>
      </c>
      <c r="K894" t="s">
        <v>38</v>
      </c>
      <c r="L894" t="s">
        <v>38</v>
      </c>
      <c r="M894" t="s">
        <v>38</v>
      </c>
      <c r="N894" t="s">
        <v>38</v>
      </c>
      <c r="O894" t="s">
        <v>38</v>
      </c>
      <c r="T894" t="s">
        <v>38</v>
      </c>
      <c r="U894">
        <v>0</v>
      </c>
      <c r="V894">
        <v>1</v>
      </c>
      <c r="W894">
        <v>0</v>
      </c>
      <c r="X894">
        <v>0</v>
      </c>
      <c r="Y894">
        <v>0</v>
      </c>
      <c r="AE894">
        <f t="shared" si="39"/>
        <v>1</v>
      </c>
      <c r="AF894">
        <f>VLOOKUP(D894,especies!$A$2:$C$9,3,FALSE)</f>
        <v>2</v>
      </c>
      <c r="AG894" t="str">
        <f t="shared" si="40"/>
        <v>2-DPC (Doméstico de pelo corto o DSH)</v>
      </c>
      <c r="AH894">
        <f>VLOOKUP('Fichas clínicas'!AG894,razas!$A$2:$D$66,3,FALSE)</f>
        <v>51</v>
      </c>
      <c r="AI894" t="str">
        <f t="shared" si="41"/>
        <v>M</v>
      </c>
    </row>
    <row r="895" spans="1:35" x14ac:dyDescent="0.2">
      <c r="A895">
        <v>897</v>
      </c>
      <c r="B895" t="s">
        <v>2138</v>
      </c>
      <c r="C895" t="s">
        <v>2139</v>
      </c>
      <c r="D895" t="s">
        <v>32</v>
      </c>
      <c r="E895" t="s">
        <v>33</v>
      </c>
      <c r="F895" t="s">
        <v>34</v>
      </c>
      <c r="G895" t="s">
        <v>73</v>
      </c>
      <c r="J895" t="s">
        <v>489</v>
      </c>
      <c r="K895" t="s">
        <v>38</v>
      </c>
      <c r="L895" t="s">
        <v>38</v>
      </c>
      <c r="M895" t="s">
        <v>38</v>
      </c>
      <c r="N895" t="s">
        <v>38</v>
      </c>
      <c r="O895" t="s">
        <v>38</v>
      </c>
      <c r="Q895">
        <v>0</v>
      </c>
      <c r="T895" t="s">
        <v>38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f t="shared" si="39"/>
        <v>1</v>
      </c>
      <c r="AF895">
        <f>VLOOKUP(D895,especies!$A$2:$C$9,3,FALSE)</f>
        <v>1</v>
      </c>
      <c r="AG895" t="str">
        <f t="shared" si="40"/>
        <v>1-Mestizo</v>
      </c>
      <c r="AH895">
        <f>VLOOKUP('Fichas clínicas'!AG895,razas!$A$2:$D$66,3,FALSE)</f>
        <v>1</v>
      </c>
      <c r="AI895" t="str">
        <f t="shared" si="41"/>
        <v>H</v>
      </c>
    </row>
    <row r="896" spans="1:35" x14ac:dyDescent="0.2">
      <c r="A896">
        <v>898</v>
      </c>
      <c r="B896" t="s">
        <v>2140</v>
      </c>
      <c r="C896" t="s">
        <v>623</v>
      </c>
      <c r="D896" t="s">
        <v>41</v>
      </c>
      <c r="E896" t="s">
        <v>42</v>
      </c>
      <c r="F896" t="s">
        <v>47</v>
      </c>
      <c r="G896" t="s">
        <v>123</v>
      </c>
      <c r="J896" t="s">
        <v>1958</v>
      </c>
      <c r="K896" t="s">
        <v>38</v>
      </c>
      <c r="L896" t="s">
        <v>38</v>
      </c>
      <c r="M896" t="s">
        <v>38</v>
      </c>
      <c r="N896" t="s">
        <v>38</v>
      </c>
      <c r="O896" t="s">
        <v>38</v>
      </c>
      <c r="T896" t="s">
        <v>38</v>
      </c>
      <c r="U896">
        <v>0</v>
      </c>
      <c r="W896">
        <v>0</v>
      </c>
      <c r="X896">
        <v>0</v>
      </c>
      <c r="Y896">
        <v>0</v>
      </c>
      <c r="AE896">
        <f t="shared" si="39"/>
        <v>1</v>
      </c>
      <c r="AF896">
        <f>VLOOKUP(D896,especies!$A$2:$C$9,3,FALSE)</f>
        <v>2</v>
      </c>
      <c r="AG896" t="str">
        <f t="shared" si="40"/>
        <v>2-DPC (Doméstico de pelo corto o DSH)</v>
      </c>
      <c r="AH896">
        <f>VLOOKUP('Fichas clínicas'!AG896,razas!$A$2:$D$66,3,FALSE)</f>
        <v>51</v>
      </c>
      <c r="AI896" t="str">
        <f t="shared" si="41"/>
        <v>M</v>
      </c>
    </row>
    <row r="897" spans="1:35" x14ac:dyDescent="0.2">
      <c r="A897">
        <v>899</v>
      </c>
      <c r="B897" t="s">
        <v>2141</v>
      </c>
      <c r="C897" t="s">
        <v>2142</v>
      </c>
      <c r="D897" t="s">
        <v>41</v>
      </c>
      <c r="E897" t="s">
        <v>93</v>
      </c>
      <c r="F897" t="s">
        <v>34</v>
      </c>
      <c r="G897" t="s">
        <v>566</v>
      </c>
      <c r="J897" t="s">
        <v>393</v>
      </c>
      <c r="K897" t="s">
        <v>38</v>
      </c>
      <c r="L897" t="s">
        <v>38</v>
      </c>
      <c r="M897" t="s">
        <v>38</v>
      </c>
      <c r="N897" t="s">
        <v>38</v>
      </c>
      <c r="O897" t="s">
        <v>38</v>
      </c>
      <c r="Q897">
        <v>0</v>
      </c>
      <c r="T897" t="s">
        <v>38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f t="shared" si="39"/>
        <v>1</v>
      </c>
      <c r="AF897">
        <f>VLOOKUP(D897,especies!$A$2:$C$9,3,FALSE)</f>
        <v>2</v>
      </c>
      <c r="AG897" t="str">
        <f t="shared" si="40"/>
        <v>2-DPL (Doméstico de pelo Largo o DLH)</v>
      </c>
      <c r="AH897">
        <f>VLOOKUP('Fichas clínicas'!AG897,razas!$A$2:$D$66,3,FALSE)</f>
        <v>52</v>
      </c>
      <c r="AI897" t="str">
        <f t="shared" si="41"/>
        <v>H</v>
      </c>
    </row>
    <row r="898" spans="1:35" x14ac:dyDescent="0.2">
      <c r="A898">
        <v>900</v>
      </c>
      <c r="B898" t="s">
        <v>2143</v>
      </c>
      <c r="C898" t="s">
        <v>2144</v>
      </c>
      <c r="D898" t="s">
        <v>32</v>
      </c>
      <c r="E898" t="s">
        <v>33</v>
      </c>
      <c r="F898" t="s">
        <v>47</v>
      </c>
      <c r="G898" t="s">
        <v>199</v>
      </c>
      <c r="J898" t="s">
        <v>1620</v>
      </c>
      <c r="K898" t="s">
        <v>38</v>
      </c>
      <c r="L898" t="s">
        <v>38</v>
      </c>
      <c r="M898" t="s">
        <v>38</v>
      </c>
      <c r="N898" t="s">
        <v>38</v>
      </c>
      <c r="O898" t="s">
        <v>38</v>
      </c>
      <c r="Q898">
        <v>0</v>
      </c>
      <c r="T898" t="s">
        <v>38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f t="shared" si="39"/>
        <v>1</v>
      </c>
      <c r="AF898">
        <f>VLOOKUP(D898,especies!$A$2:$C$9,3,FALSE)</f>
        <v>1</v>
      </c>
      <c r="AG898" t="str">
        <f t="shared" si="40"/>
        <v>1-Mestizo</v>
      </c>
      <c r="AH898">
        <f>VLOOKUP('Fichas clínicas'!AG898,razas!$A$2:$D$66,3,FALSE)</f>
        <v>1</v>
      </c>
      <c r="AI898" t="str">
        <f t="shared" si="41"/>
        <v>M</v>
      </c>
    </row>
    <row r="899" spans="1:35" x14ac:dyDescent="0.2">
      <c r="A899">
        <v>901</v>
      </c>
      <c r="B899" t="s">
        <v>2145</v>
      </c>
      <c r="C899" t="s">
        <v>2146</v>
      </c>
      <c r="D899" t="s">
        <v>41</v>
      </c>
      <c r="E899" t="s">
        <v>42</v>
      </c>
      <c r="F899" t="s">
        <v>34</v>
      </c>
      <c r="G899" t="s">
        <v>2147</v>
      </c>
      <c r="J899" t="s">
        <v>2148</v>
      </c>
      <c r="K899" t="s">
        <v>38</v>
      </c>
      <c r="L899" t="s">
        <v>38</v>
      </c>
      <c r="M899" t="s">
        <v>38</v>
      </c>
      <c r="N899" t="s">
        <v>38</v>
      </c>
      <c r="O899" t="s">
        <v>38</v>
      </c>
      <c r="T899" t="s">
        <v>38</v>
      </c>
      <c r="U899">
        <v>0</v>
      </c>
      <c r="V899">
        <v>1</v>
      </c>
      <c r="W899">
        <v>0</v>
      </c>
      <c r="X899">
        <v>0</v>
      </c>
      <c r="Y899">
        <v>0</v>
      </c>
      <c r="AE899">
        <f t="shared" ref="AE899:AE962" si="42">SUBTOTAL(103,E899)</f>
        <v>1</v>
      </c>
      <c r="AF899">
        <f>VLOOKUP(D899,especies!$A$2:$C$9,3,FALSE)</f>
        <v>2</v>
      </c>
      <c r="AG899" t="str">
        <f t="shared" ref="AG899:AG962" si="43">AF899&amp;"-"&amp;E899</f>
        <v>2-DPC (Doméstico de pelo corto o DSH)</v>
      </c>
      <c r="AH899">
        <f>VLOOKUP('Fichas clínicas'!AG899,razas!$A$2:$D$66,3,FALSE)</f>
        <v>51</v>
      </c>
      <c r="AI899" t="str">
        <f t="shared" ref="AI899:AI962" si="44">IF(F899="Hembra","H","M")</f>
        <v>H</v>
      </c>
    </row>
    <row r="900" spans="1:35" x14ac:dyDescent="0.2">
      <c r="A900">
        <v>902</v>
      </c>
      <c r="B900" t="s">
        <v>2149</v>
      </c>
      <c r="C900" t="s">
        <v>2150</v>
      </c>
      <c r="D900" t="s">
        <v>41</v>
      </c>
      <c r="E900" t="s">
        <v>93</v>
      </c>
      <c r="F900" t="s">
        <v>47</v>
      </c>
      <c r="G900" t="s">
        <v>2151</v>
      </c>
      <c r="J900" t="s">
        <v>396</v>
      </c>
      <c r="K900" t="s">
        <v>38</v>
      </c>
      <c r="L900" t="s">
        <v>38</v>
      </c>
      <c r="M900" t="s">
        <v>38</v>
      </c>
      <c r="N900" t="s">
        <v>38</v>
      </c>
      <c r="O900" t="s">
        <v>38</v>
      </c>
      <c r="T900" t="s">
        <v>38</v>
      </c>
      <c r="U900">
        <v>0</v>
      </c>
      <c r="V900">
        <v>1</v>
      </c>
      <c r="W900">
        <v>0</v>
      </c>
      <c r="X900">
        <v>0</v>
      </c>
      <c r="Y900">
        <v>0</v>
      </c>
      <c r="AE900">
        <f t="shared" si="42"/>
        <v>1</v>
      </c>
      <c r="AF900">
        <f>VLOOKUP(D900,especies!$A$2:$C$9,3,FALSE)</f>
        <v>2</v>
      </c>
      <c r="AG900" t="str">
        <f t="shared" si="43"/>
        <v>2-DPL (Doméstico de pelo Largo o DLH)</v>
      </c>
      <c r="AH900">
        <f>VLOOKUP('Fichas clínicas'!AG900,razas!$A$2:$D$66,3,FALSE)</f>
        <v>52</v>
      </c>
      <c r="AI900" t="str">
        <f t="shared" si="44"/>
        <v>M</v>
      </c>
    </row>
    <row r="901" spans="1:35" x14ac:dyDescent="0.2">
      <c r="A901">
        <v>903</v>
      </c>
      <c r="B901" t="s">
        <v>2149</v>
      </c>
      <c r="C901" t="s">
        <v>2152</v>
      </c>
      <c r="D901" t="s">
        <v>41</v>
      </c>
      <c r="E901" t="s">
        <v>93</v>
      </c>
      <c r="F901" t="s">
        <v>47</v>
      </c>
      <c r="G901" t="s">
        <v>2153</v>
      </c>
      <c r="J901" t="s">
        <v>2154</v>
      </c>
      <c r="K901" t="s">
        <v>38</v>
      </c>
      <c r="L901" t="s">
        <v>38</v>
      </c>
      <c r="M901" t="s">
        <v>38</v>
      </c>
      <c r="N901" t="s">
        <v>38</v>
      </c>
      <c r="O901" t="s">
        <v>38</v>
      </c>
      <c r="T901" t="s">
        <v>38</v>
      </c>
      <c r="U901">
        <v>0</v>
      </c>
      <c r="V901">
        <v>1</v>
      </c>
      <c r="W901">
        <v>0</v>
      </c>
      <c r="X901">
        <v>0</v>
      </c>
      <c r="Y901">
        <v>0</v>
      </c>
      <c r="AE901">
        <f t="shared" si="42"/>
        <v>1</v>
      </c>
      <c r="AF901">
        <f>VLOOKUP(D901,especies!$A$2:$C$9,3,FALSE)</f>
        <v>2</v>
      </c>
      <c r="AG901" t="str">
        <f t="shared" si="43"/>
        <v>2-DPL (Doméstico de pelo Largo o DLH)</v>
      </c>
      <c r="AH901">
        <f>VLOOKUP('Fichas clínicas'!AG901,razas!$A$2:$D$66,3,FALSE)</f>
        <v>52</v>
      </c>
      <c r="AI901" t="str">
        <f t="shared" si="44"/>
        <v>M</v>
      </c>
    </row>
    <row r="902" spans="1:35" x14ac:dyDescent="0.2">
      <c r="A902">
        <v>904</v>
      </c>
      <c r="B902" t="s">
        <v>231</v>
      </c>
      <c r="C902" t="s">
        <v>2155</v>
      </c>
      <c r="D902" t="s">
        <v>32</v>
      </c>
      <c r="E902" t="s">
        <v>1296</v>
      </c>
      <c r="F902" t="s">
        <v>47</v>
      </c>
      <c r="G902" t="s">
        <v>1007</v>
      </c>
      <c r="J902" t="s">
        <v>2156</v>
      </c>
      <c r="K902" t="s">
        <v>38</v>
      </c>
      <c r="L902" t="s">
        <v>38</v>
      </c>
      <c r="M902" t="s">
        <v>38</v>
      </c>
      <c r="N902" t="s">
        <v>38</v>
      </c>
      <c r="O902" t="s">
        <v>38</v>
      </c>
      <c r="T902" t="s">
        <v>38</v>
      </c>
      <c r="U902">
        <v>0</v>
      </c>
      <c r="V902">
        <v>1</v>
      </c>
      <c r="W902">
        <v>0</v>
      </c>
      <c r="X902">
        <v>0</v>
      </c>
      <c r="Y902">
        <v>0</v>
      </c>
      <c r="AE902">
        <f t="shared" si="42"/>
        <v>1</v>
      </c>
      <c r="AF902">
        <f>VLOOKUP(D902,especies!$A$2:$C$9,3,FALSE)</f>
        <v>1</v>
      </c>
      <c r="AG902" t="str">
        <f t="shared" si="43"/>
        <v>1-Labrador Retriever</v>
      </c>
      <c r="AH902">
        <f>VLOOKUP('Fichas clínicas'!AG902,razas!$A$2:$D$66,3,FALSE)</f>
        <v>28</v>
      </c>
      <c r="AI902" t="str">
        <f t="shared" si="44"/>
        <v>M</v>
      </c>
    </row>
    <row r="903" spans="1:35" x14ac:dyDescent="0.2">
      <c r="A903">
        <v>905</v>
      </c>
      <c r="B903" t="s">
        <v>2157</v>
      </c>
      <c r="C903" t="s">
        <v>53</v>
      </c>
      <c r="D903" t="s">
        <v>32</v>
      </c>
      <c r="E903" t="s">
        <v>458</v>
      </c>
      <c r="F903" t="s">
        <v>34</v>
      </c>
      <c r="G903" t="s">
        <v>2158</v>
      </c>
      <c r="J903" t="s">
        <v>2063</v>
      </c>
      <c r="K903" t="s">
        <v>38</v>
      </c>
      <c r="L903" t="s">
        <v>38</v>
      </c>
      <c r="M903" t="s">
        <v>38</v>
      </c>
      <c r="N903" t="s">
        <v>38</v>
      </c>
      <c r="O903" t="s">
        <v>38</v>
      </c>
      <c r="T903" t="s">
        <v>38</v>
      </c>
      <c r="U903">
        <v>0</v>
      </c>
      <c r="W903">
        <v>0</v>
      </c>
      <c r="X903">
        <v>0</v>
      </c>
      <c r="Y903">
        <v>0</v>
      </c>
      <c r="AE903">
        <f t="shared" si="42"/>
        <v>1</v>
      </c>
      <c r="AF903">
        <f>VLOOKUP(D903,especies!$A$2:$C$9,3,FALSE)</f>
        <v>1</v>
      </c>
      <c r="AG903" t="str">
        <f t="shared" si="43"/>
        <v>1-Beagle</v>
      </c>
      <c r="AH903">
        <f>VLOOKUP('Fichas clínicas'!AG903,razas!$A$2:$D$66,3,FALSE)</f>
        <v>13</v>
      </c>
      <c r="AI903" t="str">
        <f t="shared" si="44"/>
        <v>H</v>
      </c>
    </row>
    <row r="904" spans="1:35" x14ac:dyDescent="0.2">
      <c r="A904">
        <v>906</v>
      </c>
      <c r="B904" t="s">
        <v>2159</v>
      </c>
      <c r="C904" t="s">
        <v>2160</v>
      </c>
      <c r="D904" t="s">
        <v>32</v>
      </c>
      <c r="E904" t="s">
        <v>206</v>
      </c>
      <c r="F904" t="s">
        <v>34</v>
      </c>
      <c r="G904" t="s">
        <v>1402</v>
      </c>
      <c r="J904" t="s">
        <v>2161</v>
      </c>
      <c r="K904" t="s">
        <v>38</v>
      </c>
      <c r="L904" t="s">
        <v>38</v>
      </c>
      <c r="M904" t="s">
        <v>38</v>
      </c>
      <c r="N904" t="s">
        <v>38</v>
      </c>
      <c r="O904" t="s">
        <v>38</v>
      </c>
      <c r="T904" t="s">
        <v>38</v>
      </c>
      <c r="U904">
        <v>0</v>
      </c>
      <c r="V904">
        <v>1</v>
      </c>
      <c r="W904">
        <v>0</v>
      </c>
      <c r="X904">
        <v>0</v>
      </c>
      <c r="Y904">
        <v>0</v>
      </c>
      <c r="AE904">
        <f t="shared" si="42"/>
        <v>1</v>
      </c>
      <c r="AF904">
        <f>VLOOKUP(D904,especies!$A$2:$C$9,3,FALSE)</f>
        <v>1</v>
      </c>
      <c r="AG904" t="str">
        <f t="shared" si="43"/>
        <v>1-Chow-Chow</v>
      </c>
      <c r="AH904">
        <f>VLOOKUP('Fichas clínicas'!AG904,razas!$A$2:$D$66,3,FALSE)</f>
        <v>9</v>
      </c>
      <c r="AI904" t="str">
        <f t="shared" si="44"/>
        <v>H</v>
      </c>
    </row>
    <row r="905" spans="1:35" x14ac:dyDescent="0.2">
      <c r="A905">
        <v>907</v>
      </c>
      <c r="B905" t="s">
        <v>2162</v>
      </c>
      <c r="C905" t="s">
        <v>2163</v>
      </c>
      <c r="D905" t="s">
        <v>32</v>
      </c>
      <c r="E905" t="s">
        <v>33</v>
      </c>
      <c r="F905" t="s">
        <v>34</v>
      </c>
      <c r="G905" t="s">
        <v>351</v>
      </c>
      <c r="J905" t="s">
        <v>1522</v>
      </c>
      <c r="K905" t="s">
        <v>38</v>
      </c>
      <c r="L905" t="s">
        <v>38</v>
      </c>
      <c r="M905" t="s">
        <v>38</v>
      </c>
      <c r="N905" t="s">
        <v>38</v>
      </c>
      <c r="O905" t="s">
        <v>38</v>
      </c>
      <c r="T905" t="s">
        <v>38</v>
      </c>
      <c r="U905">
        <v>0</v>
      </c>
      <c r="W905">
        <v>0</v>
      </c>
      <c r="X905">
        <v>0</v>
      </c>
      <c r="Y905">
        <v>0</v>
      </c>
      <c r="AE905">
        <f t="shared" si="42"/>
        <v>1</v>
      </c>
      <c r="AF905">
        <f>VLOOKUP(D905,especies!$A$2:$C$9,3,FALSE)</f>
        <v>1</v>
      </c>
      <c r="AG905" t="str">
        <f t="shared" si="43"/>
        <v>1-Mestizo</v>
      </c>
      <c r="AH905">
        <f>VLOOKUP('Fichas clínicas'!AG905,razas!$A$2:$D$66,3,FALSE)</f>
        <v>1</v>
      </c>
      <c r="AI905" t="str">
        <f t="shared" si="44"/>
        <v>H</v>
      </c>
    </row>
    <row r="906" spans="1:35" x14ac:dyDescent="0.2">
      <c r="A906">
        <v>908</v>
      </c>
      <c r="B906" t="s">
        <v>2164</v>
      </c>
      <c r="C906" t="s">
        <v>2165</v>
      </c>
      <c r="D906" t="s">
        <v>32</v>
      </c>
      <c r="E906" t="s">
        <v>33</v>
      </c>
      <c r="F906" t="s">
        <v>47</v>
      </c>
      <c r="G906" t="s">
        <v>43</v>
      </c>
      <c r="J906" t="s">
        <v>1522</v>
      </c>
      <c r="K906" t="s">
        <v>38</v>
      </c>
      <c r="L906" t="s">
        <v>38</v>
      </c>
      <c r="M906" t="s">
        <v>38</v>
      </c>
      <c r="N906" t="s">
        <v>38</v>
      </c>
      <c r="O906" t="s">
        <v>38</v>
      </c>
      <c r="T906" t="s">
        <v>38</v>
      </c>
      <c r="U906">
        <v>0</v>
      </c>
      <c r="W906">
        <v>0</v>
      </c>
      <c r="X906">
        <v>0</v>
      </c>
      <c r="Y906">
        <v>0</v>
      </c>
      <c r="AE906">
        <f t="shared" si="42"/>
        <v>1</v>
      </c>
      <c r="AF906">
        <f>VLOOKUP(D906,especies!$A$2:$C$9,3,FALSE)</f>
        <v>1</v>
      </c>
      <c r="AG906" t="str">
        <f t="shared" si="43"/>
        <v>1-Mestizo</v>
      </c>
      <c r="AH906">
        <f>VLOOKUP('Fichas clínicas'!AG906,razas!$A$2:$D$66,3,FALSE)</f>
        <v>1</v>
      </c>
      <c r="AI906" t="str">
        <f t="shared" si="44"/>
        <v>M</v>
      </c>
    </row>
    <row r="907" spans="1:35" x14ac:dyDescent="0.2">
      <c r="A907">
        <v>909</v>
      </c>
      <c r="B907" t="s">
        <v>2166</v>
      </c>
      <c r="C907" t="s">
        <v>2167</v>
      </c>
      <c r="D907" t="s">
        <v>32</v>
      </c>
      <c r="E907" t="s">
        <v>33</v>
      </c>
      <c r="F907" t="s">
        <v>47</v>
      </c>
      <c r="G907" t="s">
        <v>73</v>
      </c>
      <c r="J907" t="s">
        <v>2168</v>
      </c>
      <c r="K907" t="s">
        <v>38</v>
      </c>
      <c r="L907" t="s">
        <v>38</v>
      </c>
      <c r="M907" t="s">
        <v>38</v>
      </c>
      <c r="N907" t="s">
        <v>38</v>
      </c>
      <c r="O907" t="s">
        <v>38</v>
      </c>
      <c r="T907" t="s">
        <v>38</v>
      </c>
      <c r="U907">
        <v>0</v>
      </c>
      <c r="W907">
        <v>0</v>
      </c>
      <c r="X907">
        <v>0</v>
      </c>
      <c r="Y907">
        <v>0</v>
      </c>
      <c r="AE907">
        <f t="shared" si="42"/>
        <v>1</v>
      </c>
      <c r="AF907">
        <f>VLOOKUP(D907,especies!$A$2:$C$9,3,FALSE)</f>
        <v>1</v>
      </c>
      <c r="AG907" t="str">
        <f t="shared" si="43"/>
        <v>1-Mestizo</v>
      </c>
      <c r="AH907">
        <f>VLOOKUP('Fichas clínicas'!AG907,razas!$A$2:$D$66,3,FALSE)</f>
        <v>1</v>
      </c>
      <c r="AI907" t="str">
        <f t="shared" si="44"/>
        <v>M</v>
      </c>
    </row>
    <row r="908" spans="1:35" x14ac:dyDescent="0.2">
      <c r="A908">
        <v>910</v>
      </c>
      <c r="B908" t="s">
        <v>2169</v>
      </c>
      <c r="C908" t="s">
        <v>2170</v>
      </c>
      <c r="D908" t="s">
        <v>41</v>
      </c>
      <c r="E908" t="s">
        <v>42</v>
      </c>
      <c r="F908" t="s">
        <v>34</v>
      </c>
      <c r="G908" t="s">
        <v>2171</v>
      </c>
      <c r="J908" t="s">
        <v>1825</v>
      </c>
      <c r="K908" t="s">
        <v>38</v>
      </c>
      <c r="L908" t="s">
        <v>38</v>
      </c>
      <c r="M908" t="s">
        <v>38</v>
      </c>
      <c r="N908" t="s">
        <v>38</v>
      </c>
      <c r="O908" t="s">
        <v>38</v>
      </c>
      <c r="T908" t="s">
        <v>38</v>
      </c>
      <c r="U908">
        <v>0</v>
      </c>
      <c r="W908">
        <v>0</v>
      </c>
      <c r="X908">
        <v>0</v>
      </c>
      <c r="Y908">
        <v>0</v>
      </c>
      <c r="AE908">
        <f t="shared" si="42"/>
        <v>1</v>
      </c>
      <c r="AF908">
        <f>VLOOKUP(D908,especies!$A$2:$C$9,3,FALSE)</f>
        <v>2</v>
      </c>
      <c r="AG908" t="str">
        <f t="shared" si="43"/>
        <v>2-DPC (Doméstico de pelo corto o DSH)</v>
      </c>
      <c r="AH908">
        <f>VLOOKUP('Fichas clínicas'!AG908,razas!$A$2:$D$66,3,FALSE)</f>
        <v>51</v>
      </c>
      <c r="AI908" t="str">
        <f t="shared" si="44"/>
        <v>H</v>
      </c>
    </row>
    <row r="909" spans="1:35" x14ac:dyDescent="0.2">
      <c r="A909">
        <v>911</v>
      </c>
      <c r="B909" t="s">
        <v>2172</v>
      </c>
      <c r="C909" t="s">
        <v>2173</v>
      </c>
      <c r="D909" t="s">
        <v>32</v>
      </c>
      <c r="E909" t="s">
        <v>33</v>
      </c>
      <c r="F909" t="s">
        <v>47</v>
      </c>
      <c r="G909" t="s">
        <v>2174</v>
      </c>
      <c r="J909" t="s">
        <v>2175</v>
      </c>
      <c r="K909" t="s">
        <v>38</v>
      </c>
      <c r="L909" t="s">
        <v>38</v>
      </c>
      <c r="M909" t="s">
        <v>38</v>
      </c>
      <c r="N909" t="s">
        <v>38</v>
      </c>
      <c r="O909" t="s">
        <v>38</v>
      </c>
      <c r="T909" t="s">
        <v>38</v>
      </c>
      <c r="U909">
        <v>0</v>
      </c>
      <c r="W909">
        <v>0</v>
      </c>
      <c r="X909">
        <v>0</v>
      </c>
      <c r="Y909">
        <v>0</v>
      </c>
      <c r="AE909">
        <f t="shared" si="42"/>
        <v>1</v>
      </c>
      <c r="AF909">
        <f>VLOOKUP(D909,especies!$A$2:$C$9,3,FALSE)</f>
        <v>1</v>
      </c>
      <c r="AG909" t="str">
        <f t="shared" si="43"/>
        <v>1-Mestizo</v>
      </c>
      <c r="AH909">
        <f>VLOOKUP('Fichas clínicas'!AG909,razas!$A$2:$D$66,3,FALSE)</f>
        <v>1</v>
      </c>
      <c r="AI909" t="str">
        <f t="shared" si="44"/>
        <v>M</v>
      </c>
    </row>
    <row r="910" spans="1:35" x14ac:dyDescent="0.2">
      <c r="A910">
        <v>912</v>
      </c>
      <c r="B910" t="s">
        <v>2176</v>
      </c>
      <c r="C910" t="s">
        <v>280</v>
      </c>
      <c r="D910" t="s">
        <v>32</v>
      </c>
      <c r="E910" t="s">
        <v>122</v>
      </c>
      <c r="F910" t="s">
        <v>34</v>
      </c>
      <c r="G910" t="s">
        <v>123</v>
      </c>
      <c r="J910" t="s">
        <v>2177</v>
      </c>
      <c r="K910" t="s">
        <v>38</v>
      </c>
      <c r="L910" t="s">
        <v>38</v>
      </c>
      <c r="M910" t="s">
        <v>38</v>
      </c>
      <c r="N910" t="s">
        <v>38</v>
      </c>
      <c r="O910" t="s">
        <v>38</v>
      </c>
      <c r="T910" t="s">
        <v>38</v>
      </c>
      <c r="U910">
        <v>0</v>
      </c>
      <c r="W910">
        <v>0</v>
      </c>
      <c r="X910">
        <v>0</v>
      </c>
      <c r="Y910">
        <v>0</v>
      </c>
      <c r="AE910">
        <f t="shared" si="42"/>
        <v>1</v>
      </c>
      <c r="AF910">
        <f>VLOOKUP(D910,especies!$A$2:$C$9,3,FALSE)</f>
        <v>1</v>
      </c>
      <c r="AG910" t="str">
        <f t="shared" si="43"/>
        <v>1-Caniche</v>
      </c>
      <c r="AH910">
        <f>VLOOKUP('Fichas clínicas'!AG910,razas!$A$2:$D$66,3,FALSE)</f>
        <v>4</v>
      </c>
      <c r="AI910" t="str">
        <f t="shared" si="44"/>
        <v>H</v>
      </c>
    </row>
    <row r="911" spans="1:35" x14ac:dyDescent="0.2">
      <c r="A911">
        <v>913</v>
      </c>
      <c r="B911" t="s">
        <v>898</v>
      </c>
      <c r="C911" t="s">
        <v>1262</v>
      </c>
      <c r="D911" t="s">
        <v>32</v>
      </c>
      <c r="E911" t="s">
        <v>33</v>
      </c>
      <c r="F911" t="s">
        <v>34</v>
      </c>
      <c r="G911" t="s">
        <v>2118</v>
      </c>
      <c r="J911" t="s">
        <v>2178</v>
      </c>
      <c r="K911" t="s">
        <v>38</v>
      </c>
      <c r="L911" t="s">
        <v>38</v>
      </c>
      <c r="M911" t="s">
        <v>38</v>
      </c>
      <c r="N911" t="s">
        <v>38</v>
      </c>
      <c r="O911" t="s">
        <v>38</v>
      </c>
      <c r="T911" t="s">
        <v>38</v>
      </c>
      <c r="U911">
        <v>0</v>
      </c>
      <c r="W911">
        <v>0</v>
      </c>
      <c r="X911">
        <v>0</v>
      </c>
      <c r="Y911">
        <v>0</v>
      </c>
      <c r="AE911">
        <f t="shared" si="42"/>
        <v>1</v>
      </c>
      <c r="AF911">
        <f>VLOOKUP(D911,especies!$A$2:$C$9,3,FALSE)</f>
        <v>1</v>
      </c>
      <c r="AG911" t="str">
        <f t="shared" si="43"/>
        <v>1-Mestizo</v>
      </c>
      <c r="AH911">
        <f>VLOOKUP('Fichas clínicas'!AG911,razas!$A$2:$D$66,3,FALSE)</f>
        <v>1</v>
      </c>
      <c r="AI911" t="str">
        <f t="shared" si="44"/>
        <v>H</v>
      </c>
    </row>
    <row r="912" spans="1:35" x14ac:dyDescent="0.2">
      <c r="A912">
        <v>914</v>
      </c>
      <c r="B912" t="s">
        <v>179</v>
      </c>
      <c r="C912" t="s">
        <v>2179</v>
      </c>
      <c r="D912" t="s">
        <v>41</v>
      </c>
      <c r="E912" t="s">
        <v>42</v>
      </c>
      <c r="F912" t="s">
        <v>34</v>
      </c>
      <c r="G912" t="s">
        <v>2180</v>
      </c>
      <c r="J912" t="s">
        <v>2181</v>
      </c>
      <c r="K912" t="s">
        <v>38</v>
      </c>
      <c r="L912" t="s">
        <v>38</v>
      </c>
      <c r="M912" t="s">
        <v>38</v>
      </c>
      <c r="N912" t="s">
        <v>38</v>
      </c>
      <c r="O912" t="s">
        <v>38</v>
      </c>
      <c r="T912" t="s">
        <v>38</v>
      </c>
      <c r="U912">
        <v>0</v>
      </c>
      <c r="V912">
        <v>1</v>
      </c>
      <c r="W912">
        <v>0</v>
      </c>
      <c r="X912">
        <v>0</v>
      </c>
      <c r="Y912">
        <v>0</v>
      </c>
      <c r="AE912">
        <f t="shared" si="42"/>
        <v>1</v>
      </c>
      <c r="AF912">
        <f>VLOOKUP(D912,especies!$A$2:$C$9,3,FALSE)</f>
        <v>2</v>
      </c>
      <c r="AG912" t="str">
        <f t="shared" si="43"/>
        <v>2-DPC (Doméstico de pelo corto o DSH)</v>
      </c>
      <c r="AH912">
        <f>VLOOKUP('Fichas clínicas'!AG912,razas!$A$2:$D$66,3,FALSE)</f>
        <v>51</v>
      </c>
      <c r="AI912" t="str">
        <f t="shared" si="44"/>
        <v>H</v>
      </c>
    </row>
    <row r="913" spans="1:35" x14ac:dyDescent="0.2">
      <c r="A913">
        <v>915</v>
      </c>
      <c r="B913" t="s">
        <v>520</v>
      </c>
      <c r="C913" t="s">
        <v>2144</v>
      </c>
      <c r="D913" t="s">
        <v>32</v>
      </c>
      <c r="E913" t="s">
        <v>33</v>
      </c>
      <c r="F913" t="s">
        <v>47</v>
      </c>
      <c r="G913" t="s">
        <v>587</v>
      </c>
      <c r="J913" t="s">
        <v>2182</v>
      </c>
      <c r="K913" t="s">
        <v>38</v>
      </c>
      <c r="L913" t="s">
        <v>38</v>
      </c>
      <c r="M913" t="s">
        <v>38</v>
      </c>
      <c r="N913" t="s">
        <v>38</v>
      </c>
      <c r="O913" t="s">
        <v>38</v>
      </c>
      <c r="T913" t="s">
        <v>38</v>
      </c>
      <c r="U913">
        <v>0</v>
      </c>
      <c r="V913">
        <v>1</v>
      </c>
      <c r="W913">
        <v>0</v>
      </c>
      <c r="X913">
        <v>0</v>
      </c>
      <c r="Y913">
        <v>0</v>
      </c>
      <c r="AE913">
        <f t="shared" si="42"/>
        <v>1</v>
      </c>
      <c r="AF913">
        <f>VLOOKUP(D913,especies!$A$2:$C$9,3,FALSE)</f>
        <v>1</v>
      </c>
      <c r="AG913" t="str">
        <f t="shared" si="43"/>
        <v>1-Mestizo</v>
      </c>
      <c r="AH913">
        <f>VLOOKUP('Fichas clínicas'!AG913,razas!$A$2:$D$66,3,FALSE)</f>
        <v>1</v>
      </c>
      <c r="AI913" t="str">
        <f t="shared" si="44"/>
        <v>M</v>
      </c>
    </row>
    <row r="914" spans="1:35" x14ac:dyDescent="0.2">
      <c r="A914">
        <v>916</v>
      </c>
      <c r="B914" t="s">
        <v>1160</v>
      </c>
      <c r="C914" t="s">
        <v>2183</v>
      </c>
      <c r="D914" t="s">
        <v>32</v>
      </c>
      <c r="E914" t="s">
        <v>33</v>
      </c>
      <c r="F914" t="s">
        <v>47</v>
      </c>
      <c r="G914" t="s">
        <v>2184</v>
      </c>
      <c r="J914" t="s">
        <v>2063</v>
      </c>
      <c r="K914" t="s">
        <v>38</v>
      </c>
      <c r="L914" t="s">
        <v>38</v>
      </c>
      <c r="M914" t="s">
        <v>38</v>
      </c>
      <c r="N914" t="s">
        <v>38</v>
      </c>
      <c r="O914" t="s">
        <v>38</v>
      </c>
      <c r="T914" t="s">
        <v>38</v>
      </c>
      <c r="U914">
        <v>0</v>
      </c>
      <c r="W914">
        <v>0</v>
      </c>
      <c r="X914">
        <v>0</v>
      </c>
      <c r="Y914">
        <v>0</v>
      </c>
      <c r="AE914">
        <f t="shared" si="42"/>
        <v>1</v>
      </c>
      <c r="AF914">
        <f>VLOOKUP(D914,especies!$A$2:$C$9,3,FALSE)</f>
        <v>1</v>
      </c>
      <c r="AG914" t="str">
        <f t="shared" si="43"/>
        <v>1-Mestizo</v>
      </c>
      <c r="AH914">
        <f>VLOOKUP('Fichas clínicas'!AG914,razas!$A$2:$D$66,3,FALSE)</f>
        <v>1</v>
      </c>
      <c r="AI914" t="str">
        <f t="shared" si="44"/>
        <v>M</v>
      </c>
    </row>
    <row r="915" spans="1:35" x14ac:dyDescent="0.2">
      <c r="A915">
        <v>917</v>
      </c>
      <c r="B915" t="s">
        <v>2185</v>
      </c>
      <c r="C915" t="s">
        <v>2186</v>
      </c>
      <c r="D915" t="s">
        <v>41</v>
      </c>
      <c r="E915" t="s">
        <v>42</v>
      </c>
      <c r="F915" t="s">
        <v>34</v>
      </c>
      <c r="G915" t="s">
        <v>2187</v>
      </c>
      <c r="J915" t="s">
        <v>841</v>
      </c>
      <c r="K915" t="s">
        <v>38</v>
      </c>
      <c r="L915" t="s">
        <v>38</v>
      </c>
      <c r="M915" t="s">
        <v>38</v>
      </c>
      <c r="N915" t="s">
        <v>38</v>
      </c>
      <c r="O915" t="s">
        <v>38</v>
      </c>
      <c r="T915" t="s">
        <v>38</v>
      </c>
      <c r="U915">
        <v>0</v>
      </c>
      <c r="V915">
        <v>1</v>
      </c>
      <c r="W915">
        <v>0</v>
      </c>
      <c r="X915">
        <v>0</v>
      </c>
      <c r="Y915">
        <v>0</v>
      </c>
      <c r="AE915">
        <f t="shared" si="42"/>
        <v>1</v>
      </c>
      <c r="AF915">
        <f>VLOOKUP(D915,especies!$A$2:$C$9,3,FALSE)</f>
        <v>2</v>
      </c>
      <c r="AG915" t="str">
        <f t="shared" si="43"/>
        <v>2-DPC (Doméstico de pelo corto o DSH)</v>
      </c>
      <c r="AH915">
        <f>VLOOKUP('Fichas clínicas'!AG915,razas!$A$2:$D$66,3,FALSE)</f>
        <v>51</v>
      </c>
      <c r="AI915" t="str">
        <f t="shared" si="44"/>
        <v>H</v>
      </c>
    </row>
    <row r="916" spans="1:35" x14ac:dyDescent="0.2">
      <c r="A916">
        <v>918</v>
      </c>
      <c r="B916" t="s">
        <v>2188</v>
      </c>
      <c r="C916" t="s">
        <v>2189</v>
      </c>
      <c r="D916" t="s">
        <v>32</v>
      </c>
      <c r="E916" t="s">
        <v>33</v>
      </c>
      <c r="F916" t="s">
        <v>47</v>
      </c>
      <c r="G916" t="s">
        <v>2190</v>
      </c>
      <c r="J916" t="s">
        <v>1012</v>
      </c>
      <c r="K916" t="s">
        <v>38</v>
      </c>
      <c r="L916" t="s">
        <v>38</v>
      </c>
      <c r="M916" t="s">
        <v>38</v>
      </c>
      <c r="N916" t="s">
        <v>38</v>
      </c>
      <c r="O916" t="s">
        <v>38</v>
      </c>
      <c r="T916" t="s">
        <v>38</v>
      </c>
      <c r="U916">
        <v>0</v>
      </c>
      <c r="W916">
        <v>0</v>
      </c>
      <c r="X916">
        <v>0</v>
      </c>
      <c r="Y916">
        <v>0</v>
      </c>
      <c r="AE916">
        <f t="shared" si="42"/>
        <v>1</v>
      </c>
      <c r="AF916">
        <f>VLOOKUP(D916,especies!$A$2:$C$9,3,FALSE)</f>
        <v>1</v>
      </c>
      <c r="AG916" t="str">
        <f t="shared" si="43"/>
        <v>1-Mestizo</v>
      </c>
      <c r="AH916">
        <f>VLOOKUP('Fichas clínicas'!AG916,razas!$A$2:$D$66,3,FALSE)</f>
        <v>1</v>
      </c>
      <c r="AI916" t="str">
        <f t="shared" si="44"/>
        <v>M</v>
      </c>
    </row>
    <row r="917" spans="1:35" x14ac:dyDescent="0.2">
      <c r="A917">
        <v>919</v>
      </c>
      <c r="B917" t="s">
        <v>2188</v>
      </c>
      <c r="C917" t="s">
        <v>2191</v>
      </c>
      <c r="D917" t="s">
        <v>32</v>
      </c>
      <c r="E917" t="s">
        <v>33</v>
      </c>
      <c r="F917" t="s">
        <v>47</v>
      </c>
      <c r="G917" t="s">
        <v>2192</v>
      </c>
      <c r="J917" t="s">
        <v>2063</v>
      </c>
      <c r="K917" t="s">
        <v>38</v>
      </c>
      <c r="L917" t="s">
        <v>38</v>
      </c>
      <c r="M917" t="s">
        <v>38</v>
      </c>
      <c r="N917" t="s">
        <v>38</v>
      </c>
      <c r="O917" t="s">
        <v>38</v>
      </c>
      <c r="T917" t="s">
        <v>38</v>
      </c>
      <c r="U917">
        <v>0</v>
      </c>
      <c r="W917">
        <v>0</v>
      </c>
      <c r="X917">
        <v>0</v>
      </c>
      <c r="Y917">
        <v>0</v>
      </c>
      <c r="AE917">
        <f t="shared" si="42"/>
        <v>1</v>
      </c>
      <c r="AF917">
        <f>VLOOKUP(D917,especies!$A$2:$C$9,3,FALSE)</f>
        <v>1</v>
      </c>
      <c r="AG917" t="str">
        <f t="shared" si="43"/>
        <v>1-Mestizo</v>
      </c>
      <c r="AH917">
        <f>VLOOKUP('Fichas clínicas'!AG917,razas!$A$2:$D$66,3,FALSE)</f>
        <v>1</v>
      </c>
      <c r="AI917" t="str">
        <f t="shared" si="44"/>
        <v>M</v>
      </c>
    </row>
    <row r="918" spans="1:35" x14ac:dyDescent="0.2">
      <c r="A918">
        <v>920</v>
      </c>
      <c r="B918" t="s">
        <v>2193</v>
      </c>
      <c r="C918" t="s">
        <v>2194</v>
      </c>
      <c r="D918" t="s">
        <v>32</v>
      </c>
      <c r="E918" t="s">
        <v>33</v>
      </c>
      <c r="F918" t="s">
        <v>34</v>
      </c>
      <c r="G918" t="s">
        <v>1547</v>
      </c>
      <c r="J918" t="s">
        <v>2063</v>
      </c>
      <c r="K918" t="s">
        <v>38</v>
      </c>
      <c r="L918" t="s">
        <v>38</v>
      </c>
      <c r="M918" t="s">
        <v>38</v>
      </c>
      <c r="N918" t="s">
        <v>38</v>
      </c>
      <c r="O918" t="s">
        <v>38</v>
      </c>
      <c r="Q918">
        <v>0</v>
      </c>
      <c r="T918" t="s">
        <v>38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f t="shared" si="42"/>
        <v>1</v>
      </c>
      <c r="AF918">
        <f>VLOOKUP(D918,especies!$A$2:$C$9,3,FALSE)</f>
        <v>1</v>
      </c>
      <c r="AG918" t="str">
        <f t="shared" si="43"/>
        <v>1-Mestizo</v>
      </c>
      <c r="AH918">
        <f>VLOOKUP('Fichas clínicas'!AG918,razas!$A$2:$D$66,3,FALSE)</f>
        <v>1</v>
      </c>
      <c r="AI918" t="str">
        <f t="shared" si="44"/>
        <v>H</v>
      </c>
    </row>
    <row r="919" spans="1:35" x14ac:dyDescent="0.2">
      <c r="A919">
        <v>921</v>
      </c>
      <c r="B919" t="s">
        <v>2195</v>
      </c>
      <c r="C919" t="s">
        <v>2196</v>
      </c>
      <c r="D919" t="s">
        <v>32</v>
      </c>
      <c r="E919" t="s">
        <v>33</v>
      </c>
      <c r="F919" t="s">
        <v>47</v>
      </c>
      <c r="G919" t="s">
        <v>1547</v>
      </c>
      <c r="J919" t="s">
        <v>2197</v>
      </c>
      <c r="K919" t="s">
        <v>38</v>
      </c>
      <c r="L919" t="s">
        <v>38</v>
      </c>
      <c r="M919" t="s">
        <v>38</v>
      </c>
      <c r="N919" t="s">
        <v>38</v>
      </c>
      <c r="O919" t="s">
        <v>38</v>
      </c>
      <c r="T919" t="s">
        <v>38</v>
      </c>
      <c r="U919">
        <v>0</v>
      </c>
      <c r="W919">
        <v>0</v>
      </c>
      <c r="X919">
        <v>0</v>
      </c>
      <c r="Y919">
        <v>0</v>
      </c>
      <c r="AE919">
        <f t="shared" si="42"/>
        <v>1</v>
      </c>
      <c r="AF919">
        <f>VLOOKUP(D919,especies!$A$2:$C$9,3,FALSE)</f>
        <v>1</v>
      </c>
      <c r="AG919" t="str">
        <f t="shared" si="43"/>
        <v>1-Mestizo</v>
      </c>
      <c r="AH919">
        <f>VLOOKUP('Fichas clínicas'!AG919,razas!$A$2:$D$66,3,FALSE)</f>
        <v>1</v>
      </c>
      <c r="AI919" t="str">
        <f t="shared" si="44"/>
        <v>M</v>
      </c>
    </row>
    <row r="920" spans="1:35" x14ac:dyDescent="0.2">
      <c r="A920">
        <v>922</v>
      </c>
      <c r="B920" t="s">
        <v>2198</v>
      </c>
      <c r="C920" t="s">
        <v>2199</v>
      </c>
      <c r="D920" t="s">
        <v>32</v>
      </c>
      <c r="E920" t="s">
        <v>2200</v>
      </c>
      <c r="F920" t="s">
        <v>47</v>
      </c>
      <c r="G920" t="s">
        <v>1547</v>
      </c>
      <c r="J920" t="s">
        <v>737</v>
      </c>
      <c r="K920" t="s">
        <v>38</v>
      </c>
      <c r="L920" t="s">
        <v>38</v>
      </c>
      <c r="M920" t="s">
        <v>38</v>
      </c>
      <c r="N920" t="s">
        <v>38</v>
      </c>
      <c r="O920" t="s">
        <v>38</v>
      </c>
      <c r="Q920">
        <v>0</v>
      </c>
      <c r="T920" t="s">
        <v>38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f t="shared" si="42"/>
        <v>1</v>
      </c>
      <c r="AF920">
        <f>VLOOKUP(D920,especies!$A$2:$C$9,3,FALSE)</f>
        <v>1</v>
      </c>
      <c r="AG920" t="str">
        <f t="shared" si="43"/>
        <v>1-Bichón Maltes</v>
      </c>
      <c r="AH920">
        <f>VLOOKUP('Fichas clínicas'!AG920,razas!$A$2:$D$66,3,FALSE)</f>
        <v>37</v>
      </c>
      <c r="AI920" t="str">
        <f t="shared" si="44"/>
        <v>M</v>
      </c>
    </row>
    <row r="921" spans="1:35" x14ac:dyDescent="0.2">
      <c r="A921">
        <v>923</v>
      </c>
      <c r="B921" t="s">
        <v>2201</v>
      </c>
      <c r="C921" t="s">
        <v>2202</v>
      </c>
      <c r="D921" t="s">
        <v>32</v>
      </c>
      <c r="E921" t="s">
        <v>508</v>
      </c>
      <c r="F921" t="s">
        <v>47</v>
      </c>
      <c r="G921" t="s">
        <v>297</v>
      </c>
      <c r="J921" t="s">
        <v>2203</v>
      </c>
      <c r="K921" t="s">
        <v>38</v>
      </c>
      <c r="L921" t="s">
        <v>38</v>
      </c>
      <c r="M921" t="s">
        <v>38</v>
      </c>
      <c r="N921" t="s">
        <v>38</v>
      </c>
      <c r="O921" t="s">
        <v>38</v>
      </c>
      <c r="Q921">
        <v>0</v>
      </c>
      <c r="T921" t="s">
        <v>38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f t="shared" si="42"/>
        <v>1</v>
      </c>
      <c r="AF921">
        <f>VLOOKUP(D921,especies!$A$2:$C$9,3,FALSE)</f>
        <v>1</v>
      </c>
      <c r="AG921" t="str">
        <f t="shared" si="43"/>
        <v>1-Akita Americano</v>
      </c>
      <c r="AH921">
        <f>VLOOKUP('Fichas clínicas'!AG921,razas!$A$2:$D$66,3,FALSE)</f>
        <v>15</v>
      </c>
      <c r="AI921" t="str">
        <f t="shared" si="44"/>
        <v>M</v>
      </c>
    </row>
    <row r="922" spans="1:35" x14ac:dyDescent="0.2">
      <c r="A922">
        <v>924</v>
      </c>
      <c r="B922" t="s">
        <v>1734</v>
      </c>
      <c r="C922" t="s">
        <v>2204</v>
      </c>
      <c r="D922" t="s">
        <v>32</v>
      </c>
      <c r="E922" t="s">
        <v>934</v>
      </c>
      <c r="F922" t="s">
        <v>47</v>
      </c>
      <c r="G922" t="s">
        <v>2205</v>
      </c>
      <c r="J922" t="s">
        <v>2206</v>
      </c>
      <c r="K922" t="s">
        <v>38</v>
      </c>
      <c r="L922" t="s">
        <v>38</v>
      </c>
      <c r="M922" t="s">
        <v>38</v>
      </c>
      <c r="N922" t="s">
        <v>38</v>
      </c>
      <c r="O922" t="s">
        <v>38</v>
      </c>
      <c r="T922" t="s">
        <v>38</v>
      </c>
      <c r="U922">
        <v>0</v>
      </c>
      <c r="W922">
        <v>0</v>
      </c>
      <c r="X922">
        <v>0</v>
      </c>
      <c r="Y922">
        <v>0</v>
      </c>
      <c r="AE922">
        <f t="shared" si="42"/>
        <v>1</v>
      </c>
      <c r="AF922">
        <f>VLOOKUP(D922,especies!$A$2:$C$9,3,FALSE)</f>
        <v>1</v>
      </c>
      <c r="AG922" t="str">
        <f t="shared" si="43"/>
        <v>1-Siberian Husky</v>
      </c>
      <c r="AH922">
        <f>VLOOKUP('Fichas clínicas'!AG922,razas!$A$2:$D$66,3,FALSE)</f>
        <v>24</v>
      </c>
      <c r="AI922" t="str">
        <f t="shared" si="44"/>
        <v>M</v>
      </c>
    </row>
    <row r="923" spans="1:35" x14ac:dyDescent="0.2">
      <c r="A923">
        <v>925</v>
      </c>
      <c r="B923" t="s">
        <v>2207</v>
      </c>
      <c r="C923" t="s">
        <v>2208</v>
      </c>
      <c r="D923" t="s">
        <v>32</v>
      </c>
      <c r="E923" t="s">
        <v>63</v>
      </c>
      <c r="F923" t="s">
        <v>47</v>
      </c>
      <c r="G923" t="s">
        <v>199</v>
      </c>
      <c r="J923" t="s">
        <v>271</v>
      </c>
      <c r="K923" t="s">
        <v>38</v>
      </c>
      <c r="L923" t="s">
        <v>38</v>
      </c>
      <c r="M923" t="s">
        <v>38</v>
      </c>
      <c r="N923" t="s">
        <v>38</v>
      </c>
      <c r="O923" t="s">
        <v>38</v>
      </c>
      <c r="T923" t="s">
        <v>38</v>
      </c>
      <c r="U923">
        <v>0</v>
      </c>
      <c r="W923">
        <v>0</v>
      </c>
      <c r="X923">
        <v>0</v>
      </c>
      <c r="Y923">
        <v>0</v>
      </c>
      <c r="AE923">
        <f t="shared" si="42"/>
        <v>1</v>
      </c>
      <c r="AF923">
        <f>VLOOKUP(D923,especies!$A$2:$C$9,3,FALSE)</f>
        <v>1</v>
      </c>
      <c r="AG923" t="str">
        <f t="shared" si="43"/>
        <v>1-Fox Terrier Pelo Corto</v>
      </c>
      <c r="AH923">
        <f>VLOOKUP('Fichas clínicas'!AG923,razas!$A$2:$D$66,3,FALSE)</f>
        <v>2</v>
      </c>
      <c r="AI923" t="str">
        <f t="shared" si="44"/>
        <v>M</v>
      </c>
    </row>
    <row r="924" spans="1:35" x14ac:dyDescent="0.2">
      <c r="A924">
        <v>926</v>
      </c>
      <c r="B924" t="s">
        <v>1567</v>
      </c>
      <c r="C924" t="s">
        <v>2209</v>
      </c>
      <c r="D924" t="s">
        <v>41</v>
      </c>
      <c r="E924" t="s">
        <v>42</v>
      </c>
      <c r="F924" t="s">
        <v>34</v>
      </c>
      <c r="G924" t="s">
        <v>2210</v>
      </c>
      <c r="J924" t="s">
        <v>989</v>
      </c>
      <c r="K924" t="s">
        <v>38</v>
      </c>
      <c r="L924" t="s">
        <v>38</v>
      </c>
      <c r="M924" t="s">
        <v>38</v>
      </c>
      <c r="N924" t="s">
        <v>38</v>
      </c>
      <c r="O924" t="s">
        <v>38</v>
      </c>
      <c r="T924" t="s">
        <v>38</v>
      </c>
      <c r="U924">
        <v>0</v>
      </c>
      <c r="W924">
        <v>0</v>
      </c>
      <c r="X924">
        <v>0</v>
      </c>
      <c r="Y924">
        <v>0</v>
      </c>
      <c r="AE924">
        <f t="shared" si="42"/>
        <v>1</v>
      </c>
      <c r="AF924">
        <f>VLOOKUP(D924,especies!$A$2:$C$9,3,FALSE)</f>
        <v>2</v>
      </c>
      <c r="AG924" t="str">
        <f t="shared" si="43"/>
        <v>2-DPC (Doméstico de pelo corto o DSH)</v>
      </c>
      <c r="AH924">
        <f>VLOOKUP('Fichas clínicas'!AG924,razas!$A$2:$D$66,3,FALSE)</f>
        <v>51</v>
      </c>
      <c r="AI924" t="str">
        <f t="shared" si="44"/>
        <v>H</v>
      </c>
    </row>
    <row r="925" spans="1:35" x14ac:dyDescent="0.2">
      <c r="A925">
        <v>927</v>
      </c>
      <c r="B925" t="s">
        <v>1160</v>
      </c>
      <c r="C925" t="s">
        <v>2211</v>
      </c>
      <c r="D925" t="s">
        <v>41</v>
      </c>
      <c r="E925" t="s">
        <v>42</v>
      </c>
      <c r="F925" t="s">
        <v>47</v>
      </c>
      <c r="G925" t="s">
        <v>1054</v>
      </c>
      <c r="J925" t="s">
        <v>44</v>
      </c>
      <c r="K925" t="s">
        <v>38</v>
      </c>
      <c r="L925" t="s">
        <v>38</v>
      </c>
      <c r="M925" t="s">
        <v>38</v>
      </c>
      <c r="N925" t="s">
        <v>38</v>
      </c>
      <c r="O925" t="s">
        <v>38</v>
      </c>
      <c r="T925" t="s">
        <v>38</v>
      </c>
      <c r="U925">
        <v>0</v>
      </c>
      <c r="W925">
        <v>0</v>
      </c>
      <c r="X925">
        <v>0</v>
      </c>
      <c r="Y925">
        <v>0</v>
      </c>
      <c r="AE925">
        <f t="shared" si="42"/>
        <v>1</v>
      </c>
      <c r="AF925">
        <f>VLOOKUP(D925,especies!$A$2:$C$9,3,FALSE)</f>
        <v>2</v>
      </c>
      <c r="AG925" t="str">
        <f t="shared" si="43"/>
        <v>2-DPC (Doméstico de pelo corto o DSH)</v>
      </c>
      <c r="AH925">
        <f>VLOOKUP('Fichas clínicas'!AG925,razas!$A$2:$D$66,3,FALSE)</f>
        <v>51</v>
      </c>
      <c r="AI925" t="str">
        <f t="shared" si="44"/>
        <v>M</v>
      </c>
    </row>
    <row r="926" spans="1:35" x14ac:dyDescent="0.2">
      <c r="A926">
        <v>928</v>
      </c>
      <c r="B926" t="s">
        <v>2212</v>
      </c>
      <c r="C926" t="s">
        <v>2213</v>
      </c>
      <c r="D926" t="s">
        <v>32</v>
      </c>
      <c r="E926" t="s">
        <v>33</v>
      </c>
      <c r="F926" t="s">
        <v>34</v>
      </c>
      <c r="G926" t="s">
        <v>351</v>
      </c>
      <c r="J926" t="s">
        <v>2178</v>
      </c>
      <c r="K926" t="s">
        <v>38</v>
      </c>
      <c r="L926" t="s">
        <v>38</v>
      </c>
      <c r="M926" t="s">
        <v>38</v>
      </c>
      <c r="N926" t="s">
        <v>38</v>
      </c>
      <c r="O926" t="s">
        <v>38</v>
      </c>
      <c r="Q926">
        <v>0</v>
      </c>
      <c r="T926" t="s">
        <v>38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f t="shared" si="42"/>
        <v>1</v>
      </c>
      <c r="AF926">
        <f>VLOOKUP(D926,especies!$A$2:$C$9,3,FALSE)</f>
        <v>1</v>
      </c>
      <c r="AG926" t="str">
        <f t="shared" si="43"/>
        <v>1-Mestizo</v>
      </c>
      <c r="AH926">
        <f>VLOOKUP('Fichas clínicas'!AG926,razas!$A$2:$D$66,3,FALSE)</f>
        <v>1</v>
      </c>
      <c r="AI926" t="str">
        <f t="shared" si="44"/>
        <v>H</v>
      </c>
    </row>
    <row r="927" spans="1:35" x14ac:dyDescent="0.2">
      <c r="A927">
        <v>929</v>
      </c>
      <c r="B927" t="s">
        <v>2214</v>
      </c>
      <c r="C927" t="s">
        <v>2215</v>
      </c>
      <c r="D927" t="s">
        <v>32</v>
      </c>
      <c r="E927" t="s">
        <v>638</v>
      </c>
      <c r="F927" t="s">
        <v>34</v>
      </c>
      <c r="G927" t="s">
        <v>587</v>
      </c>
      <c r="J927" t="s">
        <v>2216</v>
      </c>
      <c r="K927" t="s">
        <v>38</v>
      </c>
      <c r="L927" t="s">
        <v>38</v>
      </c>
      <c r="M927" t="s">
        <v>38</v>
      </c>
      <c r="N927" t="s">
        <v>38</v>
      </c>
      <c r="O927" t="s">
        <v>38</v>
      </c>
      <c r="T927" t="s">
        <v>38</v>
      </c>
      <c r="U927">
        <v>0</v>
      </c>
      <c r="W927">
        <v>0</v>
      </c>
      <c r="X927">
        <v>0</v>
      </c>
      <c r="Y927">
        <v>0</v>
      </c>
      <c r="AE927">
        <f t="shared" si="42"/>
        <v>1</v>
      </c>
      <c r="AF927">
        <f>VLOOKUP(D927,especies!$A$2:$C$9,3,FALSE)</f>
        <v>1</v>
      </c>
      <c r="AG927" t="str">
        <f t="shared" si="43"/>
        <v>1-Malamute de Alaska</v>
      </c>
      <c r="AH927">
        <f>VLOOKUP('Fichas clínicas'!AG927,razas!$A$2:$D$66,3,FALSE)</f>
        <v>17</v>
      </c>
      <c r="AI927" t="str">
        <f t="shared" si="44"/>
        <v>H</v>
      </c>
    </row>
    <row r="928" spans="1:35" x14ac:dyDescent="0.2">
      <c r="A928">
        <v>930</v>
      </c>
      <c r="B928" t="s">
        <v>2217</v>
      </c>
      <c r="C928" t="s">
        <v>2218</v>
      </c>
      <c r="D928" t="s">
        <v>41</v>
      </c>
      <c r="E928" t="s">
        <v>42</v>
      </c>
      <c r="F928" t="s">
        <v>34</v>
      </c>
      <c r="G928" t="s">
        <v>2219</v>
      </c>
      <c r="J928" t="s">
        <v>37</v>
      </c>
      <c r="K928" t="s">
        <v>38</v>
      </c>
      <c r="L928" t="s">
        <v>38</v>
      </c>
      <c r="M928" t="s">
        <v>38</v>
      </c>
      <c r="N928" t="s">
        <v>38</v>
      </c>
      <c r="O928" t="s">
        <v>38</v>
      </c>
      <c r="T928" t="s">
        <v>38</v>
      </c>
      <c r="U928">
        <v>0</v>
      </c>
      <c r="V928">
        <v>1</v>
      </c>
      <c r="W928">
        <v>0</v>
      </c>
      <c r="X928">
        <v>0</v>
      </c>
      <c r="Y928">
        <v>0</v>
      </c>
      <c r="AE928">
        <f t="shared" si="42"/>
        <v>1</v>
      </c>
      <c r="AF928">
        <f>VLOOKUP(D928,especies!$A$2:$C$9,3,FALSE)</f>
        <v>2</v>
      </c>
      <c r="AG928" t="str">
        <f t="shared" si="43"/>
        <v>2-DPC (Doméstico de pelo corto o DSH)</v>
      </c>
      <c r="AH928">
        <f>VLOOKUP('Fichas clínicas'!AG928,razas!$A$2:$D$66,3,FALSE)</f>
        <v>51</v>
      </c>
      <c r="AI928" t="str">
        <f t="shared" si="44"/>
        <v>H</v>
      </c>
    </row>
    <row r="929" spans="1:35" x14ac:dyDescent="0.2">
      <c r="A929">
        <v>931</v>
      </c>
      <c r="B929" t="s">
        <v>2049</v>
      </c>
      <c r="C929" t="s">
        <v>1581</v>
      </c>
      <c r="D929" t="s">
        <v>32</v>
      </c>
      <c r="E929" t="s">
        <v>257</v>
      </c>
      <c r="F929" t="s">
        <v>34</v>
      </c>
      <c r="G929" t="s">
        <v>1676</v>
      </c>
      <c r="J929" t="s">
        <v>493</v>
      </c>
      <c r="K929" t="s">
        <v>38</v>
      </c>
      <c r="L929" t="s">
        <v>38</v>
      </c>
      <c r="M929" t="s">
        <v>38</v>
      </c>
      <c r="N929" t="s">
        <v>38</v>
      </c>
      <c r="O929" t="s">
        <v>38</v>
      </c>
      <c r="Q929">
        <v>0</v>
      </c>
      <c r="T929" t="s">
        <v>38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f t="shared" si="42"/>
        <v>1</v>
      </c>
      <c r="AF929">
        <f>VLOOKUP(D929,especies!$A$2:$C$9,3,FALSE)</f>
        <v>1</v>
      </c>
      <c r="AG929" t="str">
        <f t="shared" si="43"/>
        <v>1-Terrier Chileno</v>
      </c>
      <c r="AH929">
        <f>VLOOKUP('Fichas clínicas'!AG929,razas!$A$2:$D$66,3,FALSE)</f>
        <v>10</v>
      </c>
      <c r="AI929" t="str">
        <f t="shared" si="44"/>
        <v>H</v>
      </c>
    </row>
    <row r="930" spans="1:35" x14ac:dyDescent="0.2">
      <c r="A930">
        <v>932</v>
      </c>
      <c r="B930" t="s">
        <v>2220</v>
      </c>
      <c r="C930" t="s">
        <v>1505</v>
      </c>
      <c r="D930" t="s">
        <v>32</v>
      </c>
      <c r="E930" t="s">
        <v>33</v>
      </c>
      <c r="F930" t="s">
        <v>47</v>
      </c>
      <c r="G930" t="s">
        <v>1402</v>
      </c>
      <c r="J930" t="s">
        <v>2221</v>
      </c>
      <c r="K930" t="s">
        <v>38</v>
      </c>
      <c r="L930" t="s">
        <v>38</v>
      </c>
      <c r="M930" t="s">
        <v>38</v>
      </c>
      <c r="N930" t="s">
        <v>38</v>
      </c>
      <c r="O930" t="s">
        <v>38</v>
      </c>
      <c r="T930" t="s">
        <v>38</v>
      </c>
      <c r="U930">
        <v>0</v>
      </c>
      <c r="W930">
        <v>0</v>
      </c>
      <c r="X930">
        <v>0</v>
      </c>
      <c r="Y930">
        <v>0</v>
      </c>
      <c r="AE930">
        <f t="shared" si="42"/>
        <v>1</v>
      </c>
      <c r="AF930">
        <f>VLOOKUP(D930,especies!$A$2:$C$9,3,FALSE)</f>
        <v>1</v>
      </c>
      <c r="AG930" t="str">
        <f t="shared" si="43"/>
        <v>1-Mestizo</v>
      </c>
      <c r="AH930">
        <f>VLOOKUP('Fichas clínicas'!AG930,razas!$A$2:$D$66,3,FALSE)</f>
        <v>1</v>
      </c>
      <c r="AI930" t="str">
        <f t="shared" si="44"/>
        <v>M</v>
      </c>
    </row>
    <row r="931" spans="1:35" x14ac:dyDescent="0.2">
      <c r="A931">
        <v>933</v>
      </c>
      <c r="B931" t="s">
        <v>2222</v>
      </c>
      <c r="C931" t="s">
        <v>2223</v>
      </c>
      <c r="D931" t="s">
        <v>41</v>
      </c>
      <c r="E931" t="s">
        <v>93</v>
      </c>
      <c r="F931" t="s">
        <v>47</v>
      </c>
      <c r="G931" t="s">
        <v>587</v>
      </c>
      <c r="J931" t="s">
        <v>2224</v>
      </c>
      <c r="K931" t="s">
        <v>38</v>
      </c>
      <c r="L931" t="s">
        <v>38</v>
      </c>
      <c r="M931" t="s">
        <v>38</v>
      </c>
      <c r="N931" t="s">
        <v>38</v>
      </c>
      <c r="O931" t="s">
        <v>38</v>
      </c>
      <c r="Q931">
        <v>0</v>
      </c>
      <c r="T931" t="s">
        <v>38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f t="shared" si="42"/>
        <v>1</v>
      </c>
      <c r="AF931">
        <f>VLOOKUP(D931,especies!$A$2:$C$9,3,FALSE)</f>
        <v>2</v>
      </c>
      <c r="AG931" t="str">
        <f t="shared" si="43"/>
        <v>2-DPL (Doméstico de pelo Largo o DLH)</v>
      </c>
      <c r="AH931">
        <f>VLOOKUP('Fichas clínicas'!AG931,razas!$A$2:$D$66,3,FALSE)</f>
        <v>52</v>
      </c>
      <c r="AI931" t="str">
        <f t="shared" si="44"/>
        <v>M</v>
      </c>
    </row>
    <row r="932" spans="1:35" x14ac:dyDescent="0.2">
      <c r="A932">
        <v>934</v>
      </c>
      <c r="B932" t="s">
        <v>681</v>
      </c>
      <c r="C932" t="s">
        <v>2225</v>
      </c>
      <c r="D932" t="s">
        <v>32</v>
      </c>
      <c r="E932" t="s">
        <v>150</v>
      </c>
      <c r="F932" t="s">
        <v>34</v>
      </c>
      <c r="G932" t="s">
        <v>1547</v>
      </c>
      <c r="J932" t="s">
        <v>2226</v>
      </c>
      <c r="K932" t="s">
        <v>38</v>
      </c>
      <c r="L932" t="s">
        <v>38</v>
      </c>
      <c r="M932" t="s">
        <v>38</v>
      </c>
      <c r="N932" t="s">
        <v>38</v>
      </c>
      <c r="O932" t="s">
        <v>38</v>
      </c>
      <c r="T932" t="s">
        <v>38</v>
      </c>
      <c r="U932">
        <v>0</v>
      </c>
      <c r="W932">
        <v>0</v>
      </c>
      <c r="X932">
        <v>0</v>
      </c>
      <c r="Y932">
        <v>0</v>
      </c>
      <c r="AE932">
        <f t="shared" si="42"/>
        <v>1</v>
      </c>
      <c r="AF932">
        <f>VLOOKUP(D932,especies!$A$2:$C$9,3,FALSE)</f>
        <v>1</v>
      </c>
      <c r="AG932" t="str">
        <f t="shared" si="43"/>
        <v>1-Poodle</v>
      </c>
      <c r="AH932">
        <f>VLOOKUP('Fichas clínicas'!AG932,razas!$A$2:$D$66,3,FALSE)</f>
        <v>6</v>
      </c>
      <c r="AI932" t="str">
        <f t="shared" si="44"/>
        <v>H</v>
      </c>
    </row>
    <row r="933" spans="1:35" x14ac:dyDescent="0.2">
      <c r="A933">
        <v>935</v>
      </c>
      <c r="B933" t="s">
        <v>2227</v>
      </c>
      <c r="C933" t="s">
        <v>2139</v>
      </c>
      <c r="D933" t="s">
        <v>32</v>
      </c>
      <c r="E933" t="s">
        <v>150</v>
      </c>
      <c r="F933" t="s">
        <v>34</v>
      </c>
      <c r="G933" t="s">
        <v>1547</v>
      </c>
      <c r="J933" t="s">
        <v>2228</v>
      </c>
      <c r="K933" t="s">
        <v>38</v>
      </c>
      <c r="L933" t="s">
        <v>38</v>
      </c>
      <c r="M933" t="s">
        <v>38</v>
      </c>
      <c r="N933" t="s">
        <v>38</v>
      </c>
      <c r="O933" t="s">
        <v>38</v>
      </c>
      <c r="T933" t="s">
        <v>38</v>
      </c>
      <c r="U933">
        <v>0</v>
      </c>
      <c r="V933">
        <v>1</v>
      </c>
      <c r="W933">
        <v>0</v>
      </c>
      <c r="X933">
        <v>0</v>
      </c>
      <c r="Y933">
        <v>0</v>
      </c>
      <c r="AE933">
        <f t="shared" si="42"/>
        <v>1</v>
      </c>
      <c r="AF933">
        <f>VLOOKUP(D933,especies!$A$2:$C$9,3,FALSE)</f>
        <v>1</v>
      </c>
      <c r="AG933" t="str">
        <f t="shared" si="43"/>
        <v>1-Poodle</v>
      </c>
      <c r="AH933">
        <f>VLOOKUP('Fichas clínicas'!AG933,razas!$A$2:$D$66,3,FALSE)</f>
        <v>6</v>
      </c>
      <c r="AI933" t="str">
        <f t="shared" si="44"/>
        <v>H</v>
      </c>
    </row>
    <row r="934" spans="1:35" x14ac:dyDescent="0.2">
      <c r="A934">
        <v>936</v>
      </c>
      <c r="B934" t="s">
        <v>1498</v>
      </c>
      <c r="C934" t="s">
        <v>2229</v>
      </c>
      <c r="D934" t="s">
        <v>41</v>
      </c>
      <c r="E934" t="s">
        <v>42</v>
      </c>
      <c r="F934" t="s">
        <v>34</v>
      </c>
      <c r="G934" t="s">
        <v>77</v>
      </c>
      <c r="J934" t="s">
        <v>2230</v>
      </c>
      <c r="K934" t="s">
        <v>38</v>
      </c>
      <c r="L934" t="s">
        <v>38</v>
      </c>
      <c r="M934" t="s">
        <v>38</v>
      </c>
      <c r="N934" t="s">
        <v>38</v>
      </c>
      <c r="O934" t="s">
        <v>38</v>
      </c>
      <c r="T934" t="s">
        <v>38</v>
      </c>
      <c r="U934">
        <v>0</v>
      </c>
      <c r="V934">
        <v>1</v>
      </c>
      <c r="W934">
        <v>0</v>
      </c>
      <c r="X934">
        <v>0</v>
      </c>
      <c r="Y934">
        <v>0</v>
      </c>
      <c r="AE934">
        <f t="shared" si="42"/>
        <v>1</v>
      </c>
      <c r="AF934">
        <f>VLOOKUP(D934,especies!$A$2:$C$9,3,FALSE)</f>
        <v>2</v>
      </c>
      <c r="AG934" t="str">
        <f t="shared" si="43"/>
        <v>2-DPC (Doméstico de pelo corto o DSH)</v>
      </c>
      <c r="AH934">
        <f>VLOOKUP('Fichas clínicas'!AG934,razas!$A$2:$D$66,3,FALSE)</f>
        <v>51</v>
      </c>
      <c r="AI934" t="str">
        <f t="shared" si="44"/>
        <v>H</v>
      </c>
    </row>
    <row r="935" spans="1:35" x14ac:dyDescent="0.2">
      <c r="A935">
        <v>937</v>
      </c>
      <c r="B935" t="s">
        <v>2231</v>
      </c>
      <c r="C935" t="s">
        <v>2232</v>
      </c>
      <c r="D935" t="s">
        <v>32</v>
      </c>
      <c r="E935" t="s">
        <v>150</v>
      </c>
      <c r="F935" t="s">
        <v>47</v>
      </c>
      <c r="G935" t="s">
        <v>102</v>
      </c>
      <c r="J935" t="s">
        <v>737</v>
      </c>
      <c r="K935" t="s">
        <v>38</v>
      </c>
      <c r="L935" t="s">
        <v>38</v>
      </c>
      <c r="M935" t="s">
        <v>38</v>
      </c>
      <c r="N935" t="s">
        <v>38</v>
      </c>
      <c r="O935" t="s">
        <v>38</v>
      </c>
      <c r="T935" t="s">
        <v>38</v>
      </c>
      <c r="U935">
        <v>0</v>
      </c>
      <c r="W935">
        <v>0</v>
      </c>
      <c r="X935">
        <v>0</v>
      </c>
      <c r="Y935">
        <v>0</v>
      </c>
      <c r="AE935">
        <f t="shared" si="42"/>
        <v>1</v>
      </c>
      <c r="AF935">
        <f>VLOOKUP(D935,especies!$A$2:$C$9,3,FALSE)</f>
        <v>1</v>
      </c>
      <c r="AG935" t="str">
        <f t="shared" si="43"/>
        <v>1-Poodle</v>
      </c>
      <c r="AH935">
        <f>VLOOKUP('Fichas clínicas'!AG935,razas!$A$2:$D$66,3,FALSE)</f>
        <v>6</v>
      </c>
      <c r="AI935" t="str">
        <f t="shared" si="44"/>
        <v>M</v>
      </c>
    </row>
    <row r="936" spans="1:35" x14ac:dyDescent="0.2">
      <c r="A936">
        <v>938</v>
      </c>
      <c r="B936" t="s">
        <v>1939</v>
      </c>
      <c r="C936" t="s">
        <v>121</v>
      </c>
      <c r="D936" t="s">
        <v>32</v>
      </c>
      <c r="E936" t="s">
        <v>164</v>
      </c>
      <c r="F936" t="s">
        <v>34</v>
      </c>
      <c r="G936" t="s">
        <v>54</v>
      </c>
      <c r="J936" t="s">
        <v>2233</v>
      </c>
      <c r="K936" t="s">
        <v>38</v>
      </c>
      <c r="L936" t="s">
        <v>38</v>
      </c>
      <c r="M936" t="s">
        <v>38</v>
      </c>
      <c r="N936" t="s">
        <v>38</v>
      </c>
      <c r="O936" t="s">
        <v>38</v>
      </c>
      <c r="T936" t="s">
        <v>38</v>
      </c>
      <c r="U936">
        <v>0</v>
      </c>
      <c r="W936">
        <v>0</v>
      </c>
      <c r="X936">
        <v>0</v>
      </c>
      <c r="Y936">
        <v>0</v>
      </c>
      <c r="AE936">
        <f t="shared" si="42"/>
        <v>1</v>
      </c>
      <c r="AF936">
        <f>VLOOKUP(D936,especies!$A$2:$C$9,3,FALSE)</f>
        <v>1</v>
      </c>
      <c r="AG936" t="str">
        <f t="shared" si="43"/>
        <v>1-Teckel</v>
      </c>
      <c r="AH936">
        <f>VLOOKUP('Fichas clínicas'!AG936,razas!$A$2:$D$66,3,FALSE)</f>
        <v>8</v>
      </c>
      <c r="AI936" t="str">
        <f t="shared" si="44"/>
        <v>H</v>
      </c>
    </row>
    <row r="937" spans="1:35" x14ac:dyDescent="0.2">
      <c r="A937">
        <v>939</v>
      </c>
      <c r="B937" t="s">
        <v>2234</v>
      </c>
      <c r="C937" t="s">
        <v>2235</v>
      </c>
      <c r="D937" t="s">
        <v>32</v>
      </c>
      <c r="E937" t="s">
        <v>33</v>
      </c>
      <c r="F937" t="s">
        <v>47</v>
      </c>
      <c r="G937" t="s">
        <v>2236</v>
      </c>
      <c r="J937" t="s">
        <v>2237</v>
      </c>
      <c r="K937" t="s">
        <v>38</v>
      </c>
      <c r="L937" t="s">
        <v>38</v>
      </c>
      <c r="M937" t="s">
        <v>38</v>
      </c>
      <c r="N937" t="s">
        <v>38</v>
      </c>
      <c r="O937" t="s">
        <v>38</v>
      </c>
      <c r="Q937">
        <v>0</v>
      </c>
      <c r="T937" t="s">
        <v>38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f t="shared" si="42"/>
        <v>1</v>
      </c>
      <c r="AF937">
        <f>VLOOKUP(D937,especies!$A$2:$C$9,3,FALSE)</f>
        <v>1</v>
      </c>
      <c r="AG937" t="str">
        <f t="shared" si="43"/>
        <v>1-Mestizo</v>
      </c>
      <c r="AH937">
        <f>VLOOKUP('Fichas clínicas'!AG937,razas!$A$2:$D$66,3,FALSE)</f>
        <v>1</v>
      </c>
      <c r="AI937" t="str">
        <f t="shared" si="44"/>
        <v>M</v>
      </c>
    </row>
    <row r="938" spans="1:35" x14ac:dyDescent="0.2">
      <c r="A938">
        <v>940</v>
      </c>
      <c r="B938" t="s">
        <v>2238</v>
      </c>
      <c r="C938" t="s">
        <v>2239</v>
      </c>
      <c r="D938" t="s">
        <v>41</v>
      </c>
      <c r="E938" t="s">
        <v>42</v>
      </c>
      <c r="F938" t="s">
        <v>47</v>
      </c>
      <c r="G938" t="s">
        <v>2240</v>
      </c>
      <c r="J938" t="s">
        <v>2224</v>
      </c>
      <c r="K938" t="s">
        <v>38</v>
      </c>
      <c r="L938" t="s">
        <v>38</v>
      </c>
      <c r="M938" t="s">
        <v>38</v>
      </c>
      <c r="N938" t="s">
        <v>38</v>
      </c>
      <c r="O938" t="s">
        <v>38</v>
      </c>
      <c r="Q938">
        <v>0</v>
      </c>
      <c r="T938" t="s">
        <v>38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f t="shared" si="42"/>
        <v>1</v>
      </c>
      <c r="AF938">
        <f>VLOOKUP(D938,especies!$A$2:$C$9,3,FALSE)</f>
        <v>2</v>
      </c>
      <c r="AG938" t="str">
        <f t="shared" si="43"/>
        <v>2-DPC (Doméstico de pelo corto o DSH)</v>
      </c>
      <c r="AH938">
        <f>VLOOKUP('Fichas clínicas'!AG938,razas!$A$2:$D$66,3,FALSE)</f>
        <v>51</v>
      </c>
      <c r="AI938" t="str">
        <f t="shared" si="44"/>
        <v>M</v>
      </c>
    </row>
    <row r="939" spans="1:35" x14ac:dyDescent="0.2">
      <c r="A939">
        <v>941</v>
      </c>
      <c r="B939" t="s">
        <v>2241</v>
      </c>
      <c r="C939" t="s">
        <v>2242</v>
      </c>
      <c r="D939" t="s">
        <v>32</v>
      </c>
      <c r="E939" t="s">
        <v>160</v>
      </c>
      <c r="F939" t="s">
        <v>34</v>
      </c>
      <c r="G939" t="s">
        <v>2243</v>
      </c>
      <c r="J939" t="s">
        <v>1691</v>
      </c>
      <c r="K939" t="s">
        <v>38</v>
      </c>
      <c r="L939" t="s">
        <v>38</v>
      </c>
      <c r="M939" t="s">
        <v>38</v>
      </c>
      <c r="N939" t="s">
        <v>38</v>
      </c>
      <c r="O939" t="s">
        <v>38</v>
      </c>
      <c r="T939" t="s">
        <v>38</v>
      </c>
      <c r="U939">
        <v>0</v>
      </c>
      <c r="W939">
        <v>0</v>
      </c>
      <c r="X939">
        <v>0</v>
      </c>
      <c r="Y939">
        <v>0</v>
      </c>
      <c r="AE939">
        <f t="shared" si="42"/>
        <v>1</v>
      </c>
      <c r="AF939">
        <f>VLOOKUP(D939,especies!$A$2:$C$9,3,FALSE)</f>
        <v>1</v>
      </c>
      <c r="AG939" t="str">
        <f t="shared" si="43"/>
        <v>1-Shih Tzu</v>
      </c>
      <c r="AH939">
        <f>VLOOKUP('Fichas clínicas'!AG939,razas!$A$2:$D$66,3,FALSE)</f>
        <v>7</v>
      </c>
      <c r="AI939" t="str">
        <f t="shared" si="44"/>
        <v>H</v>
      </c>
    </row>
    <row r="940" spans="1:35" x14ac:dyDescent="0.2">
      <c r="A940">
        <v>942</v>
      </c>
      <c r="B940" t="s">
        <v>2244</v>
      </c>
      <c r="C940" t="s">
        <v>499</v>
      </c>
      <c r="D940" t="s">
        <v>32</v>
      </c>
      <c r="E940" t="s">
        <v>33</v>
      </c>
      <c r="F940" t="s">
        <v>34</v>
      </c>
      <c r="G940" t="s">
        <v>2065</v>
      </c>
      <c r="J940" t="s">
        <v>1825</v>
      </c>
      <c r="K940" t="s">
        <v>38</v>
      </c>
      <c r="L940" t="s">
        <v>38</v>
      </c>
      <c r="M940" t="s">
        <v>38</v>
      </c>
      <c r="N940" t="s">
        <v>38</v>
      </c>
      <c r="O940" t="s">
        <v>38</v>
      </c>
      <c r="T940" t="s">
        <v>38</v>
      </c>
      <c r="U940">
        <v>0</v>
      </c>
      <c r="W940">
        <v>0</v>
      </c>
      <c r="X940">
        <v>0</v>
      </c>
      <c r="Y940">
        <v>0</v>
      </c>
      <c r="AE940">
        <f t="shared" si="42"/>
        <v>1</v>
      </c>
      <c r="AF940">
        <f>VLOOKUP(D940,especies!$A$2:$C$9,3,FALSE)</f>
        <v>1</v>
      </c>
      <c r="AG940" t="str">
        <f t="shared" si="43"/>
        <v>1-Mestizo</v>
      </c>
      <c r="AH940">
        <f>VLOOKUP('Fichas clínicas'!AG940,razas!$A$2:$D$66,3,FALSE)</f>
        <v>1</v>
      </c>
      <c r="AI940" t="str">
        <f t="shared" si="44"/>
        <v>H</v>
      </c>
    </row>
    <row r="941" spans="1:35" x14ac:dyDescent="0.2">
      <c r="A941">
        <v>943</v>
      </c>
      <c r="B941" t="s">
        <v>831</v>
      </c>
      <c r="C941" t="s">
        <v>2245</v>
      </c>
      <c r="D941" t="s">
        <v>41</v>
      </c>
      <c r="E941" t="s">
        <v>42</v>
      </c>
      <c r="F941" t="s">
        <v>47</v>
      </c>
      <c r="G941" t="s">
        <v>698</v>
      </c>
      <c r="J941" t="s">
        <v>2246</v>
      </c>
      <c r="K941" t="s">
        <v>38</v>
      </c>
      <c r="L941" t="s">
        <v>38</v>
      </c>
      <c r="M941" t="s">
        <v>38</v>
      </c>
      <c r="N941" t="s">
        <v>38</v>
      </c>
      <c r="O941" t="s">
        <v>38</v>
      </c>
      <c r="T941" t="s">
        <v>38</v>
      </c>
      <c r="U941">
        <v>0</v>
      </c>
      <c r="W941">
        <v>0</v>
      </c>
      <c r="X941">
        <v>0</v>
      </c>
      <c r="Y941">
        <v>0</v>
      </c>
      <c r="AE941">
        <f t="shared" si="42"/>
        <v>1</v>
      </c>
      <c r="AF941">
        <f>VLOOKUP(D941,especies!$A$2:$C$9,3,FALSE)</f>
        <v>2</v>
      </c>
      <c r="AG941" t="str">
        <f t="shared" si="43"/>
        <v>2-DPC (Doméstico de pelo corto o DSH)</v>
      </c>
      <c r="AH941">
        <f>VLOOKUP('Fichas clínicas'!AG941,razas!$A$2:$D$66,3,FALSE)</f>
        <v>51</v>
      </c>
      <c r="AI941" t="str">
        <f t="shared" si="44"/>
        <v>M</v>
      </c>
    </row>
    <row r="942" spans="1:35" x14ac:dyDescent="0.2">
      <c r="A942">
        <v>944</v>
      </c>
      <c r="B942" t="s">
        <v>2247</v>
      </c>
      <c r="C942" t="s">
        <v>2248</v>
      </c>
      <c r="D942" t="s">
        <v>32</v>
      </c>
      <c r="E942" t="s">
        <v>33</v>
      </c>
      <c r="F942" t="s">
        <v>34</v>
      </c>
      <c r="G942" t="s">
        <v>73</v>
      </c>
      <c r="J942" t="s">
        <v>2249</v>
      </c>
      <c r="K942" t="s">
        <v>38</v>
      </c>
      <c r="L942" t="s">
        <v>38</v>
      </c>
      <c r="M942" t="s">
        <v>38</v>
      </c>
      <c r="N942" t="s">
        <v>38</v>
      </c>
      <c r="O942" t="s">
        <v>38</v>
      </c>
      <c r="T942" t="s">
        <v>38</v>
      </c>
      <c r="U942">
        <v>0</v>
      </c>
      <c r="V942">
        <v>1</v>
      </c>
      <c r="W942">
        <v>0</v>
      </c>
      <c r="X942">
        <v>0</v>
      </c>
      <c r="Y942">
        <v>0</v>
      </c>
      <c r="AE942">
        <f t="shared" si="42"/>
        <v>1</v>
      </c>
      <c r="AF942">
        <f>VLOOKUP(D942,especies!$A$2:$C$9,3,FALSE)</f>
        <v>1</v>
      </c>
      <c r="AG942" t="str">
        <f t="shared" si="43"/>
        <v>1-Mestizo</v>
      </c>
      <c r="AH942">
        <f>VLOOKUP('Fichas clínicas'!AG942,razas!$A$2:$D$66,3,FALSE)</f>
        <v>1</v>
      </c>
      <c r="AI942" t="str">
        <f t="shared" si="44"/>
        <v>H</v>
      </c>
    </row>
    <row r="943" spans="1:35" x14ac:dyDescent="0.2">
      <c r="A943">
        <v>945</v>
      </c>
      <c r="B943" t="s">
        <v>91</v>
      </c>
      <c r="C943" t="s">
        <v>2250</v>
      </c>
      <c r="D943" t="s">
        <v>32</v>
      </c>
      <c r="E943" t="s">
        <v>33</v>
      </c>
      <c r="F943" t="s">
        <v>47</v>
      </c>
      <c r="G943" t="s">
        <v>300</v>
      </c>
      <c r="J943" t="s">
        <v>2251</v>
      </c>
      <c r="K943" t="s">
        <v>38</v>
      </c>
      <c r="L943" t="s">
        <v>38</v>
      </c>
      <c r="M943" t="s">
        <v>38</v>
      </c>
      <c r="N943" t="s">
        <v>38</v>
      </c>
      <c r="O943" t="s">
        <v>38</v>
      </c>
      <c r="T943" t="s">
        <v>38</v>
      </c>
      <c r="U943">
        <v>0</v>
      </c>
      <c r="V943">
        <v>1</v>
      </c>
      <c r="W943">
        <v>0</v>
      </c>
      <c r="X943">
        <v>0</v>
      </c>
      <c r="Y943">
        <v>0</v>
      </c>
      <c r="AE943">
        <f t="shared" si="42"/>
        <v>1</v>
      </c>
      <c r="AF943">
        <f>VLOOKUP(D943,especies!$A$2:$C$9,3,FALSE)</f>
        <v>1</v>
      </c>
      <c r="AG943" t="str">
        <f t="shared" si="43"/>
        <v>1-Mestizo</v>
      </c>
      <c r="AH943">
        <f>VLOOKUP('Fichas clínicas'!AG943,razas!$A$2:$D$66,3,FALSE)</f>
        <v>1</v>
      </c>
      <c r="AI943" t="str">
        <f t="shared" si="44"/>
        <v>M</v>
      </c>
    </row>
    <row r="944" spans="1:35" x14ac:dyDescent="0.2">
      <c r="A944">
        <v>946</v>
      </c>
      <c r="B944" t="s">
        <v>2252</v>
      </c>
      <c r="C944" t="s">
        <v>2253</v>
      </c>
      <c r="D944" t="s">
        <v>41</v>
      </c>
      <c r="E944" t="s">
        <v>42</v>
      </c>
      <c r="F944" t="s">
        <v>47</v>
      </c>
      <c r="G944" t="s">
        <v>1656</v>
      </c>
      <c r="J944" t="s">
        <v>2224</v>
      </c>
      <c r="K944" t="s">
        <v>38</v>
      </c>
      <c r="L944" t="s">
        <v>38</v>
      </c>
      <c r="M944" t="s">
        <v>38</v>
      </c>
      <c r="N944" t="s">
        <v>38</v>
      </c>
      <c r="O944" t="s">
        <v>38</v>
      </c>
      <c r="Q944">
        <v>0</v>
      </c>
      <c r="T944" t="s">
        <v>38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f t="shared" si="42"/>
        <v>1</v>
      </c>
      <c r="AF944">
        <f>VLOOKUP(D944,especies!$A$2:$C$9,3,FALSE)</f>
        <v>2</v>
      </c>
      <c r="AG944" t="str">
        <f t="shared" si="43"/>
        <v>2-DPC (Doméstico de pelo corto o DSH)</v>
      </c>
      <c r="AH944">
        <f>VLOOKUP('Fichas clínicas'!AG944,razas!$A$2:$D$66,3,FALSE)</f>
        <v>51</v>
      </c>
      <c r="AI944" t="str">
        <f t="shared" si="44"/>
        <v>M</v>
      </c>
    </row>
    <row r="945" spans="1:35" x14ac:dyDescent="0.2">
      <c r="A945">
        <v>947</v>
      </c>
      <c r="B945" t="s">
        <v>2254</v>
      </c>
      <c r="C945" t="s">
        <v>2255</v>
      </c>
      <c r="D945" t="s">
        <v>32</v>
      </c>
      <c r="E945" t="s">
        <v>508</v>
      </c>
      <c r="F945" t="s">
        <v>34</v>
      </c>
      <c r="G945" t="s">
        <v>2065</v>
      </c>
      <c r="J945" t="s">
        <v>841</v>
      </c>
      <c r="K945" t="s">
        <v>38</v>
      </c>
      <c r="L945" t="s">
        <v>38</v>
      </c>
      <c r="M945" t="s">
        <v>38</v>
      </c>
      <c r="N945" t="s">
        <v>38</v>
      </c>
      <c r="O945" t="s">
        <v>38</v>
      </c>
      <c r="T945" t="s">
        <v>38</v>
      </c>
      <c r="U945">
        <v>0</v>
      </c>
      <c r="V945">
        <v>1</v>
      </c>
      <c r="W945">
        <v>0</v>
      </c>
      <c r="X945">
        <v>0</v>
      </c>
      <c r="Y945">
        <v>0</v>
      </c>
      <c r="AE945">
        <f t="shared" si="42"/>
        <v>1</v>
      </c>
      <c r="AF945">
        <f>VLOOKUP(D945,especies!$A$2:$C$9,3,FALSE)</f>
        <v>1</v>
      </c>
      <c r="AG945" t="str">
        <f t="shared" si="43"/>
        <v>1-Akita Americano</v>
      </c>
      <c r="AH945">
        <f>VLOOKUP('Fichas clínicas'!AG945,razas!$A$2:$D$66,3,FALSE)</f>
        <v>15</v>
      </c>
      <c r="AI945" t="str">
        <f t="shared" si="44"/>
        <v>H</v>
      </c>
    </row>
    <row r="946" spans="1:35" x14ac:dyDescent="0.2">
      <c r="A946">
        <v>948</v>
      </c>
      <c r="B946" t="s">
        <v>2256</v>
      </c>
      <c r="C946" t="s">
        <v>2257</v>
      </c>
      <c r="D946" t="s">
        <v>32</v>
      </c>
      <c r="E946" t="s">
        <v>33</v>
      </c>
      <c r="F946" t="s">
        <v>47</v>
      </c>
      <c r="G946" t="s">
        <v>73</v>
      </c>
      <c r="J946" t="s">
        <v>2258</v>
      </c>
      <c r="K946" t="s">
        <v>38</v>
      </c>
      <c r="L946" t="s">
        <v>38</v>
      </c>
      <c r="M946" t="s">
        <v>38</v>
      </c>
      <c r="N946" t="s">
        <v>38</v>
      </c>
      <c r="O946" t="s">
        <v>38</v>
      </c>
      <c r="T946" t="s">
        <v>38</v>
      </c>
      <c r="U946">
        <v>0</v>
      </c>
      <c r="W946">
        <v>0</v>
      </c>
      <c r="X946">
        <v>0</v>
      </c>
      <c r="Y946">
        <v>0</v>
      </c>
      <c r="AE946">
        <f t="shared" si="42"/>
        <v>1</v>
      </c>
      <c r="AF946">
        <f>VLOOKUP(D946,especies!$A$2:$C$9,3,FALSE)</f>
        <v>1</v>
      </c>
      <c r="AG946" t="str">
        <f t="shared" si="43"/>
        <v>1-Mestizo</v>
      </c>
      <c r="AH946">
        <f>VLOOKUP('Fichas clínicas'!AG946,razas!$A$2:$D$66,3,FALSE)</f>
        <v>1</v>
      </c>
      <c r="AI946" t="str">
        <f t="shared" si="44"/>
        <v>M</v>
      </c>
    </row>
    <row r="947" spans="1:35" x14ac:dyDescent="0.2">
      <c r="A947">
        <v>949</v>
      </c>
      <c r="B947" t="s">
        <v>2259</v>
      </c>
      <c r="C947" t="s">
        <v>637</v>
      </c>
      <c r="D947" t="s">
        <v>32</v>
      </c>
      <c r="E947" t="s">
        <v>1682</v>
      </c>
      <c r="F947" t="s">
        <v>34</v>
      </c>
      <c r="G947" t="s">
        <v>116</v>
      </c>
      <c r="J947" t="s">
        <v>1620</v>
      </c>
      <c r="K947" t="s">
        <v>38</v>
      </c>
      <c r="L947" t="s">
        <v>38</v>
      </c>
      <c r="M947" t="s">
        <v>38</v>
      </c>
      <c r="N947" t="s">
        <v>38</v>
      </c>
      <c r="O947" t="s">
        <v>38</v>
      </c>
      <c r="Q947">
        <v>0</v>
      </c>
      <c r="T947" t="s">
        <v>38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f t="shared" si="42"/>
        <v>1</v>
      </c>
      <c r="AF947">
        <f>VLOOKUP(D947,especies!$A$2:$C$9,3,FALSE)</f>
        <v>1</v>
      </c>
      <c r="AG947" t="str">
        <f t="shared" si="43"/>
        <v>1-Perro de la Montaña de los pirineos</v>
      </c>
      <c r="AH947">
        <f>VLOOKUP('Fichas clínicas'!AG947,razas!$A$2:$D$66,3,FALSE)</f>
        <v>32</v>
      </c>
      <c r="AI947" t="str">
        <f t="shared" si="44"/>
        <v>H</v>
      </c>
    </row>
    <row r="948" spans="1:35" x14ac:dyDescent="0.2">
      <c r="A948">
        <v>950</v>
      </c>
      <c r="B948" t="s">
        <v>2260</v>
      </c>
      <c r="C948" t="s">
        <v>2261</v>
      </c>
      <c r="D948" t="s">
        <v>32</v>
      </c>
      <c r="E948" t="s">
        <v>545</v>
      </c>
      <c r="F948" t="s">
        <v>34</v>
      </c>
      <c r="G948" t="s">
        <v>1948</v>
      </c>
      <c r="J948" t="s">
        <v>1620</v>
      </c>
      <c r="K948" t="s">
        <v>38</v>
      </c>
      <c r="L948" t="s">
        <v>38</v>
      </c>
      <c r="M948" t="s">
        <v>38</v>
      </c>
      <c r="N948" t="s">
        <v>38</v>
      </c>
      <c r="O948" t="s">
        <v>38</v>
      </c>
      <c r="Q948">
        <v>0</v>
      </c>
      <c r="T948" t="s">
        <v>38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f t="shared" si="42"/>
        <v>1</v>
      </c>
      <c r="AF948">
        <f>VLOOKUP(D948,especies!$A$2:$C$9,3,FALSE)</f>
        <v>1</v>
      </c>
      <c r="AG948" t="str">
        <f t="shared" si="43"/>
        <v>1-Golden Retriever</v>
      </c>
      <c r="AH948">
        <f>VLOOKUP('Fichas clínicas'!AG948,razas!$A$2:$D$66,3,FALSE)</f>
        <v>16</v>
      </c>
      <c r="AI948" t="str">
        <f t="shared" si="44"/>
        <v>H</v>
      </c>
    </row>
    <row r="949" spans="1:35" x14ac:dyDescent="0.2">
      <c r="A949">
        <v>951</v>
      </c>
      <c r="B949" t="s">
        <v>2262</v>
      </c>
      <c r="C949" t="s">
        <v>312</v>
      </c>
      <c r="D949" t="s">
        <v>32</v>
      </c>
      <c r="E949" t="s">
        <v>33</v>
      </c>
      <c r="F949" t="s">
        <v>34</v>
      </c>
      <c r="G949" t="s">
        <v>1402</v>
      </c>
      <c r="J949" t="s">
        <v>2258</v>
      </c>
      <c r="K949" t="s">
        <v>38</v>
      </c>
      <c r="L949" t="s">
        <v>38</v>
      </c>
      <c r="M949" t="s">
        <v>38</v>
      </c>
      <c r="N949" t="s">
        <v>38</v>
      </c>
      <c r="O949" t="s">
        <v>38</v>
      </c>
      <c r="T949" t="s">
        <v>38</v>
      </c>
      <c r="U949">
        <v>0</v>
      </c>
      <c r="W949">
        <v>0</v>
      </c>
      <c r="X949">
        <v>0</v>
      </c>
      <c r="Y949">
        <v>0</v>
      </c>
      <c r="AE949">
        <f t="shared" si="42"/>
        <v>1</v>
      </c>
      <c r="AF949">
        <f>VLOOKUP(D949,especies!$A$2:$C$9,3,FALSE)</f>
        <v>1</v>
      </c>
      <c r="AG949" t="str">
        <f t="shared" si="43"/>
        <v>1-Mestizo</v>
      </c>
      <c r="AH949">
        <f>VLOOKUP('Fichas clínicas'!AG949,razas!$A$2:$D$66,3,FALSE)</f>
        <v>1</v>
      </c>
      <c r="AI949" t="str">
        <f t="shared" si="44"/>
        <v>H</v>
      </c>
    </row>
    <row r="950" spans="1:35" x14ac:dyDescent="0.2">
      <c r="A950">
        <v>952</v>
      </c>
      <c r="B950" t="s">
        <v>2222</v>
      </c>
      <c r="C950" t="s">
        <v>2263</v>
      </c>
      <c r="D950" t="s">
        <v>41</v>
      </c>
      <c r="E950" t="s">
        <v>42</v>
      </c>
      <c r="F950" t="s">
        <v>47</v>
      </c>
      <c r="G950" t="s">
        <v>81</v>
      </c>
      <c r="J950" t="s">
        <v>2264</v>
      </c>
      <c r="K950" t="s">
        <v>38</v>
      </c>
      <c r="L950" t="s">
        <v>38</v>
      </c>
      <c r="M950" t="s">
        <v>38</v>
      </c>
      <c r="N950" t="s">
        <v>38</v>
      </c>
      <c r="O950" t="s">
        <v>38</v>
      </c>
      <c r="T950" t="s">
        <v>38</v>
      </c>
      <c r="U950">
        <v>0</v>
      </c>
      <c r="V950">
        <v>1</v>
      </c>
      <c r="W950">
        <v>0</v>
      </c>
      <c r="X950">
        <v>0</v>
      </c>
      <c r="Y950">
        <v>0</v>
      </c>
      <c r="AE950">
        <f t="shared" si="42"/>
        <v>1</v>
      </c>
      <c r="AF950">
        <f>VLOOKUP(D950,especies!$A$2:$C$9,3,FALSE)</f>
        <v>2</v>
      </c>
      <c r="AG950" t="str">
        <f t="shared" si="43"/>
        <v>2-DPC (Doméstico de pelo corto o DSH)</v>
      </c>
      <c r="AH950">
        <f>VLOOKUP('Fichas clínicas'!AG950,razas!$A$2:$D$66,3,FALSE)</f>
        <v>51</v>
      </c>
      <c r="AI950" t="str">
        <f t="shared" si="44"/>
        <v>M</v>
      </c>
    </row>
    <row r="951" spans="1:35" x14ac:dyDescent="0.2">
      <c r="A951">
        <v>953</v>
      </c>
      <c r="B951" t="s">
        <v>2265</v>
      </c>
      <c r="C951" t="s">
        <v>2266</v>
      </c>
      <c r="D951" t="s">
        <v>32</v>
      </c>
      <c r="E951" t="s">
        <v>143</v>
      </c>
      <c r="F951" t="s">
        <v>34</v>
      </c>
      <c r="G951" t="s">
        <v>2267</v>
      </c>
      <c r="J951" t="s">
        <v>2268</v>
      </c>
      <c r="K951" t="s">
        <v>38</v>
      </c>
      <c r="L951" t="s">
        <v>38</v>
      </c>
      <c r="M951" t="s">
        <v>38</v>
      </c>
      <c r="N951" t="s">
        <v>38</v>
      </c>
      <c r="O951" t="s">
        <v>38</v>
      </c>
      <c r="T951" t="s">
        <v>38</v>
      </c>
      <c r="U951">
        <v>0</v>
      </c>
      <c r="W951">
        <v>0</v>
      </c>
      <c r="X951">
        <v>0</v>
      </c>
      <c r="Y951">
        <v>0</v>
      </c>
      <c r="AE951">
        <f t="shared" si="42"/>
        <v>1</v>
      </c>
      <c r="AF951">
        <f>VLOOKUP(D951,especies!$A$2:$C$9,3,FALSE)</f>
        <v>1</v>
      </c>
      <c r="AG951" t="str">
        <f t="shared" si="43"/>
        <v>1-Yorkshire Terrier</v>
      </c>
      <c r="AH951">
        <f>VLOOKUP('Fichas clínicas'!AG951,razas!$A$2:$D$66,3,FALSE)</f>
        <v>5</v>
      </c>
      <c r="AI951" t="str">
        <f t="shared" si="44"/>
        <v>H</v>
      </c>
    </row>
    <row r="952" spans="1:35" x14ac:dyDescent="0.2">
      <c r="A952">
        <v>954</v>
      </c>
      <c r="B952" t="s">
        <v>2265</v>
      </c>
      <c r="C952" t="s">
        <v>2269</v>
      </c>
      <c r="D952" t="s">
        <v>32</v>
      </c>
      <c r="E952" t="s">
        <v>33</v>
      </c>
      <c r="F952" t="s">
        <v>34</v>
      </c>
      <c r="G952" t="s">
        <v>300</v>
      </c>
      <c r="I952">
        <v>982000363364016</v>
      </c>
      <c r="J952" t="s">
        <v>2270</v>
      </c>
      <c r="K952" t="s">
        <v>38</v>
      </c>
      <c r="L952" t="s">
        <v>38</v>
      </c>
      <c r="M952" t="s">
        <v>38</v>
      </c>
      <c r="N952" t="s">
        <v>38</v>
      </c>
      <c r="O952" t="s">
        <v>38</v>
      </c>
      <c r="Q952">
        <v>0</v>
      </c>
      <c r="T952" t="s">
        <v>38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f t="shared" si="42"/>
        <v>1</v>
      </c>
      <c r="AF952">
        <f>VLOOKUP(D952,especies!$A$2:$C$9,3,FALSE)</f>
        <v>1</v>
      </c>
      <c r="AG952" t="str">
        <f t="shared" si="43"/>
        <v>1-Mestizo</v>
      </c>
      <c r="AH952">
        <f>VLOOKUP('Fichas clínicas'!AG952,razas!$A$2:$D$66,3,FALSE)</f>
        <v>1</v>
      </c>
      <c r="AI952" t="str">
        <f t="shared" si="44"/>
        <v>H</v>
      </c>
    </row>
    <row r="953" spans="1:35" x14ac:dyDescent="0.2">
      <c r="A953">
        <v>955</v>
      </c>
      <c r="B953" t="s">
        <v>2271</v>
      </c>
      <c r="C953" t="s">
        <v>2272</v>
      </c>
      <c r="D953" t="s">
        <v>32</v>
      </c>
      <c r="E953" t="s">
        <v>150</v>
      </c>
      <c r="F953" t="s">
        <v>47</v>
      </c>
      <c r="G953" t="s">
        <v>123</v>
      </c>
      <c r="J953" t="s">
        <v>1522</v>
      </c>
      <c r="K953" t="s">
        <v>38</v>
      </c>
      <c r="L953" t="s">
        <v>38</v>
      </c>
      <c r="M953" t="s">
        <v>38</v>
      </c>
      <c r="N953" t="s">
        <v>38</v>
      </c>
      <c r="O953" t="s">
        <v>38</v>
      </c>
      <c r="T953" t="s">
        <v>38</v>
      </c>
      <c r="U953">
        <v>0</v>
      </c>
      <c r="V953">
        <v>1</v>
      </c>
      <c r="W953">
        <v>0</v>
      </c>
      <c r="X953">
        <v>0</v>
      </c>
      <c r="Y953">
        <v>0</v>
      </c>
      <c r="AE953">
        <f t="shared" si="42"/>
        <v>1</v>
      </c>
      <c r="AF953">
        <f>VLOOKUP(D953,especies!$A$2:$C$9,3,FALSE)</f>
        <v>1</v>
      </c>
      <c r="AG953" t="str">
        <f t="shared" si="43"/>
        <v>1-Poodle</v>
      </c>
      <c r="AH953">
        <f>VLOOKUP('Fichas clínicas'!AG953,razas!$A$2:$D$66,3,FALSE)</f>
        <v>6</v>
      </c>
      <c r="AI953" t="str">
        <f t="shared" si="44"/>
        <v>M</v>
      </c>
    </row>
    <row r="954" spans="1:35" x14ac:dyDescent="0.2">
      <c r="A954">
        <v>956</v>
      </c>
      <c r="B954" t="s">
        <v>2273</v>
      </c>
      <c r="C954" t="s">
        <v>1842</v>
      </c>
      <c r="D954" t="s">
        <v>41</v>
      </c>
      <c r="E954" t="s">
        <v>42</v>
      </c>
      <c r="F954" t="s">
        <v>47</v>
      </c>
      <c r="G954" t="s">
        <v>77</v>
      </c>
      <c r="J954" t="s">
        <v>2274</v>
      </c>
      <c r="K954" t="s">
        <v>38</v>
      </c>
      <c r="L954" t="s">
        <v>38</v>
      </c>
      <c r="M954" t="s">
        <v>38</v>
      </c>
      <c r="N954" t="s">
        <v>38</v>
      </c>
      <c r="O954" t="s">
        <v>38</v>
      </c>
      <c r="T954" t="s">
        <v>38</v>
      </c>
      <c r="U954">
        <v>0</v>
      </c>
      <c r="W954">
        <v>0</v>
      </c>
      <c r="X954">
        <v>0</v>
      </c>
      <c r="Y954">
        <v>0</v>
      </c>
      <c r="AE954">
        <f t="shared" si="42"/>
        <v>1</v>
      </c>
      <c r="AF954">
        <f>VLOOKUP(D954,especies!$A$2:$C$9,3,FALSE)</f>
        <v>2</v>
      </c>
      <c r="AG954" t="str">
        <f t="shared" si="43"/>
        <v>2-DPC (Doméstico de pelo corto o DSH)</v>
      </c>
      <c r="AH954">
        <f>VLOOKUP('Fichas clínicas'!AG954,razas!$A$2:$D$66,3,FALSE)</f>
        <v>51</v>
      </c>
      <c r="AI954" t="str">
        <f t="shared" si="44"/>
        <v>M</v>
      </c>
    </row>
    <row r="955" spans="1:35" x14ac:dyDescent="0.2">
      <c r="A955">
        <v>957</v>
      </c>
      <c r="B955" t="s">
        <v>2275</v>
      </c>
      <c r="C955" t="s">
        <v>280</v>
      </c>
      <c r="D955" t="s">
        <v>32</v>
      </c>
      <c r="E955" t="s">
        <v>33</v>
      </c>
      <c r="F955" t="s">
        <v>34</v>
      </c>
      <c r="G955" t="s">
        <v>2158</v>
      </c>
      <c r="J955" t="s">
        <v>989</v>
      </c>
      <c r="K955" t="s">
        <v>38</v>
      </c>
      <c r="L955" t="s">
        <v>38</v>
      </c>
      <c r="M955" t="s">
        <v>38</v>
      </c>
      <c r="N955" t="s">
        <v>38</v>
      </c>
      <c r="O955" t="s">
        <v>38</v>
      </c>
      <c r="T955" t="s">
        <v>38</v>
      </c>
      <c r="U955">
        <v>0</v>
      </c>
      <c r="V955">
        <v>1</v>
      </c>
      <c r="W955">
        <v>0</v>
      </c>
      <c r="X955">
        <v>0</v>
      </c>
      <c r="Y955">
        <v>0</v>
      </c>
      <c r="AE955">
        <f t="shared" si="42"/>
        <v>1</v>
      </c>
      <c r="AF955">
        <f>VLOOKUP(D955,especies!$A$2:$C$9,3,FALSE)</f>
        <v>1</v>
      </c>
      <c r="AG955" t="str">
        <f t="shared" si="43"/>
        <v>1-Mestizo</v>
      </c>
      <c r="AH955">
        <f>VLOOKUP('Fichas clínicas'!AG955,razas!$A$2:$D$66,3,FALSE)</f>
        <v>1</v>
      </c>
      <c r="AI955" t="str">
        <f t="shared" si="44"/>
        <v>H</v>
      </c>
    </row>
    <row r="956" spans="1:35" x14ac:dyDescent="0.2">
      <c r="A956">
        <v>958</v>
      </c>
      <c r="B956" t="s">
        <v>2276</v>
      </c>
      <c r="C956" t="s">
        <v>2277</v>
      </c>
      <c r="D956" t="s">
        <v>41</v>
      </c>
      <c r="E956" t="s">
        <v>93</v>
      </c>
      <c r="F956" t="s">
        <v>47</v>
      </c>
      <c r="G956" t="s">
        <v>2122</v>
      </c>
      <c r="J956" t="s">
        <v>2278</v>
      </c>
      <c r="K956" t="s">
        <v>38</v>
      </c>
      <c r="L956" t="s">
        <v>38</v>
      </c>
      <c r="M956" t="s">
        <v>38</v>
      </c>
      <c r="N956" t="s">
        <v>38</v>
      </c>
      <c r="O956" t="s">
        <v>38</v>
      </c>
      <c r="Q956">
        <v>0</v>
      </c>
      <c r="T956" t="s">
        <v>38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f t="shared" si="42"/>
        <v>1</v>
      </c>
      <c r="AF956">
        <f>VLOOKUP(D956,especies!$A$2:$C$9,3,FALSE)</f>
        <v>2</v>
      </c>
      <c r="AG956" t="str">
        <f t="shared" si="43"/>
        <v>2-DPL (Doméstico de pelo Largo o DLH)</v>
      </c>
      <c r="AH956">
        <f>VLOOKUP('Fichas clínicas'!AG956,razas!$A$2:$D$66,3,FALSE)</f>
        <v>52</v>
      </c>
      <c r="AI956" t="str">
        <f t="shared" si="44"/>
        <v>M</v>
      </c>
    </row>
    <row r="957" spans="1:35" x14ac:dyDescent="0.2">
      <c r="A957">
        <v>959</v>
      </c>
      <c r="B957" t="s">
        <v>141</v>
      </c>
      <c r="C957" t="s">
        <v>2279</v>
      </c>
      <c r="D957" t="s">
        <v>2280</v>
      </c>
      <c r="E957" t="s">
        <v>2281</v>
      </c>
      <c r="F957" t="s">
        <v>47</v>
      </c>
      <c r="G957" t="s">
        <v>1488</v>
      </c>
      <c r="J957" t="s">
        <v>2282</v>
      </c>
      <c r="K957" t="s">
        <v>38</v>
      </c>
      <c r="L957" t="s">
        <v>38</v>
      </c>
      <c r="M957" t="s">
        <v>38</v>
      </c>
      <c r="N957" t="s">
        <v>38</v>
      </c>
      <c r="O957" t="s">
        <v>38</v>
      </c>
      <c r="P957" t="s">
        <v>2283</v>
      </c>
      <c r="Q957">
        <v>0</v>
      </c>
      <c r="T957" t="s">
        <v>38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f t="shared" si="42"/>
        <v>1</v>
      </c>
      <c r="AF957">
        <f>VLOOKUP(D957,especies!$A$2:$C$9,3,FALSE)</f>
        <v>6</v>
      </c>
      <c r="AG957" t="str">
        <f t="shared" si="43"/>
        <v>6-Enana</v>
      </c>
      <c r="AH957">
        <f>VLOOKUP('Fichas clínicas'!AG957,razas!$A$2:$D$66,3,FALSE)</f>
        <v>59</v>
      </c>
      <c r="AI957" t="str">
        <f t="shared" si="44"/>
        <v>M</v>
      </c>
    </row>
    <row r="958" spans="1:35" x14ac:dyDescent="0.2">
      <c r="A958">
        <v>960</v>
      </c>
      <c r="B958" t="s">
        <v>2276</v>
      </c>
      <c r="C958" t="s">
        <v>2284</v>
      </c>
      <c r="D958" t="s">
        <v>41</v>
      </c>
      <c r="E958" t="s">
        <v>93</v>
      </c>
      <c r="F958" t="s">
        <v>47</v>
      </c>
      <c r="G958" t="s">
        <v>2122</v>
      </c>
      <c r="J958" t="s">
        <v>2063</v>
      </c>
      <c r="K958" t="s">
        <v>38</v>
      </c>
      <c r="L958" t="s">
        <v>38</v>
      </c>
      <c r="M958" t="s">
        <v>38</v>
      </c>
      <c r="N958" t="s">
        <v>38</v>
      </c>
      <c r="O958" t="s">
        <v>38</v>
      </c>
      <c r="Q958">
        <v>0</v>
      </c>
      <c r="T958" t="s">
        <v>38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f t="shared" si="42"/>
        <v>1</v>
      </c>
      <c r="AF958">
        <f>VLOOKUP(D958,especies!$A$2:$C$9,3,FALSE)</f>
        <v>2</v>
      </c>
      <c r="AG958" t="str">
        <f t="shared" si="43"/>
        <v>2-DPL (Doméstico de pelo Largo o DLH)</v>
      </c>
      <c r="AH958">
        <f>VLOOKUP('Fichas clínicas'!AG958,razas!$A$2:$D$66,3,FALSE)</f>
        <v>52</v>
      </c>
      <c r="AI958" t="str">
        <f t="shared" si="44"/>
        <v>M</v>
      </c>
    </row>
    <row r="959" spans="1:35" x14ac:dyDescent="0.2">
      <c r="A959">
        <v>961</v>
      </c>
      <c r="B959" t="s">
        <v>141</v>
      </c>
      <c r="C959" t="s">
        <v>2285</v>
      </c>
      <c r="D959" t="s">
        <v>242</v>
      </c>
      <c r="E959" t="s">
        <v>242</v>
      </c>
      <c r="F959" t="s">
        <v>47</v>
      </c>
      <c r="G959" t="s">
        <v>2286</v>
      </c>
      <c r="J959" t="s">
        <v>1403</v>
      </c>
      <c r="K959" t="s">
        <v>38</v>
      </c>
      <c r="L959" t="s">
        <v>38</v>
      </c>
      <c r="M959" t="s">
        <v>38</v>
      </c>
      <c r="N959" t="s">
        <v>38</v>
      </c>
      <c r="O959" t="s">
        <v>38</v>
      </c>
      <c r="P959" t="s">
        <v>2287</v>
      </c>
      <c r="Q959">
        <v>0</v>
      </c>
      <c r="T959" t="s">
        <v>38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f t="shared" si="42"/>
        <v>1</v>
      </c>
      <c r="AF959">
        <f>VLOOKUP(D959,especies!$A$2:$C$9,3,FALSE)</f>
        <v>3</v>
      </c>
      <c r="AG959" t="str">
        <f t="shared" si="43"/>
        <v>3-Otra</v>
      </c>
      <c r="AH959">
        <f>VLOOKUP('Fichas clínicas'!AG959,razas!$A$2:$D$66,3,FALSE)</f>
        <v>55</v>
      </c>
      <c r="AI959" t="str">
        <f t="shared" si="44"/>
        <v>M</v>
      </c>
    </row>
    <row r="960" spans="1:35" x14ac:dyDescent="0.2">
      <c r="A960">
        <v>962</v>
      </c>
      <c r="B960" t="s">
        <v>2288</v>
      </c>
      <c r="C960" t="s">
        <v>2289</v>
      </c>
      <c r="D960" t="s">
        <v>32</v>
      </c>
      <c r="E960" t="s">
        <v>33</v>
      </c>
      <c r="F960" t="s">
        <v>34</v>
      </c>
      <c r="G960" t="s">
        <v>467</v>
      </c>
      <c r="J960" t="s">
        <v>2127</v>
      </c>
      <c r="K960" t="s">
        <v>38</v>
      </c>
      <c r="L960" t="s">
        <v>38</v>
      </c>
      <c r="M960" t="s">
        <v>38</v>
      </c>
      <c r="N960" t="s">
        <v>38</v>
      </c>
      <c r="O960" t="s">
        <v>38</v>
      </c>
      <c r="Q960">
        <v>0</v>
      </c>
      <c r="T960" t="s">
        <v>38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f t="shared" si="42"/>
        <v>1</v>
      </c>
      <c r="AF960">
        <f>VLOOKUP(D960,especies!$A$2:$C$9,3,FALSE)</f>
        <v>1</v>
      </c>
      <c r="AG960" t="str">
        <f t="shared" si="43"/>
        <v>1-Mestizo</v>
      </c>
      <c r="AH960">
        <f>VLOOKUP('Fichas clínicas'!AG960,razas!$A$2:$D$66,3,FALSE)</f>
        <v>1</v>
      </c>
      <c r="AI960" t="str">
        <f t="shared" si="44"/>
        <v>H</v>
      </c>
    </row>
    <row r="961" spans="1:35" x14ac:dyDescent="0.2">
      <c r="A961">
        <v>963</v>
      </c>
      <c r="B961" t="s">
        <v>2222</v>
      </c>
      <c r="C961" t="s">
        <v>2290</v>
      </c>
      <c r="D961" t="s">
        <v>41</v>
      </c>
      <c r="E961" t="s">
        <v>42</v>
      </c>
      <c r="F961" t="s">
        <v>34</v>
      </c>
      <c r="G961" t="s">
        <v>1054</v>
      </c>
      <c r="J961" t="s">
        <v>2291</v>
      </c>
      <c r="K961" t="s">
        <v>38</v>
      </c>
      <c r="L961" t="s">
        <v>38</v>
      </c>
      <c r="M961" t="s">
        <v>38</v>
      </c>
      <c r="N961" t="s">
        <v>38</v>
      </c>
      <c r="O961" t="s">
        <v>38</v>
      </c>
      <c r="Q961">
        <v>0</v>
      </c>
      <c r="T961" t="s">
        <v>38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f t="shared" si="42"/>
        <v>1</v>
      </c>
      <c r="AF961">
        <f>VLOOKUP(D961,especies!$A$2:$C$9,3,FALSE)</f>
        <v>2</v>
      </c>
      <c r="AG961" t="str">
        <f t="shared" si="43"/>
        <v>2-DPC (Doméstico de pelo corto o DSH)</v>
      </c>
      <c r="AH961">
        <f>VLOOKUP('Fichas clínicas'!AG961,razas!$A$2:$D$66,3,FALSE)</f>
        <v>51</v>
      </c>
      <c r="AI961" t="str">
        <f t="shared" si="44"/>
        <v>H</v>
      </c>
    </row>
    <row r="962" spans="1:35" x14ac:dyDescent="0.2">
      <c r="A962">
        <v>964</v>
      </c>
      <c r="B962" t="s">
        <v>726</v>
      </c>
      <c r="C962" t="s">
        <v>2292</v>
      </c>
      <c r="D962" t="s">
        <v>41</v>
      </c>
      <c r="E962" t="s">
        <v>42</v>
      </c>
      <c r="F962" t="s">
        <v>47</v>
      </c>
      <c r="G962" t="s">
        <v>351</v>
      </c>
      <c r="J962" t="s">
        <v>393</v>
      </c>
      <c r="K962" t="s">
        <v>38</v>
      </c>
      <c r="L962" t="s">
        <v>38</v>
      </c>
      <c r="M962" t="s">
        <v>38</v>
      </c>
      <c r="N962" t="s">
        <v>38</v>
      </c>
      <c r="O962" t="s">
        <v>38</v>
      </c>
      <c r="Q962">
        <v>0</v>
      </c>
      <c r="T962" t="s">
        <v>38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f t="shared" si="42"/>
        <v>1</v>
      </c>
      <c r="AF962">
        <f>VLOOKUP(D962,especies!$A$2:$C$9,3,FALSE)</f>
        <v>2</v>
      </c>
      <c r="AG962" t="str">
        <f t="shared" si="43"/>
        <v>2-DPC (Doméstico de pelo corto o DSH)</v>
      </c>
      <c r="AH962">
        <f>VLOOKUP('Fichas clínicas'!AG962,razas!$A$2:$D$66,3,FALSE)</f>
        <v>51</v>
      </c>
      <c r="AI962" t="str">
        <f t="shared" si="44"/>
        <v>M</v>
      </c>
    </row>
    <row r="963" spans="1:35" x14ac:dyDescent="0.2">
      <c r="A963">
        <v>965</v>
      </c>
      <c r="B963" t="s">
        <v>1199</v>
      </c>
      <c r="C963" t="s">
        <v>378</v>
      </c>
      <c r="D963" t="s">
        <v>32</v>
      </c>
      <c r="E963" t="s">
        <v>33</v>
      </c>
      <c r="F963" t="s">
        <v>34</v>
      </c>
      <c r="G963" t="s">
        <v>587</v>
      </c>
      <c r="J963" t="s">
        <v>2293</v>
      </c>
      <c r="K963" t="s">
        <v>38</v>
      </c>
      <c r="L963" t="s">
        <v>38</v>
      </c>
      <c r="M963" t="s">
        <v>38</v>
      </c>
      <c r="N963" t="s">
        <v>38</v>
      </c>
      <c r="O963" t="s">
        <v>38</v>
      </c>
      <c r="T963" t="s">
        <v>38</v>
      </c>
      <c r="U963">
        <v>0</v>
      </c>
      <c r="V963">
        <v>1</v>
      </c>
      <c r="W963">
        <v>0</v>
      </c>
      <c r="X963">
        <v>0</v>
      </c>
      <c r="Y963">
        <v>0</v>
      </c>
      <c r="AE963">
        <f t="shared" ref="AE963:AE1026" si="45">SUBTOTAL(103,E963)</f>
        <v>1</v>
      </c>
      <c r="AF963">
        <f>VLOOKUP(D963,especies!$A$2:$C$9,3,FALSE)</f>
        <v>1</v>
      </c>
      <c r="AG963" t="str">
        <f t="shared" ref="AG963:AG1026" si="46">AF963&amp;"-"&amp;E963</f>
        <v>1-Mestizo</v>
      </c>
      <c r="AH963">
        <f>VLOOKUP('Fichas clínicas'!AG963,razas!$A$2:$D$66,3,FALSE)</f>
        <v>1</v>
      </c>
      <c r="AI963" t="str">
        <f t="shared" ref="AI963:AI1026" si="47">IF(F963="Hembra","H","M")</f>
        <v>H</v>
      </c>
    </row>
    <row r="964" spans="1:35" x14ac:dyDescent="0.2">
      <c r="A964">
        <v>966</v>
      </c>
      <c r="B964" t="s">
        <v>2294</v>
      </c>
      <c r="C964" t="s">
        <v>2295</v>
      </c>
      <c r="D964" t="s">
        <v>32</v>
      </c>
      <c r="E964" t="s">
        <v>33</v>
      </c>
      <c r="F964" t="s">
        <v>34</v>
      </c>
      <c r="G964" t="s">
        <v>2296</v>
      </c>
      <c r="J964" t="s">
        <v>61</v>
      </c>
      <c r="K964" t="s">
        <v>38</v>
      </c>
      <c r="L964" t="s">
        <v>38</v>
      </c>
      <c r="M964" t="s">
        <v>38</v>
      </c>
      <c r="N964" t="s">
        <v>38</v>
      </c>
      <c r="O964" t="s">
        <v>38</v>
      </c>
      <c r="T964" t="s">
        <v>38</v>
      </c>
      <c r="U964">
        <v>0</v>
      </c>
      <c r="V964">
        <v>1</v>
      </c>
      <c r="W964">
        <v>0</v>
      </c>
      <c r="X964">
        <v>0</v>
      </c>
      <c r="Y964">
        <v>0</v>
      </c>
      <c r="AE964">
        <f t="shared" si="45"/>
        <v>1</v>
      </c>
      <c r="AF964">
        <f>VLOOKUP(D964,especies!$A$2:$C$9,3,FALSE)</f>
        <v>1</v>
      </c>
      <c r="AG964" t="str">
        <f t="shared" si="46"/>
        <v>1-Mestizo</v>
      </c>
      <c r="AH964">
        <f>VLOOKUP('Fichas clínicas'!AG964,razas!$A$2:$D$66,3,FALSE)</f>
        <v>1</v>
      </c>
      <c r="AI964" t="str">
        <f t="shared" si="47"/>
        <v>H</v>
      </c>
    </row>
    <row r="965" spans="1:35" x14ac:dyDescent="0.2">
      <c r="A965">
        <v>967</v>
      </c>
      <c r="B965" t="s">
        <v>2297</v>
      </c>
      <c r="C965" t="s">
        <v>347</v>
      </c>
      <c r="D965" t="s">
        <v>32</v>
      </c>
      <c r="E965" t="s">
        <v>438</v>
      </c>
      <c r="F965" t="s">
        <v>34</v>
      </c>
      <c r="G965" t="s">
        <v>2267</v>
      </c>
      <c r="J965" t="s">
        <v>2298</v>
      </c>
      <c r="K965" t="s">
        <v>38</v>
      </c>
      <c r="L965" t="s">
        <v>38</v>
      </c>
      <c r="M965" t="s">
        <v>38</v>
      </c>
      <c r="N965" t="s">
        <v>38</v>
      </c>
      <c r="O965" t="s">
        <v>38</v>
      </c>
      <c r="Q965">
        <v>0</v>
      </c>
      <c r="T965" t="s">
        <v>38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f t="shared" si="45"/>
        <v>1</v>
      </c>
      <c r="AF965">
        <f>VLOOKUP(D965,especies!$A$2:$C$9,3,FALSE)</f>
        <v>1</v>
      </c>
      <c r="AG965" t="str">
        <f t="shared" si="46"/>
        <v>1-Ovejero Alemán</v>
      </c>
      <c r="AH965">
        <f>VLOOKUP('Fichas clínicas'!AG965,razas!$A$2:$D$66,3,FALSE)</f>
        <v>12</v>
      </c>
      <c r="AI965" t="str">
        <f t="shared" si="47"/>
        <v>H</v>
      </c>
    </row>
    <row r="966" spans="1:35" x14ac:dyDescent="0.2">
      <c r="A966">
        <v>968</v>
      </c>
      <c r="B966" t="s">
        <v>2299</v>
      </c>
      <c r="C966" t="s">
        <v>2300</v>
      </c>
      <c r="D966" t="s">
        <v>41</v>
      </c>
      <c r="E966" t="s">
        <v>93</v>
      </c>
      <c r="F966" t="s">
        <v>47</v>
      </c>
      <c r="G966" t="s">
        <v>81</v>
      </c>
      <c r="J966" t="s">
        <v>1012</v>
      </c>
      <c r="K966" t="s">
        <v>38</v>
      </c>
      <c r="L966" t="s">
        <v>38</v>
      </c>
      <c r="M966" t="s">
        <v>38</v>
      </c>
      <c r="N966" t="s">
        <v>38</v>
      </c>
      <c r="O966" t="s">
        <v>38</v>
      </c>
      <c r="T966" t="s">
        <v>38</v>
      </c>
      <c r="U966">
        <v>0</v>
      </c>
      <c r="V966">
        <v>1</v>
      </c>
      <c r="W966">
        <v>0</v>
      </c>
      <c r="X966">
        <v>0</v>
      </c>
      <c r="Y966">
        <v>0</v>
      </c>
      <c r="AE966">
        <f t="shared" si="45"/>
        <v>1</v>
      </c>
      <c r="AF966">
        <f>VLOOKUP(D966,especies!$A$2:$C$9,3,FALSE)</f>
        <v>2</v>
      </c>
      <c r="AG966" t="str">
        <f t="shared" si="46"/>
        <v>2-DPL (Doméstico de pelo Largo o DLH)</v>
      </c>
      <c r="AH966">
        <f>VLOOKUP('Fichas clínicas'!AG966,razas!$A$2:$D$66,3,FALSE)</f>
        <v>52</v>
      </c>
      <c r="AI966" t="str">
        <f t="shared" si="47"/>
        <v>M</v>
      </c>
    </row>
    <row r="967" spans="1:35" x14ac:dyDescent="0.2">
      <c r="A967">
        <v>969</v>
      </c>
      <c r="B967" t="s">
        <v>2301</v>
      </c>
      <c r="C967" t="s">
        <v>700</v>
      </c>
      <c r="D967" t="s">
        <v>41</v>
      </c>
      <c r="E967" t="s">
        <v>93</v>
      </c>
      <c r="F967" t="s">
        <v>34</v>
      </c>
      <c r="G967" t="s">
        <v>2302</v>
      </c>
      <c r="J967" t="s">
        <v>2303</v>
      </c>
      <c r="K967" t="s">
        <v>38</v>
      </c>
      <c r="L967" t="s">
        <v>38</v>
      </c>
      <c r="M967" t="s">
        <v>38</v>
      </c>
      <c r="N967" t="s">
        <v>38</v>
      </c>
      <c r="O967" t="s">
        <v>38</v>
      </c>
      <c r="T967" t="s">
        <v>38</v>
      </c>
      <c r="U967">
        <v>0</v>
      </c>
      <c r="V967">
        <v>1</v>
      </c>
      <c r="W967">
        <v>0</v>
      </c>
      <c r="X967">
        <v>0</v>
      </c>
      <c r="Y967">
        <v>0</v>
      </c>
      <c r="AE967">
        <f t="shared" si="45"/>
        <v>1</v>
      </c>
      <c r="AF967">
        <f>VLOOKUP(D967,especies!$A$2:$C$9,3,FALSE)</f>
        <v>2</v>
      </c>
      <c r="AG967" t="str">
        <f t="shared" si="46"/>
        <v>2-DPL (Doméstico de pelo Largo o DLH)</v>
      </c>
      <c r="AH967">
        <f>VLOOKUP('Fichas clínicas'!AG967,razas!$A$2:$D$66,3,FALSE)</f>
        <v>52</v>
      </c>
      <c r="AI967" t="str">
        <f t="shared" si="47"/>
        <v>H</v>
      </c>
    </row>
    <row r="968" spans="1:35" x14ac:dyDescent="0.2">
      <c r="A968">
        <v>970</v>
      </c>
      <c r="B968" t="s">
        <v>2304</v>
      </c>
      <c r="C968" t="s">
        <v>2305</v>
      </c>
      <c r="D968" t="s">
        <v>41</v>
      </c>
      <c r="E968" t="s">
        <v>42</v>
      </c>
      <c r="F968" t="s">
        <v>47</v>
      </c>
      <c r="G968" t="s">
        <v>102</v>
      </c>
      <c r="J968" t="s">
        <v>2306</v>
      </c>
      <c r="K968" t="s">
        <v>38</v>
      </c>
      <c r="L968" t="s">
        <v>38</v>
      </c>
      <c r="M968" t="s">
        <v>38</v>
      </c>
      <c r="N968" t="s">
        <v>38</v>
      </c>
      <c r="O968" t="s">
        <v>38</v>
      </c>
      <c r="T968" t="s">
        <v>38</v>
      </c>
      <c r="U968">
        <v>0</v>
      </c>
      <c r="V968">
        <v>1</v>
      </c>
      <c r="W968">
        <v>0</v>
      </c>
      <c r="X968">
        <v>0</v>
      </c>
      <c r="Y968">
        <v>0</v>
      </c>
      <c r="AE968">
        <f t="shared" si="45"/>
        <v>1</v>
      </c>
      <c r="AF968">
        <f>VLOOKUP(D968,especies!$A$2:$C$9,3,FALSE)</f>
        <v>2</v>
      </c>
      <c r="AG968" t="str">
        <f t="shared" si="46"/>
        <v>2-DPC (Doméstico de pelo corto o DSH)</v>
      </c>
      <c r="AH968">
        <f>VLOOKUP('Fichas clínicas'!AG968,razas!$A$2:$D$66,3,FALSE)</f>
        <v>51</v>
      </c>
      <c r="AI968" t="str">
        <f t="shared" si="47"/>
        <v>M</v>
      </c>
    </row>
    <row r="969" spans="1:35" x14ac:dyDescent="0.2">
      <c r="A969">
        <v>971</v>
      </c>
      <c r="B969" t="s">
        <v>1341</v>
      </c>
      <c r="C969" t="s">
        <v>126</v>
      </c>
      <c r="D969" t="s">
        <v>32</v>
      </c>
      <c r="E969" t="s">
        <v>33</v>
      </c>
      <c r="F969" t="s">
        <v>47</v>
      </c>
      <c r="G969" t="s">
        <v>43</v>
      </c>
      <c r="J969" t="s">
        <v>1808</v>
      </c>
      <c r="K969" t="s">
        <v>38</v>
      </c>
      <c r="L969" t="s">
        <v>38</v>
      </c>
      <c r="M969" t="s">
        <v>38</v>
      </c>
      <c r="N969" t="s">
        <v>38</v>
      </c>
      <c r="O969" t="s">
        <v>38</v>
      </c>
      <c r="T969" t="s">
        <v>38</v>
      </c>
      <c r="U969">
        <v>0</v>
      </c>
      <c r="W969">
        <v>0</v>
      </c>
      <c r="X969">
        <v>0</v>
      </c>
      <c r="Y969">
        <v>0</v>
      </c>
      <c r="AE969">
        <f t="shared" si="45"/>
        <v>1</v>
      </c>
      <c r="AF969">
        <f>VLOOKUP(D969,especies!$A$2:$C$9,3,FALSE)</f>
        <v>1</v>
      </c>
      <c r="AG969" t="str">
        <f t="shared" si="46"/>
        <v>1-Mestizo</v>
      </c>
      <c r="AH969">
        <f>VLOOKUP('Fichas clínicas'!AG969,razas!$A$2:$D$66,3,FALSE)</f>
        <v>1</v>
      </c>
      <c r="AI969" t="str">
        <f t="shared" si="47"/>
        <v>M</v>
      </c>
    </row>
    <row r="970" spans="1:35" x14ac:dyDescent="0.2">
      <c r="A970">
        <v>972</v>
      </c>
      <c r="B970" t="s">
        <v>2307</v>
      </c>
      <c r="C970" t="s">
        <v>332</v>
      </c>
      <c r="D970" t="s">
        <v>41</v>
      </c>
      <c r="E970" t="s">
        <v>42</v>
      </c>
      <c r="F970" t="s">
        <v>47</v>
      </c>
      <c r="G970" t="s">
        <v>2308</v>
      </c>
      <c r="J970" t="s">
        <v>393</v>
      </c>
      <c r="K970" t="s">
        <v>38</v>
      </c>
      <c r="L970" t="s">
        <v>38</v>
      </c>
      <c r="M970" t="s">
        <v>38</v>
      </c>
      <c r="N970" t="s">
        <v>38</v>
      </c>
      <c r="O970" t="s">
        <v>38</v>
      </c>
      <c r="Q970">
        <v>0</v>
      </c>
      <c r="T970" t="s">
        <v>38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f t="shared" si="45"/>
        <v>1</v>
      </c>
      <c r="AF970">
        <f>VLOOKUP(D970,especies!$A$2:$C$9,3,FALSE)</f>
        <v>2</v>
      </c>
      <c r="AG970" t="str">
        <f t="shared" si="46"/>
        <v>2-DPC (Doméstico de pelo corto o DSH)</v>
      </c>
      <c r="AH970">
        <f>VLOOKUP('Fichas clínicas'!AG970,razas!$A$2:$D$66,3,FALSE)</f>
        <v>51</v>
      </c>
      <c r="AI970" t="str">
        <f t="shared" si="47"/>
        <v>M</v>
      </c>
    </row>
    <row r="971" spans="1:35" x14ac:dyDescent="0.2">
      <c r="A971">
        <v>973</v>
      </c>
      <c r="B971" t="s">
        <v>2309</v>
      </c>
      <c r="C971" t="s">
        <v>2310</v>
      </c>
      <c r="D971" t="s">
        <v>32</v>
      </c>
      <c r="E971" t="s">
        <v>33</v>
      </c>
      <c r="F971" t="s">
        <v>34</v>
      </c>
      <c r="G971" t="s">
        <v>73</v>
      </c>
      <c r="J971" t="s">
        <v>2311</v>
      </c>
      <c r="K971" t="s">
        <v>38</v>
      </c>
      <c r="L971" t="s">
        <v>38</v>
      </c>
      <c r="M971" t="s">
        <v>38</v>
      </c>
      <c r="N971" t="s">
        <v>38</v>
      </c>
      <c r="O971" t="s">
        <v>38</v>
      </c>
      <c r="Q971">
        <v>0</v>
      </c>
      <c r="T971" t="s">
        <v>38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f t="shared" si="45"/>
        <v>1</v>
      </c>
      <c r="AF971">
        <f>VLOOKUP(D971,especies!$A$2:$C$9,3,FALSE)</f>
        <v>1</v>
      </c>
      <c r="AG971" t="str">
        <f t="shared" si="46"/>
        <v>1-Mestizo</v>
      </c>
      <c r="AH971">
        <f>VLOOKUP('Fichas clínicas'!AG971,razas!$A$2:$D$66,3,FALSE)</f>
        <v>1</v>
      </c>
      <c r="AI971" t="str">
        <f t="shared" si="47"/>
        <v>H</v>
      </c>
    </row>
    <row r="972" spans="1:35" x14ac:dyDescent="0.2">
      <c r="A972">
        <v>974</v>
      </c>
      <c r="B972" t="s">
        <v>2312</v>
      </c>
      <c r="C972" t="s">
        <v>2313</v>
      </c>
      <c r="D972" t="s">
        <v>32</v>
      </c>
      <c r="E972" t="s">
        <v>2314</v>
      </c>
      <c r="F972" t="s">
        <v>34</v>
      </c>
      <c r="G972" t="s">
        <v>165</v>
      </c>
      <c r="J972" t="s">
        <v>989</v>
      </c>
      <c r="K972" t="s">
        <v>38</v>
      </c>
      <c r="L972" t="s">
        <v>38</v>
      </c>
      <c r="M972" t="s">
        <v>38</v>
      </c>
      <c r="N972" t="s">
        <v>38</v>
      </c>
      <c r="O972" t="s">
        <v>38</v>
      </c>
      <c r="T972" t="s">
        <v>38</v>
      </c>
      <c r="U972">
        <v>0</v>
      </c>
      <c r="V972">
        <v>1</v>
      </c>
      <c r="W972">
        <v>0</v>
      </c>
      <c r="X972">
        <v>0</v>
      </c>
      <c r="Y972">
        <v>0</v>
      </c>
      <c r="AE972">
        <f t="shared" si="45"/>
        <v>1</v>
      </c>
      <c r="AF972">
        <f>VLOOKUP(D972,especies!$A$2:$C$9,3,FALSE)</f>
        <v>1</v>
      </c>
      <c r="AG972" t="str">
        <f t="shared" si="46"/>
        <v>1-Cocker Spaniel Americano</v>
      </c>
      <c r="AH972">
        <f>VLOOKUP('Fichas clínicas'!AG972,razas!$A$2:$D$66,3,FALSE)</f>
        <v>38</v>
      </c>
      <c r="AI972" t="str">
        <f t="shared" si="47"/>
        <v>H</v>
      </c>
    </row>
    <row r="973" spans="1:35" x14ac:dyDescent="0.2">
      <c r="A973">
        <v>975</v>
      </c>
      <c r="B973" t="s">
        <v>775</v>
      </c>
      <c r="C973" t="s">
        <v>2315</v>
      </c>
      <c r="D973" t="s">
        <v>41</v>
      </c>
      <c r="E973" t="s">
        <v>42</v>
      </c>
      <c r="F973" t="s">
        <v>34</v>
      </c>
      <c r="G973" t="s">
        <v>882</v>
      </c>
      <c r="J973" t="s">
        <v>2316</v>
      </c>
      <c r="K973" t="s">
        <v>38</v>
      </c>
      <c r="L973" t="s">
        <v>38</v>
      </c>
      <c r="M973" t="s">
        <v>38</v>
      </c>
      <c r="N973" t="s">
        <v>38</v>
      </c>
      <c r="O973" t="s">
        <v>38</v>
      </c>
      <c r="Q973">
        <v>0</v>
      </c>
      <c r="T973" t="s">
        <v>38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f t="shared" si="45"/>
        <v>1</v>
      </c>
      <c r="AF973">
        <f>VLOOKUP(D973,especies!$A$2:$C$9,3,FALSE)</f>
        <v>2</v>
      </c>
      <c r="AG973" t="str">
        <f t="shared" si="46"/>
        <v>2-DPC (Doméstico de pelo corto o DSH)</v>
      </c>
      <c r="AH973">
        <f>VLOOKUP('Fichas clínicas'!AG973,razas!$A$2:$D$66,3,FALSE)</f>
        <v>51</v>
      </c>
      <c r="AI973" t="str">
        <f t="shared" si="47"/>
        <v>H</v>
      </c>
    </row>
    <row r="974" spans="1:35" x14ac:dyDescent="0.2">
      <c r="A974">
        <v>976</v>
      </c>
      <c r="B974" t="s">
        <v>2317</v>
      </c>
      <c r="C974" t="s">
        <v>2318</v>
      </c>
      <c r="D974" t="s">
        <v>41</v>
      </c>
      <c r="E974" t="s">
        <v>93</v>
      </c>
      <c r="F974" t="s">
        <v>34</v>
      </c>
      <c r="G974" t="s">
        <v>2302</v>
      </c>
      <c r="J974" t="s">
        <v>2319</v>
      </c>
      <c r="K974" t="s">
        <v>38</v>
      </c>
      <c r="L974" t="s">
        <v>38</v>
      </c>
      <c r="M974" t="s">
        <v>38</v>
      </c>
      <c r="N974" t="s">
        <v>38</v>
      </c>
      <c r="O974" t="s">
        <v>38</v>
      </c>
      <c r="T974" t="s">
        <v>38</v>
      </c>
      <c r="U974">
        <v>0</v>
      </c>
      <c r="V974">
        <v>1</v>
      </c>
      <c r="W974">
        <v>0</v>
      </c>
      <c r="X974">
        <v>0</v>
      </c>
      <c r="Y974">
        <v>0</v>
      </c>
      <c r="AE974">
        <f t="shared" si="45"/>
        <v>1</v>
      </c>
      <c r="AF974">
        <f>VLOOKUP(D974,especies!$A$2:$C$9,3,FALSE)</f>
        <v>2</v>
      </c>
      <c r="AG974" t="str">
        <f t="shared" si="46"/>
        <v>2-DPL (Doméstico de pelo Largo o DLH)</v>
      </c>
      <c r="AH974">
        <f>VLOOKUP('Fichas clínicas'!AG974,razas!$A$2:$D$66,3,FALSE)</f>
        <v>52</v>
      </c>
      <c r="AI974" t="str">
        <f t="shared" si="47"/>
        <v>H</v>
      </c>
    </row>
    <row r="975" spans="1:35" x14ac:dyDescent="0.2">
      <c r="A975">
        <v>977</v>
      </c>
      <c r="B975" t="s">
        <v>2320</v>
      </c>
      <c r="C975" t="s">
        <v>2321</v>
      </c>
      <c r="D975" t="s">
        <v>41</v>
      </c>
      <c r="E975" t="s">
        <v>42</v>
      </c>
      <c r="F975" t="s">
        <v>47</v>
      </c>
      <c r="G975" t="s">
        <v>300</v>
      </c>
      <c r="J975" t="s">
        <v>2322</v>
      </c>
      <c r="K975" t="s">
        <v>38</v>
      </c>
      <c r="L975" t="s">
        <v>38</v>
      </c>
      <c r="M975" t="s">
        <v>38</v>
      </c>
      <c r="N975" t="s">
        <v>38</v>
      </c>
      <c r="O975" t="s">
        <v>38</v>
      </c>
      <c r="Q975">
        <v>0</v>
      </c>
      <c r="T975" t="s">
        <v>38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f t="shared" si="45"/>
        <v>1</v>
      </c>
      <c r="AF975">
        <f>VLOOKUP(D975,especies!$A$2:$C$9,3,FALSE)</f>
        <v>2</v>
      </c>
      <c r="AG975" t="str">
        <f t="shared" si="46"/>
        <v>2-DPC (Doméstico de pelo corto o DSH)</v>
      </c>
      <c r="AH975">
        <f>VLOOKUP('Fichas clínicas'!AG975,razas!$A$2:$D$66,3,FALSE)</f>
        <v>51</v>
      </c>
      <c r="AI975" t="str">
        <f t="shared" si="47"/>
        <v>M</v>
      </c>
    </row>
    <row r="976" spans="1:35" x14ac:dyDescent="0.2">
      <c r="A976">
        <v>978</v>
      </c>
      <c r="B976" t="s">
        <v>2323</v>
      </c>
      <c r="C976" t="s">
        <v>2324</v>
      </c>
      <c r="D976" t="s">
        <v>32</v>
      </c>
      <c r="E976" t="s">
        <v>970</v>
      </c>
      <c r="F976" t="s">
        <v>34</v>
      </c>
      <c r="G976" t="s">
        <v>2325</v>
      </c>
      <c r="J976" t="s">
        <v>2326</v>
      </c>
      <c r="K976" t="s">
        <v>38</v>
      </c>
      <c r="L976" t="s">
        <v>38</v>
      </c>
      <c r="M976" t="s">
        <v>38</v>
      </c>
      <c r="N976" t="s">
        <v>38</v>
      </c>
      <c r="O976" t="s">
        <v>38</v>
      </c>
      <c r="T976" t="s">
        <v>38</v>
      </c>
      <c r="U976">
        <v>0</v>
      </c>
      <c r="W976">
        <v>0</v>
      </c>
      <c r="X976">
        <v>0</v>
      </c>
      <c r="Y976">
        <v>0</v>
      </c>
      <c r="AE976">
        <f t="shared" si="45"/>
        <v>1</v>
      </c>
      <c r="AF976">
        <f>VLOOKUP(D976,especies!$A$2:$C$9,3,FALSE)</f>
        <v>1</v>
      </c>
      <c r="AG976" t="str">
        <f t="shared" si="46"/>
        <v>1-American Pit Bull Terrier</v>
      </c>
      <c r="AH976">
        <f>VLOOKUP('Fichas clínicas'!AG976,razas!$A$2:$D$66,3,FALSE)</f>
        <v>25</v>
      </c>
      <c r="AI976" t="str">
        <f t="shared" si="47"/>
        <v>H</v>
      </c>
    </row>
    <row r="977" spans="1:35" x14ac:dyDescent="0.2">
      <c r="A977">
        <v>979</v>
      </c>
      <c r="B977" t="s">
        <v>2327</v>
      </c>
      <c r="C977" t="s">
        <v>2328</v>
      </c>
      <c r="D977" t="s">
        <v>32</v>
      </c>
      <c r="E977" t="s">
        <v>33</v>
      </c>
      <c r="F977" t="s">
        <v>47</v>
      </c>
      <c r="G977" t="s">
        <v>2118</v>
      </c>
      <c r="J977" t="s">
        <v>841</v>
      </c>
      <c r="K977" t="s">
        <v>38</v>
      </c>
      <c r="L977" t="s">
        <v>38</v>
      </c>
      <c r="M977" t="s">
        <v>38</v>
      </c>
      <c r="N977" t="s">
        <v>38</v>
      </c>
      <c r="O977" t="s">
        <v>38</v>
      </c>
      <c r="Q977">
        <v>0</v>
      </c>
      <c r="T977" t="s">
        <v>38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f t="shared" si="45"/>
        <v>1</v>
      </c>
      <c r="AF977">
        <f>VLOOKUP(D977,especies!$A$2:$C$9,3,FALSE)</f>
        <v>1</v>
      </c>
      <c r="AG977" t="str">
        <f t="shared" si="46"/>
        <v>1-Mestizo</v>
      </c>
      <c r="AH977">
        <f>VLOOKUP('Fichas clínicas'!AG977,razas!$A$2:$D$66,3,FALSE)</f>
        <v>1</v>
      </c>
      <c r="AI977" t="str">
        <f t="shared" si="47"/>
        <v>M</v>
      </c>
    </row>
    <row r="978" spans="1:35" x14ac:dyDescent="0.2">
      <c r="A978">
        <v>980</v>
      </c>
      <c r="B978" t="s">
        <v>2329</v>
      </c>
      <c r="C978" t="s">
        <v>2330</v>
      </c>
      <c r="D978" t="s">
        <v>41</v>
      </c>
      <c r="E978" t="s">
        <v>93</v>
      </c>
      <c r="F978" t="s">
        <v>34</v>
      </c>
      <c r="G978" t="s">
        <v>1402</v>
      </c>
      <c r="J978" t="s">
        <v>1012</v>
      </c>
      <c r="K978" t="s">
        <v>38</v>
      </c>
      <c r="L978" t="s">
        <v>38</v>
      </c>
      <c r="M978" t="s">
        <v>38</v>
      </c>
      <c r="N978" t="s">
        <v>38</v>
      </c>
      <c r="O978" t="s">
        <v>38</v>
      </c>
      <c r="T978" t="s">
        <v>38</v>
      </c>
      <c r="U978">
        <v>0</v>
      </c>
      <c r="W978">
        <v>0</v>
      </c>
      <c r="X978">
        <v>0</v>
      </c>
      <c r="Y978">
        <v>0</v>
      </c>
      <c r="AE978">
        <f t="shared" si="45"/>
        <v>1</v>
      </c>
      <c r="AF978">
        <f>VLOOKUP(D978,especies!$A$2:$C$9,3,FALSE)</f>
        <v>2</v>
      </c>
      <c r="AG978" t="str">
        <f t="shared" si="46"/>
        <v>2-DPL (Doméstico de pelo Largo o DLH)</v>
      </c>
      <c r="AH978">
        <f>VLOOKUP('Fichas clínicas'!AG978,razas!$A$2:$D$66,3,FALSE)</f>
        <v>52</v>
      </c>
      <c r="AI978" t="str">
        <f t="shared" si="47"/>
        <v>H</v>
      </c>
    </row>
    <row r="979" spans="1:35" x14ac:dyDescent="0.2">
      <c r="A979">
        <v>981</v>
      </c>
      <c r="B979" t="s">
        <v>2329</v>
      </c>
      <c r="C979" t="s">
        <v>2331</v>
      </c>
      <c r="D979" t="s">
        <v>41</v>
      </c>
      <c r="E979" t="s">
        <v>42</v>
      </c>
      <c r="F979" t="s">
        <v>34</v>
      </c>
      <c r="G979" t="s">
        <v>2332</v>
      </c>
      <c r="J979" t="s">
        <v>1620</v>
      </c>
      <c r="K979" t="s">
        <v>38</v>
      </c>
      <c r="L979" t="s">
        <v>38</v>
      </c>
      <c r="M979" t="s">
        <v>38</v>
      </c>
      <c r="N979" t="s">
        <v>38</v>
      </c>
      <c r="O979" t="s">
        <v>38</v>
      </c>
      <c r="T979" t="s">
        <v>38</v>
      </c>
      <c r="U979">
        <v>0</v>
      </c>
      <c r="W979">
        <v>0</v>
      </c>
      <c r="X979">
        <v>0</v>
      </c>
      <c r="Y979">
        <v>0</v>
      </c>
      <c r="AE979">
        <f t="shared" si="45"/>
        <v>1</v>
      </c>
      <c r="AF979">
        <f>VLOOKUP(D979,especies!$A$2:$C$9,3,FALSE)</f>
        <v>2</v>
      </c>
      <c r="AG979" t="str">
        <f t="shared" si="46"/>
        <v>2-DPC (Doméstico de pelo corto o DSH)</v>
      </c>
      <c r="AH979">
        <f>VLOOKUP('Fichas clínicas'!AG979,razas!$A$2:$D$66,3,FALSE)</f>
        <v>51</v>
      </c>
      <c r="AI979" t="str">
        <f t="shared" si="47"/>
        <v>H</v>
      </c>
    </row>
    <row r="980" spans="1:35" x14ac:dyDescent="0.2">
      <c r="A980">
        <v>982</v>
      </c>
      <c r="B980" t="s">
        <v>2333</v>
      </c>
      <c r="C980" t="s">
        <v>2334</v>
      </c>
      <c r="D980" t="s">
        <v>32</v>
      </c>
      <c r="E980" t="s">
        <v>33</v>
      </c>
      <c r="F980" t="s">
        <v>47</v>
      </c>
      <c r="G980" t="s">
        <v>656</v>
      </c>
      <c r="J980" t="s">
        <v>348</v>
      </c>
      <c r="K980" t="s">
        <v>38</v>
      </c>
      <c r="L980" t="s">
        <v>38</v>
      </c>
      <c r="M980" t="s">
        <v>38</v>
      </c>
      <c r="N980" t="s">
        <v>38</v>
      </c>
      <c r="O980" t="s">
        <v>38</v>
      </c>
      <c r="T980" t="s">
        <v>38</v>
      </c>
      <c r="U980">
        <v>0</v>
      </c>
      <c r="W980">
        <v>0</v>
      </c>
      <c r="X980">
        <v>0</v>
      </c>
      <c r="Y980">
        <v>0</v>
      </c>
      <c r="AE980">
        <f t="shared" si="45"/>
        <v>1</v>
      </c>
      <c r="AF980">
        <f>VLOOKUP(D980,especies!$A$2:$C$9,3,FALSE)</f>
        <v>1</v>
      </c>
      <c r="AG980" t="str">
        <f t="shared" si="46"/>
        <v>1-Mestizo</v>
      </c>
      <c r="AH980">
        <f>VLOOKUP('Fichas clínicas'!AG980,razas!$A$2:$D$66,3,FALSE)</f>
        <v>1</v>
      </c>
      <c r="AI980" t="str">
        <f t="shared" si="47"/>
        <v>M</v>
      </c>
    </row>
    <row r="981" spans="1:35" x14ac:dyDescent="0.2">
      <c r="A981">
        <v>983</v>
      </c>
      <c r="B981" t="s">
        <v>2335</v>
      </c>
      <c r="C981" t="s">
        <v>2272</v>
      </c>
      <c r="D981" t="s">
        <v>32</v>
      </c>
      <c r="E981" t="s">
        <v>33</v>
      </c>
      <c r="F981" t="s">
        <v>47</v>
      </c>
      <c r="G981" t="s">
        <v>1543</v>
      </c>
      <c r="J981" t="s">
        <v>58</v>
      </c>
      <c r="K981" t="s">
        <v>38</v>
      </c>
      <c r="L981" t="s">
        <v>38</v>
      </c>
      <c r="M981" t="s">
        <v>38</v>
      </c>
      <c r="N981" t="s">
        <v>38</v>
      </c>
      <c r="O981" t="s">
        <v>38</v>
      </c>
      <c r="T981" t="s">
        <v>38</v>
      </c>
      <c r="U981">
        <v>0</v>
      </c>
      <c r="V981">
        <v>1</v>
      </c>
      <c r="W981">
        <v>0</v>
      </c>
      <c r="X981">
        <v>0</v>
      </c>
      <c r="Y981">
        <v>0</v>
      </c>
      <c r="AE981">
        <f t="shared" si="45"/>
        <v>1</v>
      </c>
      <c r="AF981">
        <f>VLOOKUP(D981,especies!$A$2:$C$9,3,FALSE)</f>
        <v>1</v>
      </c>
      <c r="AG981" t="str">
        <f t="shared" si="46"/>
        <v>1-Mestizo</v>
      </c>
      <c r="AH981">
        <f>VLOOKUP('Fichas clínicas'!AG981,razas!$A$2:$D$66,3,FALSE)</f>
        <v>1</v>
      </c>
      <c r="AI981" t="str">
        <f t="shared" si="47"/>
        <v>M</v>
      </c>
    </row>
    <row r="982" spans="1:35" x14ac:dyDescent="0.2">
      <c r="A982">
        <v>984</v>
      </c>
      <c r="B982" t="s">
        <v>1548</v>
      </c>
      <c r="C982" t="s">
        <v>2101</v>
      </c>
      <c r="D982" t="s">
        <v>41</v>
      </c>
      <c r="E982" t="s">
        <v>42</v>
      </c>
      <c r="F982" t="s">
        <v>34</v>
      </c>
      <c r="G982" t="s">
        <v>526</v>
      </c>
      <c r="J982" t="s">
        <v>2336</v>
      </c>
      <c r="K982" t="s">
        <v>38</v>
      </c>
      <c r="L982" t="s">
        <v>38</v>
      </c>
      <c r="M982" t="s">
        <v>38</v>
      </c>
      <c r="N982" t="s">
        <v>38</v>
      </c>
      <c r="O982" t="s">
        <v>38</v>
      </c>
      <c r="T982" t="s">
        <v>38</v>
      </c>
      <c r="U982">
        <v>0</v>
      </c>
      <c r="W982">
        <v>0</v>
      </c>
      <c r="X982">
        <v>0</v>
      </c>
      <c r="Y982">
        <v>0</v>
      </c>
      <c r="AE982">
        <f t="shared" si="45"/>
        <v>1</v>
      </c>
      <c r="AF982">
        <f>VLOOKUP(D982,especies!$A$2:$C$9,3,FALSE)</f>
        <v>2</v>
      </c>
      <c r="AG982" t="str">
        <f t="shared" si="46"/>
        <v>2-DPC (Doméstico de pelo corto o DSH)</v>
      </c>
      <c r="AH982">
        <f>VLOOKUP('Fichas clínicas'!AG982,razas!$A$2:$D$66,3,FALSE)</f>
        <v>51</v>
      </c>
      <c r="AI982" t="str">
        <f t="shared" si="47"/>
        <v>H</v>
      </c>
    </row>
    <row r="983" spans="1:35" x14ac:dyDescent="0.2">
      <c r="A983">
        <v>985</v>
      </c>
      <c r="B983" t="s">
        <v>2337</v>
      </c>
      <c r="C983" t="s">
        <v>2338</v>
      </c>
      <c r="D983" t="s">
        <v>32</v>
      </c>
      <c r="E983" t="s">
        <v>33</v>
      </c>
      <c r="F983" t="s">
        <v>34</v>
      </c>
      <c r="G983" t="s">
        <v>73</v>
      </c>
      <c r="J983" t="s">
        <v>2339</v>
      </c>
      <c r="K983" t="s">
        <v>38</v>
      </c>
      <c r="L983" t="s">
        <v>38</v>
      </c>
      <c r="M983" t="s">
        <v>38</v>
      </c>
      <c r="N983" t="s">
        <v>38</v>
      </c>
      <c r="O983" t="s">
        <v>38</v>
      </c>
      <c r="T983" t="s">
        <v>38</v>
      </c>
      <c r="U983">
        <v>0</v>
      </c>
      <c r="W983">
        <v>0</v>
      </c>
      <c r="X983">
        <v>0</v>
      </c>
      <c r="Y983">
        <v>0</v>
      </c>
      <c r="AE983">
        <f t="shared" si="45"/>
        <v>1</v>
      </c>
      <c r="AF983">
        <f>VLOOKUP(D983,especies!$A$2:$C$9,3,FALSE)</f>
        <v>1</v>
      </c>
      <c r="AG983" t="str">
        <f t="shared" si="46"/>
        <v>1-Mestizo</v>
      </c>
      <c r="AH983">
        <f>VLOOKUP('Fichas clínicas'!AG983,razas!$A$2:$D$66,3,FALSE)</f>
        <v>1</v>
      </c>
      <c r="AI983" t="str">
        <f t="shared" si="47"/>
        <v>H</v>
      </c>
    </row>
    <row r="984" spans="1:35" x14ac:dyDescent="0.2">
      <c r="A984">
        <v>986</v>
      </c>
      <c r="B984" t="s">
        <v>381</v>
      </c>
      <c r="C984" t="s">
        <v>2340</v>
      </c>
      <c r="D984" t="s">
        <v>32</v>
      </c>
      <c r="E984" t="s">
        <v>150</v>
      </c>
      <c r="F984" t="s">
        <v>47</v>
      </c>
      <c r="G984" t="s">
        <v>123</v>
      </c>
      <c r="J984" t="s">
        <v>407</v>
      </c>
      <c r="K984" t="s">
        <v>38</v>
      </c>
      <c r="L984" t="s">
        <v>38</v>
      </c>
      <c r="M984" t="s">
        <v>38</v>
      </c>
      <c r="N984" t="s">
        <v>38</v>
      </c>
      <c r="O984" t="s">
        <v>38</v>
      </c>
      <c r="T984" t="s">
        <v>38</v>
      </c>
      <c r="U984">
        <v>0</v>
      </c>
      <c r="V984">
        <v>1</v>
      </c>
      <c r="W984">
        <v>0</v>
      </c>
      <c r="X984">
        <v>0</v>
      </c>
      <c r="Y984">
        <v>0</v>
      </c>
      <c r="AE984">
        <f t="shared" si="45"/>
        <v>1</v>
      </c>
      <c r="AF984">
        <f>VLOOKUP(D984,especies!$A$2:$C$9,3,FALSE)</f>
        <v>1</v>
      </c>
      <c r="AG984" t="str">
        <f t="shared" si="46"/>
        <v>1-Poodle</v>
      </c>
      <c r="AH984">
        <f>VLOOKUP('Fichas clínicas'!AG984,razas!$A$2:$D$66,3,FALSE)</f>
        <v>6</v>
      </c>
      <c r="AI984" t="str">
        <f t="shared" si="47"/>
        <v>M</v>
      </c>
    </row>
    <row r="985" spans="1:35" x14ac:dyDescent="0.2">
      <c r="A985">
        <v>987</v>
      </c>
      <c r="B985" t="s">
        <v>2341</v>
      </c>
      <c r="C985" t="s">
        <v>2342</v>
      </c>
      <c r="D985" t="s">
        <v>32</v>
      </c>
      <c r="E985" t="s">
        <v>143</v>
      </c>
      <c r="F985" t="s">
        <v>47</v>
      </c>
      <c r="G985" t="s">
        <v>2267</v>
      </c>
      <c r="J985" t="s">
        <v>2343</v>
      </c>
      <c r="K985" t="s">
        <v>38</v>
      </c>
      <c r="L985" t="s">
        <v>38</v>
      </c>
      <c r="M985" t="s">
        <v>38</v>
      </c>
      <c r="N985" t="s">
        <v>38</v>
      </c>
      <c r="O985" t="s">
        <v>38</v>
      </c>
      <c r="Q985">
        <v>0</v>
      </c>
      <c r="T985" t="s">
        <v>38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f t="shared" si="45"/>
        <v>1</v>
      </c>
      <c r="AF985">
        <f>VLOOKUP(D985,especies!$A$2:$C$9,3,FALSE)</f>
        <v>1</v>
      </c>
      <c r="AG985" t="str">
        <f t="shared" si="46"/>
        <v>1-Yorkshire Terrier</v>
      </c>
      <c r="AH985">
        <f>VLOOKUP('Fichas clínicas'!AG985,razas!$A$2:$D$66,3,FALSE)</f>
        <v>5</v>
      </c>
      <c r="AI985" t="str">
        <f t="shared" si="47"/>
        <v>M</v>
      </c>
    </row>
    <row r="986" spans="1:35" x14ac:dyDescent="0.2">
      <c r="A986">
        <v>988</v>
      </c>
      <c r="B986" t="s">
        <v>2344</v>
      </c>
      <c r="C986" t="s">
        <v>2345</v>
      </c>
      <c r="D986" t="s">
        <v>32</v>
      </c>
      <c r="E986" t="s">
        <v>33</v>
      </c>
      <c r="F986" t="s">
        <v>34</v>
      </c>
      <c r="G986" t="s">
        <v>300</v>
      </c>
      <c r="J986" t="s">
        <v>2224</v>
      </c>
      <c r="K986" t="s">
        <v>38</v>
      </c>
      <c r="L986" t="s">
        <v>38</v>
      </c>
      <c r="M986" t="s">
        <v>38</v>
      </c>
      <c r="N986" t="s">
        <v>38</v>
      </c>
      <c r="O986" t="s">
        <v>38</v>
      </c>
      <c r="T986" t="s">
        <v>38</v>
      </c>
      <c r="U986">
        <v>0</v>
      </c>
      <c r="W986">
        <v>0</v>
      </c>
      <c r="X986">
        <v>0</v>
      </c>
      <c r="Y986">
        <v>0</v>
      </c>
      <c r="AE986">
        <f t="shared" si="45"/>
        <v>1</v>
      </c>
      <c r="AF986">
        <f>VLOOKUP(D986,especies!$A$2:$C$9,3,FALSE)</f>
        <v>1</v>
      </c>
      <c r="AG986" t="str">
        <f t="shared" si="46"/>
        <v>1-Mestizo</v>
      </c>
      <c r="AH986">
        <f>VLOOKUP('Fichas clínicas'!AG986,razas!$A$2:$D$66,3,FALSE)</f>
        <v>1</v>
      </c>
      <c r="AI986" t="str">
        <f t="shared" si="47"/>
        <v>H</v>
      </c>
    </row>
    <row r="987" spans="1:35" x14ac:dyDescent="0.2">
      <c r="A987">
        <v>989</v>
      </c>
      <c r="B987" t="s">
        <v>2007</v>
      </c>
      <c r="C987" t="s">
        <v>2346</v>
      </c>
      <c r="D987" t="s">
        <v>41</v>
      </c>
      <c r="E987" t="s">
        <v>42</v>
      </c>
      <c r="F987" t="s">
        <v>47</v>
      </c>
      <c r="G987" t="s">
        <v>1073</v>
      </c>
      <c r="I987">
        <v>999020190506696</v>
      </c>
      <c r="J987" t="s">
        <v>2347</v>
      </c>
      <c r="K987" t="s">
        <v>38</v>
      </c>
      <c r="L987" t="s">
        <v>38</v>
      </c>
      <c r="M987" t="s">
        <v>38</v>
      </c>
      <c r="N987" t="s">
        <v>38</v>
      </c>
      <c r="O987" t="s">
        <v>38</v>
      </c>
      <c r="Q987">
        <v>0</v>
      </c>
      <c r="T987" t="s">
        <v>38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f t="shared" si="45"/>
        <v>1</v>
      </c>
      <c r="AF987">
        <f>VLOOKUP(D987,especies!$A$2:$C$9,3,FALSE)</f>
        <v>2</v>
      </c>
      <c r="AG987" t="str">
        <f t="shared" si="46"/>
        <v>2-DPC (Doméstico de pelo corto o DSH)</v>
      </c>
      <c r="AH987">
        <f>VLOOKUP('Fichas clínicas'!AG987,razas!$A$2:$D$66,3,FALSE)</f>
        <v>51</v>
      </c>
      <c r="AI987" t="str">
        <f t="shared" si="47"/>
        <v>M</v>
      </c>
    </row>
    <row r="988" spans="1:35" x14ac:dyDescent="0.2">
      <c r="A988">
        <v>990</v>
      </c>
      <c r="B988" t="s">
        <v>2007</v>
      </c>
      <c r="C988" t="s">
        <v>2348</v>
      </c>
      <c r="D988" t="s">
        <v>41</v>
      </c>
      <c r="E988" t="s">
        <v>42</v>
      </c>
      <c r="F988" t="s">
        <v>47</v>
      </c>
      <c r="G988" t="s">
        <v>1054</v>
      </c>
      <c r="I988">
        <v>999020190506686</v>
      </c>
      <c r="J988" t="s">
        <v>2224</v>
      </c>
      <c r="K988" t="s">
        <v>38</v>
      </c>
      <c r="L988" t="s">
        <v>38</v>
      </c>
      <c r="M988" t="s">
        <v>38</v>
      </c>
      <c r="N988" t="s">
        <v>38</v>
      </c>
      <c r="O988" t="s">
        <v>38</v>
      </c>
      <c r="Q988">
        <v>0</v>
      </c>
      <c r="T988" t="s">
        <v>38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f t="shared" si="45"/>
        <v>1</v>
      </c>
      <c r="AF988">
        <f>VLOOKUP(D988,especies!$A$2:$C$9,3,FALSE)</f>
        <v>2</v>
      </c>
      <c r="AG988" t="str">
        <f t="shared" si="46"/>
        <v>2-DPC (Doméstico de pelo corto o DSH)</v>
      </c>
      <c r="AH988">
        <f>VLOOKUP('Fichas clínicas'!AG988,razas!$A$2:$D$66,3,FALSE)</f>
        <v>51</v>
      </c>
      <c r="AI988" t="str">
        <f t="shared" si="47"/>
        <v>M</v>
      </c>
    </row>
    <row r="989" spans="1:35" x14ac:dyDescent="0.2">
      <c r="A989">
        <v>991</v>
      </c>
      <c r="B989" t="s">
        <v>2349</v>
      </c>
      <c r="C989" t="s">
        <v>2350</v>
      </c>
      <c r="D989" t="s">
        <v>32</v>
      </c>
      <c r="E989" t="s">
        <v>994</v>
      </c>
      <c r="F989" t="s">
        <v>34</v>
      </c>
      <c r="G989" t="s">
        <v>2351</v>
      </c>
      <c r="J989" t="s">
        <v>82</v>
      </c>
      <c r="K989" t="s">
        <v>38</v>
      </c>
      <c r="L989" t="s">
        <v>38</v>
      </c>
      <c r="M989" t="s">
        <v>38</v>
      </c>
      <c r="N989" t="s">
        <v>38</v>
      </c>
      <c r="O989" t="s">
        <v>38</v>
      </c>
      <c r="T989" t="s">
        <v>38</v>
      </c>
      <c r="U989">
        <v>0</v>
      </c>
      <c r="W989">
        <v>0</v>
      </c>
      <c r="X989">
        <v>0</v>
      </c>
      <c r="Y989">
        <v>0</v>
      </c>
      <c r="AE989">
        <f t="shared" si="45"/>
        <v>1</v>
      </c>
      <c r="AF989">
        <f>VLOOKUP(D989,especies!$A$2:$C$9,3,FALSE)</f>
        <v>1</v>
      </c>
      <c r="AG989" t="str">
        <f t="shared" si="46"/>
        <v>1-Bulldog Francés</v>
      </c>
      <c r="AH989">
        <f>VLOOKUP('Fichas clínicas'!AG989,razas!$A$2:$D$66,3,FALSE)</f>
        <v>26</v>
      </c>
      <c r="AI989" t="str">
        <f t="shared" si="47"/>
        <v>H</v>
      </c>
    </row>
    <row r="990" spans="1:35" x14ac:dyDescent="0.2">
      <c r="A990">
        <v>992</v>
      </c>
      <c r="B990" t="s">
        <v>2352</v>
      </c>
      <c r="C990" t="s">
        <v>2353</v>
      </c>
      <c r="D990" t="s">
        <v>32</v>
      </c>
      <c r="E990" t="s">
        <v>823</v>
      </c>
      <c r="F990" t="s">
        <v>47</v>
      </c>
      <c r="G990" t="s">
        <v>102</v>
      </c>
      <c r="H990">
        <v>999020190506694</v>
      </c>
      <c r="J990" t="s">
        <v>2354</v>
      </c>
      <c r="K990" t="s">
        <v>2355</v>
      </c>
      <c r="L990" t="s">
        <v>38</v>
      </c>
      <c r="M990" t="s">
        <v>38</v>
      </c>
      <c r="N990" t="s">
        <v>38</v>
      </c>
      <c r="O990" t="s">
        <v>38</v>
      </c>
      <c r="Q990">
        <v>0</v>
      </c>
      <c r="T990" t="s">
        <v>38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f t="shared" si="45"/>
        <v>1</v>
      </c>
      <c r="AF990">
        <f>VLOOKUP(D990,especies!$A$2:$C$9,3,FALSE)</f>
        <v>1</v>
      </c>
      <c r="AG990" t="str">
        <f t="shared" si="46"/>
        <v>1-Dogo Argentino</v>
      </c>
      <c r="AH990">
        <f>VLOOKUP('Fichas clínicas'!AG990,razas!$A$2:$D$66,3,FALSE)</f>
        <v>19</v>
      </c>
      <c r="AI990" t="str">
        <f t="shared" si="47"/>
        <v>M</v>
      </c>
    </row>
    <row r="991" spans="1:35" x14ac:dyDescent="0.2">
      <c r="A991">
        <v>993</v>
      </c>
      <c r="B991" t="s">
        <v>1807</v>
      </c>
      <c r="C991" t="s">
        <v>2356</v>
      </c>
      <c r="D991" t="s">
        <v>32</v>
      </c>
      <c r="E991" t="s">
        <v>150</v>
      </c>
      <c r="F991" t="s">
        <v>34</v>
      </c>
      <c r="G991" t="s">
        <v>1547</v>
      </c>
      <c r="J991" t="s">
        <v>2306</v>
      </c>
      <c r="K991" t="s">
        <v>38</v>
      </c>
      <c r="L991" t="s">
        <v>38</v>
      </c>
      <c r="M991" t="s">
        <v>38</v>
      </c>
      <c r="N991" t="s">
        <v>38</v>
      </c>
      <c r="O991" t="s">
        <v>38</v>
      </c>
      <c r="T991" t="s">
        <v>38</v>
      </c>
      <c r="U991">
        <v>0</v>
      </c>
      <c r="V991">
        <v>1</v>
      </c>
      <c r="W991">
        <v>0</v>
      </c>
      <c r="X991">
        <v>0</v>
      </c>
      <c r="Y991">
        <v>0</v>
      </c>
      <c r="AE991">
        <f t="shared" si="45"/>
        <v>1</v>
      </c>
      <c r="AF991">
        <f>VLOOKUP(D991,especies!$A$2:$C$9,3,FALSE)</f>
        <v>1</v>
      </c>
      <c r="AG991" t="str">
        <f t="shared" si="46"/>
        <v>1-Poodle</v>
      </c>
      <c r="AH991">
        <f>VLOOKUP('Fichas clínicas'!AG991,razas!$A$2:$D$66,3,FALSE)</f>
        <v>6</v>
      </c>
      <c r="AI991" t="str">
        <f t="shared" si="47"/>
        <v>H</v>
      </c>
    </row>
    <row r="992" spans="1:35" x14ac:dyDescent="0.2">
      <c r="A992">
        <v>994</v>
      </c>
      <c r="B992" t="s">
        <v>1120</v>
      </c>
      <c r="C992" t="s">
        <v>108</v>
      </c>
      <c r="D992" t="s">
        <v>41</v>
      </c>
      <c r="E992" t="s">
        <v>93</v>
      </c>
      <c r="F992" t="s">
        <v>34</v>
      </c>
      <c r="G992" t="s">
        <v>840</v>
      </c>
      <c r="J992" t="s">
        <v>2357</v>
      </c>
      <c r="K992" t="s">
        <v>38</v>
      </c>
      <c r="L992" t="s">
        <v>38</v>
      </c>
      <c r="M992" t="s">
        <v>38</v>
      </c>
      <c r="N992" t="s">
        <v>38</v>
      </c>
      <c r="O992" t="s">
        <v>38</v>
      </c>
      <c r="T992" t="s">
        <v>38</v>
      </c>
      <c r="U992">
        <v>0</v>
      </c>
      <c r="V992">
        <v>1</v>
      </c>
      <c r="W992">
        <v>0</v>
      </c>
      <c r="X992">
        <v>0</v>
      </c>
      <c r="Y992">
        <v>0</v>
      </c>
      <c r="AE992">
        <f t="shared" si="45"/>
        <v>1</v>
      </c>
      <c r="AF992">
        <f>VLOOKUP(D992,especies!$A$2:$C$9,3,FALSE)</f>
        <v>2</v>
      </c>
      <c r="AG992" t="str">
        <f t="shared" si="46"/>
        <v>2-DPL (Doméstico de pelo Largo o DLH)</v>
      </c>
      <c r="AH992">
        <f>VLOOKUP('Fichas clínicas'!AG992,razas!$A$2:$D$66,3,FALSE)</f>
        <v>52</v>
      </c>
      <c r="AI992" t="str">
        <f t="shared" si="47"/>
        <v>H</v>
      </c>
    </row>
    <row r="993" spans="1:35" x14ac:dyDescent="0.2">
      <c r="A993">
        <v>995</v>
      </c>
      <c r="B993" t="s">
        <v>2358</v>
      </c>
      <c r="C993" t="s">
        <v>2359</v>
      </c>
      <c r="D993" t="s">
        <v>41</v>
      </c>
      <c r="E993" t="s">
        <v>42</v>
      </c>
      <c r="F993" t="s">
        <v>47</v>
      </c>
      <c r="G993" t="s">
        <v>77</v>
      </c>
      <c r="J993" t="s">
        <v>2347</v>
      </c>
      <c r="K993" t="s">
        <v>38</v>
      </c>
      <c r="L993" t="s">
        <v>38</v>
      </c>
      <c r="M993" t="s">
        <v>38</v>
      </c>
      <c r="N993" t="s">
        <v>38</v>
      </c>
      <c r="O993" t="s">
        <v>38</v>
      </c>
      <c r="T993" t="s">
        <v>38</v>
      </c>
      <c r="U993">
        <v>0</v>
      </c>
      <c r="W993">
        <v>0</v>
      </c>
      <c r="X993">
        <v>0</v>
      </c>
      <c r="Y993">
        <v>0</v>
      </c>
      <c r="AE993">
        <f t="shared" si="45"/>
        <v>1</v>
      </c>
      <c r="AF993">
        <f>VLOOKUP(D993,especies!$A$2:$C$9,3,FALSE)</f>
        <v>2</v>
      </c>
      <c r="AG993" t="str">
        <f t="shared" si="46"/>
        <v>2-DPC (Doméstico de pelo corto o DSH)</v>
      </c>
      <c r="AH993">
        <f>VLOOKUP('Fichas clínicas'!AG993,razas!$A$2:$D$66,3,FALSE)</f>
        <v>51</v>
      </c>
      <c r="AI993" t="str">
        <f t="shared" si="47"/>
        <v>M</v>
      </c>
    </row>
    <row r="994" spans="1:35" x14ac:dyDescent="0.2">
      <c r="A994">
        <v>996</v>
      </c>
      <c r="B994" t="s">
        <v>2360</v>
      </c>
      <c r="C994" t="s">
        <v>2361</v>
      </c>
      <c r="D994" t="s">
        <v>32</v>
      </c>
      <c r="E994" t="s">
        <v>33</v>
      </c>
      <c r="F994" t="s">
        <v>47</v>
      </c>
      <c r="G994" t="s">
        <v>1547</v>
      </c>
      <c r="J994" t="s">
        <v>58</v>
      </c>
      <c r="K994" t="s">
        <v>38</v>
      </c>
      <c r="L994" t="s">
        <v>38</v>
      </c>
      <c r="M994" t="s">
        <v>38</v>
      </c>
      <c r="N994" t="s">
        <v>38</v>
      </c>
      <c r="O994" t="s">
        <v>38</v>
      </c>
      <c r="T994" t="s">
        <v>38</v>
      </c>
      <c r="U994">
        <v>0</v>
      </c>
      <c r="W994">
        <v>0</v>
      </c>
      <c r="X994">
        <v>0</v>
      </c>
      <c r="Y994">
        <v>0</v>
      </c>
      <c r="AE994">
        <f t="shared" si="45"/>
        <v>1</v>
      </c>
      <c r="AF994">
        <f>VLOOKUP(D994,especies!$A$2:$C$9,3,FALSE)</f>
        <v>1</v>
      </c>
      <c r="AG994" t="str">
        <f t="shared" si="46"/>
        <v>1-Mestizo</v>
      </c>
      <c r="AH994">
        <f>VLOOKUP('Fichas clínicas'!AG994,razas!$A$2:$D$66,3,FALSE)</f>
        <v>1</v>
      </c>
      <c r="AI994" t="str">
        <f t="shared" si="47"/>
        <v>M</v>
      </c>
    </row>
    <row r="995" spans="1:35" x14ac:dyDescent="0.2">
      <c r="A995">
        <v>997</v>
      </c>
      <c r="B995" t="s">
        <v>2362</v>
      </c>
      <c r="C995" t="s">
        <v>239</v>
      </c>
      <c r="D995" t="s">
        <v>41</v>
      </c>
      <c r="E995" t="s">
        <v>42</v>
      </c>
      <c r="F995" t="s">
        <v>34</v>
      </c>
      <c r="G995" t="s">
        <v>77</v>
      </c>
      <c r="I995">
        <v>991001002751479</v>
      </c>
      <c r="J995" t="s">
        <v>2363</v>
      </c>
      <c r="K995" t="s">
        <v>38</v>
      </c>
      <c r="L995" t="s">
        <v>38</v>
      </c>
      <c r="M995" t="s">
        <v>38</v>
      </c>
      <c r="N995" t="s">
        <v>38</v>
      </c>
      <c r="O995" t="s">
        <v>38</v>
      </c>
      <c r="Q995">
        <v>0</v>
      </c>
      <c r="T995" t="s">
        <v>38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f t="shared" si="45"/>
        <v>1</v>
      </c>
      <c r="AF995">
        <f>VLOOKUP(D995,especies!$A$2:$C$9,3,FALSE)</f>
        <v>2</v>
      </c>
      <c r="AG995" t="str">
        <f t="shared" si="46"/>
        <v>2-DPC (Doméstico de pelo corto o DSH)</v>
      </c>
      <c r="AH995">
        <f>VLOOKUP('Fichas clínicas'!AG995,razas!$A$2:$D$66,3,FALSE)</f>
        <v>51</v>
      </c>
      <c r="AI995" t="str">
        <f t="shared" si="47"/>
        <v>H</v>
      </c>
    </row>
    <row r="996" spans="1:35" x14ac:dyDescent="0.2">
      <c r="A996">
        <v>998</v>
      </c>
      <c r="B996" t="s">
        <v>279</v>
      </c>
      <c r="C996" t="s">
        <v>2364</v>
      </c>
      <c r="D996" t="s">
        <v>41</v>
      </c>
      <c r="E996" t="s">
        <v>42</v>
      </c>
      <c r="F996" t="s">
        <v>34</v>
      </c>
      <c r="G996" t="s">
        <v>587</v>
      </c>
      <c r="J996" t="s">
        <v>2365</v>
      </c>
      <c r="K996" t="s">
        <v>38</v>
      </c>
      <c r="L996" t="s">
        <v>38</v>
      </c>
      <c r="M996" t="s">
        <v>38</v>
      </c>
      <c r="N996" t="s">
        <v>38</v>
      </c>
      <c r="O996" t="s">
        <v>38</v>
      </c>
      <c r="T996" t="s">
        <v>38</v>
      </c>
      <c r="U996">
        <v>0</v>
      </c>
      <c r="W996">
        <v>0</v>
      </c>
      <c r="X996">
        <v>0</v>
      </c>
      <c r="Y996">
        <v>0</v>
      </c>
      <c r="AE996">
        <f t="shared" si="45"/>
        <v>1</v>
      </c>
      <c r="AF996">
        <f>VLOOKUP(D996,especies!$A$2:$C$9,3,FALSE)</f>
        <v>2</v>
      </c>
      <c r="AG996" t="str">
        <f t="shared" si="46"/>
        <v>2-DPC (Doméstico de pelo corto o DSH)</v>
      </c>
      <c r="AH996">
        <f>VLOOKUP('Fichas clínicas'!AG996,razas!$A$2:$D$66,3,FALSE)</f>
        <v>51</v>
      </c>
      <c r="AI996" t="str">
        <f t="shared" si="47"/>
        <v>H</v>
      </c>
    </row>
    <row r="997" spans="1:35" x14ac:dyDescent="0.2">
      <c r="A997">
        <v>999</v>
      </c>
      <c r="B997" t="s">
        <v>2366</v>
      </c>
      <c r="C997" t="s">
        <v>2367</v>
      </c>
      <c r="D997" t="s">
        <v>32</v>
      </c>
      <c r="E997" t="s">
        <v>63</v>
      </c>
      <c r="F997" t="s">
        <v>34</v>
      </c>
      <c r="G997" t="s">
        <v>199</v>
      </c>
      <c r="J997" t="s">
        <v>2368</v>
      </c>
      <c r="K997" t="s">
        <v>38</v>
      </c>
      <c r="L997" t="s">
        <v>38</v>
      </c>
      <c r="M997" t="s">
        <v>38</v>
      </c>
      <c r="N997" t="s">
        <v>38</v>
      </c>
      <c r="O997" t="s">
        <v>38</v>
      </c>
      <c r="T997" t="s">
        <v>38</v>
      </c>
      <c r="U997">
        <v>0</v>
      </c>
      <c r="V997">
        <v>1</v>
      </c>
      <c r="W997">
        <v>0</v>
      </c>
      <c r="X997">
        <v>0</v>
      </c>
      <c r="Y997">
        <v>0</v>
      </c>
      <c r="AE997">
        <f t="shared" si="45"/>
        <v>1</v>
      </c>
      <c r="AF997">
        <f>VLOOKUP(D997,especies!$A$2:$C$9,3,FALSE)</f>
        <v>1</v>
      </c>
      <c r="AG997" t="str">
        <f t="shared" si="46"/>
        <v>1-Fox Terrier Pelo Corto</v>
      </c>
      <c r="AH997">
        <f>VLOOKUP('Fichas clínicas'!AG997,razas!$A$2:$D$66,3,FALSE)</f>
        <v>2</v>
      </c>
      <c r="AI997" t="str">
        <f t="shared" si="47"/>
        <v>H</v>
      </c>
    </row>
    <row r="998" spans="1:35" x14ac:dyDescent="0.2">
      <c r="A998">
        <v>1000</v>
      </c>
      <c r="B998" t="s">
        <v>2369</v>
      </c>
      <c r="C998" t="s">
        <v>2370</v>
      </c>
      <c r="D998" t="s">
        <v>32</v>
      </c>
      <c r="E998" t="s">
        <v>150</v>
      </c>
      <c r="F998" t="s">
        <v>47</v>
      </c>
      <c r="G998" t="s">
        <v>102</v>
      </c>
      <c r="J998" t="s">
        <v>2371</v>
      </c>
      <c r="K998" t="s">
        <v>38</v>
      </c>
      <c r="L998" t="s">
        <v>38</v>
      </c>
      <c r="M998" t="s">
        <v>38</v>
      </c>
      <c r="N998" t="s">
        <v>38</v>
      </c>
      <c r="O998" t="s">
        <v>38</v>
      </c>
      <c r="T998" t="s">
        <v>38</v>
      </c>
      <c r="U998">
        <v>0</v>
      </c>
      <c r="V998">
        <v>1</v>
      </c>
      <c r="W998">
        <v>0</v>
      </c>
      <c r="X998">
        <v>0</v>
      </c>
      <c r="Y998">
        <v>0</v>
      </c>
      <c r="AE998">
        <f t="shared" si="45"/>
        <v>1</v>
      </c>
      <c r="AF998">
        <f>VLOOKUP(D998,especies!$A$2:$C$9,3,FALSE)</f>
        <v>1</v>
      </c>
      <c r="AG998" t="str">
        <f t="shared" si="46"/>
        <v>1-Poodle</v>
      </c>
      <c r="AH998">
        <f>VLOOKUP('Fichas clínicas'!AG998,razas!$A$2:$D$66,3,FALSE)</f>
        <v>6</v>
      </c>
      <c r="AI998" t="str">
        <f t="shared" si="47"/>
        <v>M</v>
      </c>
    </row>
    <row r="999" spans="1:35" x14ac:dyDescent="0.2">
      <c r="A999">
        <v>1001</v>
      </c>
      <c r="B999" t="s">
        <v>2369</v>
      </c>
      <c r="C999" t="s">
        <v>2370</v>
      </c>
      <c r="D999" t="s">
        <v>32</v>
      </c>
      <c r="E999" t="s">
        <v>150</v>
      </c>
      <c r="F999" t="s">
        <v>47</v>
      </c>
      <c r="G999" t="s">
        <v>102</v>
      </c>
      <c r="J999" t="s">
        <v>2372</v>
      </c>
      <c r="K999" t="s">
        <v>38</v>
      </c>
      <c r="L999" t="s">
        <v>38</v>
      </c>
      <c r="M999" t="s">
        <v>38</v>
      </c>
      <c r="N999" t="s">
        <v>38</v>
      </c>
      <c r="O999" t="s">
        <v>38</v>
      </c>
      <c r="T999" t="s">
        <v>38</v>
      </c>
      <c r="U999">
        <v>0</v>
      </c>
      <c r="V999">
        <v>1</v>
      </c>
      <c r="W999">
        <v>0</v>
      </c>
      <c r="X999">
        <v>0</v>
      </c>
      <c r="Y999">
        <v>0</v>
      </c>
      <c r="AE999">
        <f t="shared" si="45"/>
        <v>1</v>
      </c>
      <c r="AF999">
        <f>VLOOKUP(D999,especies!$A$2:$C$9,3,FALSE)</f>
        <v>1</v>
      </c>
      <c r="AG999" t="str">
        <f t="shared" si="46"/>
        <v>1-Poodle</v>
      </c>
      <c r="AH999">
        <f>VLOOKUP('Fichas clínicas'!AG999,razas!$A$2:$D$66,3,FALSE)</f>
        <v>6</v>
      </c>
      <c r="AI999" t="str">
        <f t="shared" si="47"/>
        <v>M</v>
      </c>
    </row>
    <row r="1000" spans="1:35" x14ac:dyDescent="0.2">
      <c r="A1000">
        <v>1002</v>
      </c>
      <c r="B1000" t="s">
        <v>2369</v>
      </c>
      <c r="C1000" t="s">
        <v>559</v>
      </c>
      <c r="D1000" t="s">
        <v>32</v>
      </c>
      <c r="E1000" t="s">
        <v>150</v>
      </c>
      <c r="F1000" t="s">
        <v>34</v>
      </c>
      <c r="G1000" t="s">
        <v>1547</v>
      </c>
      <c r="J1000" t="s">
        <v>1738</v>
      </c>
      <c r="K1000" t="s">
        <v>38</v>
      </c>
      <c r="L1000" t="s">
        <v>38</v>
      </c>
      <c r="M1000" t="s">
        <v>38</v>
      </c>
      <c r="N1000" t="s">
        <v>38</v>
      </c>
      <c r="O1000" t="s">
        <v>38</v>
      </c>
      <c r="T1000" t="s">
        <v>38</v>
      </c>
      <c r="U1000">
        <v>0</v>
      </c>
      <c r="W1000">
        <v>0</v>
      </c>
      <c r="X1000">
        <v>0</v>
      </c>
      <c r="Y1000">
        <v>0</v>
      </c>
      <c r="AE1000">
        <f t="shared" si="45"/>
        <v>1</v>
      </c>
      <c r="AF1000">
        <f>VLOOKUP(D1000,especies!$A$2:$C$9,3,FALSE)</f>
        <v>1</v>
      </c>
      <c r="AG1000" t="str">
        <f t="shared" si="46"/>
        <v>1-Poodle</v>
      </c>
      <c r="AH1000">
        <f>VLOOKUP('Fichas clínicas'!AG1000,razas!$A$2:$D$66,3,FALSE)</f>
        <v>6</v>
      </c>
      <c r="AI1000" t="str">
        <f t="shared" si="47"/>
        <v>H</v>
      </c>
    </row>
    <row r="1001" spans="1:35" x14ac:dyDescent="0.2">
      <c r="A1001">
        <v>1003</v>
      </c>
      <c r="B1001" t="s">
        <v>2373</v>
      </c>
      <c r="C1001" t="s">
        <v>2374</v>
      </c>
      <c r="D1001" t="s">
        <v>32</v>
      </c>
      <c r="E1001" t="s">
        <v>2375</v>
      </c>
      <c r="F1001" t="s">
        <v>47</v>
      </c>
      <c r="G1001" t="s">
        <v>81</v>
      </c>
      <c r="J1001" t="s">
        <v>2376</v>
      </c>
      <c r="K1001" t="s">
        <v>38</v>
      </c>
      <c r="L1001" t="s">
        <v>38</v>
      </c>
      <c r="M1001" t="s">
        <v>38</v>
      </c>
      <c r="N1001" t="s">
        <v>38</v>
      </c>
      <c r="O1001" t="s">
        <v>38</v>
      </c>
      <c r="T1001" t="s">
        <v>38</v>
      </c>
      <c r="U1001">
        <v>0</v>
      </c>
      <c r="W1001">
        <v>0</v>
      </c>
      <c r="X1001">
        <v>0</v>
      </c>
      <c r="Y1001">
        <v>0</v>
      </c>
      <c r="AE1001">
        <f t="shared" si="45"/>
        <v>1</v>
      </c>
      <c r="AF1001">
        <f>VLOOKUP(D1001,especies!$A$2:$C$9,3,FALSE)</f>
        <v>1</v>
      </c>
      <c r="AG1001" t="str">
        <f t="shared" si="46"/>
        <v>1-Border Collie</v>
      </c>
      <c r="AH1001">
        <f>VLOOKUP('Fichas clínicas'!AG1001,razas!$A$2:$D$66,3,FALSE)</f>
        <v>39</v>
      </c>
      <c r="AI1001" t="str">
        <f t="shared" si="47"/>
        <v>M</v>
      </c>
    </row>
    <row r="1002" spans="1:35" x14ac:dyDescent="0.2">
      <c r="A1002">
        <v>1004</v>
      </c>
      <c r="B1002" t="s">
        <v>2238</v>
      </c>
      <c r="C1002" t="s">
        <v>2377</v>
      </c>
      <c r="D1002" t="s">
        <v>41</v>
      </c>
      <c r="E1002" t="s">
        <v>93</v>
      </c>
      <c r="F1002" t="s">
        <v>34</v>
      </c>
      <c r="G1002" t="s">
        <v>2378</v>
      </c>
      <c r="J1002" t="s">
        <v>2379</v>
      </c>
      <c r="K1002" t="s">
        <v>38</v>
      </c>
      <c r="L1002" t="s">
        <v>38</v>
      </c>
      <c r="M1002" t="s">
        <v>38</v>
      </c>
      <c r="N1002" t="s">
        <v>38</v>
      </c>
      <c r="O1002" t="s">
        <v>38</v>
      </c>
      <c r="T1002" t="s">
        <v>38</v>
      </c>
      <c r="U1002">
        <v>0</v>
      </c>
      <c r="V1002">
        <v>1</v>
      </c>
      <c r="W1002">
        <v>0</v>
      </c>
      <c r="X1002">
        <v>0</v>
      </c>
      <c r="Y1002">
        <v>0</v>
      </c>
      <c r="AE1002">
        <f t="shared" si="45"/>
        <v>1</v>
      </c>
      <c r="AF1002">
        <f>VLOOKUP(D1002,especies!$A$2:$C$9,3,FALSE)</f>
        <v>2</v>
      </c>
      <c r="AG1002" t="str">
        <f t="shared" si="46"/>
        <v>2-DPL (Doméstico de pelo Largo o DLH)</v>
      </c>
      <c r="AH1002">
        <f>VLOOKUP('Fichas clínicas'!AG1002,razas!$A$2:$D$66,3,FALSE)</f>
        <v>52</v>
      </c>
      <c r="AI1002" t="str">
        <f t="shared" si="47"/>
        <v>H</v>
      </c>
    </row>
    <row r="1003" spans="1:35" x14ac:dyDescent="0.2">
      <c r="A1003">
        <v>1005</v>
      </c>
      <c r="B1003" t="s">
        <v>2380</v>
      </c>
      <c r="C1003" t="s">
        <v>2381</v>
      </c>
      <c r="D1003" t="s">
        <v>32</v>
      </c>
      <c r="E1003" t="s">
        <v>33</v>
      </c>
      <c r="F1003" t="s">
        <v>34</v>
      </c>
      <c r="G1003" t="s">
        <v>300</v>
      </c>
      <c r="J1003" t="s">
        <v>2226</v>
      </c>
      <c r="K1003" t="s">
        <v>38</v>
      </c>
      <c r="L1003" t="s">
        <v>38</v>
      </c>
      <c r="M1003" t="s">
        <v>38</v>
      </c>
      <c r="N1003" t="s">
        <v>38</v>
      </c>
      <c r="O1003" t="s">
        <v>38</v>
      </c>
      <c r="T1003" t="s">
        <v>38</v>
      </c>
      <c r="U1003">
        <v>0</v>
      </c>
      <c r="W1003">
        <v>0</v>
      </c>
      <c r="X1003">
        <v>0</v>
      </c>
      <c r="Y1003">
        <v>0</v>
      </c>
      <c r="AE1003">
        <f t="shared" si="45"/>
        <v>1</v>
      </c>
      <c r="AF1003">
        <f>VLOOKUP(D1003,especies!$A$2:$C$9,3,FALSE)</f>
        <v>1</v>
      </c>
      <c r="AG1003" t="str">
        <f t="shared" si="46"/>
        <v>1-Mestizo</v>
      </c>
      <c r="AH1003">
        <f>VLOOKUP('Fichas clínicas'!AG1003,razas!$A$2:$D$66,3,FALSE)</f>
        <v>1</v>
      </c>
      <c r="AI1003" t="str">
        <f t="shared" si="47"/>
        <v>H</v>
      </c>
    </row>
    <row r="1004" spans="1:35" x14ac:dyDescent="0.2">
      <c r="A1004">
        <v>1006</v>
      </c>
      <c r="B1004" t="s">
        <v>2382</v>
      </c>
      <c r="C1004" t="s">
        <v>276</v>
      </c>
      <c r="D1004" t="s">
        <v>32</v>
      </c>
      <c r="E1004" t="s">
        <v>438</v>
      </c>
      <c r="F1004" t="s">
        <v>47</v>
      </c>
      <c r="G1004" t="s">
        <v>54</v>
      </c>
      <c r="J1004" t="s">
        <v>2383</v>
      </c>
      <c r="K1004" t="s">
        <v>38</v>
      </c>
      <c r="L1004" t="s">
        <v>38</v>
      </c>
      <c r="M1004" t="s">
        <v>38</v>
      </c>
      <c r="N1004" t="s">
        <v>38</v>
      </c>
      <c r="O1004" t="s">
        <v>38</v>
      </c>
      <c r="T1004" t="s">
        <v>38</v>
      </c>
      <c r="U1004">
        <v>0</v>
      </c>
      <c r="W1004">
        <v>0</v>
      </c>
      <c r="X1004">
        <v>0</v>
      </c>
      <c r="Y1004">
        <v>0</v>
      </c>
      <c r="AE1004">
        <f t="shared" si="45"/>
        <v>1</v>
      </c>
      <c r="AF1004">
        <f>VLOOKUP(D1004,especies!$A$2:$C$9,3,FALSE)</f>
        <v>1</v>
      </c>
      <c r="AG1004" t="str">
        <f t="shared" si="46"/>
        <v>1-Ovejero Alemán</v>
      </c>
      <c r="AH1004">
        <f>VLOOKUP('Fichas clínicas'!AG1004,razas!$A$2:$D$66,3,FALSE)</f>
        <v>12</v>
      </c>
      <c r="AI1004" t="str">
        <f t="shared" si="47"/>
        <v>M</v>
      </c>
    </row>
    <row r="1005" spans="1:35" x14ac:dyDescent="0.2">
      <c r="A1005">
        <v>1007</v>
      </c>
      <c r="B1005" t="s">
        <v>2384</v>
      </c>
      <c r="C1005" t="s">
        <v>2385</v>
      </c>
      <c r="D1005" t="s">
        <v>41</v>
      </c>
      <c r="E1005" t="s">
        <v>93</v>
      </c>
      <c r="F1005" t="s">
        <v>34</v>
      </c>
      <c r="G1005" t="s">
        <v>2386</v>
      </c>
      <c r="J1005" t="s">
        <v>2387</v>
      </c>
      <c r="K1005" t="s">
        <v>38</v>
      </c>
      <c r="L1005" t="s">
        <v>38</v>
      </c>
      <c r="M1005" t="s">
        <v>38</v>
      </c>
      <c r="N1005" t="s">
        <v>38</v>
      </c>
      <c r="O1005" t="s">
        <v>38</v>
      </c>
      <c r="Q1005">
        <v>0</v>
      </c>
      <c r="T1005" t="s">
        <v>38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f t="shared" si="45"/>
        <v>1</v>
      </c>
      <c r="AF1005">
        <f>VLOOKUP(D1005,especies!$A$2:$C$9,3,FALSE)</f>
        <v>2</v>
      </c>
      <c r="AG1005" t="str">
        <f t="shared" si="46"/>
        <v>2-DPL (Doméstico de pelo Largo o DLH)</v>
      </c>
      <c r="AH1005">
        <f>VLOOKUP('Fichas clínicas'!AG1005,razas!$A$2:$D$66,3,FALSE)</f>
        <v>52</v>
      </c>
      <c r="AI1005" t="str">
        <f t="shared" si="47"/>
        <v>H</v>
      </c>
    </row>
    <row r="1006" spans="1:35" x14ac:dyDescent="0.2">
      <c r="A1006">
        <v>1008</v>
      </c>
      <c r="B1006" t="s">
        <v>2384</v>
      </c>
      <c r="C1006" t="s">
        <v>2388</v>
      </c>
      <c r="D1006" t="s">
        <v>41</v>
      </c>
      <c r="E1006" t="s">
        <v>93</v>
      </c>
      <c r="F1006" t="s">
        <v>34</v>
      </c>
      <c r="G1006" t="s">
        <v>1769</v>
      </c>
      <c r="J1006" t="s">
        <v>2387</v>
      </c>
      <c r="K1006" t="s">
        <v>38</v>
      </c>
      <c r="L1006" t="s">
        <v>38</v>
      </c>
      <c r="M1006" t="s">
        <v>38</v>
      </c>
      <c r="N1006" t="s">
        <v>38</v>
      </c>
      <c r="O1006" t="s">
        <v>38</v>
      </c>
      <c r="Q1006">
        <v>0</v>
      </c>
      <c r="T1006" t="s">
        <v>38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f t="shared" si="45"/>
        <v>1</v>
      </c>
      <c r="AF1006">
        <f>VLOOKUP(D1006,especies!$A$2:$C$9,3,FALSE)</f>
        <v>2</v>
      </c>
      <c r="AG1006" t="str">
        <f t="shared" si="46"/>
        <v>2-DPL (Doméstico de pelo Largo o DLH)</v>
      </c>
      <c r="AH1006">
        <f>VLOOKUP('Fichas clínicas'!AG1006,razas!$A$2:$D$66,3,FALSE)</f>
        <v>52</v>
      </c>
      <c r="AI1006" t="str">
        <f t="shared" si="47"/>
        <v>H</v>
      </c>
    </row>
    <row r="1007" spans="1:35" x14ac:dyDescent="0.2">
      <c r="A1007">
        <v>1009</v>
      </c>
      <c r="B1007" t="s">
        <v>243</v>
      </c>
      <c r="C1007" t="s">
        <v>2389</v>
      </c>
      <c r="D1007" t="s">
        <v>41</v>
      </c>
      <c r="E1007" t="s">
        <v>42</v>
      </c>
      <c r="F1007" t="s">
        <v>34</v>
      </c>
      <c r="G1007" t="s">
        <v>2390</v>
      </c>
      <c r="J1007" t="s">
        <v>2347</v>
      </c>
      <c r="K1007" t="s">
        <v>38</v>
      </c>
      <c r="L1007" t="s">
        <v>38</v>
      </c>
      <c r="M1007" t="s">
        <v>38</v>
      </c>
      <c r="N1007" t="s">
        <v>38</v>
      </c>
      <c r="O1007" t="s">
        <v>38</v>
      </c>
      <c r="T1007" t="s">
        <v>38</v>
      </c>
      <c r="U1007">
        <v>0</v>
      </c>
      <c r="W1007">
        <v>0</v>
      </c>
      <c r="X1007">
        <v>0</v>
      </c>
      <c r="Y1007">
        <v>0</v>
      </c>
      <c r="AE1007">
        <f t="shared" si="45"/>
        <v>1</v>
      </c>
      <c r="AF1007">
        <f>VLOOKUP(D1007,especies!$A$2:$C$9,3,FALSE)</f>
        <v>2</v>
      </c>
      <c r="AG1007" t="str">
        <f t="shared" si="46"/>
        <v>2-DPC (Doméstico de pelo corto o DSH)</v>
      </c>
      <c r="AH1007">
        <f>VLOOKUP('Fichas clínicas'!AG1007,razas!$A$2:$D$66,3,FALSE)</f>
        <v>51</v>
      </c>
      <c r="AI1007" t="str">
        <f t="shared" si="47"/>
        <v>H</v>
      </c>
    </row>
    <row r="1008" spans="1:35" x14ac:dyDescent="0.2">
      <c r="A1008">
        <v>1010</v>
      </c>
      <c r="B1008" t="s">
        <v>2391</v>
      </c>
      <c r="C1008" t="s">
        <v>2392</v>
      </c>
      <c r="D1008" t="s">
        <v>32</v>
      </c>
      <c r="E1008" t="s">
        <v>33</v>
      </c>
      <c r="F1008" t="s">
        <v>34</v>
      </c>
      <c r="G1008" t="s">
        <v>467</v>
      </c>
      <c r="J1008" t="s">
        <v>2393</v>
      </c>
      <c r="K1008" t="s">
        <v>38</v>
      </c>
      <c r="L1008" t="s">
        <v>38</v>
      </c>
      <c r="M1008" t="s">
        <v>38</v>
      </c>
      <c r="N1008" t="s">
        <v>38</v>
      </c>
      <c r="O1008" t="s">
        <v>38</v>
      </c>
      <c r="T1008" t="s">
        <v>38</v>
      </c>
      <c r="U1008">
        <v>0</v>
      </c>
      <c r="V1008">
        <v>1</v>
      </c>
      <c r="W1008">
        <v>0</v>
      </c>
      <c r="X1008">
        <v>0</v>
      </c>
      <c r="Y1008">
        <v>0</v>
      </c>
      <c r="AE1008">
        <f t="shared" si="45"/>
        <v>1</v>
      </c>
      <c r="AF1008">
        <f>VLOOKUP(D1008,especies!$A$2:$C$9,3,FALSE)</f>
        <v>1</v>
      </c>
      <c r="AG1008" t="str">
        <f t="shared" si="46"/>
        <v>1-Mestizo</v>
      </c>
      <c r="AH1008">
        <f>VLOOKUP('Fichas clínicas'!AG1008,razas!$A$2:$D$66,3,FALSE)</f>
        <v>1</v>
      </c>
      <c r="AI1008" t="str">
        <f t="shared" si="47"/>
        <v>H</v>
      </c>
    </row>
    <row r="1009" spans="1:35" x14ac:dyDescent="0.2">
      <c r="A1009">
        <v>1011</v>
      </c>
      <c r="B1009" t="s">
        <v>2394</v>
      </c>
      <c r="C1009" t="s">
        <v>1912</v>
      </c>
      <c r="D1009" t="s">
        <v>32</v>
      </c>
      <c r="E1009" t="s">
        <v>545</v>
      </c>
      <c r="F1009" t="s">
        <v>47</v>
      </c>
      <c r="G1009" t="s">
        <v>1915</v>
      </c>
      <c r="J1009" t="s">
        <v>989</v>
      </c>
      <c r="K1009" t="s">
        <v>38</v>
      </c>
      <c r="L1009" t="s">
        <v>38</v>
      </c>
      <c r="M1009" t="s">
        <v>38</v>
      </c>
      <c r="N1009" t="s">
        <v>38</v>
      </c>
      <c r="O1009" t="s">
        <v>38</v>
      </c>
      <c r="T1009" t="s">
        <v>38</v>
      </c>
      <c r="U1009">
        <v>0</v>
      </c>
      <c r="V1009">
        <v>1</v>
      </c>
      <c r="W1009">
        <v>0</v>
      </c>
      <c r="X1009">
        <v>0</v>
      </c>
      <c r="Y1009">
        <v>0</v>
      </c>
      <c r="AE1009">
        <f t="shared" si="45"/>
        <v>1</v>
      </c>
      <c r="AF1009">
        <f>VLOOKUP(D1009,especies!$A$2:$C$9,3,FALSE)</f>
        <v>1</v>
      </c>
      <c r="AG1009" t="str">
        <f t="shared" si="46"/>
        <v>1-Golden Retriever</v>
      </c>
      <c r="AH1009">
        <f>VLOOKUP('Fichas clínicas'!AG1009,razas!$A$2:$D$66,3,FALSE)</f>
        <v>16</v>
      </c>
      <c r="AI1009" t="str">
        <f t="shared" si="47"/>
        <v>M</v>
      </c>
    </row>
    <row r="1010" spans="1:35" x14ac:dyDescent="0.2">
      <c r="A1010">
        <v>1012</v>
      </c>
      <c r="B1010" t="s">
        <v>2395</v>
      </c>
      <c r="C1010" t="s">
        <v>2396</v>
      </c>
      <c r="D1010" t="s">
        <v>41</v>
      </c>
      <c r="E1010" t="s">
        <v>42</v>
      </c>
      <c r="F1010" t="s">
        <v>47</v>
      </c>
      <c r="G1010" t="s">
        <v>199</v>
      </c>
      <c r="J1010" t="s">
        <v>58</v>
      </c>
      <c r="K1010" t="s">
        <v>38</v>
      </c>
      <c r="L1010" t="s">
        <v>38</v>
      </c>
      <c r="M1010" t="s">
        <v>38</v>
      </c>
      <c r="N1010" t="s">
        <v>38</v>
      </c>
      <c r="O1010" t="s">
        <v>38</v>
      </c>
      <c r="T1010" t="s">
        <v>38</v>
      </c>
      <c r="U1010">
        <v>0</v>
      </c>
      <c r="V1010">
        <v>1</v>
      </c>
      <c r="W1010">
        <v>0</v>
      </c>
      <c r="X1010">
        <v>0</v>
      </c>
      <c r="Y1010">
        <v>0</v>
      </c>
      <c r="AE1010">
        <f t="shared" si="45"/>
        <v>1</v>
      </c>
      <c r="AF1010">
        <f>VLOOKUP(D1010,especies!$A$2:$C$9,3,FALSE)</f>
        <v>2</v>
      </c>
      <c r="AG1010" t="str">
        <f t="shared" si="46"/>
        <v>2-DPC (Doméstico de pelo corto o DSH)</v>
      </c>
      <c r="AH1010">
        <f>VLOOKUP('Fichas clínicas'!AG1010,razas!$A$2:$D$66,3,FALSE)</f>
        <v>51</v>
      </c>
      <c r="AI1010" t="str">
        <f t="shared" si="47"/>
        <v>M</v>
      </c>
    </row>
    <row r="1011" spans="1:35" x14ac:dyDescent="0.2">
      <c r="A1011">
        <v>1013</v>
      </c>
      <c r="B1011" t="s">
        <v>2397</v>
      </c>
      <c r="C1011" t="s">
        <v>2167</v>
      </c>
      <c r="D1011" t="s">
        <v>41</v>
      </c>
      <c r="E1011" t="s">
        <v>93</v>
      </c>
      <c r="F1011" t="s">
        <v>47</v>
      </c>
      <c r="G1011" t="s">
        <v>2398</v>
      </c>
      <c r="J1011" t="s">
        <v>935</v>
      </c>
      <c r="K1011" t="s">
        <v>38</v>
      </c>
      <c r="L1011" t="s">
        <v>38</v>
      </c>
      <c r="M1011" t="s">
        <v>38</v>
      </c>
      <c r="N1011" t="s">
        <v>38</v>
      </c>
      <c r="O1011" t="s">
        <v>38</v>
      </c>
      <c r="Q1011">
        <v>0</v>
      </c>
      <c r="T1011" t="s">
        <v>38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f t="shared" si="45"/>
        <v>1</v>
      </c>
      <c r="AF1011">
        <f>VLOOKUP(D1011,especies!$A$2:$C$9,3,FALSE)</f>
        <v>2</v>
      </c>
      <c r="AG1011" t="str">
        <f t="shared" si="46"/>
        <v>2-DPL (Doméstico de pelo Largo o DLH)</v>
      </c>
      <c r="AH1011">
        <f>VLOOKUP('Fichas clínicas'!AG1011,razas!$A$2:$D$66,3,FALSE)</f>
        <v>52</v>
      </c>
      <c r="AI1011" t="str">
        <f t="shared" si="47"/>
        <v>M</v>
      </c>
    </row>
    <row r="1012" spans="1:35" x14ac:dyDescent="0.2">
      <c r="A1012">
        <v>1014</v>
      </c>
      <c r="B1012" t="s">
        <v>1864</v>
      </c>
      <c r="C1012" t="s">
        <v>2399</v>
      </c>
      <c r="D1012" t="s">
        <v>41</v>
      </c>
      <c r="E1012" t="s">
        <v>42</v>
      </c>
      <c r="F1012" t="s">
        <v>47</v>
      </c>
      <c r="G1012" t="s">
        <v>2400</v>
      </c>
      <c r="J1012" t="s">
        <v>2224</v>
      </c>
      <c r="K1012" t="s">
        <v>38</v>
      </c>
      <c r="L1012" t="s">
        <v>38</v>
      </c>
      <c r="M1012" t="s">
        <v>38</v>
      </c>
      <c r="N1012" t="s">
        <v>38</v>
      </c>
      <c r="O1012" t="s">
        <v>38</v>
      </c>
      <c r="T1012" t="s">
        <v>38</v>
      </c>
      <c r="U1012">
        <v>0</v>
      </c>
      <c r="W1012">
        <v>0</v>
      </c>
      <c r="X1012">
        <v>0</v>
      </c>
      <c r="Y1012">
        <v>0</v>
      </c>
      <c r="AE1012">
        <f t="shared" si="45"/>
        <v>1</v>
      </c>
      <c r="AF1012">
        <f>VLOOKUP(D1012,especies!$A$2:$C$9,3,FALSE)</f>
        <v>2</v>
      </c>
      <c r="AG1012" t="str">
        <f t="shared" si="46"/>
        <v>2-DPC (Doméstico de pelo corto o DSH)</v>
      </c>
      <c r="AH1012">
        <f>VLOOKUP('Fichas clínicas'!AG1012,razas!$A$2:$D$66,3,FALSE)</f>
        <v>51</v>
      </c>
      <c r="AI1012" t="str">
        <f t="shared" si="47"/>
        <v>M</v>
      </c>
    </row>
    <row r="1013" spans="1:35" x14ac:dyDescent="0.2">
      <c r="A1013">
        <v>1015</v>
      </c>
      <c r="B1013" t="s">
        <v>2401</v>
      </c>
      <c r="C1013" t="s">
        <v>83</v>
      </c>
      <c r="D1013" t="s">
        <v>32</v>
      </c>
      <c r="E1013" t="s">
        <v>33</v>
      </c>
      <c r="F1013" t="s">
        <v>34</v>
      </c>
      <c r="G1013" t="s">
        <v>277</v>
      </c>
      <c r="J1013" t="s">
        <v>2402</v>
      </c>
      <c r="K1013" t="s">
        <v>38</v>
      </c>
      <c r="L1013" t="s">
        <v>38</v>
      </c>
      <c r="M1013" t="s">
        <v>38</v>
      </c>
      <c r="N1013" t="s">
        <v>38</v>
      </c>
      <c r="O1013" t="s">
        <v>38</v>
      </c>
      <c r="T1013" t="s">
        <v>38</v>
      </c>
      <c r="U1013">
        <v>0</v>
      </c>
      <c r="V1013">
        <v>1</v>
      </c>
      <c r="W1013">
        <v>0</v>
      </c>
      <c r="X1013">
        <v>0</v>
      </c>
      <c r="Y1013">
        <v>0</v>
      </c>
      <c r="AE1013">
        <f t="shared" si="45"/>
        <v>1</v>
      </c>
      <c r="AF1013">
        <f>VLOOKUP(D1013,especies!$A$2:$C$9,3,FALSE)</f>
        <v>1</v>
      </c>
      <c r="AG1013" t="str">
        <f t="shared" si="46"/>
        <v>1-Mestizo</v>
      </c>
      <c r="AH1013">
        <f>VLOOKUP('Fichas clínicas'!AG1013,razas!$A$2:$D$66,3,FALSE)</f>
        <v>1</v>
      </c>
      <c r="AI1013" t="str">
        <f t="shared" si="47"/>
        <v>H</v>
      </c>
    </row>
    <row r="1014" spans="1:35" x14ac:dyDescent="0.2">
      <c r="A1014">
        <v>1016</v>
      </c>
      <c r="B1014" t="s">
        <v>2403</v>
      </c>
      <c r="C1014" t="s">
        <v>2404</v>
      </c>
      <c r="D1014" t="s">
        <v>32</v>
      </c>
      <c r="E1014" t="s">
        <v>508</v>
      </c>
      <c r="F1014" t="s">
        <v>34</v>
      </c>
      <c r="G1014" t="s">
        <v>1339</v>
      </c>
      <c r="J1014" t="s">
        <v>2405</v>
      </c>
      <c r="K1014" t="s">
        <v>38</v>
      </c>
      <c r="L1014" t="s">
        <v>38</v>
      </c>
      <c r="M1014" t="s">
        <v>38</v>
      </c>
      <c r="N1014" t="s">
        <v>38</v>
      </c>
      <c r="O1014" t="s">
        <v>38</v>
      </c>
      <c r="T1014" t="s">
        <v>38</v>
      </c>
      <c r="U1014">
        <v>0</v>
      </c>
      <c r="W1014">
        <v>0</v>
      </c>
      <c r="X1014">
        <v>0</v>
      </c>
      <c r="Y1014">
        <v>0</v>
      </c>
      <c r="AE1014">
        <f t="shared" si="45"/>
        <v>1</v>
      </c>
      <c r="AF1014">
        <f>VLOOKUP(D1014,especies!$A$2:$C$9,3,FALSE)</f>
        <v>1</v>
      </c>
      <c r="AG1014" t="str">
        <f t="shared" si="46"/>
        <v>1-Akita Americano</v>
      </c>
      <c r="AH1014">
        <f>VLOOKUP('Fichas clínicas'!AG1014,razas!$A$2:$D$66,3,FALSE)</f>
        <v>15</v>
      </c>
      <c r="AI1014" t="str">
        <f t="shared" si="47"/>
        <v>H</v>
      </c>
    </row>
    <row r="1015" spans="1:35" x14ac:dyDescent="0.2">
      <c r="A1015">
        <v>1017</v>
      </c>
      <c r="B1015" t="s">
        <v>2124</v>
      </c>
      <c r="C1015" t="s">
        <v>790</v>
      </c>
      <c r="D1015" t="s">
        <v>41</v>
      </c>
      <c r="E1015" t="s">
        <v>42</v>
      </c>
      <c r="F1015" t="s">
        <v>47</v>
      </c>
      <c r="G1015" t="s">
        <v>2406</v>
      </c>
      <c r="J1015" t="s">
        <v>2407</v>
      </c>
      <c r="K1015" t="s">
        <v>38</v>
      </c>
      <c r="L1015" t="s">
        <v>38</v>
      </c>
      <c r="M1015" t="s">
        <v>38</v>
      </c>
      <c r="N1015" t="s">
        <v>38</v>
      </c>
      <c r="O1015" t="s">
        <v>38</v>
      </c>
      <c r="T1015" t="s">
        <v>38</v>
      </c>
      <c r="U1015">
        <v>0</v>
      </c>
      <c r="W1015">
        <v>0</v>
      </c>
      <c r="X1015">
        <v>0</v>
      </c>
      <c r="Y1015">
        <v>0</v>
      </c>
      <c r="AE1015">
        <f t="shared" si="45"/>
        <v>1</v>
      </c>
      <c r="AF1015">
        <f>VLOOKUP(D1015,especies!$A$2:$C$9,3,FALSE)</f>
        <v>2</v>
      </c>
      <c r="AG1015" t="str">
        <f t="shared" si="46"/>
        <v>2-DPC (Doméstico de pelo corto o DSH)</v>
      </c>
      <c r="AH1015">
        <f>VLOOKUP('Fichas clínicas'!AG1015,razas!$A$2:$D$66,3,FALSE)</f>
        <v>51</v>
      </c>
      <c r="AI1015" t="str">
        <f t="shared" si="47"/>
        <v>M</v>
      </c>
    </row>
    <row r="1016" spans="1:35" x14ac:dyDescent="0.2">
      <c r="A1016">
        <v>1018</v>
      </c>
      <c r="B1016" t="s">
        <v>2408</v>
      </c>
      <c r="C1016" t="s">
        <v>401</v>
      </c>
      <c r="D1016" t="s">
        <v>32</v>
      </c>
      <c r="E1016" t="s">
        <v>33</v>
      </c>
      <c r="F1016" t="s">
        <v>34</v>
      </c>
      <c r="G1016" t="s">
        <v>165</v>
      </c>
      <c r="J1016" t="s">
        <v>2409</v>
      </c>
      <c r="K1016" t="s">
        <v>38</v>
      </c>
      <c r="L1016" t="s">
        <v>38</v>
      </c>
      <c r="M1016" t="s">
        <v>38</v>
      </c>
      <c r="N1016" t="s">
        <v>38</v>
      </c>
      <c r="O1016" t="s">
        <v>38</v>
      </c>
      <c r="T1016" t="s">
        <v>38</v>
      </c>
      <c r="U1016">
        <v>0</v>
      </c>
      <c r="W1016">
        <v>0</v>
      </c>
      <c r="X1016">
        <v>0</v>
      </c>
      <c r="Y1016">
        <v>0</v>
      </c>
      <c r="AE1016">
        <f t="shared" si="45"/>
        <v>1</v>
      </c>
      <c r="AF1016">
        <f>VLOOKUP(D1016,especies!$A$2:$C$9,3,FALSE)</f>
        <v>1</v>
      </c>
      <c r="AG1016" t="str">
        <f t="shared" si="46"/>
        <v>1-Mestizo</v>
      </c>
      <c r="AH1016">
        <f>VLOOKUP('Fichas clínicas'!AG1016,razas!$A$2:$D$66,3,FALSE)</f>
        <v>1</v>
      </c>
      <c r="AI1016" t="str">
        <f t="shared" si="47"/>
        <v>H</v>
      </c>
    </row>
    <row r="1017" spans="1:35" x14ac:dyDescent="0.2">
      <c r="A1017">
        <v>1019</v>
      </c>
      <c r="B1017" t="s">
        <v>2410</v>
      </c>
      <c r="C1017" t="s">
        <v>1300</v>
      </c>
      <c r="D1017" t="s">
        <v>41</v>
      </c>
      <c r="E1017" t="s">
        <v>42</v>
      </c>
      <c r="F1017" t="s">
        <v>34</v>
      </c>
      <c r="G1017" t="s">
        <v>2111</v>
      </c>
      <c r="J1017" t="s">
        <v>2411</v>
      </c>
      <c r="K1017" t="s">
        <v>38</v>
      </c>
      <c r="L1017" t="s">
        <v>38</v>
      </c>
      <c r="M1017" t="s">
        <v>38</v>
      </c>
      <c r="N1017" t="s">
        <v>38</v>
      </c>
      <c r="O1017" t="s">
        <v>38</v>
      </c>
      <c r="T1017" t="s">
        <v>38</v>
      </c>
      <c r="U1017">
        <v>0</v>
      </c>
      <c r="W1017">
        <v>0</v>
      </c>
      <c r="X1017">
        <v>0</v>
      </c>
      <c r="Y1017">
        <v>0</v>
      </c>
      <c r="AE1017">
        <f t="shared" si="45"/>
        <v>1</v>
      </c>
      <c r="AF1017">
        <f>VLOOKUP(D1017,especies!$A$2:$C$9,3,FALSE)</f>
        <v>2</v>
      </c>
      <c r="AG1017" t="str">
        <f t="shared" si="46"/>
        <v>2-DPC (Doméstico de pelo corto o DSH)</v>
      </c>
      <c r="AH1017">
        <f>VLOOKUP('Fichas clínicas'!AG1017,razas!$A$2:$D$66,3,FALSE)</f>
        <v>51</v>
      </c>
      <c r="AI1017" t="str">
        <f t="shared" si="47"/>
        <v>H</v>
      </c>
    </row>
    <row r="1018" spans="1:35" x14ac:dyDescent="0.2">
      <c r="A1018">
        <v>1020</v>
      </c>
      <c r="B1018" t="s">
        <v>2412</v>
      </c>
      <c r="C1018" t="s">
        <v>2413</v>
      </c>
      <c r="D1018" t="s">
        <v>32</v>
      </c>
      <c r="E1018" t="s">
        <v>1296</v>
      </c>
      <c r="F1018" t="s">
        <v>34</v>
      </c>
      <c r="G1018" t="s">
        <v>116</v>
      </c>
      <c r="J1018" t="s">
        <v>2414</v>
      </c>
      <c r="K1018" t="s">
        <v>38</v>
      </c>
      <c r="L1018" t="s">
        <v>38</v>
      </c>
      <c r="M1018" t="s">
        <v>38</v>
      </c>
      <c r="N1018" t="s">
        <v>38</v>
      </c>
      <c r="O1018" t="s">
        <v>38</v>
      </c>
      <c r="T1018" t="s">
        <v>38</v>
      </c>
      <c r="U1018">
        <v>0</v>
      </c>
      <c r="V1018">
        <v>1</v>
      </c>
      <c r="W1018">
        <v>0</v>
      </c>
      <c r="X1018">
        <v>0</v>
      </c>
      <c r="Y1018">
        <v>0</v>
      </c>
      <c r="AE1018">
        <f t="shared" si="45"/>
        <v>1</v>
      </c>
      <c r="AF1018">
        <f>VLOOKUP(D1018,especies!$A$2:$C$9,3,FALSE)</f>
        <v>1</v>
      </c>
      <c r="AG1018" t="str">
        <f t="shared" si="46"/>
        <v>1-Labrador Retriever</v>
      </c>
      <c r="AH1018">
        <f>VLOOKUP('Fichas clínicas'!AG1018,razas!$A$2:$D$66,3,FALSE)</f>
        <v>28</v>
      </c>
      <c r="AI1018" t="str">
        <f t="shared" si="47"/>
        <v>H</v>
      </c>
    </row>
    <row r="1019" spans="1:35" x14ac:dyDescent="0.2">
      <c r="A1019">
        <v>1021</v>
      </c>
      <c r="B1019" t="s">
        <v>2415</v>
      </c>
      <c r="C1019" t="s">
        <v>2416</v>
      </c>
      <c r="D1019" t="s">
        <v>41</v>
      </c>
      <c r="E1019" t="s">
        <v>42</v>
      </c>
      <c r="F1019" t="s">
        <v>47</v>
      </c>
      <c r="G1019" t="s">
        <v>2417</v>
      </c>
      <c r="J1019" t="s">
        <v>1745</v>
      </c>
      <c r="K1019" t="s">
        <v>38</v>
      </c>
      <c r="L1019" t="s">
        <v>38</v>
      </c>
      <c r="M1019" t="s">
        <v>38</v>
      </c>
      <c r="N1019" t="s">
        <v>38</v>
      </c>
      <c r="O1019" t="s">
        <v>38</v>
      </c>
      <c r="T1019" t="s">
        <v>38</v>
      </c>
      <c r="U1019">
        <v>0</v>
      </c>
      <c r="V1019">
        <v>1</v>
      </c>
      <c r="W1019">
        <v>0</v>
      </c>
      <c r="X1019">
        <v>0</v>
      </c>
      <c r="Y1019">
        <v>0</v>
      </c>
      <c r="AE1019">
        <f t="shared" si="45"/>
        <v>1</v>
      </c>
      <c r="AF1019">
        <f>VLOOKUP(D1019,especies!$A$2:$C$9,3,FALSE)</f>
        <v>2</v>
      </c>
      <c r="AG1019" t="str">
        <f t="shared" si="46"/>
        <v>2-DPC (Doméstico de pelo corto o DSH)</v>
      </c>
      <c r="AH1019">
        <f>VLOOKUP('Fichas clínicas'!AG1019,razas!$A$2:$D$66,3,FALSE)</f>
        <v>51</v>
      </c>
      <c r="AI1019" t="str">
        <f t="shared" si="47"/>
        <v>M</v>
      </c>
    </row>
    <row r="1020" spans="1:35" x14ac:dyDescent="0.2">
      <c r="A1020">
        <v>1022</v>
      </c>
      <c r="B1020" t="s">
        <v>2418</v>
      </c>
      <c r="C1020" t="s">
        <v>656</v>
      </c>
      <c r="D1020" t="s">
        <v>41</v>
      </c>
      <c r="E1020" t="s">
        <v>93</v>
      </c>
      <c r="F1020" t="s">
        <v>47</v>
      </c>
      <c r="G1020" t="s">
        <v>109</v>
      </c>
      <c r="J1020" t="s">
        <v>2419</v>
      </c>
      <c r="K1020" t="s">
        <v>38</v>
      </c>
      <c r="L1020" t="s">
        <v>38</v>
      </c>
      <c r="M1020" t="s">
        <v>38</v>
      </c>
      <c r="N1020" t="s">
        <v>38</v>
      </c>
      <c r="O1020" t="s">
        <v>38</v>
      </c>
      <c r="T1020" t="s">
        <v>38</v>
      </c>
      <c r="U1020">
        <v>0</v>
      </c>
      <c r="V1020">
        <v>1</v>
      </c>
      <c r="W1020">
        <v>0</v>
      </c>
      <c r="X1020">
        <v>0</v>
      </c>
      <c r="Y1020">
        <v>0</v>
      </c>
      <c r="AE1020">
        <f t="shared" si="45"/>
        <v>1</v>
      </c>
      <c r="AF1020">
        <f>VLOOKUP(D1020,especies!$A$2:$C$9,3,FALSE)</f>
        <v>2</v>
      </c>
      <c r="AG1020" t="str">
        <f t="shared" si="46"/>
        <v>2-DPL (Doméstico de pelo Largo o DLH)</v>
      </c>
      <c r="AH1020">
        <f>VLOOKUP('Fichas clínicas'!AG1020,razas!$A$2:$D$66,3,FALSE)</f>
        <v>52</v>
      </c>
      <c r="AI1020" t="str">
        <f t="shared" si="47"/>
        <v>M</v>
      </c>
    </row>
    <row r="1021" spans="1:35" x14ac:dyDescent="0.2">
      <c r="A1021">
        <v>1023</v>
      </c>
      <c r="B1021" t="s">
        <v>2420</v>
      </c>
      <c r="C1021" t="s">
        <v>2421</v>
      </c>
      <c r="D1021" t="s">
        <v>41</v>
      </c>
      <c r="E1021" t="s">
        <v>42</v>
      </c>
      <c r="F1021" t="s">
        <v>47</v>
      </c>
      <c r="G1021" t="s">
        <v>652</v>
      </c>
      <c r="J1021" t="s">
        <v>2422</v>
      </c>
      <c r="K1021" t="s">
        <v>38</v>
      </c>
      <c r="L1021" t="s">
        <v>38</v>
      </c>
      <c r="M1021" t="s">
        <v>38</v>
      </c>
      <c r="N1021" t="s">
        <v>38</v>
      </c>
      <c r="O1021" t="s">
        <v>38</v>
      </c>
      <c r="T1021" t="s">
        <v>38</v>
      </c>
      <c r="U1021">
        <v>0</v>
      </c>
      <c r="W1021">
        <v>0</v>
      </c>
      <c r="X1021">
        <v>0</v>
      </c>
      <c r="Y1021">
        <v>0</v>
      </c>
      <c r="AE1021">
        <f t="shared" si="45"/>
        <v>1</v>
      </c>
      <c r="AF1021">
        <f>VLOOKUP(D1021,especies!$A$2:$C$9,3,FALSE)</f>
        <v>2</v>
      </c>
      <c r="AG1021" t="str">
        <f t="shared" si="46"/>
        <v>2-DPC (Doméstico de pelo corto o DSH)</v>
      </c>
      <c r="AH1021">
        <f>VLOOKUP('Fichas clínicas'!AG1021,razas!$A$2:$D$66,3,FALSE)</f>
        <v>51</v>
      </c>
      <c r="AI1021" t="str">
        <f t="shared" si="47"/>
        <v>M</v>
      </c>
    </row>
    <row r="1022" spans="1:35" x14ac:dyDescent="0.2">
      <c r="A1022">
        <v>1024</v>
      </c>
      <c r="B1022" t="s">
        <v>2423</v>
      </c>
      <c r="C1022" t="s">
        <v>2424</v>
      </c>
      <c r="D1022" t="s">
        <v>41</v>
      </c>
      <c r="E1022" t="s">
        <v>42</v>
      </c>
      <c r="F1022" t="s">
        <v>47</v>
      </c>
      <c r="G1022" t="s">
        <v>81</v>
      </c>
      <c r="J1022" t="s">
        <v>2425</v>
      </c>
      <c r="K1022" t="s">
        <v>38</v>
      </c>
      <c r="L1022" t="s">
        <v>38</v>
      </c>
      <c r="M1022" t="s">
        <v>38</v>
      </c>
      <c r="N1022" t="s">
        <v>38</v>
      </c>
      <c r="O1022" t="s">
        <v>38</v>
      </c>
      <c r="T1022" t="s">
        <v>38</v>
      </c>
      <c r="U1022">
        <v>0</v>
      </c>
      <c r="W1022">
        <v>0</v>
      </c>
      <c r="X1022">
        <v>0</v>
      </c>
      <c r="Y1022">
        <v>0</v>
      </c>
      <c r="AE1022">
        <f t="shared" si="45"/>
        <v>1</v>
      </c>
      <c r="AF1022">
        <f>VLOOKUP(D1022,especies!$A$2:$C$9,3,FALSE)</f>
        <v>2</v>
      </c>
      <c r="AG1022" t="str">
        <f t="shared" si="46"/>
        <v>2-DPC (Doméstico de pelo corto o DSH)</v>
      </c>
      <c r="AH1022">
        <f>VLOOKUP('Fichas clínicas'!AG1022,razas!$A$2:$D$66,3,FALSE)</f>
        <v>51</v>
      </c>
      <c r="AI1022" t="str">
        <f t="shared" si="47"/>
        <v>M</v>
      </c>
    </row>
    <row r="1023" spans="1:35" x14ac:dyDescent="0.2">
      <c r="A1023">
        <v>1025</v>
      </c>
      <c r="B1023" t="s">
        <v>1684</v>
      </c>
      <c r="C1023" t="s">
        <v>2426</v>
      </c>
      <c r="D1023" t="s">
        <v>32</v>
      </c>
      <c r="E1023" t="s">
        <v>33</v>
      </c>
      <c r="F1023" t="s">
        <v>47</v>
      </c>
      <c r="G1023" t="s">
        <v>54</v>
      </c>
      <c r="J1023" t="s">
        <v>2427</v>
      </c>
      <c r="K1023" t="s">
        <v>38</v>
      </c>
      <c r="L1023" t="s">
        <v>38</v>
      </c>
      <c r="M1023" t="s">
        <v>38</v>
      </c>
      <c r="N1023" t="s">
        <v>38</v>
      </c>
      <c r="O1023" t="s">
        <v>38</v>
      </c>
      <c r="T1023" t="s">
        <v>38</v>
      </c>
      <c r="U1023">
        <v>0</v>
      </c>
      <c r="W1023">
        <v>0</v>
      </c>
      <c r="X1023">
        <v>0</v>
      </c>
      <c r="Y1023">
        <v>0</v>
      </c>
      <c r="AE1023">
        <f t="shared" si="45"/>
        <v>1</v>
      </c>
      <c r="AF1023">
        <f>VLOOKUP(D1023,especies!$A$2:$C$9,3,FALSE)</f>
        <v>1</v>
      </c>
      <c r="AG1023" t="str">
        <f t="shared" si="46"/>
        <v>1-Mestizo</v>
      </c>
      <c r="AH1023">
        <f>VLOOKUP('Fichas clínicas'!AG1023,razas!$A$2:$D$66,3,FALSE)</f>
        <v>1</v>
      </c>
      <c r="AI1023" t="str">
        <f t="shared" si="47"/>
        <v>M</v>
      </c>
    </row>
    <row r="1024" spans="1:35" x14ac:dyDescent="0.2">
      <c r="A1024">
        <v>1026</v>
      </c>
      <c r="B1024" t="s">
        <v>250</v>
      </c>
      <c r="C1024" t="s">
        <v>401</v>
      </c>
      <c r="D1024" t="s">
        <v>41</v>
      </c>
      <c r="E1024" t="s">
        <v>42</v>
      </c>
      <c r="F1024" t="s">
        <v>34</v>
      </c>
      <c r="G1024" t="s">
        <v>81</v>
      </c>
      <c r="J1024" t="s">
        <v>44</v>
      </c>
      <c r="K1024" t="s">
        <v>38</v>
      </c>
      <c r="L1024" t="s">
        <v>38</v>
      </c>
      <c r="M1024" t="s">
        <v>38</v>
      </c>
      <c r="N1024" t="s">
        <v>38</v>
      </c>
      <c r="O1024" t="s">
        <v>38</v>
      </c>
      <c r="T1024" t="s">
        <v>38</v>
      </c>
      <c r="U1024">
        <v>0</v>
      </c>
      <c r="W1024">
        <v>0</v>
      </c>
      <c r="X1024">
        <v>0</v>
      </c>
      <c r="Y1024">
        <v>0</v>
      </c>
      <c r="AE1024">
        <f t="shared" si="45"/>
        <v>1</v>
      </c>
      <c r="AF1024">
        <f>VLOOKUP(D1024,especies!$A$2:$C$9,3,FALSE)</f>
        <v>2</v>
      </c>
      <c r="AG1024" t="str">
        <f t="shared" si="46"/>
        <v>2-DPC (Doméstico de pelo corto o DSH)</v>
      </c>
      <c r="AH1024">
        <f>VLOOKUP('Fichas clínicas'!AG1024,razas!$A$2:$D$66,3,FALSE)</f>
        <v>51</v>
      </c>
      <c r="AI1024" t="str">
        <f t="shared" si="47"/>
        <v>H</v>
      </c>
    </row>
    <row r="1025" spans="1:35" x14ac:dyDescent="0.2">
      <c r="A1025">
        <v>1027</v>
      </c>
      <c r="B1025" t="s">
        <v>917</v>
      </c>
      <c r="C1025" t="s">
        <v>2428</v>
      </c>
      <c r="D1025" t="s">
        <v>32</v>
      </c>
      <c r="E1025" t="s">
        <v>150</v>
      </c>
      <c r="F1025" t="s">
        <v>47</v>
      </c>
      <c r="G1025" t="s">
        <v>2429</v>
      </c>
      <c r="J1025" t="s">
        <v>288</v>
      </c>
      <c r="K1025" t="s">
        <v>38</v>
      </c>
      <c r="L1025" t="s">
        <v>38</v>
      </c>
      <c r="M1025" t="s">
        <v>38</v>
      </c>
      <c r="N1025" t="s">
        <v>38</v>
      </c>
      <c r="O1025" t="s">
        <v>38</v>
      </c>
      <c r="T1025" t="s">
        <v>38</v>
      </c>
      <c r="U1025">
        <v>0</v>
      </c>
      <c r="W1025">
        <v>0</v>
      </c>
      <c r="X1025">
        <v>0</v>
      </c>
      <c r="Y1025">
        <v>0</v>
      </c>
      <c r="AE1025">
        <f t="shared" si="45"/>
        <v>1</v>
      </c>
      <c r="AF1025">
        <f>VLOOKUP(D1025,especies!$A$2:$C$9,3,FALSE)</f>
        <v>1</v>
      </c>
      <c r="AG1025" t="str">
        <f t="shared" si="46"/>
        <v>1-Poodle</v>
      </c>
      <c r="AH1025">
        <f>VLOOKUP('Fichas clínicas'!AG1025,razas!$A$2:$D$66,3,FALSE)</f>
        <v>6</v>
      </c>
      <c r="AI1025" t="str">
        <f t="shared" si="47"/>
        <v>M</v>
      </c>
    </row>
    <row r="1026" spans="1:35" x14ac:dyDescent="0.2">
      <c r="A1026">
        <v>1028</v>
      </c>
      <c r="B1026" t="s">
        <v>1077</v>
      </c>
      <c r="C1026" t="s">
        <v>334</v>
      </c>
      <c r="D1026" t="s">
        <v>32</v>
      </c>
      <c r="E1026" t="s">
        <v>458</v>
      </c>
      <c r="F1026" t="s">
        <v>34</v>
      </c>
      <c r="G1026" t="s">
        <v>1384</v>
      </c>
      <c r="J1026" t="s">
        <v>955</v>
      </c>
      <c r="K1026" t="s">
        <v>38</v>
      </c>
      <c r="L1026" t="s">
        <v>38</v>
      </c>
      <c r="M1026" t="s">
        <v>38</v>
      </c>
      <c r="N1026" t="s">
        <v>38</v>
      </c>
      <c r="O1026" t="s">
        <v>38</v>
      </c>
      <c r="T1026" t="s">
        <v>38</v>
      </c>
      <c r="U1026">
        <v>0</v>
      </c>
      <c r="W1026">
        <v>0</v>
      </c>
      <c r="X1026">
        <v>0</v>
      </c>
      <c r="Y1026">
        <v>0</v>
      </c>
      <c r="AE1026">
        <f t="shared" si="45"/>
        <v>1</v>
      </c>
      <c r="AF1026">
        <f>VLOOKUP(D1026,especies!$A$2:$C$9,3,FALSE)</f>
        <v>1</v>
      </c>
      <c r="AG1026" t="str">
        <f t="shared" si="46"/>
        <v>1-Beagle</v>
      </c>
      <c r="AH1026">
        <f>VLOOKUP('Fichas clínicas'!AG1026,razas!$A$2:$D$66,3,FALSE)</f>
        <v>13</v>
      </c>
      <c r="AI1026" t="str">
        <f t="shared" si="47"/>
        <v>H</v>
      </c>
    </row>
    <row r="1027" spans="1:35" x14ac:dyDescent="0.2">
      <c r="A1027">
        <v>1029</v>
      </c>
      <c r="B1027" t="s">
        <v>2430</v>
      </c>
      <c r="C1027" t="s">
        <v>2431</v>
      </c>
      <c r="D1027" t="s">
        <v>32</v>
      </c>
      <c r="E1027" t="s">
        <v>160</v>
      </c>
      <c r="F1027" t="s">
        <v>34</v>
      </c>
      <c r="G1027" t="s">
        <v>2429</v>
      </c>
      <c r="J1027" t="s">
        <v>2432</v>
      </c>
      <c r="K1027" t="s">
        <v>38</v>
      </c>
      <c r="L1027" t="s">
        <v>38</v>
      </c>
      <c r="M1027" t="s">
        <v>38</v>
      </c>
      <c r="N1027" t="s">
        <v>38</v>
      </c>
      <c r="O1027" t="s">
        <v>38</v>
      </c>
      <c r="T1027" t="s">
        <v>38</v>
      </c>
      <c r="U1027">
        <v>0</v>
      </c>
      <c r="W1027">
        <v>0</v>
      </c>
      <c r="X1027">
        <v>0</v>
      </c>
      <c r="Y1027">
        <v>0</v>
      </c>
      <c r="AE1027">
        <f t="shared" ref="AE1027:AE1090" si="48">SUBTOTAL(103,E1027)</f>
        <v>1</v>
      </c>
      <c r="AF1027">
        <f>VLOOKUP(D1027,especies!$A$2:$C$9,3,FALSE)</f>
        <v>1</v>
      </c>
      <c r="AG1027" t="str">
        <f t="shared" ref="AG1027:AG1090" si="49">AF1027&amp;"-"&amp;E1027</f>
        <v>1-Shih Tzu</v>
      </c>
      <c r="AH1027">
        <f>VLOOKUP('Fichas clínicas'!AG1027,razas!$A$2:$D$66,3,FALSE)</f>
        <v>7</v>
      </c>
      <c r="AI1027" t="str">
        <f t="shared" ref="AI1027:AI1090" si="50">IF(F1027="Hembra","H","M")</f>
        <v>H</v>
      </c>
    </row>
    <row r="1028" spans="1:35" x14ac:dyDescent="0.2">
      <c r="A1028">
        <v>1030</v>
      </c>
      <c r="B1028" t="s">
        <v>2433</v>
      </c>
      <c r="C1028" t="s">
        <v>2434</v>
      </c>
      <c r="D1028" t="s">
        <v>41</v>
      </c>
      <c r="E1028" t="s">
        <v>42</v>
      </c>
      <c r="F1028" t="s">
        <v>34</v>
      </c>
      <c r="G1028" t="s">
        <v>297</v>
      </c>
      <c r="J1028" t="s">
        <v>55</v>
      </c>
      <c r="K1028" t="s">
        <v>38</v>
      </c>
      <c r="L1028" t="s">
        <v>38</v>
      </c>
      <c r="M1028" t="s">
        <v>38</v>
      </c>
      <c r="N1028" t="s">
        <v>38</v>
      </c>
      <c r="O1028" t="s">
        <v>38</v>
      </c>
      <c r="T1028" t="s">
        <v>38</v>
      </c>
      <c r="U1028">
        <v>0</v>
      </c>
      <c r="W1028">
        <v>0</v>
      </c>
      <c r="X1028">
        <v>0</v>
      </c>
      <c r="Y1028">
        <v>0</v>
      </c>
      <c r="AE1028">
        <f t="shared" si="48"/>
        <v>1</v>
      </c>
      <c r="AF1028">
        <f>VLOOKUP(D1028,especies!$A$2:$C$9,3,FALSE)</f>
        <v>2</v>
      </c>
      <c r="AG1028" t="str">
        <f t="shared" si="49"/>
        <v>2-DPC (Doméstico de pelo corto o DSH)</v>
      </c>
      <c r="AH1028">
        <f>VLOOKUP('Fichas clínicas'!AG1028,razas!$A$2:$D$66,3,FALSE)</f>
        <v>51</v>
      </c>
      <c r="AI1028" t="str">
        <f t="shared" si="50"/>
        <v>H</v>
      </c>
    </row>
    <row r="1029" spans="1:35" x14ac:dyDescent="0.2">
      <c r="A1029">
        <v>1031</v>
      </c>
      <c r="B1029" t="s">
        <v>2256</v>
      </c>
      <c r="C1029" t="s">
        <v>2435</v>
      </c>
      <c r="D1029" t="s">
        <v>41</v>
      </c>
      <c r="E1029" t="s">
        <v>42</v>
      </c>
      <c r="F1029" t="s">
        <v>47</v>
      </c>
      <c r="G1029" t="s">
        <v>2436</v>
      </c>
      <c r="J1029" t="s">
        <v>2437</v>
      </c>
      <c r="K1029" t="s">
        <v>38</v>
      </c>
      <c r="L1029" t="s">
        <v>38</v>
      </c>
      <c r="M1029" t="s">
        <v>38</v>
      </c>
      <c r="N1029" t="s">
        <v>38</v>
      </c>
      <c r="O1029" t="s">
        <v>38</v>
      </c>
      <c r="T1029" t="s">
        <v>38</v>
      </c>
      <c r="U1029">
        <v>0</v>
      </c>
      <c r="W1029">
        <v>0</v>
      </c>
      <c r="X1029">
        <v>0</v>
      </c>
      <c r="Y1029">
        <v>0</v>
      </c>
      <c r="AE1029">
        <f t="shared" si="48"/>
        <v>1</v>
      </c>
      <c r="AF1029">
        <f>VLOOKUP(D1029,especies!$A$2:$C$9,3,FALSE)</f>
        <v>2</v>
      </c>
      <c r="AG1029" t="str">
        <f t="shared" si="49"/>
        <v>2-DPC (Doméstico de pelo corto o DSH)</v>
      </c>
      <c r="AH1029">
        <f>VLOOKUP('Fichas clínicas'!AG1029,razas!$A$2:$D$66,3,FALSE)</f>
        <v>51</v>
      </c>
      <c r="AI1029" t="str">
        <f t="shared" si="50"/>
        <v>M</v>
      </c>
    </row>
    <row r="1030" spans="1:35" x14ac:dyDescent="0.2">
      <c r="A1030">
        <v>1032</v>
      </c>
      <c r="B1030" t="s">
        <v>1649</v>
      </c>
      <c r="C1030" t="s">
        <v>2438</v>
      </c>
      <c r="D1030" t="s">
        <v>41</v>
      </c>
      <c r="E1030" t="s">
        <v>42</v>
      </c>
      <c r="F1030" t="s">
        <v>47</v>
      </c>
      <c r="G1030" t="s">
        <v>2429</v>
      </c>
      <c r="J1030" t="s">
        <v>2439</v>
      </c>
      <c r="K1030" t="s">
        <v>38</v>
      </c>
      <c r="L1030" t="s">
        <v>2440</v>
      </c>
      <c r="M1030" t="s">
        <v>38</v>
      </c>
      <c r="N1030" t="s">
        <v>2441</v>
      </c>
      <c r="O1030" t="s">
        <v>38</v>
      </c>
      <c r="Q1030">
        <v>0</v>
      </c>
      <c r="T1030" t="s">
        <v>2442</v>
      </c>
      <c r="U1030">
        <v>4</v>
      </c>
      <c r="V1030">
        <v>1</v>
      </c>
      <c r="W1030">
        <v>0</v>
      </c>
      <c r="X1030">
        <v>0</v>
      </c>
      <c r="Y1030">
        <v>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f t="shared" si="48"/>
        <v>1</v>
      </c>
      <c r="AF1030">
        <f>VLOOKUP(D1030,especies!$A$2:$C$9,3,FALSE)</f>
        <v>2</v>
      </c>
      <c r="AG1030" t="str">
        <f t="shared" si="49"/>
        <v>2-DPC (Doméstico de pelo corto o DSH)</v>
      </c>
      <c r="AH1030">
        <f>VLOOKUP('Fichas clínicas'!AG1030,razas!$A$2:$D$66,3,FALSE)</f>
        <v>51</v>
      </c>
      <c r="AI1030" t="str">
        <f t="shared" si="50"/>
        <v>M</v>
      </c>
    </row>
    <row r="1031" spans="1:35" x14ac:dyDescent="0.2">
      <c r="A1031">
        <v>1033</v>
      </c>
      <c r="B1031" t="s">
        <v>2256</v>
      </c>
      <c r="C1031" t="s">
        <v>2443</v>
      </c>
      <c r="D1031" t="s">
        <v>32</v>
      </c>
      <c r="E1031" t="s">
        <v>33</v>
      </c>
      <c r="F1031" t="s">
        <v>34</v>
      </c>
      <c r="G1031" t="s">
        <v>656</v>
      </c>
      <c r="J1031" t="s">
        <v>2444</v>
      </c>
      <c r="K1031" t="s">
        <v>38</v>
      </c>
      <c r="L1031" t="s">
        <v>38</v>
      </c>
      <c r="M1031" t="s">
        <v>38</v>
      </c>
      <c r="N1031" t="s">
        <v>38</v>
      </c>
      <c r="O1031" t="s">
        <v>38</v>
      </c>
      <c r="T1031" t="s">
        <v>38</v>
      </c>
      <c r="U1031">
        <v>0</v>
      </c>
      <c r="V1031">
        <v>1</v>
      </c>
      <c r="W1031">
        <v>0</v>
      </c>
      <c r="X1031">
        <v>0</v>
      </c>
      <c r="Y1031">
        <v>0</v>
      </c>
      <c r="AE1031">
        <f t="shared" si="48"/>
        <v>1</v>
      </c>
      <c r="AF1031">
        <f>VLOOKUP(D1031,especies!$A$2:$C$9,3,FALSE)</f>
        <v>1</v>
      </c>
      <c r="AG1031" t="str">
        <f t="shared" si="49"/>
        <v>1-Mestizo</v>
      </c>
      <c r="AH1031">
        <f>VLOOKUP('Fichas clínicas'!AG1031,razas!$A$2:$D$66,3,FALSE)</f>
        <v>1</v>
      </c>
      <c r="AI1031" t="str">
        <f t="shared" si="50"/>
        <v>H</v>
      </c>
    </row>
    <row r="1032" spans="1:35" x14ac:dyDescent="0.2">
      <c r="A1032">
        <v>1034</v>
      </c>
      <c r="B1032" t="s">
        <v>2445</v>
      </c>
      <c r="C1032" t="s">
        <v>2213</v>
      </c>
      <c r="D1032" t="s">
        <v>41</v>
      </c>
      <c r="E1032" t="s">
        <v>42</v>
      </c>
      <c r="F1032" t="s">
        <v>34</v>
      </c>
      <c r="G1032" t="s">
        <v>2446</v>
      </c>
      <c r="J1032" t="s">
        <v>955</v>
      </c>
      <c r="K1032" t="s">
        <v>38</v>
      </c>
      <c r="L1032" t="s">
        <v>38</v>
      </c>
      <c r="M1032" t="s">
        <v>38</v>
      </c>
      <c r="N1032" t="s">
        <v>38</v>
      </c>
      <c r="O1032" t="s">
        <v>38</v>
      </c>
      <c r="T1032" t="s">
        <v>38</v>
      </c>
      <c r="U1032">
        <v>0</v>
      </c>
      <c r="V1032">
        <v>1</v>
      </c>
      <c r="W1032">
        <v>0</v>
      </c>
      <c r="X1032">
        <v>0</v>
      </c>
      <c r="Y1032">
        <v>0</v>
      </c>
      <c r="AE1032">
        <f t="shared" si="48"/>
        <v>1</v>
      </c>
      <c r="AF1032">
        <f>VLOOKUP(D1032,especies!$A$2:$C$9,3,FALSE)</f>
        <v>2</v>
      </c>
      <c r="AG1032" t="str">
        <f t="shared" si="49"/>
        <v>2-DPC (Doméstico de pelo corto o DSH)</v>
      </c>
      <c r="AH1032">
        <f>VLOOKUP('Fichas clínicas'!AG1032,razas!$A$2:$D$66,3,FALSE)</f>
        <v>51</v>
      </c>
      <c r="AI1032" t="str">
        <f t="shared" si="50"/>
        <v>H</v>
      </c>
    </row>
    <row r="1033" spans="1:35" x14ac:dyDescent="0.2">
      <c r="A1033">
        <v>1035</v>
      </c>
      <c r="B1033" t="s">
        <v>2447</v>
      </c>
      <c r="C1033" t="s">
        <v>388</v>
      </c>
      <c r="D1033" t="s">
        <v>32</v>
      </c>
      <c r="E1033" t="s">
        <v>150</v>
      </c>
      <c r="F1033" t="s">
        <v>34</v>
      </c>
      <c r="G1033" t="s">
        <v>2429</v>
      </c>
      <c r="J1033" t="s">
        <v>952</v>
      </c>
      <c r="K1033" t="s">
        <v>38</v>
      </c>
      <c r="L1033" t="s">
        <v>38</v>
      </c>
      <c r="M1033" t="s">
        <v>38</v>
      </c>
      <c r="N1033" t="s">
        <v>38</v>
      </c>
      <c r="O1033" t="s">
        <v>38</v>
      </c>
      <c r="T1033" t="s">
        <v>38</v>
      </c>
      <c r="U1033">
        <v>0</v>
      </c>
      <c r="W1033">
        <v>0</v>
      </c>
      <c r="X1033">
        <v>0</v>
      </c>
      <c r="Y1033">
        <v>0</v>
      </c>
      <c r="AE1033">
        <f t="shared" si="48"/>
        <v>1</v>
      </c>
      <c r="AF1033">
        <f>VLOOKUP(D1033,especies!$A$2:$C$9,3,FALSE)</f>
        <v>1</v>
      </c>
      <c r="AG1033" t="str">
        <f t="shared" si="49"/>
        <v>1-Poodle</v>
      </c>
      <c r="AH1033">
        <f>VLOOKUP('Fichas clínicas'!AG1033,razas!$A$2:$D$66,3,FALSE)</f>
        <v>6</v>
      </c>
      <c r="AI1033" t="str">
        <f t="shared" si="50"/>
        <v>H</v>
      </c>
    </row>
    <row r="1034" spans="1:35" x14ac:dyDescent="0.2">
      <c r="A1034">
        <v>1036</v>
      </c>
      <c r="B1034" t="s">
        <v>2448</v>
      </c>
      <c r="C1034" t="s">
        <v>832</v>
      </c>
      <c r="D1034" t="s">
        <v>41</v>
      </c>
      <c r="E1034" t="s">
        <v>42</v>
      </c>
      <c r="F1034" t="s">
        <v>47</v>
      </c>
      <c r="G1034" t="s">
        <v>109</v>
      </c>
      <c r="J1034" t="s">
        <v>2449</v>
      </c>
      <c r="K1034" t="s">
        <v>38</v>
      </c>
      <c r="L1034" t="s">
        <v>38</v>
      </c>
      <c r="M1034" t="s">
        <v>38</v>
      </c>
      <c r="N1034" t="s">
        <v>38</v>
      </c>
      <c r="O1034" t="s">
        <v>38</v>
      </c>
      <c r="T1034" t="s">
        <v>38</v>
      </c>
      <c r="U1034">
        <v>0</v>
      </c>
      <c r="W1034">
        <v>0</v>
      </c>
      <c r="X1034">
        <v>0</v>
      </c>
      <c r="Y1034">
        <v>0</v>
      </c>
      <c r="AE1034">
        <f t="shared" si="48"/>
        <v>1</v>
      </c>
      <c r="AF1034">
        <f>VLOOKUP(D1034,especies!$A$2:$C$9,3,FALSE)</f>
        <v>2</v>
      </c>
      <c r="AG1034" t="str">
        <f t="shared" si="49"/>
        <v>2-DPC (Doméstico de pelo corto o DSH)</v>
      </c>
      <c r="AH1034">
        <f>VLOOKUP('Fichas clínicas'!AG1034,razas!$A$2:$D$66,3,FALSE)</f>
        <v>51</v>
      </c>
      <c r="AI1034" t="str">
        <f t="shared" si="50"/>
        <v>M</v>
      </c>
    </row>
    <row r="1035" spans="1:35" x14ac:dyDescent="0.2">
      <c r="A1035">
        <v>1037</v>
      </c>
      <c r="B1035" t="s">
        <v>158</v>
      </c>
      <c r="C1035" t="s">
        <v>2450</v>
      </c>
      <c r="D1035" t="s">
        <v>32</v>
      </c>
      <c r="E1035" t="s">
        <v>2451</v>
      </c>
      <c r="F1035" t="s">
        <v>34</v>
      </c>
      <c r="G1035" t="s">
        <v>322</v>
      </c>
      <c r="J1035" t="s">
        <v>2452</v>
      </c>
      <c r="K1035" t="s">
        <v>38</v>
      </c>
      <c r="L1035" t="s">
        <v>38</v>
      </c>
      <c r="M1035" t="s">
        <v>38</v>
      </c>
      <c r="N1035" t="s">
        <v>38</v>
      </c>
      <c r="O1035" t="s">
        <v>38</v>
      </c>
      <c r="T1035" t="s">
        <v>38</v>
      </c>
      <c r="U1035">
        <v>0</v>
      </c>
      <c r="V1035">
        <v>1</v>
      </c>
      <c r="W1035">
        <v>0</v>
      </c>
      <c r="X1035">
        <v>0</v>
      </c>
      <c r="Y1035">
        <v>0</v>
      </c>
      <c r="AE1035">
        <f t="shared" si="48"/>
        <v>1</v>
      </c>
      <c r="AF1035">
        <f>VLOOKUP(D1035,especies!$A$2:$C$9,3,FALSE)</f>
        <v>1</v>
      </c>
      <c r="AG1035" t="str">
        <f t="shared" si="49"/>
        <v>1-Schnauzer Mediano</v>
      </c>
      <c r="AH1035">
        <f>VLOOKUP('Fichas clínicas'!AG1035,razas!$A$2:$D$66,3,FALSE)</f>
        <v>40</v>
      </c>
      <c r="AI1035" t="str">
        <f t="shared" si="50"/>
        <v>H</v>
      </c>
    </row>
    <row r="1036" spans="1:35" x14ac:dyDescent="0.2">
      <c r="A1036">
        <v>1038</v>
      </c>
      <c r="B1036" t="s">
        <v>1053</v>
      </c>
      <c r="C1036" t="s">
        <v>886</v>
      </c>
      <c r="D1036" t="s">
        <v>32</v>
      </c>
      <c r="E1036" t="s">
        <v>150</v>
      </c>
      <c r="F1036" t="s">
        <v>47</v>
      </c>
      <c r="G1036" t="s">
        <v>2429</v>
      </c>
      <c r="J1036" t="s">
        <v>628</v>
      </c>
      <c r="K1036" t="s">
        <v>38</v>
      </c>
      <c r="L1036" t="s">
        <v>38</v>
      </c>
      <c r="M1036" t="s">
        <v>38</v>
      </c>
      <c r="N1036" t="s">
        <v>38</v>
      </c>
      <c r="O1036" t="s">
        <v>38</v>
      </c>
      <c r="Q1036">
        <v>1</v>
      </c>
      <c r="T1036" t="s">
        <v>38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f t="shared" si="48"/>
        <v>1</v>
      </c>
      <c r="AF1036">
        <f>VLOOKUP(D1036,especies!$A$2:$C$9,3,FALSE)</f>
        <v>1</v>
      </c>
      <c r="AG1036" t="str">
        <f t="shared" si="49"/>
        <v>1-Poodle</v>
      </c>
      <c r="AH1036">
        <f>VLOOKUP('Fichas clínicas'!AG1036,razas!$A$2:$D$66,3,FALSE)</f>
        <v>6</v>
      </c>
      <c r="AI1036" t="str">
        <f t="shared" si="50"/>
        <v>M</v>
      </c>
    </row>
    <row r="1037" spans="1:35" x14ac:dyDescent="0.2">
      <c r="A1037">
        <v>1039</v>
      </c>
      <c r="B1037" t="s">
        <v>2344</v>
      </c>
      <c r="C1037" t="s">
        <v>2453</v>
      </c>
      <c r="D1037" t="s">
        <v>32</v>
      </c>
      <c r="E1037" t="s">
        <v>33</v>
      </c>
      <c r="F1037" t="s">
        <v>47</v>
      </c>
      <c r="G1037" t="s">
        <v>116</v>
      </c>
      <c r="J1037" t="s">
        <v>2454</v>
      </c>
      <c r="K1037" t="s">
        <v>38</v>
      </c>
      <c r="L1037" t="s">
        <v>38</v>
      </c>
      <c r="M1037" t="s">
        <v>38</v>
      </c>
      <c r="N1037" t="s">
        <v>38</v>
      </c>
      <c r="O1037" t="s">
        <v>38</v>
      </c>
      <c r="T1037" t="s">
        <v>38</v>
      </c>
      <c r="U1037">
        <v>0</v>
      </c>
      <c r="W1037">
        <v>0</v>
      </c>
      <c r="X1037">
        <v>0</v>
      </c>
      <c r="Y1037">
        <v>0</v>
      </c>
      <c r="AE1037">
        <f t="shared" si="48"/>
        <v>1</v>
      </c>
      <c r="AF1037">
        <f>VLOOKUP(D1037,especies!$A$2:$C$9,3,FALSE)</f>
        <v>1</v>
      </c>
      <c r="AG1037" t="str">
        <f t="shared" si="49"/>
        <v>1-Mestizo</v>
      </c>
      <c r="AH1037">
        <f>VLOOKUP('Fichas clínicas'!AG1037,razas!$A$2:$D$66,3,FALSE)</f>
        <v>1</v>
      </c>
      <c r="AI1037" t="str">
        <f t="shared" si="50"/>
        <v>M</v>
      </c>
    </row>
    <row r="1038" spans="1:35" x14ac:dyDescent="0.2">
      <c r="A1038">
        <v>1040</v>
      </c>
      <c r="B1038" t="s">
        <v>2455</v>
      </c>
      <c r="C1038" t="s">
        <v>2456</v>
      </c>
      <c r="D1038" t="s">
        <v>32</v>
      </c>
      <c r="E1038" t="s">
        <v>33</v>
      </c>
      <c r="F1038" t="s">
        <v>47</v>
      </c>
      <c r="G1038" t="s">
        <v>84</v>
      </c>
      <c r="J1038" t="s">
        <v>1036</v>
      </c>
      <c r="K1038" t="s">
        <v>38</v>
      </c>
      <c r="L1038" t="s">
        <v>38</v>
      </c>
      <c r="M1038" t="s">
        <v>38</v>
      </c>
      <c r="N1038" t="s">
        <v>38</v>
      </c>
      <c r="O1038" t="s">
        <v>38</v>
      </c>
      <c r="T1038" t="s">
        <v>38</v>
      </c>
      <c r="U1038">
        <v>0</v>
      </c>
      <c r="W1038">
        <v>0</v>
      </c>
      <c r="X1038">
        <v>0</v>
      </c>
      <c r="Y1038">
        <v>0</v>
      </c>
      <c r="AE1038">
        <f t="shared" si="48"/>
        <v>1</v>
      </c>
      <c r="AF1038">
        <f>VLOOKUP(D1038,especies!$A$2:$C$9,3,FALSE)</f>
        <v>1</v>
      </c>
      <c r="AG1038" t="str">
        <f t="shared" si="49"/>
        <v>1-Mestizo</v>
      </c>
      <c r="AH1038">
        <f>VLOOKUP('Fichas clínicas'!AG1038,razas!$A$2:$D$66,3,FALSE)</f>
        <v>1</v>
      </c>
      <c r="AI1038" t="str">
        <f t="shared" si="50"/>
        <v>M</v>
      </c>
    </row>
    <row r="1039" spans="1:35" x14ac:dyDescent="0.2">
      <c r="A1039">
        <v>1041</v>
      </c>
      <c r="B1039" t="s">
        <v>2457</v>
      </c>
      <c r="C1039" t="s">
        <v>2377</v>
      </c>
      <c r="D1039" t="s">
        <v>32</v>
      </c>
      <c r="E1039" t="s">
        <v>150</v>
      </c>
      <c r="F1039" t="s">
        <v>34</v>
      </c>
      <c r="G1039" t="s">
        <v>116</v>
      </c>
      <c r="J1039" t="s">
        <v>2458</v>
      </c>
      <c r="K1039" t="s">
        <v>38</v>
      </c>
      <c r="L1039" t="s">
        <v>38</v>
      </c>
      <c r="M1039" t="s">
        <v>38</v>
      </c>
      <c r="N1039" t="s">
        <v>38</v>
      </c>
      <c r="O1039" t="s">
        <v>38</v>
      </c>
      <c r="Q1039">
        <v>0</v>
      </c>
      <c r="T1039" t="s">
        <v>38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f t="shared" si="48"/>
        <v>1</v>
      </c>
      <c r="AF1039">
        <f>VLOOKUP(D1039,especies!$A$2:$C$9,3,FALSE)</f>
        <v>1</v>
      </c>
      <c r="AG1039" t="str">
        <f t="shared" si="49"/>
        <v>1-Poodle</v>
      </c>
      <c r="AH1039">
        <f>VLOOKUP('Fichas clínicas'!AG1039,razas!$A$2:$D$66,3,FALSE)</f>
        <v>6</v>
      </c>
      <c r="AI1039" t="str">
        <f t="shared" si="50"/>
        <v>H</v>
      </c>
    </row>
    <row r="1040" spans="1:35" x14ac:dyDescent="0.2">
      <c r="A1040">
        <v>1042</v>
      </c>
      <c r="B1040" t="s">
        <v>1241</v>
      </c>
      <c r="C1040" t="s">
        <v>2459</v>
      </c>
      <c r="D1040" t="s">
        <v>41</v>
      </c>
      <c r="E1040" t="s">
        <v>42</v>
      </c>
      <c r="F1040" t="s">
        <v>34</v>
      </c>
      <c r="G1040" t="s">
        <v>284</v>
      </c>
      <c r="J1040" t="s">
        <v>2460</v>
      </c>
      <c r="K1040" t="s">
        <v>38</v>
      </c>
      <c r="L1040" t="s">
        <v>38</v>
      </c>
      <c r="M1040" t="s">
        <v>38</v>
      </c>
      <c r="N1040" t="s">
        <v>38</v>
      </c>
      <c r="O1040" t="s">
        <v>38</v>
      </c>
      <c r="Q1040">
        <v>0</v>
      </c>
      <c r="T1040" t="s">
        <v>38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f t="shared" si="48"/>
        <v>1</v>
      </c>
      <c r="AF1040">
        <f>VLOOKUP(D1040,especies!$A$2:$C$9,3,FALSE)</f>
        <v>2</v>
      </c>
      <c r="AG1040" t="str">
        <f t="shared" si="49"/>
        <v>2-DPC (Doméstico de pelo corto o DSH)</v>
      </c>
      <c r="AH1040">
        <f>VLOOKUP('Fichas clínicas'!AG1040,razas!$A$2:$D$66,3,FALSE)</f>
        <v>51</v>
      </c>
      <c r="AI1040" t="str">
        <f t="shared" si="50"/>
        <v>H</v>
      </c>
    </row>
    <row r="1041" spans="1:35" x14ac:dyDescent="0.2">
      <c r="A1041">
        <v>1043</v>
      </c>
      <c r="B1041" t="s">
        <v>2461</v>
      </c>
      <c r="C1041" t="s">
        <v>2462</v>
      </c>
      <c r="D1041" t="s">
        <v>32</v>
      </c>
      <c r="E1041" t="s">
        <v>33</v>
      </c>
      <c r="F1041" t="s">
        <v>34</v>
      </c>
      <c r="G1041" t="s">
        <v>300</v>
      </c>
      <c r="J1041" t="s">
        <v>2463</v>
      </c>
      <c r="K1041" t="s">
        <v>38</v>
      </c>
      <c r="L1041" t="s">
        <v>38</v>
      </c>
      <c r="M1041" t="s">
        <v>38</v>
      </c>
      <c r="N1041" t="s">
        <v>38</v>
      </c>
      <c r="O1041" t="s">
        <v>38</v>
      </c>
      <c r="T1041" t="s">
        <v>38</v>
      </c>
      <c r="U1041">
        <v>0</v>
      </c>
      <c r="W1041">
        <v>0</v>
      </c>
      <c r="X1041">
        <v>0</v>
      </c>
      <c r="Y1041">
        <v>0</v>
      </c>
      <c r="AE1041">
        <f t="shared" si="48"/>
        <v>1</v>
      </c>
      <c r="AF1041">
        <f>VLOOKUP(D1041,especies!$A$2:$C$9,3,FALSE)</f>
        <v>1</v>
      </c>
      <c r="AG1041" t="str">
        <f t="shared" si="49"/>
        <v>1-Mestizo</v>
      </c>
      <c r="AH1041">
        <f>VLOOKUP('Fichas clínicas'!AG1041,razas!$A$2:$D$66,3,FALSE)</f>
        <v>1</v>
      </c>
      <c r="AI1041" t="str">
        <f t="shared" si="50"/>
        <v>H</v>
      </c>
    </row>
    <row r="1042" spans="1:35" x14ac:dyDescent="0.2">
      <c r="A1042">
        <v>1044</v>
      </c>
      <c r="B1042" t="s">
        <v>2464</v>
      </c>
      <c r="C1042" t="s">
        <v>251</v>
      </c>
      <c r="D1042" t="s">
        <v>32</v>
      </c>
      <c r="E1042" t="s">
        <v>33</v>
      </c>
      <c r="F1042" t="s">
        <v>34</v>
      </c>
      <c r="G1042" t="s">
        <v>277</v>
      </c>
      <c r="J1042" t="s">
        <v>271</v>
      </c>
      <c r="K1042" t="s">
        <v>38</v>
      </c>
      <c r="L1042" t="s">
        <v>38</v>
      </c>
      <c r="M1042" t="s">
        <v>38</v>
      </c>
      <c r="N1042" t="s">
        <v>38</v>
      </c>
      <c r="O1042" t="s">
        <v>38</v>
      </c>
      <c r="T1042" t="s">
        <v>38</v>
      </c>
      <c r="U1042">
        <v>0</v>
      </c>
      <c r="V1042">
        <v>1</v>
      </c>
      <c r="W1042">
        <v>0</v>
      </c>
      <c r="X1042">
        <v>0</v>
      </c>
      <c r="Y1042">
        <v>0</v>
      </c>
      <c r="AE1042">
        <f t="shared" si="48"/>
        <v>1</v>
      </c>
      <c r="AF1042">
        <f>VLOOKUP(D1042,especies!$A$2:$C$9,3,FALSE)</f>
        <v>1</v>
      </c>
      <c r="AG1042" t="str">
        <f t="shared" si="49"/>
        <v>1-Mestizo</v>
      </c>
      <c r="AH1042">
        <f>VLOOKUP('Fichas clínicas'!AG1042,razas!$A$2:$D$66,3,FALSE)</f>
        <v>1</v>
      </c>
      <c r="AI1042" t="str">
        <f t="shared" si="50"/>
        <v>H</v>
      </c>
    </row>
    <row r="1043" spans="1:35" x14ac:dyDescent="0.2">
      <c r="A1043">
        <v>1045</v>
      </c>
      <c r="B1043" t="s">
        <v>2465</v>
      </c>
      <c r="C1043" t="s">
        <v>2466</v>
      </c>
      <c r="D1043" t="s">
        <v>41</v>
      </c>
      <c r="E1043" t="s">
        <v>42</v>
      </c>
      <c r="F1043" t="s">
        <v>47</v>
      </c>
      <c r="G1043" t="s">
        <v>2436</v>
      </c>
      <c r="J1043" t="s">
        <v>2467</v>
      </c>
      <c r="K1043" t="s">
        <v>38</v>
      </c>
      <c r="L1043" t="s">
        <v>38</v>
      </c>
      <c r="M1043" t="s">
        <v>38</v>
      </c>
      <c r="N1043" t="s">
        <v>38</v>
      </c>
      <c r="O1043" t="s">
        <v>38</v>
      </c>
      <c r="T1043" t="s">
        <v>38</v>
      </c>
      <c r="U1043">
        <v>0</v>
      </c>
      <c r="W1043">
        <v>0</v>
      </c>
      <c r="X1043">
        <v>0</v>
      </c>
      <c r="Y1043">
        <v>0</v>
      </c>
      <c r="AE1043">
        <f t="shared" si="48"/>
        <v>1</v>
      </c>
      <c r="AF1043">
        <f>VLOOKUP(D1043,especies!$A$2:$C$9,3,FALSE)</f>
        <v>2</v>
      </c>
      <c r="AG1043" t="str">
        <f t="shared" si="49"/>
        <v>2-DPC (Doméstico de pelo corto o DSH)</v>
      </c>
      <c r="AH1043">
        <f>VLOOKUP('Fichas clínicas'!AG1043,razas!$A$2:$D$66,3,FALSE)</f>
        <v>51</v>
      </c>
      <c r="AI1043" t="str">
        <f t="shared" si="50"/>
        <v>M</v>
      </c>
    </row>
    <row r="1044" spans="1:35" x14ac:dyDescent="0.2">
      <c r="A1044">
        <v>1046</v>
      </c>
      <c r="B1044" t="s">
        <v>2468</v>
      </c>
      <c r="C1044" t="s">
        <v>2469</v>
      </c>
      <c r="D1044" t="s">
        <v>41</v>
      </c>
      <c r="E1044" t="s">
        <v>42</v>
      </c>
      <c r="F1044" t="s">
        <v>34</v>
      </c>
      <c r="G1044" t="s">
        <v>2470</v>
      </c>
      <c r="J1044" t="s">
        <v>90</v>
      </c>
      <c r="K1044" t="s">
        <v>38</v>
      </c>
      <c r="L1044" t="s">
        <v>38</v>
      </c>
      <c r="M1044" t="s">
        <v>38</v>
      </c>
      <c r="N1044" t="s">
        <v>38</v>
      </c>
      <c r="O1044" t="s">
        <v>38</v>
      </c>
      <c r="T1044" t="s">
        <v>38</v>
      </c>
      <c r="U1044">
        <v>0</v>
      </c>
      <c r="W1044">
        <v>0</v>
      </c>
      <c r="X1044">
        <v>0</v>
      </c>
      <c r="Y1044">
        <v>0</v>
      </c>
      <c r="AE1044">
        <f t="shared" si="48"/>
        <v>1</v>
      </c>
      <c r="AF1044">
        <f>VLOOKUP(D1044,especies!$A$2:$C$9,3,FALSE)</f>
        <v>2</v>
      </c>
      <c r="AG1044" t="str">
        <f t="shared" si="49"/>
        <v>2-DPC (Doméstico de pelo corto o DSH)</v>
      </c>
      <c r="AH1044">
        <f>VLOOKUP('Fichas clínicas'!AG1044,razas!$A$2:$D$66,3,FALSE)</f>
        <v>51</v>
      </c>
      <c r="AI1044" t="str">
        <f t="shared" si="50"/>
        <v>H</v>
      </c>
    </row>
    <row r="1045" spans="1:35" x14ac:dyDescent="0.2">
      <c r="A1045">
        <v>1047</v>
      </c>
      <c r="B1045" t="s">
        <v>2471</v>
      </c>
      <c r="C1045" t="s">
        <v>388</v>
      </c>
      <c r="D1045" t="s">
        <v>32</v>
      </c>
      <c r="E1045" t="s">
        <v>150</v>
      </c>
      <c r="F1045" t="s">
        <v>34</v>
      </c>
      <c r="G1045" t="s">
        <v>2429</v>
      </c>
      <c r="J1045" t="s">
        <v>221</v>
      </c>
      <c r="K1045" t="s">
        <v>38</v>
      </c>
      <c r="L1045" t="s">
        <v>38</v>
      </c>
      <c r="M1045" t="s">
        <v>38</v>
      </c>
      <c r="N1045" t="s">
        <v>38</v>
      </c>
      <c r="O1045" t="s">
        <v>38</v>
      </c>
      <c r="T1045" t="s">
        <v>38</v>
      </c>
      <c r="U1045">
        <v>0</v>
      </c>
      <c r="W1045">
        <v>0</v>
      </c>
      <c r="X1045">
        <v>0</v>
      </c>
      <c r="Y1045">
        <v>0</v>
      </c>
      <c r="AE1045">
        <f t="shared" si="48"/>
        <v>1</v>
      </c>
      <c r="AF1045">
        <f>VLOOKUP(D1045,especies!$A$2:$C$9,3,FALSE)</f>
        <v>1</v>
      </c>
      <c r="AG1045" t="str">
        <f t="shared" si="49"/>
        <v>1-Poodle</v>
      </c>
      <c r="AH1045">
        <f>VLOOKUP('Fichas clínicas'!AG1045,razas!$A$2:$D$66,3,FALSE)</f>
        <v>6</v>
      </c>
      <c r="AI1045" t="str">
        <f t="shared" si="50"/>
        <v>H</v>
      </c>
    </row>
    <row r="1046" spans="1:35" x14ac:dyDescent="0.2">
      <c r="A1046">
        <v>1048</v>
      </c>
      <c r="B1046" t="s">
        <v>2472</v>
      </c>
      <c r="C1046" t="s">
        <v>2473</v>
      </c>
      <c r="D1046" t="s">
        <v>32</v>
      </c>
      <c r="E1046" t="s">
        <v>33</v>
      </c>
      <c r="F1046" t="s">
        <v>47</v>
      </c>
      <c r="G1046" t="s">
        <v>1054</v>
      </c>
      <c r="J1046" t="s">
        <v>2040</v>
      </c>
      <c r="K1046" t="s">
        <v>38</v>
      </c>
      <c r="L1046" t="s">
        <v>38</v>
      </c>
      <c r="M1046" t="s">
        <v>38</v>
      </c>
      <c r="N1046" t="s">
        <v>38</v>
      </c>
      <c r="O1046" t="s">
        <v>38</v>
      </c>
      <c r="Q1046">
        <v>0</v>
      </c>
      <c r="T1046" t="s">
        <v>38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f t="shared" si="48"/>
        <v>1</v>
      </c>
      <c r="AF1046">
        <f>VLOOKUP(D1046,especies!$A$2:$C$9,3,FALSE)</f>
        <v>1</v>
      </c>
      <c r="AG1046" t="str">
        <f t="shared" si="49"/>
        <v>1-Mestizo</v>
      </c>
      <c r="AH1046">
        <f>VLOOKUP('Fichas clínicas'!AG1046,razas!$A$2:$D$66,3,FALSE)</f>
        <v>1</v>
      </c>
      <c r="AI1046" t="str">
        <f t="shared" si="50"/>
        <v>M</v>
      </c>
    </row>
    <row r="1047" spans="1:35" x14ac:dyDescent="0.2">
      <c r="A1047">
        <v>1049</v>
      </c>
      <c r="B1047" t="s">
        <v>2474</v>
      </c>
      <c r="C1047" t="s">
        <v>2475</v>
      </c>
      <c r="D1047" t="s">
        <v>32</v>
      </c>
      <c r="E1047" t="s">
        <v>63</v>
      </c>
      <c r="F1047" t="s">
        <v>34</v>
      </c>
      <c r="G1047" t="s">
        <v>2429</v>
      </c>
      <c r="J1047" t="s">
        <v>2127</v>
      </c>
      <c r="K1047" t="s">
        <v>38</v>
      </c>
      <c r="L1047" t="s">
        <v>38</v>
      </c>
      <c r="M1047" t="s">
        <v>38</v>
      </c>
      <c r="N1047" t="s">
        <v>38</v>
      </c>
      <c r="O1047" t="s">
        <v>38</v>
      </c>
      <c r="Q1047">
        <v>0</v>
      </c>
      <c r="T1047" t="s">
        <v>38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f t="shared" si="48"/>
        <v>1</v>
      </c>
      <c r="AF1047">
        <f>VLOOKUP(D1047,especies!$A$2:$C$9,3,FALSE)</f>
        <v>1</v>
      </c>
      <c r="AG1047" t="str">
        <f t="shared" si="49"/>
        <v>1-Fox Terrier Pelo Corto</v>
      </c>
      <c r="AH1047">
        <f>VLOOKUP('Fichas clínicas'!AG1047,razas!$A$2:$D$66,3,FALSE)</f>
        <v>2</v>
      </c>
      <c r="AI1047" t="str">
        <f t="shared" si="50"/>
        <v>H</v>
      </c>
    </row>
    <row r="1048" spans="1:35" x14ac:dyDescent="0.2">
      <c r="A1048">
        <v>1050</v>
      </c>
      <c r="B1048" t="s">
        <v>2476</v>
      </c>
      <c r="C1048" t="s">
        <v>2477</v>
      </c>
      <c r="D1048" t="s">
        <v>41</v>
      </c>
      <c r="E1048" t="s">
        <v>93</v>
      </c>
      <c r="F1048" t="s">
        <v>47</v>
      </c>
      <c r="G1048" t="s">
        <v>284</v>
      </c>
      <c r="J1048" t="s">
        <v>2478</v>
      </c>
      <c r="K1048" t="s">
        <v>38</v>
      </c>
      <c r="L1048" t="s">
        <v>38</v>
      </c>
      <c r="M1048" t="s">
        <v>38</v>
      </c>
      <c r="N1048" t="s">
        <v>38</v>
      </c>
      <c r="O1048" t="s">
        <v>38</v>
      </c>
      <c r="Q1048">
        <v>0</v>
      </c>
      <c r="T1048" t="s">
        <v>38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f t="shared" si="48"/>
        <v>1</v>
      </c>
      <c r="AF1048">
        <f>VLOOKUP(D1048,especies!$A$2:$C$9,3,FALSE)</f>
        <v>2</v>
      </c>
      <c r="AG1048" t="str">
        <f t="shared" si="49"/>
        <v>2-DPL (Doméstico de pelo Largo o DLH)</v>
      </c>
      <c r="AH1048">
        <f>VLOOKUP('Fichas clínicas'!AG1048,razas!$A$2:$D$66,3,FALSE)</f>
        <v>52</v>
      </c>
      <c r="AI1048" t="str">
        <f t="shared" si="50"/>
        <v>M</v>
      </c>
    </row>
    <row r="1049" spans="1:35" x14ac:dyDescent="0.2">
      <c r="A1049">
        <v>1051</v>
      </c>
      <c r="B1049" t="s">
        <v>2479</v>
      </c>
      <c r="C1049" t="s">
        <v>2480</v>
      </c>
      <c r="D1049" t="s">
        <v>32</v>
      </c>
      <c r="E1049" t="s">
        <v>33</v>
      </c>
      <c r="F1049" t="s">
        <v>34</v>
      </c>
      <c r="G1049" t="s">
        <v>1402</v>
      </c>
      <c r="J1049" t="s">
        <v>628</v>
      </c>
      <c r="K1049" t="s">
        <v>38</v>
      </c>
      <c r="L1049" t="s">
        <v>38</v>
      </c>
      <c r="M1049" t="s">
        <v>38</v>
      </c>
      <c r="N1049" t="s">
        <v>38</v>
      </c>
      <c r="O1049" t="s">
        <v>38</v>
      </c>
      <c r="T1049" t="s">
        <v>38</v>
      </c>
      <c r="U1049">
        <v>0</v>
      </c>
      <c r="V1049">
        <v>1</v>
      </c>
      <c r="W1049">
        <v>0</v>
      </c>
      <c r="X1049">
        <v>0</v>
      </c>
      <c r="Y1049">
        <v>0</v>
      </c>
      <c r="AE1049">
        <f t="shared" si="48"/>
        <v>1</v>
      </c>
      <c r="AF1049">
        <f>VLOOKUP(D1049,especies!$A$2:$C$9,3,FALSE)</f>
        <v>1</v>
      </c>
      <c r="AG1049" t="str">
        <f t="shared" si="49"/>
        <v>1-Mestizo</v>
      </c>
      <c r="AH1049">
        <f>VLOOKUP('Fichas clínicas'!AG1049,razas!$A$2:$D$66,3,FALSE)</f>
        <v>1</v>
      </c>
      <c r="AI1049" t="str">
        <f t="shared" si="50"/>
        <v>H</v>
      </c>
    </row>
    <row r="1050" spans="1:35" x14ac:dyDescent="0.2">
      <c r="A1050">
        <v>1052</v>
      </c>
      <c r="B1050" t="s">
        <v>949</v>
      </c>
      <c r="C1050" t="s">
        <v>2481</v>
      </c>
      <c r="D1050" t="s">
        <v>32</v>
      </c>
      <c r="E1050" t="s">
        <v>150</v>
      </c>
      <c r="F1050" t="s">
        <v>34</v>
      </c>
      <c r="G1050" t="s">
        <v>467</v>
      </c>
      <c r="J1050" t="s">
        <v>2482</v>
      </c>
      <c r="K1050" t="s">
        <v>38</v>
      </c>
      <c r="L1050" t="s">
        <v>38</v>
      </c>
      <c r="M1050" t="s">
        <v>38</v>
      </c>
      <c r="N1050" t="s">
        <v>38</v>
      </c>
      <c r="O1050" t="s">
        <v>38</v>
      </c>
      <c r="T1050" t="s">
        <v>38</v>
      </c>
      <c r="U1050">
        <v>0</v>
      </c>
      <c r="W1050">
        <v>0</v>
      </c>
      <c r="X1050">
        <v>0</v>
      </c>
      <c r="Y1050">
        <v>0</v>
      </c>
      <c r="AE1050">
        <f t="shared" si="48"/>
        <v>1</v>
      </c>
      <c r="AF1050">
        <f>VLOOKUP(D1050,especies!$A$2:$C$9,3,FALSE)</f>
        <v>1</v>
      </c>
      <c r="AG1050" t="str">
        <f t="shared" si="49"/>
        <v>1-Poodle</v>
      </c>
      <c r="AH1050">
        <f>VLOOKUP('Fichas clínicas'!AG1050,razas!$A$2:$D$66,3,FALSE)</f>
        <v>6</v>
      </c>
      <c r="AI1050" t="str">
        <f t="shared" si="50"/>
        <v>H</v>
      </c>
    </row>
    <row r="1051" spans="1:35" x14ac:dyDescent="0.2">
      <c r="A1051">
        <v>1053</v>
      </c>
      <c r="B1051" t="s">
        <v>2483</v>
      </c>
      <c r="C1051" t="s">
        <v>2484</v>
      </c>
      <c r="D1051" t="s">
        <v>41</v>
      </c>
      <c r="E1051" t="s">
        <v>42</v>
      </c>
      <c r="F1051" t="s">
        <v>47</v>
      </c>
      <c r="G1051" t="s">
        <v>284</v>
      </c>
      <c r="J1051" t="s">
        <v>281</v>
      </c>
      <c r="K1051" t="s">
        <v>38</v>
      </c>
      <c r="L1051" t="s">
        <v>38</v>
      </c>
      <c r="M1051" t="s">
        <v>38</v>
      </c>
      <c r="N1051" t="s">
        <v>38</v>
      </c>
      <c r="O1051" t="s">
        <v>38</v>
      </c>
      <c r="T1051" t="s">
        <v>38</v>
      </c>
      <c r="U1051">
        <v>0</v>
      </c>
      <c r="W1051">
        <v>0</v>
      </c>
      <c r="X1051">
        <v>0</v>
      </c>
      <c r="Y1051">
        <v>0</v>
      </c>
      <c r="AE1051">
        <f t="shared" si="48"/>
        <v>1</v>
      </c>
      <c r="AF1051">
        <f>VLOOKUP(D1051,especies!$A$2:$C$9,3,FALSE)</f>
        <v>2</v>
      </c>
      <c r="AG1051" t="str">
        <f t="shared" si="49"/>
        <v>2-DPC (Doméstico de pelo corto o DSH)</v>
      </c>
      <c r="AH1051">
        <f>VLOOKUP('Fichas clínicas'!AG1051,razas!$A$2:$D$66,3,FALSE)</f>
        <v>51</v>
      </c>
      <c r="AI1051" t="str">
        <f t="shared" si="50"/>
        <v>M</v>
      </c>
    </row>
    <row r="1052" spans="1:35" x14ac:dyDescent="0.2">
      <c r="A1052">
        <v>1054</v>
      </c>
      <c r="B1052" t="s">
        <v>2485</v>
      </c>
      <c r="C1052" t="s">
        <v>832</v>
      </c>
      <c r="D1052" t="s">
        <v>32</v>
      </c>
      <c r="E1052" t="s">
        <v>33</v>
      </c>
      <c r="F1052" t="s">
        <v>47</v>
      </c>
      <c r="G1052" t="s">
        <v>1339</v>
      </c>
      <c r="J1052" t="s">
        <v>82</v>
      </c>
      <c r="K1052" t="s">
        <v>38</v>
      </c>
      <c r="L1052" t="s">
        <v>38</v>
      </c>
      <c r="M1052" t="s">
        <v>38</v>
      </c>
      <c r="N1052" t="s">
        <v>38</v>
      </c>
      <c r="O1052" t="s">
        <v>38</v>
      </c>
      <c r="T1052" t="s">
        <v>38</v>
      </c>
      <c r="U1052">
        <v>0</v>
      </c>
      <c r="W1052">
        <v>0</v>
      </c>
      <c r="X1052">
        <v>0</v>
      </c>
      <c r="Y1052">
        <v>0</v>
      </c>
      <c r="AE1052">
        <f t="shared" si="48"/>
        <v>1</v>
      </c>
      <c r="AF1052">
        <f>VLOOKUP(D1052,especies!$A$2:$C$9,3,FALSE)</f>
        <v>1</v>
      </c>
      <c r="AG1052" t="str">
        <f t="shared" si="49"/>
        <v>1-Mestizo</v>
      </c>
      <c r="AH1052">
        <f>VLOOKUP('Fichas clínicas'!AG1052,razas!$A$2:$D$66,3,FALSE)</f>
        <v>1</v>
      </c>
      <c r="AI1052" t="str">
        <f t="shared" si="50"/>
        <v>M</v>
      </c>
    </row>
    <row r="1053" spans="1:35" x14ac:dyDescent="0.2">
      <c r="A1053">
        <v>1055</v>
      </c>
      <c r="B1053" t="s">
        <v>2486</v>
      </c>
      <c r="C1053" t="s">
        <v>2017</v>
      </c>
      <c r="D1053" t="s">
        <v>32</v>
      </c>
      <c r="E1053" t="s">
        <v>2487</v>
      </c>
      <c r="F1053" t="s">
        <v>47</v>
      </c>
      <c r="G1053" t="s">
        <v>284</v>
      </c>
      <c r="J1053" t="s">
        <v>2488</v>
      </c>
      <c r="K1053" t="s">
        <v>38</v>
      </c>
      <c r="L1053" t="s">
        <v>38</v>
      </c>
      <c r="M1053" t="s">
        <v>38</v>
      </c>
      <c r="N1053" t="s">
        <v>38</v>
      </c>
      <c r="O1053" t="s">
        <v>38</v>
      </c>
      <c r="T1053" t="s">
        <v>38</v>
      </c>
      <c r="U1053">
        <v>0</v>
      </c>
      <c r="W1053">
        <v>0</v>
      </c>
      <c r="X1053">
        <v>0</v>
      </c>
      <c r="Y1053">
        <v>0</v>
      </c>
      <c r="AE1053">
        <f t="shared" si="48"/>
        <v>1</v>
      </c>
      <c r="AF1053">
        <f>VLOOKUP(D1053,especies!$A$2:$C$9,3,FALSE)</f>
        <v>1</v>
      </c>
      <c r="AG1053" t="str">
        <f t="shared" si="49"/>
        <v>1-Dálmata</v>
      </c>
      <c r="AH1053">
        <f>VLOOKUP('Fichas clínicas'!AG1053,razas!$A$2:$D$66,3,FALSE)</f>
        <v>41</v>
      </c>
      <c r="AI1053" t="str">
        <f t="shared" si="50"/>
        <v>M</v>
      </c>
    </row>
    <row r="1054" spans="1:35" x14ac:dyDescent="0.2">
      <c r="A1054">
        <v>1056</v>
      </c>
      <c r="B1054" t="s">
        <v>2489</v>
      </c>
      <c r="C1054" t="s">
        <v>2490</v>
      </c>
      <c r="D1054" t="s">
        <v>32</v>
      </c>
      <c r="E1054" t="s">
        <v>150</v>
      </c>
      <c r="F1054" t="s">
        <v>47</v>
      </c>
      <c r="G1054" t="s">
        <v>2429</v>
      </c>
      <c r="J1054" t="s">
        <v>90</v>
      </c>
      <c r="K1054" t="s">
        <v>38</v>
      </c>
      <c r="L1054" t="s">
        <v>38</v>
      </c>
      <c r="M1054" t="s">
        <v>38</v>
      </c>
      <c r="N1054" t="s">
        <v>38</v>
      </c>
      <c r="O1054" t="s">
        <v>38</v>
      </c>
      <c r="T1054" t="s">
        <v>38</v>
      </c>
      <c r="U1054">
        <v>0</v>
      </c>
      <c r="W1054">
        <v>0</v>
      </c>
      <c r="X1054">
        <v>0</v>
      </c>
      <c r="Y1054">
        <v>0</v>
      </c>
      <c r="AE1054">
        <f t="shared" si="48"/>
        <v>1</v>
      </c>
      <c r="AF1054">
        <f>VLOOKUP(D1054,especies!$A$2:$C$9,3,FALSE)</f>
        <v>1</v>
      </c>
      <c r="AG1054" t="str">
        <f t="shared" si="49"/>
        <v>1-Poodle</v>
      </c>
      <c r="AH1054">
        <f>VLOOKUP('Fichas clínicas'!AG1054,razas!$A$2:$D$66,3,FALSE)</f>
        <v>6</v>
      </c>
      <c r="AI1054" t="str">
        <f t="shared" si="50"/>
        <v>M</v>
      </c>
    </row>
    <row r="1055" spans="1:35" x14ac:dyDescent="0.2">
      <c r="A1055">
        <v>1057</v>
      </c>
      <c r="B1055" t="s">
        <v>282</v>
      </c>
      <c r="C1055" t="s">
        <v>886</v>
      </c>
      <c r="D1055" t="s">
        <v>32</v>
      </c>
      <c r="E1055" t="s">
        <v>33</v>
      </c>
      <c r="F1055" t="s">
        <v>47</v>
      </c>
      <c r="G1055" t="s">
        <v>165</v>
      </c>
      <c r="J1055" t="s">
        <v>858</v>
      </c>
      <c r="K1055" t="s">
        <v>38</v>
      </c>
      <c r="L1055" t="s">
        <v>38</v>
      </c>
      <c r="M1055" t="s">
        <v>38</v>
      </c>
      <c r="N1055" t="s">
        <v>38</v>
      </c>
      <c r="O1055" t="s">
        <v>38</v>
      </c>
      <c r="T1055" t="s">
        <v>38</v>
      </c>
      <c r="U1055">
        <v>0</v>
      </c>
      <c r="W1055">
        <v>0</v>
      </c>
      <c r="X1055">
        <v>0</v>
      </c>
      <c r="Y1055">
        <v>0</v>
      </c>
      <c r="AE1055">
        <f t="shared" si="48"/>
        <v>1</v>
      </c>
      <c r="AF1055">
        <f>VLOOKUP(D1055,especies!$A$2:$C$9,3,FALSE)</f>
        <v>1</v>
      </c>
      <c r="AG1055" t="str">
        <f t="shared" si="49"/>
        <v>1-Mestizo</v>
      </c>
      <c r="AH1055">
        <f>VLOOKUP('Fichas clínicas'!AG1055,razas!$A$2:$D$66,3,FALSE)</f>
        <v>1</v>
      </c>
      <c r="AI1055" t="str">
        <f t="shared" si="50"/>
        <v>M</v>
      </c>
    </row>
    <row r="1056" spans="1:35" x14ac:dyDescent="0.2">
      <c r="A1056">
        <v>1058</v>
      </c>
      <c r="B1056" t="s">
        <v>2491</v>
      </c>
      <c r="C1056" t="s">
        <v>2492</v>
      </c>
      <c r="D1056" t="s">
        <v>32</v>
      </c>
      <c r="E1056" t="s">
        <v>33</v>
      </c>
      <c r="F1056" t="s">
        <v>47</v>
      </c>
      <c r="G1056" t="s">
        <v>43</v>
      </c>
      <c r="J1056" t="s">
        <v>2493</v>
      </c>
      <c r="K1056" t="s">
        <v>38</v>
      </c>
      <c r="L1056" t="s">
        <v>38</v>
      </c>
      <c r="M1056" t="s">
        <v>38</v>
      </c>
      <c r="N1056" t="s">
        <v>38</v>
      </c>
      <c r="O1056" t="s">
        <v>38</v>
      </c>
      <c r="T1056" t="s">
        <v>38</v>
      </c>
      <c r="U1056">
        <v>0</v>
      </c>
      <c r="W1056">
        <v>0</v>
      </c>
      <c r="X1056">
        <v>0</v>
      </c>
      <c r="Y1056">
        <v>0</v>
      </c>
      <c r="AE1056">
        <f t="shared" si="48"/>
        <v>1</v>
      </c>
      <c r="AF1056">
        <f>VLOOKUP(D1056,especies!$A$2:$C$9,3,FALSE)</f>
        <v>1</v>
      </c>
      <c r="AG1056" t="str">
        <f t="shared" si="49"/>
        <v>1-Mestizo</v>
      </c>
      <c r="AH1056">
        <f>VLOOKUP('Fichas clínicas'!AG1056,razas!$A$2:$D$66,3,FALSE)</f>
        <v>1</v>
      </c>
      <c r="AI1056" t="str">
        <f t="shared" si="50"/>
        <v>M</v>
      </c>
    </row>
    <row r="1057" spans="1:35" x14ac:dyDescent="0.2">
      <c r="A1057">
        <v>1059</v>
      </c>
      <c r="B1057" t="s">
        <v>1860</v>
      </c>
      <c r="C1057" t="s">
        <v>2494</v>
      </c>
      <c r="D1057" t="s">
        <v>41</v>
      </c>
      <c r="E1057" t="s">
        <v>42</v>
      </c>
      <c r="F1057" t="s">
        <v>47</v>
      </c>
      <c r="G1057" t="s">
        <v>297</v>
      </c>
      <c r="J1057" t="s">
        <v>1825</v>
      </c>
      <c r="K1057" t="s">
        <v>38</v>
      </c>
      <c r="L1057" t="s">
        <v>38</v>
      </c>
      <c r="M1057" t="s">
        <v>38</v>
      </c>
      <c r="N1057" t="s">
        <v>38</v>
      </c>
      <c r="O1057" t="s">
        <v>38</v>
      </c>
      <c r="T1057" t="s">
        <v>38</v>
      </c>
      <c r="U1057">
        <v>0</v>
      </c>
      <c r="V1057">
        <v>1</v>
      </c>
      <c r="W1057">
        <v>0</v>
      </c>
      <c r="X1057">
        <v>0</v>
      </c>
      <c r="Y1057">
        <v>0</v>
      </c>
      <c r="AE1057">
        <f t="shared" si="48"/>
        <v>1</v>
      </c>
      <c r="AF1057">
        <f>VLOOKUP(D1057,especies!$A$2:$C$9,3,FALSE)</f>
        <v>2</v>
      </c>
      <c r="AG1057" t="str">
        <f t="shared" si="49"/>
        <v>2-DPC (Doméstico de pelo corto o DSH)</v>
      </c>
      <c r="AH1057">
        <f>VLOOKUP('Fichas clínicas'!AG1057,razas!$A$2:$D$66,3,FALSE)</f>
        <v>51</v>
      </c>
      <c r="AI1057" t="str">
        <f t="shared" si="50"/>
        <v>M</v>
      </c>
    </row>
    <row r="1058" spans="1:35" x14ac:dyDescent="0.2">
      <c r="A1058">
        <v>1060</v>
      </c>
      <c r="B1058" t="s">
        <v>2495</v>
      </c>
      <c r="C1058" t="s">
        <v>2429</v>
      </c>
      <c r="D1058" t="s">
        <v>41</v>
      </c>
      <c r="E1058" t="s">
        <v>42</v>
      </c>
      <c r="F1058" t="s">
        <v>47</v>
      </c>
      <c r="G1058" t="s">
        <v>2429</v>
      </c>
      <c r="J1058" t="s">
        <v>61</v>
      </c>
      <c r="K1058" t="s">
        <v>38</v>
      </c>
      <c r="L1058" t="s">
        <v>38</v>
      </c>
      <c r="M1058" t="s">
        <v>38</v>
      </c>
      <c r="N1058" t="s">
        <v>38</v>
      </c>
      <c r="O1058" t="s">
        <v>38</v>
      </c>
      <c r="T1058" t="s">
        <v>38</v>
      </c>
      <c r="U1058">
        <v>0</v>
      </c>
      <c r="W1058">
        <v>0</v>
      </c>
      <c r="X1058">
        <v>0</v>
      </c>
      <c r="Y1058">
        <v>0</v>
      </c>
      <c r="AE1058">
        <f t="shared" si="48"/>
        <v>1</v>
      </c>
      <c r="AF1058">
        <f>VLOOKUP(D1058,especies!$A$2:$C$9,3,FALSE)</f>
        <v>2</v>
      </c>
      <c r="AG1058" t="str">
        <f t="shared" si="49"/>
        <v>2-DPC (Doméstico de pelo corto o DSH)</v>
      </c>
      <c r="AH1058">
        <f>VLOOKUP('Fichas clínicas'!AG1058,razas!$A$2:$D$66,3,FALSE)</f>
        <v>51</v>
      </c>
      <c r="AI1058" t="str">
        <f t="shared" si="50"/>
        <v>M</v>
      </c>
    </row>
    <row r="1059" spans="1:35" x14ac:dyDescent="0.2">
      <c r="A1059">
        <v>1061</v>
      </c>
      <c r="B1059" t="s">
        <v>2496</v>
      </c>
      <c r="C1059" t="s">
        <v>1224</v>
      </c>
      <c r="D1059" t="s">
        <v>32</v>
      </c>
      <c r="E1059" t="s">
        <v>150</v>
      </c>
      <c r="F1059" t="s">
        <v>34</v>
      </c>
      <c r="G1059" t="s">
        <v>2429</v>
      </c>
      <c r="J1059" t="s">
        <v>628</v>
      </c>
      <c r="K1059" t="s">
        <v>38</v>
      </c>
      <c r="L1059" t="s">
        <v>38</v>
      </c>
      <c r="M1059" t="s">
        <v>38</v>
      </c>
      <c r="N1059" t="s">
        <v>38</v>
      </c>
      <c r="O1059" t="s">
        <v>38</v>
      </c>
      <c r="T1059" t="s">
        <v>38</v>
      </c>
      <c r="U1059">
        <v>0</v>
      </c>
      <c r="V1059">
        <v>1</v>
      </c>
      <c r="W1059">
        <v>0</v>
      </c>
      <c r="X1059">
        <v>0</v>
      </c>
      <c r="Y1059">
        <v>0</v>
      </c>
      <c r="AE1059">
        <f t="shared" si="48"/>
        <v>1</v>
      </c>
      <c r="AF1059">
        <f>VLOOKUP(D1059,especies!$A$2:$C$9,3,FALSE)</f>
        <v>1</v>
      </c>
      <c r="AG1059" t="str">
        <f t="shared" si="49"/>
        <v>1-Poodle</v>
      </c>
      <c r="AH1059">
        <f>VLOOKUP('Fichas clínicas'!AG1059,razas!$A$2:$D$66,3,FALSE)</f>
        <v>6</v>
      </c>
      <c r="AI1059" t="str">
        <f t="shared" si="50"/>
        <v>H</v>
      </c>
    </row>
    <row r="1060" spans="1:35" x14ac:dyDescent="0.2">
      <c r="A1060">
        <v>1062</v>
      </c>
      <c r="B1060" t="s">
        <v>2497</v>
      </c>
      <c r="C1060" t="s">
        <v>2498</v>
      </c>
      <c r="D1060" t="s">
        <v>32</v>
      </c>
      <c r="E1060" t="s">
        <v>33</v>
      </c>
      <c r="F1060" t="s">
        <v>47</v>
      </c>
      <c r="G1060" t="s">
        <v>81</v>
      </c>
      <c r="J1060" t="s">
        <v>2499</v>
      </c>
      <c r="K1060" t="s">
        <v>38</v>
      </c>
      <c r="L1060" t="s">
        <v>38</v>
      </c>
      <c r="M1060" t="s">
        <v>38</v>
      </c>
      <c r="N1060" t="s">
        <v>38</v>
      </c>
      <c r="O1060" t="s">
        <v>38</v>
      </c>
      <c r="T1060" t="s">
        <v>38</v>
      </c>
      <c r="U1060">
        <v>0</v>
      </c>
      <c r="W1060">
        <v>0</v>
      </c>
      <c r="X1060">
        <v>0</v>
      </c>
      <c r="Y1060">
        <v>0</v>
      </c>
      <c r="AE1060">
        <f t="shared" si="48"/>
        <v>1</v>
      </c>
      <c r="AF1060">
        <f>VLOOKUP(D1060,especies!$A$2:$C$9,3,FALSE)</f>
        <v>1</v>
      </c>
      <c r="AG1060" t="str">
        <f t="shared" si="49"/>
        <v>1-Mestizo</v>
      </c>
      <c r="AH1060">
        <f>VLOOKUP('Fichas clínicas'!AG1060,razas!$A$2:$D$66,3,FALSE)</f>
        <v>1</v>
      </c>
      <c r="AI1060" t="str">
        <f t="shared" si="50"/>
        <v>M</v>
      </c>
    </row>
    <row r="1061" spans="1:35" x14ac:dyDescent="0.2">
      <c r="A1061">
        <v>1063</v>
      </c>
      <c r="B1061" t="s">
        <v>2500</v>
      </c>
      <c r="C1061" t="s">
        <v>2501</v>
      </c>
      <c r="D1061" t="s">
        <v>32</v>
      </c>
      <c r="E1061" t="s">
        <v>438</v>
      </c>
      <c r="F1061" t="s">
        <v>47</v>
      </c>
      <c r="G1061" t="s">
        <v>54</v>
      </c>
      <c r="J1061" t="s">
        <v>2365</v>
      </c>
      <c r="K1061" t="s">
        <v>38</v>
      </c>
      <c r="L1061" t="s">
        <v>38</v>
      </c>
      <c r="M1061" t="s">
        <v>38</v>
      </c>
      <c r="N1061" t="s">
        <v>38</v>
      </c>
      <c r="O1061" t="s">
        <v>38</v>
      </c>
      <c r="Q1061">
        <v>0</v>
      </c>
      <c r="T1061" t="s">
        <v>38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f t="shared" si="48"/>
        <v>1</v>
      </c>
      <c r="AF1061">
        <f>VLOOKUP(D1061,especies!$A$2:$C$9,3,FALSE)</f>
        <v>1</v>
      </c>
      <c r="AG1061" t="str">
        <f t="shared" si="49"/>
        <v>1-Ovejero Alemán</v>
      </c>
      <c r="AH1061">
        <f>VLOOKUP('Fichas clínicas'!AG1061,razas!$A$2:$D$66,3,FALSE)</f>
        <v>12</v>
      </c>
      <c r="AI1061" t="str">
        <f t="shared" si="50"/>
        <v>M</v>
      </c>
    </row>
    <row r="1062" spans="1:35" x14ac:dyDescent="0.2">
      <c r="A1062">
        <v>1064</v>
      </c>
      <c r="B1062" t="s">
        <v>983</v>
      </c>
      <c r="C1062" t="s">
        <v>2502</v>
      </c>
      <c r="D1062" t="s">
        <v>32</v>
      </c>
      <c r="E1062" t="s">
        <v>33</v>
      </c>
      <c r="F1062" t="s">
        <v>34</v>
      </c>
      <c r="G1062" t="s">
        <v>116</v>
      </c>
      <c r="J1062" t="s">
        <v>2503</v>
      </c>
      <c r="K1062" t="s">
        <v>38</v>
      </c>
      <c r="L1062" t="s">
        <v>38</v>
      </c>
      <c r="M1062" t="s">
        <v>38</v>
      </c>
      <c r="N1062" t="s">
        <v>38</v>
      </c>
      <c r="O1062" t="s">
        <v>38</v>
      </c>
      <c r="Q1062">
        <v>0</v>
      </c>
      <c r="T1062" t="s">
        <v>38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f t="shared" si="48"/>
        <v>1</v>
      </c>
      <c r="AF1062">
        <f>VLOOKUP(D1062,especies!$A$2:$C$9,3,FALSE)</f>
        <v>1</v>
      </c>
      <c r="AG1062" t="str">
        <f t="shared" si="49"/>
        <v>1-Mestizo</v>
      </c>
      <c r="AH1062">
        <f>VLOOKUP('Fichas clínicas'!AG1062,razas!$A$2:$D$66,3,FALSE)</f>
        <v>1</v>
      </c>
      <c r="AI1062" t="str">
        <f t="shared" si="50"/>
        <v>H</v>
      </c>
    </row>
    <row r="1063" spans="1:35" x14ac:dyDescent="0.2">
      <c r="A1063">
        <v>1065</v>
      </c>
      <c r="B1063" t="s">
        <v>2504</v>
      </c>
      <c r="C1063" t="s">
        <v>2505</v>
      </c>
      <c r="D1063" t="s">
        <v>32</v>
      </c>
      <c r="E1063" t="s">
        <v>545</v>
      </c>
      <c r="F1063" t="s">
        <v>34</v>
      </c>
      <c r="G1063" t="s">
        <v>656</v>
      </c>
      <c r="J1063" t="s">
        <v>2506</v>
      </c>
      <c r="K1063" t="s">
        <v>38</v>
      </c>
      <c r="L1063" t="s">
        <v>38</v>
      </c>
      <c r="M1063" t="s">
        <v>38</v>
      </c>
      <c r="N1063" t="s">
        <v>38</v>
      </c>
      <c r="O1063" t="s">
        <v>38</v>
      </c>
      <c r="T1063" t="s">
        <v>38</v>
      </c>
      <c r="U1063">
        <v>0</v>
      </c>
      <c r="V1063">
        <v>1</v>
      </c>
      <c r="W1063">
        <v>0</v>
      </c>
      <c r="X1063">
        <v>0</v>
      </c>
      <c r="Y1063">
        <v>0</v>
      </c>
      <c r="AE1063">
        <f t="shared" si="48"/>
        <v>1</v>
      </c>
      <c r="AF1063">
        <f>VLOOKUP(D1063,especies!$A$2:$C$9,3,FALSE)</f>
        <v>1</v>
      </c>
      <c r="AG1063" t="str">
        <f t="shared" si="49"/>
        <v>1-Golden Retriever</v>
      </c>
      <c r="AH1063">
        <f>VLOOKUP('Fichas clínicas'!AG1063,razas!$A$2:$D$66,3,FALSE)</f>
        <v>16</v>
      </c>
      <c r="AI1063" t="str">
        <f t="shared" si="50"/>
        <v>H</v>
      </c>
    </row>
    <row r="1064" spans="1:35" x14ac:dyDescent="0.2">
      <c r="A1064">
        <v>1066</v>
      </c>
      <c r="B1064" t="s">
        <v>2507</v>
      </c>
      <c r="C1064" t="s">
        <v>2508</v>
      </c>
      <c r="D1064" t="s">
        <v>41</v>
      </c>
      <c r="E1064" t="s">
        <v>93</v>
      </c>
      <c r="F1064" t="s">
        <v>34</v>
      </c>
      <c r="G1064" t="s">
        <v>109</v>
      </c>
      <c r="J1064" t="s">
        <v>2509</v>
      </c>
      <c r="K1064" t="s">
        <v>38</v>
      </c>
      <c r="L1064" t="s">
        <v>38</v>
      </c>
      <c r="M1064" t="s">
        <v>38</v>
      </c>
      <c r="N1064" t="s">
        <v>38</v>
      </c>
      <c r="O1064" t="s">
        <v>38</v>
      </c>
      <c r="T1064" t="s">
        <v>38</v>
      </c>
      <c r="U1064">
        <v>0</v>
      </c>
      <c r="V1064">
        <v>1</v>
      </c>
      <c r="W1064">
        <v>0</v>
      </c>
      <c r="X1064">
        <v>0</v>
      </c>
      <c r="Y1064">
        <v>0</v>
      </c>
      <c r="AE1064">
        <f t="shared" si="48"/>
        <v>1</v>
      </c>
      <c r="AF1064">
        <f>VLOOKUP(D1064,especies!$A$2:$C$9,3,FALSE)</f>
        <v>2</v>
      </c>
      <c r="AG1064" t="str">
        <f t="shared" si="49"/>
        <v>2-DPL (Doméstico de pelo Largo o DLH)</v>
      </c>
      <c r="AH1064">
        <f>VLOOKUP('Fichas clínicas'!AG1064,razas!$A$2:$D$66,3,FALSE)</f>
        <v>52</v>
      </c>
      <c r="AI1064" t="str">
        <f t="shared" si="50"/>
        <v>H</v>
      </c>
    </row>
    <row r="1065" spans="1:35" x14ac:dyDescent="0.2">
      <c r="A1065">
        <v>1067</v>
      </c>
      <c r="B1065" t="s">
        <v>2510</v>
      </c>
      <c r="C1065" t="s">
        <v>216</v>
      </c>
      <c r="D1065" t="s">
        <v>2280</v>
      </c>
      <c r="E1065" t="s">
        <v>2511</v>
      </c>
      <c r="F1065" t="s">
        <v>47</v>
      </c>
      <c r="G1065" t="s">
        <v>639</v>
      </c>
      <c r="J1065" t="s">
        <v>288</v>
      </c>
      <c r="K1065" t="s">
        <v>38</v>
      </c>
      <c r="L1065" t="s">
        <v>38</v>
      </c>
      <c r="M1065" t="s">
        <v>38</v>
      </c>
      <c r="N1065" t="s">
        <v>38</v>
      </c>
      <c r="O1065" t="s">
        <v>38</v>
      </c>
      <c r="T1065" t="s">
        <v>38</v>
      </c>
      <c r="U1065">
        <v>0</v>
      </c>
      <c r="W1065">
        <v>0</v>
      </c>
      <c r="X1065">
        <v>0</v>
      </c>
      <c r="Y1065">
        <v>0</v>
      </c>
      <c r="AE1065">
        <f t="shared" si="48"/>
        <v>1</v>
      </c>
      <c r="AF1065">
        <f>VLOOKUP(D1065,especies!$A$2:$C$9,3,FALSE)</f>
        <v>6</v>
      </c>
      <c r="AG1065" t="str">
        <f t="shared" si="49"/>
        <v>6-Cabeza de León</v>
      </c>
      <c r="AH1065">
        <f>VLOOKUP('Fichas clínicas'!AG1065,razas!$A$2:$D$66,3,FALSE)</f>
        <v>60</v>
      </c>
      <c r="AI1065" t="str">
        <f t="shared" si="50"/>
        <v>M</v>
      </c>
    </row>
    <row r="1066" spans="1:35" x14ac:dyDescent="0.2">
      <c r="A1066">
        <v>1068</v>
      </c>
      <c r="B1066" t="s">
        <v>980</v>
      </c>
      <c r="C1066" t="s">
        <v>2512</v>
      </c>
      <c r="D1066" t="s">
        <v>41</v>
      </c>
      <c r="E1066" t="s">
        <v>42</v>
      </c>
      <c r="F1066" t="s">
        <v>34</v>
      </c>
      <c r="G1066" t="s">
        <v>81</v>
      </c>
      <c r="J1066" t="s">
        <v>58</v>
      </c>
      <c r="K1066" t="s">
        <v>38</v>
      </c>
      <c r="L1066" t="s">
        <v>38</v>
      </c>
      <c r="M1066" t="s">
        <v>38</v>
      </c>
      <c r="N1066" t="s">
        <v>38</v>
      </c>
      <c r="O1066" t="s">
        <v>38</v>
      </c>
      <c r="T1066" t="s">
        <v>38</v>
      </c>
      <c r="U1066">
        <v>0</v>
      </c>
      <c r="W1066">
        <v>0</v>
      </c>
      <c r="X1066">
        <v>0</v>
      </c>
      <c r="Y1066">
        <v>0</v>
      </c>
      <c r="AE1066">
        <f t="shared" si="48"/>
        <v>1</v>
      </c>
      <c r="AF1066">
        <f>VLOOKUP(D1066,especies!$A$2:$C$9,3,FALSE)</f>
        <v>2</v>
      </c>
      <c r="AG1066" t="str">
        <f t="shared" si="49"/>
        <v>2-DPC (Doméstico de pelo corto o DSH)</v>
      </c>
      <c r="AH1066">
        <f>VLOOKUP('Fichas clínicas'!AG1066,razas!$A$2:$D$66,3,FALSE)</f>
        <v>51</v>
      </c>
      <c r="AI1066" t="str">
        <f t="shared" si="50"/>
        <v>H</v>
      </c>
    </row>
    <row r="1067" spans="1:35" x14ac:dyDescent="0.2">
      <c r="A1067">
        <v>1069</v>
      </c>
      <c r="B1067" t="s">
        <v>2513</v>
      </c>
      <c r="C1067" t="s">
        <v>2514</v>
      </c>
      <c r="D1067" t="s">
        <v>32</v>
      </c>
      <c r="E1067" t="s">
        <v>33</v>
      </c>
      <c r="F1067" t="s">
        <v>47</v>
      </c>
      <c r="G1067" t="s">
        <v>165</v>
      </c>
      <c r="J1067" t="s">
        <v>955</v>
      </c>
      <c r="K1067" t="s">
        <v>38</v>
      </c>
      <c r="L1067" t="s">
        <v>38</v>
      </c>
      <c r="M1067" t="s">
        <v>38</v>
      </c>
      <c r="N1067" t="s">
        <v>38</v>
      </c>
      <c r="O1067" t="s">
        <v>38</v>
      </c>
      <c r="T1067" t="s">
        <v>38</v>
      </c>
      <c r="U1067">
        <v>0</v>
      </c>
      <c r="V1067">
        <v>1</v>
      </c>
      <c r="W1067">
        <v>0</v>
      </c>
      <c r="X1067">
        <v>0</v>
      </c>
      <c r="Y1067">
        <v>0</v>
      </c>
      <c r="AE1067">
        <f t="shared" si="48"/>
        <v>1</v>
      </c>
      <c r="AF1067">
        <f>VLOOKUP(D1067,especies!$A$2:$C$9,3,FALSE)</f>
        <v>1</v>
      </c>
      <c r="AG1067" t="str">
        <f t="shared" si="49"/>
        <v>1-Mestizo</v>
      </c>
      <c r="AH1067">
        <f>VLOOKUP('Fichas clínicas'!AG1067,razas!$A$2:$D$66,3,FALSE)</f>
        <v>1</v>
      </c>
      <c r="AI1067" t="str">
        <f t="shared" si="50"/>
        <v>M</v>
      </c>
    </row>
    <row r="1068" spans="1:35" x14ac:dyDescent="0.2">
      <c r="A1068">
        <v>1070</v>
      </c>
      <c r="B1068" t="s">
        <v>2515</v>
      </c>
      <c r="C1068" t="s">
        <v>2516</v>
      </c>
      <c r="D1068" t="s">
        <v>32</v>
      </c>
      <c r="E1068" t="s">
        <v>150</v>
      </c>
      <c r="F1068" t="s">
        <v>47</v>
      </c>
      <c r="G1068" t="s">
        <v>2429</v>
      </c>
      <c r="J1068" t="s">
        <v>348</v>
      </c>
      <c r="K1068" t="s">
        <v>38</v>
      </c>
      <c r="L1068" t="s">
        <v>38</v>
      </c>
      <c r="M1068" t="s">
        <v>38</v>
      </c>
      <c r="N1068" t="s">
        <v>38</v>
      </c>
      <c r="O1068" t="s">
        <v>38</v>
      </c>
      <c r="T1068" t="s">
        <v>38</v>
      </c>
      <c r="U1068">
        <v>0</v>
      </c>
      <c r="W1068">
        <v>0</v>
      </c>
      <c r="X1068">
        <v>0</v>
      </c>
      <c r="Y1068">
        <v>0</v>
      </c>
      <c r="AE1068">
        <f t="shared" si="48"/>
        <v>1</v>
      </c>
      <c r="AF1068">
        <f>VLOOKUP(D1068,especies!$A$2:$C$9,3,FALSE)</f>
        <v>1</v>
      </c>
      <c r="AG1068" t="str">
        <f t="shared" si="49"/>
        <v>1-Poodle</v>
      </c>
      <c r="AH1068">
        <f>VLOOKUP('Fichas clínicas'!AG1068,razas!$A$2:$D$66,3,FALSE)</f>
        <v>6</v>
      </c>
      <c r="AI1068" t="str">
        <f t="shared" si="50"/>
        <v>M</v>
      </c>
    </row>
    <row r="1069" spans="1:35" x14ac:dyDescent="0.2">
      <c r="A1069">
        <v>1071</v>
      </c>
      <c r="B1069" t="s">
        <v>2517</v>
      </c>
      <c r="C1069" t="s">
        <v>2518</v>
      </c>
      <c r="D1069" t="s">
        <v>41</v>
      </c>
      <c r="E1069" t="s">
        <v>93</v>
      </c>
      <c r="F1069" t="s">
        <v>47</v>
      </c>
      <c r="G1069" t="s">
        <v>81</v>
      </c>
      <c r="J1069" t="s">
        <v>221</v>
      </c>
      <c r="K1069" t="s">
        <v>38</v>
      </c>
      <c r="L1069" t="s">
        <v>38</v>
      </c>
      <c r="M1069" t="s">
        <v>38</v>
      </c>
      <c r="N1069" t="s">
        <v>38</v>
      </c>
      <c r="O1069" t="s">
        <v>38</v>
      </c>
      <c r="T1069" t="s">
        <v>38</v>
      </c>
      <c r="U1069">
        <v>0</v>
      </c>
      <c r="W1069">
        <v>0</v>
      </c>
      <c r="X1069">
        <v>0</v>
      </c>
      <c r="Y1069">
        <v>0</v>
      </c>
      <c r="AE1069">
        <f t="shared" si="48"/>
        <v>1</v>
      </c>
      <c r="AF1069">
        <f>VLOOKUP(D1069,especies!$A$2:$C$9,3,FALSE)</f>
        <v>2</v>
      </c>
      <c r="AG1069" t="str">
        <f t="shared" si="49"/>
        <v>2-DPL (Doméstico de pelo Largo o DLH)</v>
      </c>
      <c r="AH1069">
        <f>VLOOKUP('Fichas clínicas'!AG1069,razas!$A$2:$D$66,3,FALSE)</f>
        <v>52</v>
      </c>
      <c r="AI1069" t="str">
        <f t="shared" si="50"/>
        <v>M</v>
      </c>
    </row>
    <row r="1070" spans="1:35" x14ac:dyDescent="0.2">
      <c r="A1070">
        <v>1072</v>
      </c>
      <c r="B1070" t="s">
        <v>2519</v>
      </c>
      <c r="C1070" t="s">
        <v>2520</v>
      </c>
      <c r="D1070" t="s">
        <v>32</v>
      </c>
      <c r="E1070" t="s">
        <v>33</v>
      </c>
      <c r="F1070" t="s">
        <v>34</v>
      </c>
      <c r="G1070" t="s">
        <v>284</v>
      </c>
      <c r="J1070" t="s">
        <v>44</v>
      </c>
      <c r="K1070" t="s">
        <v>38</v>
      </c>
      <c r="L1070" t="s">
        <v>38</v>
      </c>
      <c r="M1070" t="s">
        <v>38</v>
      </c>
      <c r="N1070" t="s">
        <v>38</v>
      </c>
      <c r="O1070" t="s">
        <v>38</v>
      </c>
      <c r="T1070" t="s">
        <v>38</v>
      </c>
      <c r="U1070">
        <v>0</v>
      </c>
      <c r="W1070">
        <v>0</v>
      </c>
      <c r="X1070">
        <v>0</v>
      </c>
      <c r="Y1070">
        <v>0</v>
      </c>
      <c r="AE1070">
        <f t="shared" si="48"/>
        <v>1</v>
      </c>
      <c r="AF1070">
        <f>VLOOKUP(D1070,especies!$A$2:$C$9,3,FALSE)</f>
        <v>1</v>
      </c>
      <c r="AG1070" t="str">
        <f t="shared" si="49"/>
        <v>1-Mestizo</v>
      </c>
      <c r="AH1070">
        <f>VLOOKUP('Fichas clínicas'!AG1070,razas!$A$2:$D$66,3,FALSE)</f>
        <v>1</v>
      </c>
      <c r="AI1070" t="str">
        <f t="shared" si="50"/>
        <v>H</v>
      </c>
    </row>
    <row r="1071" spans="1:35" x14ac:dyDescent="0.2">
      <c r="A1071">
        <v>1073</v>
      </c>
      <c r="B1071" t="s">
        <v>2521</v>
      </c>
      <c r="C1071" t="s">
        <v>927</v>
      </c>
      <c r="D1071" t="s">
        <v>32</v>
      </c>
      <c r="E1071" t="s">
        <v>33</v>
      </c>
      <c r="F1071" t="s">
        <v>34</v>
      </c>
      <c r="G1071" t="s">
        <v>116</v>
      </c>
      <c r="J1071" t="s">
        <v>127</v>
      </c>
      <c r="K1071" t="s">
        <v>38</v>
      </c>
      <c r="L1071" t="s">
        <v>38</v>
      </c>
      <c r="M1071" t="s">
        <v>38</v>
      </c>
      <c r="N1071" t="s">
        <v>38</v>
      </c>
      <c r="O1071" t="s">
        <v>38</v>
      </c>
      <c r="T1071" t="s">
        <v>38</v>
      </c>
      <c r="U1071">
        <v>0</v>
      </c>
      <c r="W1071">
        <v>0</v>
      </c>
      <c r="X1071">
        <v>0</v>
      </c>
      <c r="Y1071">
        <v>0</v>
      </c>
      <c r="AE1071">
        <f t="shared" si="48"/>
        <v>1</v>
      </c>
      <c r="AF1071">
        <f>VLOOKUP(D1071,especies!$A$2:$C$9,3,FALSE)</f>
        <v>1</v>
      </c>
      <c r="AG1071" t="str">
        <f t="shared" si="49"/>
        <v>1-Mestizo</v>
      </c>
      <c r="AH1071">
        <f>VLOOKUP('Fichas clínicas'!AG1071,razas!$A$2:$D$66,3,FALSE)</f>
        <v>1</v>
      </c>
      <c r="AI1071" t="str">
        <f t="shared" si="50"/>
        <v>H</v>
      </c>
    </row>
    <row r="1072" spans="1:35" x14ac:dyDescent="0.2">
      <c r="A1072">
        <v>1074</v>
      </c>
      <c r="B1072" t="s">
        <v>2522</v>
      </c>
      <c r="C1072" t="s">
        <v>2523</v>
      </c>
      <c r="D1072" t="s">
        <v>32</v>
      </c>
      <c r="E1072" t="s">
        <v>164</v>
      </c>
      <c r="F1072" t="s">
        <v>34</v>
      </c>
      <c r="G1072" t="s">
        <v>694</v>
      </c>
      <c r="J1072" t="s">
        <v>2524</v>
      </c>
      <c r="K1072" t="s">
        <v>38</v>
      </c>
      <c r="L1072" t="s">
        <v>38</v>
      </c>
      <c r="M1072" t="s">
        <v>38</v>
      </c>
      <c r="N1072" t="s">
        <v>38</v>
      </c>
      <c r="O1072" t="s">
        <v>38</v>
      </c>
      <c r="Q1072">
        <v>0</v>
      </c>
      <c r="T1072" t="s">
        <v>38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f t="shared" si="48"/>
        <v>1</v>
      </c>
      <c r="AF1072">
        <f>VLOOKUP(D1072,especies!$A$2:$C$9,3,FALSE)</f>
        <v>1</v>
      </c>
      <c r="AG1072" t="str">
        <f t="shared" si="49"/>
        <v>1-Teckel</v>
      </c>
      <c r="AH1072">
        <f>VLOOKUP('Fichas clínicas'!AG1072,razas!$A$2:$D$66,3,FALSE)</f>
        <v>8</v>
      </c>
      <c r="AI1072" t="str">
        <f t="shared" si="50"/>
        <v>H</v>
      </c>
    </row>
    <row r="1073" spans="1:35" x14ac:dyDescent="0.2">
      <c r="A1073">
        <v>1075</v>
      </c>
      <c r="B1073" t="s">
        <v>2525</v>
      </c>
      <c r="C1073" t="s">
        <v>2526</v>
      </c>
      <c r="D1073" t="s">
        <v>41</v>
      </c>
      <c r="E1073" t="s">
        <v>42</v>
      </c>
      <c r="F1073" t="s">
        <v>47</v>
      </c>
      <c r="G1073" t="s">
        <v>1073</v>
      </c>
      <c r="J1073" t="s">
        <v>1810</v>
      </c>
      <c r="K1073" t="s">
        <v>38</v>
      </c>
      <c r="L1073" t="s">
        <v>38</v>
      </c>
      <c r="M1073" t="s">
        <v>38</v>
      </c>
      <c r="N1073" t="s">
        <v>38</v>
      </c>
      <c r="O1073" t="s">
        <v>38</v>
      </c>
      <c r="Q1073">
        <v>0</v>
      </c>
      <c r="T1073" t="s">
        <v>38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f t="shared" si="48"/>
        <v>1</v>
      </c>
      <c r="AF1073">
        <f>VLOOKUP(D1073,especies!$A$2:$C$9,3,FALSE)</f>
        <v>2</v>
      </c>
      <c r="AG1073" t="str">
        <f t="shared" si="49"/>
        <v>2-DPC (Doméstico de pelo corto o DSH)</v>
      </c>
      <c r="AH1073">
        <f>VLOOKUP('Fichas clínicas'!AG1073,razas!$A$2:$D$66,3,FALSE)</f>
        <v>51</v>
      </c>
      <c r="AI1073" t="str">
        <f t="shared" si="50"/>
        <v>M</v>
      </c>
    </row>
    <row r="1074" spans="1:35" x14ac:dyDescent="0.2">
      <c r="A1074">
        <v>1076</v>
      </c>
      <c r="B1074" t="s">
        <v>2527</v>
      </c>
      <c r="C1074" t="s">
        <v>1369</v>
      </c>
      <c r="D1074" t="s">
        <v>41</v>
      </c>
      <c r="E1074" t="s">
        <v>42</v>
      </c>
      <c r="F1074" t="s">
        <v>34</v>
      </c>
      <c r="G1074" t="s">
        <v>2528</v>
      </c>
      <c r="J1074" t="s">
        <v>2529</v>
      </c>
      <c r="K1074" t="s">
        <v>38</v>
      </c>
      <c r="L1074" t="s">
        <v>38</v>
      </c>
      <c r="M1074" t="s">
        <v>38</v>
      </c>
      <c r="N1074" t="s">
        <v>38</v>
      </c>
      <c r="O1074" t="s">
        <v>38</v>
      </c>
      <c r="T1074" t="s">
        <v>38</v>
      </c>
      <c r="U1074">
        <v>0</v>
      </c>
      <c r="W1074">
        <v>0</v>
      </c>
      <c r="X1074">
        <v>0</v>
      </c>
      <c r="Y1074">
        <v>0</v>
      </c>
      <c r="AE1074">
        <f t="shared" si="48"/>
        <v>1</v>
      </c>
      <c r="AF1074">
        <f>VLOOKUP(D1074,especies!$A$2:$C$9,3,FALSE)</f>
        <v>2</v>
      </c>
      <c r="AG1074" t="str">
        <f t="shared" si="49"/>
        <v>2-DPC (Doméstico de pelo corto o DSH)</v>
      </c>
      <c r="AH1074">
        <f>VLOOKUP('Fichas clínicas'!AG1074,razas!$A$2:$D$66,3,FALSE)</f>
        <v>51</v>
      </c>
      <c r="AI1074" t="str">
        <f t="shared" si="50"/>
        <v>H</v>
      </c>
    </row>
    <row r="1075" spans="1:35" x14ac:dyDescent="0.2">
      <c r="A1075">
        <v>1077</v>
      </c>
      <c r="B1075" t="s">
        <v>2530</v>
      </c>
      <c r="C1075" t="s">
        <v>2531</v>
      </c>
      <c r="D1075" t="s">
        <v>32</v>
      </c>
      <c r="E1075" t="s">
        <v>143</v>
      </c>
      <c r="F1075" t="s">
        <v>47</v>
      </c>
      <c r="G1075" t="s">
        <v>840</v>
      </c>
      <c r="J1075" t="s">
        <v>2532</v>
      </c>
      <c r="K1075" t="s">
        <v>38</v>
      </c>
      <c r="L1075" t="s">
        <v>38</v>
      </c>
      <c r="M1075" t="s">
        <v>38</v>
      </c>
      <c r="N1075" t="s">
        <v>38</v>
      </c>
      <c r="O1075" t="s">
        <v>38</v>
      </c>
      <c r="T1075" t="s">
        <v>38</v>
      </c>
      <c r="U1075">
        <v>0</v>
      </c>
      <c r="W1075">
        <v>0</v>
      </c>
      <c r="X1075">
        <v>0</v>
      </c>
      <c r="Y1075">
        <v>0</v>
      </c>
      <c r="AE1075">
        <f t="shared" si="48"/>
        <v>1</v>
      </c>
      <c r="AF1075">
        <f>VLOOKUP(D1075,especies!$A$2:$C$9,3,FALSE)</f>
        <v>1</v>
      </c>
      <c r="AG1075" t="str">
        <f t="shared" si="49"/>
        <v>1-Yorkshire Terrier</v>
      </c>
      <c r="AH1075">
        <f>VLOOKUP('Fichas clínicas'!AG1075,razas!$A$2:$D$66,3,FALSE)</f>
        <v>5</v>
      </c>
      <c r="AI1075" t="str">
        <f t="shared" si="50"/>
        <v>M</v>
      </c>
    </row>
    <row r="1076" spans="1:35" x14ac:dyDescent="0.2">
      <c r="A1076">
        <v>1078</v>
      </c>
      <c r="B1076" t="s">
        <v>1234</v>
      </c>
      <c r="C1076" t="s">
        <v>2533</v>
      </c>
      <c r="D1076" t="s">
        <v>32</v>
      </c>
      <c r="E1076" t="s">
        <v>33</v>
      </c>
      <c r="F1076" t="s">
        <v>47</v>
      </c>
      <c r="G1076" t="s">
        <v>329</v>
      </c>
      <c r="J1076" t="s">
        <v>1620</v>
      </c>
      <c r="K1076" t="s">
        <v>38</v>
      </c>
      <c r="L1076" t="s">
        <v>38</v>
      </c>
      <c r="M1076" t="s">
        <v>38</v>
      </c>
      <c r="N1076" t="s">
        <v>38</v>
      </c>
      <c r="O1076" t="s">
        <v>38</v>
      </c>
      <c r="T1076" t="s">
        <v>38</v>
      </c>
      <c r="U1076">
        <v>0</v>
      </c>
      <c r="W1076">
        <v>0</v>
      </c>
      <c r="X1076">
        <v>0</v>
      </c>
      <c r="Y1076">
        <v>0</v>
      </c>
      <c r="AE1076">
        <f t="shared" si="48"/>
        <v>1</v>
      </c>
      <c r="AF1076">
        <f>VLOOKUP(D1076,especies!$A$2:$C$9,3,FALSE)</f>
        <v>1</v>
      </c>
      <c r="AG1076" t="str">
        <f t="shared" si="49"/>
        <v>1-Mestizo</v>
      </c>
      <c r="AH1076">
        <f>VLOOKUP('Fichas clínicas'!AG1076,razas!$A$2:$D$66,3,FALSE)</f>
        <v>1</v>
      </c>
      <c r="AI1076" t="str">
        <f t="shared" si="50"/>
        <v>M</v>
      </c>
    </row>
    <row r="1077" spans="1:35" x14ac:dyDescent="0.2">
      <c r="A1077">
        <v>1079</v>
      </c>
      <c r="B1077" t="s">
        <v>2534</v>
      </c>
      <c r="C1077" t="s">
        <v>2535</v>
      </c>
      <c r="D1077" t="s">
        <v>41</v>
      </c>
      <c r="E1077" t="s">
        <v>42</v>
      </c>
      <c r="F1077" t="s">
        <v>34</v>
      </c>
      <c r="G1077" t="s">
        <v>2536</v>
      </c>
      <c r="J1077" t="s">
        <v>2537</v>
      </c>
      <c r="K1077" t="s">
        <v>38</v>
      </c>
      <c r="L1077" t="s">
        <v>38</v>
      </c>
      <c r="M1077" t="s">
        <v>38</v>
      </c>
      <c r="N1077" t="s">
        <v>38</v>
      </c>
      <c r="O1077" t="s">
        <v>38</v>
      </c>
      <c r="T1077" t="s">
        <v>38</v>
      </c>
      <c r="U1077">
        <v>0</v>
      </c>
      <c r="V1077">
        <v>1</v>
      </c>
      <c r="W1077">
        <v>0</v>
      </c>
      <c r="X1077">
        <v>0</v>
      </c>
      <c r="Y1077">
        <v>0</v>
      </c>
      <c r="AE1077">
        <f t="shared" si="48"/>
        <v>1</v>
      </c>
      <c r="AF1077">
        <f>VLOOKUP(D1077,especies!$A$2:$C$9,3,FALSE)</f>
        <v>2</v>
      </c>
      <c r="AG1077" t="str">
        <f t="shared" si="49"/>
        <v>2-DPC (Doméstico de pelo corto o DSH)</v>
      </c>
      <c r="AH1077">
        <f>VLOOKUP('Fichas clínicas'!AG1077,razas!$A$2:$D$66,3,FALSE)</f>
        <v>51</v>
      </c>
      <c r="AI1077" t="str">
        <f t="shared" si="50"/>
        <v>H</v>
      </c>
    </row>
    <row r="1078" spans="1:35" x14ac:dyDescent="0.2">
      <c r="A1078">
        <v>1080</v>
      </c>
      <c r="B1078" t="s">
        <v>2538</v>
      </c>
      <c r="C1078" t="s">
        <v>2539</v>
      </c>
      <c r="D1078" t="s">
        <v>32</v>
      </c>
      <c r="E1078" t="s">
        <v>33</v>
      </c>
      <c r="F1078" t="s">
        <v>47</v>
      </c>
      <c r="G1078" t="s">
        <v>467</v>
      </c>
      <c r="J1078" t="s">
        <v>2540</v>
      </c>
      <c r="K1078" t="s">
        <v>38</v>
      </c>
      <c r="L1078" t="s">
        <v>38</v>
      </c>
      <c r="M1078" t="s">
        <v>38</v>
      </c>
      <c r="N1078" t="s">
        <v>38</v>
      </c>
      <c r="O1078" t="s">
        <v>38</v>
      </c>
      <c r="T1078" t="s">
        <v>38</v>
      </c>
      <c r="U1078">
        <v>0</v>
      </c>
      <c r="V1078">
        <v>1</v>
      </c>
      <c r="W1078">
        <v>0</v>
      </c>
      <c r="X1078">
        <v>0</v>
      </c>
      <c r="Y1078">
        <v>0</v>
      </c>
      <c r="AE1078">
        <f t="shared" si="48"/>
        <v>1</v>
      </c>
      <c r="AF1078">
        <f>VLOOKUP(D1078,especies!$A$2:$C$9,3,FALSE)</f>
        <v>1</v>
      </c>
      <c r="AG1078" t="str">
        <f t="shared" si="49"/>
        <v>1-Mestizo</v>
      </c>
      <c r="AH1078">
        <f>VLOOKUP('Fichas clínicas'!AG1078,razas!$A$2:$D$66,3,FALSE)</f>
        <v>1</v>
      </c>
      <c r="AI1078" t="str">
        <f t="shared" si="50"/>
        <v>M</v>
      </c>
    </row>
    <row r="1079" spans="1:35" x14ac:dyDescent="0.2">
      <c r="A1079">
        <v>1081</v>
      </c>
      <c r="B1079" t="s">
        <v>2541</v>
      </c>
      <c r="C1079" t="s">
        <v>216</v>
      </c>
      <c r="D1079" t="s">
        <v>32</v>
      </c>
      <c r="E1079" t="s">
        <v>33</v>
      </c>
      <c r="F1079" t="s">
        <v>47</v>
      </c>
      <c r="G1079" t="s">
        <v>123</v>
      </c>
      <c r="J1079" t="s">
        <v>87</v>
      </c>
      <c r="K1079" t="s">
        <v>38</v>
      </c>
      <c r="L1079" t="s">
        <v>38</v>
      </c>
      <c r="M1079" t="s">
        <v>38</v>
      </c>
      <c r="N1079" t="s">
        <v>38</v>
      </c>
      <c r="O1079" t="s">
        <v>38</v>
      </c>
      <c r="T1079" t="s">
        <v>38</v>
      </c>
      <c r="U1079">
        <v>0</v>
      </c>
      <c r="W1079">
        <v>0</v>
      </c>
      <c r="X1079">
        <v>0</v>
      </c>
      <c r="Y1079">
        <v>0</v>
      </c>
      <c r="AE1079">
        <f t="shared" si="48"/>
        <v>1</v>
      </c>
      <c r="AF1079">
        <f>VLOOKUP(D1079,especies!$A$2:$C$9,3,FALSE)</f>
        <v>1</v>
      </c>
      <c r="AG1079" t="str">
        <f t="shared" si="49"/>
        <v>1-Mestizo</v>
      </c>
      <c r="AH1079">
        <f>VLOOKUP('Fichas clínicas'!AG1079,razas!$A$2:$D$66,3,FALSE)</f>
        <v>1</v>
      </c>
      <c r="AI1079" t="str">
        <f t="shared" si="50"/>
        <v>M</v>
      </c>
    </row>
    <row r="1080" spans="1:35" x14ac:dyDescent="0.2">
      <c r="A1080">
        <v>1082</v>
      </c>
      <c r="B1080" t="s">
        <v>2542</v>
      </c>
      <c r="C1080" t="s">
        <v>216</v>
      </c>
      <c r="D1080" t="s">
        <v>32</v>
      </c>
      <c r="E1080" t="s">
        <v>150</v>
      </c>
      <c r="F1080" t="s">
        <v>47</v>
      </c>
      <c r="G1080" t="s">
        <v>123</v>
      </c>
      <c r="J1080" t="s">
        <v>2080</v>
      </c>
      <c r="K1080" t="s">
        <v>38</v>
      </c>
      <c r="L1080" t="s">
        <v>38</v>
      </c>
      <c r="M1080" t="s">
        <v>38</v>
      </c>
      <c r="N1080" t="s">
        <v>38</v>
      </c>
      <c r="O1080" t="s">
        <v>38</v>
      </c>
      <c r="T1080" t="s">
        <v>38</v>
      </c>
      <c r="U1080">
        <v>0</v>
      </c>
      <c r="W1080">
        <v>0</v>
      </c>
      <c r="X1080">
        <v>0</v>
      </c>
      <c r="Y1080">
        <v>0</v>
      </c>
      <c r="AE1080">
        <f t="shared" si="48"/>
        <v>1</v>
      </c>
      <c r="AF1080">
        <f>VLOOKUP(D1080,especies!$A$2:$C$9,3,FALSE)</f>
        <v>1</v>
      </c>
      <c r="AG1080" t="str">
        <f t="shared" si="49"/>
        <v>1-Poodle</v>
      </c>
      <c r="AH1080">
        <f>VLOOKUP('Fichas clínicas'!AG1080,razas!$A$2:$D$66,3,FALSE)</f>
        <v>6</v>
      </c>
      <c r="AI1080" t="str">
        <f t="shared" si="50"/>
        <v>M</v>
      </c>
    </row>
    <row r="1081" spans="1:35" x14ac:dyDescent="0.2">
      <c r="A1081">
        <v>1083</v>
      </c>
      <c r="B1081" t="s">
        <v>2543</v>
      </c>
      <c r="C1081" t="s">
        <v>2544</v>
      </c>
      <c r="D1081" t="s">
        <v>41</v>
      </c>
      <c r="E1081" t="s">
        <v>42</v>
      </c>
      <c r="F1081" t="s">
        <v>47</v>
      </c>
      <c r="G1081" t="s">
        <v>81</v>
      </c>
      <c r="J1081" t="s">
        <v>601</v>
      </c>
      <c r="K1081" t="s">
        <v>38</v>
      </c>
      <c r="L1081" t="s">
        <v>38</v>
      </c>
      <c r="M1081" t="s">
        <v>38</v>
      </c>
      <c r="N1081" t="s">
        <v>38</v>
      </c>
      <c r="O1081" t="s">
        <v>38</v>
      </c>
      <c r="T1081" t="s">
        <v>38</v>
      </c>
      <c r="U1081">
        <v>0</v>
      </c>
      <c r="W1081">
        <v>0</v>
      </c>
      <c r="X1081">
        <v>0</v>
      </c>
      <c r="Y1081">
        <v>0</v>
      </c>
      <c r="AE1081">
        <f t="shared" si="48"/>
        <v>1</v>
      </c>
      <c r="AF1081">
        <f>VLOOKUP(D1081,especies!$A$2:$C$9,3,FALSE)</f>
        <v>2</v>
      </c>
      <c r="AG1081" t="str">
        <f t="shared" si="49"/>
        <v>2-DPC (Doméstico de pelo corto o DSH)</v>
      </c>
      <c r="AH1081">
        <f>VLOOKUP('Fichas clínicas'!AG1081,razas!$A$2:$D$66,3,FALSE)</f>
        <v>51</v>
      </c>
      <c r="AI1081" t="str">
        <f t="shared" si="50"/>
        <v>M</v>
      </c>
    </row>
    <row r="1082" spans="1:35" x14ac:dyDescent="0.2">
      <c r="A1082">
        <v>1084</v>
      </c>
      <c r="B1082" t="s">
        <v>2545</v>
      </c>
      <c r="C1082" t="s">
        <v>2546</v>
      </c>
      <c r="D1082" t="s">
        <v>41</v>
      </c>
      <c r="E1082" t="s">
        <v>93</v>
      </c>
      <c r="F1082" t="s">
        <v>34</v>
      </c>
      <c r="G1082" t="s">
        <v>297</v>
      </c>
      <c r="J1082" t="s">
        <v>310</v>
      </c>
      <c r="K1082" t="s">
        <v>38</v>
      </c>
      <c r="L1082" t="s">
        <v>38</v>
      </c>
      <c r="M1082" t="s">
        <v>38</v>
      </c>
      <c r="N1082" t="s">
        <v>38</v>
      </c>
      <c r="O1082" t="s">
        <v>38</v>
      </c>
      <c r="T1082" t="s">
        <v>38</v>
      </c>
      <c r="U1082">
        <v>0</v>
      </c>
      <c r="W1082">
        <v>0</v>
      </c>
      <c r="X1082">
        <v>0</v>
      </c>
      <c r="Y1082">
        <v>0</v>
      </c>
      <c r="AE1082">
        <f t="shared" si="48"/>
        <v>1</v>
      </c>
      <c r="AF1082">
        <f>VLOOKUP(D1082,especies!$A$2:$C$9,3,FALSE)</f>
        <v>2</v>
      </c>
      <c r="AG1082" t="str">
        <f t="shared" si="49"/>
        <v>2-DPL (Doméstico de pelo Largo o DLH)</v>
      </c>
      <c r="AH1082">
        <f>VLOOKUP('Fichas clínicas'!AG1082,razas!$A$2:$D$66,3,FALSE)</f>
        <v>52</v>
      </c>
      <c r="AI1082" t="str">
        <f t="shared" si="50"/>
        <v>H</v>
      </c>
    </row>
    <row r="1083" spans="1:35" x14ac:dyDescent="0.2">
      <c r="A1083">
        <v>1085</v>
      </c>
      <c r="B1083" t="s">
        <v>360</v>
      </c>
      <c r="C1083" t="s">
        <v>2516</v>
      </c>
      <c r="D1083" t="s">
        <v>32</v>
      </c>
      <c r="E1083" t="s">
        <v>33</v>
      </c>
      <c r="F1083" t="s">
        <v>47</v>
      </c>
      <c r="G1083" t="s">
        <v>116</v>
      </c>
      <c r="J1083" t="s">
        <v>281</v>
      </c>
      <c r="K1083" t="s">
        <v>38</v>
      </c>
      <c r="L1083" t="s">
        <v>38</v>
      </c>
      <c r="M1083" t="s">
        <v>38</v>
      </c>
      <c r="N1083" t="s">
        <v>38</v>
      </c>
      <c r="O1083" t="s">
        <v>38</v>
      </c>
      <c r="T1083" t="s">
        <v>38</v>
      </c>
      <c r="U1083">
        <v>0</v>
      </c>
      <c r="W1083">
        <v>0</v>
      </c>
      <c r="X1083">
        <v>0</v>
      </c>
      <c r="Y1083">
        <v>0</v>
      </c>
      <c r="AE1083">
        <f t="shared" si="48"/>
        <v>1</v>
      </c>
      <c r="AF1083">
        <f>VLOOKUP(D1083,especies!$A$2:$C$9,3,FALSE)</f>
        <v>1</v>
      </c>
      <c r="AG1083" t="str">
        <f t="shared" si="49"/>
        <v>1-Mestizo</v>
      </c>
      <c r="AH1083">
        <f>VLOOKUP('Fichas clínicas'!AG1083,razas!$A$2:$D$66,3,FALSE)</f>
        <v>1</v>
      </c>
      <c r="AI1083" t="str">
        <f t="shared" si="50"/>
        <v>M</v>
      </c>
    </row>
    <row r="1084" spans="1:35" x14ac:dyDescent="0.2">
      <c r="A1084">
        <v>1086</v>
      </c>
      <c r="B1084" t="s">
        <v>1901</v>
      </c>
      <c r="C1084" t="s">
        <v>927</v>
      </c>
      <c r="D1084" t="s">
        <v>32</v>
      </c>
      <c r="E1084" t="s">
        <v>150</v>
      </c>
      <c r="F1084" t="s">
        <v>34</v>
      </c>
      <c r="G1084" t="s">
        <v>2429</v>
      </c>
      <c r="J1084" t="s">
        <v>2547</v>
      </c>
      <c r="K1084" t="s">
        <v>38</v>
      </c>
      <c r="L1084" t="s">
        <v>38</v>
      </c>
      <c r="M1084" t="s">
        <v>38</v>
      </c>
      <c r="N1084" t="s">
        <v>38</v>
      </c>
      <c r="O1084" t="s">
        <v>38</v>
      </c>
      <c r="Q1084">
        <v>1</v>
      </c>
      <c r="T1084" t="s">
        <v>38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f t="shared" si="48"/>
        <v>1</v>
      </c>
      <c r="AF1084">
        <f>VLOOKUP(D1084,especies!$A$2:$C$9,3,FALSE)</f>
        <v>1</v>
      </c>
      <c r="AG1084" t="str">
        <f t="shared" si="49"/>
        <v>1-Poodle</v>
      </c>
      <c r="AH1084">
        <f>VLOOKUP('Fichas clínicas'!AG1084,razas!$A$2:$D$66,3,FALSE)</f>
        <v>6</v>
      </c>
      <c r="AI1084" t="str">
        <f t="shared" si="50"/>
        <v>H</v>
      </c>
    </row>
    <row r="1085" spans="1:35" x14ac:dyDescent="0.2">
      <c r="A1085">
        <v>1087</v>
      </c>
      <c r="B1085" t="s">
        <v>2548</v>
      </c>
      <c r="C1085" t="s">
        <v>2549</v>
      </c>
      <c r="D1085" t="s">
        <v>41</v>
      </c>
      <c r="E1085" t="s">
        <v>42</v>
      </c>
      <c r="F1085" t="s">
        <v>34</v>
      </c>
      <c r="G1085" t="s">
        <v>2550</v>
      </c>
      <c r="J1085" t="s">
        <v>90</v>
      </c>
      <c r="K1085" t="s">
        <v>38</v>
      </c>
      <c r="L1085" t="s">
        <v>38</v>
      </c>
      <c r="M1085" t="s">
        <v>38</v>
      </c>
      <c r="N1085" t="s">
        <v>38</v>
      </c>
      <c r="O1085" t="s">
        <v>38</v>
      </c>
      <c r="T1085" t="s">
        <v>38</v>
      </c>
      <c r="U1085">
        <v>0</v>
      </c>
      <c r="V1085">
        <v>1</v>
      </c>
      <c r="W1085">
        <v>0</v>
      </c>
      <c r="X1085">
        <v>0</v>
      </c>
      <c r="Y1085">
        <v>0</v>
      </c>
      <c r="AE1085">
        <f t="shared" si="48"/>
        <v>1</v>
      </c>
      <c r="AF1085">
        <f>VLOOKUP(D1085,especies!$A$2:$C$9,3,FALSE)</f>
        <v>2</v>
      </c>
      <c r="AG1085" t="str">
        <f t="shared" si="49"/>
        <v>2-DPC (Doméstico de pelo corto o DSH)</v>
      </c>
      <c r="AH1085">
        <f>VLOOKUP('Fichas clínicas'!AG1085,razas!$A$2:$D$66,3,FALSE)</f>
        <v>51</v>
      </c>
      <c r="AI1085" t="str">
        <f t="shared" si="50"/>
        <v>H</v>
      </c>
    </row>
    <row r="1086" spans="1:35" x14ac:dyDescent="0.2">
      <c r="A1086">
        <v>1088</v>
      </c>
      <c r="B1086" t="s">
        <v>243</v>
      </c>
      <c r="C1086" t="s">
        <v>2551</v>
      </c>
      <c r="D1086" t="s">
        <v>41</v>
      </c>
      <c r="E1086" t="s">
        <v>42</v>
      </c>
      <c r="F1086" t="s">
        <v>47</v>
      </c>
      <c r="G1086" t="s">
        <v>123</v>
      </c>
      <c r="J1086" t="s">
        <v>2503</v>
      </c>
      <c r="K1086" t="s">
        <v>38</v>
      </c>
      <c r="L1086" t="s">
        <v>38</v>
      </c>
      <c r="M1086" t="s">
        <v>38</v>
      </c>
      <c r="N1086" t="s">
        <v>38</v>
      </c>
      <c r="O1086" t="s">
        <v>38</v>
      </c>
      <c r="Q1086">
        <v>0</v>
      </c>
      <c r="T1086" t="s">
        <v>38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f t="shared" si="48"/>
        <v>1</v>
      </c>
      <c r="AF1086">
        <f>VLOOKUP(D1086,especies!$A$2:$C$9,3,FALSE)</f>
        <v>2</v>
      </c>
      <c r="AG1086" t="str">
        <f t="shared" si="49"/>
        <v>2-DPC (Doméstico de pelo corto o DSH)</v>
      </c>
      <c r="AH1086">
        <f>VLOOKUP('Fichas clínicas'!AG1086,razas!$A$2:$D$66,3,FALSE)</f>
        <v>51</v>
      </c>
      <c r="AI1086" t="str">
        <f t="shared" si="50"/>
        <v>M</v>
      </c>
    </row>
    <row r="1087" spans="1:35" x14ac:dyDescent="0.2">
      <c r="A1087">
        <v>1089</v>
      </c>
      <c r="B1087" t="s">
        <v>2552</v>
      </c>
      <c r="C1087" t="s">
        <v>2553</v>
      </c>
      <c r="D1087" t="s">
        <v>32</v>
      </c>
      <c r="E1087" t="s">
        <v>33</v>
      </c>
      <c r="F1087" t="s">
        <v>47</v>
      </c>
      <c r="G1087" t="s">
        <v>123</v>
      </c>
      <c r="J1087" t="s">
        <v>2554</v>
      </c>
      <c r="K1087" t="s">
        <v>38</v>
      </c>
      <c r="L1087" t="s">
        <v>38</v>
      </c>
      <c r="M1087" t="s">
        <v>38</v>
      </c>
      <c r="N1087" t="s">
        <v>38</v>
      </c>
      <c r="O1087" t="s">
        <v>38</v>
      </c>
      <c r="T1087" t="s">
        <v>38</v>
      </c>
      <c r="U1087">
        <v>0</v>
      </c>
      <c r="W1087">
        <v>0</v>
      </c>
      <c r="X1087">
        <v>0</v>
      </c>
      <c r="Y1087">
        <v>0</v>
      </c>
      <c r="AE1087">
        <f t="shared" si="48"/>
        <v>1</v>
      </c>
      <c r="AF1087">
        <f>VLOOKUP(D1087,especies!$A$2:$C$9,3,FALSE)</f>
        <v>1</v>
      </c>
      <c r="AG1087" t="str">
        <f t="shared" si="49"/>
        <v>1-Mestizo</v>
      </c>
      <c r="AH1087">
        <f>VLOOKUP('Fichas clínicas'!AG1087,razas!$A$2:$D$66,3,FALSE)</f>
        <v>1</v>
      </c>
      <c r="AI1087" t="str">
        <f t="shared" si="50"/>
        <v>M</v>
      </c>
    </row>
    <row r="1088" spans="1:35" x14ac:dyDescent="0.2">
      <c r="A1088">
        <v>1090</v>
      </c>
      <c r="B1088" t="s">
        <v>2555</v>
      </c>
      <c r="C1088" t="s">
        <v>350</v>
      </c>
      <c r="D1088" t="s">
        <v>32</v>
      </c>
      <c r="E1088" t="s">
        <v>150</v>
      </c>
      <c r="F1088" t="s">
        <v>47</v>
      </c>
      <c r="G1088" t="s">
        <v>116</v>
      </c>
      <c r="I1088">
        <v>900113001676633</v>
      </c>
      <c r="J1088" t="s">
        <v>1218</v>
      </c>
      <c r="K1088" t="s">
        <v>38</v>
      </c>
      <c r="L1088" t="s">
        <v>38</v>
      </c>
      <c r="M1088" t="s">
        <v>38</v>
      </c>
      <c r="N1088" t="s">
        <v>38</v>
      </c>
      <c r="O1088" t="s">
        <v>38</v>
      </c>
      <c r="Q1088">
        <v>0</v>
      </c>
      <c r="T1088" t="s">
        <v>38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f t="shared" si="48"/>
        <v>1</v>
      </c>
      <c r="AF1088">
        <f>VLOOKUP(D1088,especies!$A$2:$C$9,3,FALSE)</f>
        <v>1</v>
      </c>
      <c r="AG1088" t="str">
        <f t="shared" si="49"/>
        <v>1-Poodle</v>
      </c>
      <c r="AH1088">
        <f>VLOOKUP('Fichas clínicas'!AG1088,razas!$A$2:$D$66,3,FALSE)</f>
        <v>6</v>
      </c>
      <c r="AI1088" t="str">
        <f t="shared" si="50"/>
        <v>M</v>
      </c>
    </row>
    <row r="1089" spans="1:35" x14ac:dyDescent="0.2">
      <c r="A1089">
        <v>1091</v>
      </c>
      <c r="B1089" t="s">
        <v>2556</v>
      </c>
      <c r="C1089" t="s">
        <v>2557</v>
      </c>
      <c r="D1089" t="s">
        <v>41</v>
      </c>
      <c r="E1089" t="s">
        <v>42</v>
      </c>
      <c r="F1089" t="s">
        <v>47</v>
      </c>
      <c r="G1089" t="s">
        <v>284</v>
      </c>
      <c r="J1089" t="s">
        <v>1362</v>
      </c>
      <c r="K1089" t="s">
        <v>38</v>
      </c>
      <c r="L1089" t="s">
        <v>38</v>
      </c>
      <c r="M1089" t="s">
        <v>38</v>
      </c>
      <c r="N1089" t="s">
        <v>38</v>
      </c>
      <c r="O1089" t="s">
        <v>38</v>
      </c>
      <c r="T1089" t="s">
        <v>38</v>
      </c>
      <c r="U1089">
        <v>0</v>
      </c>
      <c r="W1089">
        <v>0</v>
      </c>
      <c r="X1089">
        <v>0</v>
      </c>
      <c r="Y1089">
        <v>0</v>
      </c>
      <c r="AE1089">
        <f t="shared" si="48"/>
        <v>1</v>
      </c>
      <c r="AF1089">
        <f>VLOOKUP(D1089,especies!$A$2:$C$9,3,FALSE)</f>
        <v>2</v>
      </c>
      <c r="AG1089" t="str">
        <f t="shared" si="49"/>
        <v>2-DPC (Doméstico de pelo corto o DSH)</v>
      </c>
      <c r="AH1089">
        <f>VLOOKUP('Fichas clínicas'!AG1089,razas!$A$2:$D$66,3,FALSE)</f>
        <v>51</v>
      </c>
      <c r="AI1089" t="str">
        <f t="shared" si="50"/>
        <v>M</v>
      </c>
    </row>
    <row r="1090" spans="1:35" x14ac:dyDescent="0.2">
      <c r="A1090">
        <v>1092</v>
      </c>
      <c r="B1090" t="s">
        <v>2558</v>
      </c>
      <c r="C1090" t="s">
        <v>2559</v>
      </c>
      <c r="D1090" t="s">
        <v>41</v>
      </c>
      <c r="E1090" t="s">
        <v>42</v>
      </c>
      <c r="F1090" t="s">
        <v>47</v>
      </c>
      <c r="G1090" t="s">
        <v>43</v>
      </c>
      <c r="J1090" t="s">
        <v>2560</v>
      </c>
      <c r="K1090" t="s">
        <v>38</v>
      </c>
      <c r="L1090" t="s">
        <v>38</v>
      </c>
      <c r="M1090" t="s">
        <v>38</v>
      </c>
      <c r="N1090" t="s">
        <v>38</v>
      </c>
      <c r="O1090" t="s">
        <v>38</v>
      </c>
      <c r="T1090" t="s">
        <v>38</v>
      </c>
      <c r="U1090">
        <v>0</v>
      </c>
      <c r="W1090">
        <v>0</v>
      </c>
      <c r="X1090">
        <v>0</v>
      </c>
      <c r="Y1090">
        <v>0</v>
      </c>
      <c r="AE1090">
        <f t="shared" si="48"/>
        <v>1</v>
      </c>
      <c r="AF1090">
        <f>VLOOKUP(D1090,especies!$A$2:$C$9,3,FALSE)</f>
        <v>2</v>
      </c>
      <c r="AG1090" t="str">
        <f t="shared" si="49"/>
        <v>2-DPC (Doméstico de pelo corto o DSH)</v>
      </c>
      <c r="AH1090">
        <f>VLOOKUP('Fichas clínicas'!AG1090,razas!$A$2:$D$66,3,FALSE)</f>
        <v>51</v>
      </c>
      <c r="AI1090" t="str">
        <f t="shared" si="50"/>
        <v>M</v>
      </c>
    </row>
    <row r="1091" spans="1:35" x14ac:dyDescent="0.2">
      <c r="A1091">
        <v>1093</v>
      </c>
      <c r="B1091" t="s">
        <v>2561</v>
      </c>
      <c r="C1091" t="s">
        <v>2562</v>
      </c>
      <c r="D1091" t="s">
        <v>41</v>
      </c>
      <c r="E1091" t="s">
        <v>42</v>
      </c>
      <c r="F1091" t="s">
        <v>47</v>
      </c>
      <c r="G1091" t="s">
        <v>1073</v>
      </c>
      <c r="J1091" t="s">
        <v>2563</v>
      </c>
      <c r="K1091" t="s">
        <v>38</v>
      </c>
      <c r="L1091" t="s">
        <v>38</v>
      </c>
      <c r="M1091" t="s">
        <v>38</v>
      </c>
      <c r="N1091" t="s">
        <v>38</v>
      </c>
      <c r="O1091" t="s">
        <v>38</v>
      </c>
      <c r="T1091" t="s">
        <v>38</v>
      </c>
      <c r="U1091">
        <v>0</v>
      </c>
      <c r="W1091">
        <v>0</v>
      </c>
      <c r="X1091">
        <v>0</v>
      </c>
      <c r="Y1091">
        <v>0</v>
      </c>
      <c r="AE1091">
        <f t="shared" ref="AE1091:AE1154" si="51">SUBTOTAL(103,E1091)</f>
        <v>1</v>
      </c>
      <c r="AF1091">
        <f>VLOOKUP(D1091,especies!$A$2:$C$9,3,FALSE)</f>
        <v>2</v>
      </c>
      <c r="AG1091" t="str">
        <f t="shared" ref="AG1091:AG1154" si="52">AF1091&amp;"-"&amp;E1091</f>
        <v>2-DPC (Doméstico de pelo corto o DSH)</v>
      </c>
      <c r="AH1091">
        <f>VLOOKUP('Fichas clínicas'!AG1091,razas!$A$2:$D$66,3,FALSE)</f>
        <v>51</v>
      </c>
      <c r="AI1091" t="str">
        <f t="shared" ref="AI1091:AI1154" si="53">IF(F1091="Hembra","H","M")</f>
        <v>M</v>
      </c>
    </row>
    <row r="1092" spans="1:35" x14ac:dyDescent="0.2">
      <c r="A1092">
        <v>1094</v>
      </c>
      <c r="B1092" t="s">
        <v>2564</v>
      </c>
      <c r="C1092" t="s">
        <v>2565</v>
      </c>
      <c r="D1092" t="s">
        <v>41</v>
      </c>
      <c r="E1092" t="s">
        <v>42</v>
      </c>
      <c r="F1092" t="s">
        <v>47</v>
      </c>
      <c r="G1092" t="s">
        <v>109</v>
      </c>
      <c r="J1092" t="s">
        <v>2566</v>
      </c>
      <c r="K1092" t="s">
        <v>38</v>
      </c>
      <c r="L1092" t="s">
        <v>38</v>
      </c>
      <c r="M1092" t="s">
        <v>38</v>
      </c>
      <c r="N1092" t="s">
        <v>38</v>
      </c>
      <c r="O1092" t="s">
        <v>38</v>
      </c>
      <c r="T1092" t="s">
        <v>38</v>
      </c>
      <c r="U1092">
        <v>0</v>
      </c>
      <c r="W1092">
        <v>0</v>
      </c>
      <c r="X1092">
        <v>0</v>
      </c>
      <c r="Y1092">
        <v>0</v>
      </c>
      <c r="AE1092">
        <f t="shared" si="51"/>
        <v>1</v>
      </c>
      <c r="AF1092">
        <f>VLOOKUP(D1092,especies!$A$2:$C$9,3,FALSE)</f>
        <v>2</v>
      </c>
      <c r="AG1092" t="str">
        <f t="shared" si="52"/>
        <v>2-DPC (Doméstico de pelo corto o DSH)</v>
      </c>
      <c r="AH1092">
        <f>VLOOKUP('Fichas clínicas'!AG1092,razas!$A$2:$D$66,3,FALSE)</f>
        <v>51</v>
      </c>
      <c r="AI1092" t="str">
        <f t="shared" si="53"/>
        <v>M</v>
      </c>
    </row>
    <row r="1093" spans="1:35" x14ac:dyDescent="0.2">
      <c r="A1093">
        <v>1095</v>
      </c>
      <c r="B1093" t="s">
        <v>2567</v>
      </c>
      <c r="C1093" t="s">
        <v>2568</v>
      </c>
      <c r="D1093" t="s">
        <v>32</v>
      </c>
      <c r="E1093" t="s">
        <v>33</v>
      </c>
      <c r="F1093" t="s">
        <v>34</v>
      </c>
      <c r="G1093" t="s">
        <v>116</v>
      </c>
      <c r="J1093" t="s">
        <v>2569</v>
      </c>
      <c r="K1093" t="s">
        <v>38</v>
      </c>
      <c r="L1093" t="s">
        <v>38</v>
      </c>
      <c r="M1093" t="s">
        <v>38</v>
      </c>
      <c r="N1093" t="s">
        <v>38</v>
      </c>
      <c r="O1093" t="s">
        <v>38</v>
      </c>
      <c r="T1093" t="s">
        <v>38</v>
      </c>
      <c r="U1093">
        <v>0</v>
      </c>
      <c r="W1093">
        <v>0</v>
      </c>
      <c r="X1093">
        <v>0</v>
      </c>
      <c r="Y1093">
        <v>0</v>
      </c>
      <c r="AE1093">
        <f t="shared" si="51"/>
        <v>1</v>
      </c>
      <c r="AF1093">
        <f>VLOOKUP(D1093,especies!$A$2:$C$9,3,FALSE)</f>
        <v>1</v>
      </c>
      <c r="AG1093" t="str">
        <f t="shared" si="52"/>
        <v>1-Mestizo</v>
      </c>
      <c r="AH1093">
        <f>VLOOKUP('Fichas clínicas'!AG1093,razas!$A$2:$D$66,3,FALSE)</f>
        <v>1</v>
      </c>
      <c r="AI1093" t="str">
        <f t="shared" si="53"/>
        <v>H</v>
      </c>
    </row>
    <row r="1094" spans="1:35" x14ac:dyDescent="0.2">
      <c r="A1094">
        <v>1096</v>
      </c>
      <c r="B1094" t="s">
        <v>2033</v>
      </c>
      <c r="C1094" t="s">
        <v>1224</v>
      </c>
      <c r="D1094" t="s">
        <v>41</v>
      </c>
      <c r="E1094" t="s">
        <v>42</v>
      </c>
      <c r="F1094" t="s">
        <v>34</v>
      </c>
      <c r="G1094" t="s">
        <v>77</v>
      </c>
      <c r="I1094">
        <v>9910010029932028</v>
      </c>
      <c r="J1094" t="s">
        <v>2570</v>
      </c>
      <c r="K1094" t="s">
        <v>38</v>
      </c>
      <c r="L1094" t="s">
        <v>38</v>
      </c>
      <c r="M1094" t="s">
        <v>38</v>
      </c>
      <c r="N1094" t="s">
        <v>38</v>
      </c>
      <c r="O1094" t="s">
        <v>38</v>
      </c>
      <c r="Q1094">
        <v>0</v>
      </c>
      <c r="T1094" t="s">
        <v>38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f t="shared" si="51"/>
        <v>1</v>
      </c>
      <c r="AF1094">
        <f>VLOOKUP(D1094,especies!$A$2:$C$9,3,FALSE)</f>
        <v>2</v>
      </c>
      <c r="AG1094" t="str">
        <f t="shared" si="52"/>
        <v>2-DPC (Doméstico de pelo corto o DSH)</v>
      </c>
      <c r="AH1094">
        <f>VLOOKUP('Fichas clínicas'!AG1094,razas!$A$2:$D$66,3,FALSE)</f>
        <v>51</v>
      </c>
      <c r="AI1094" t="str">
        <f t="shared" si="53"/>
        <v>H</v>
      </c>
    </row>
    <row r="1095" spans="1:35" x14ac:dyDescent="0.2">
      <c r="A1095">
        <v>1097</v>
      </c>
      <c r="B1095" t="s">
        <v>2571</v>
      </c>
      <c r="C1095" t="s">
        <v>2572</v>
      </c>
      <c r="D1095" t="s">
        <v>32</v>
      </c>
      <c r="E1095" t="s">
        <v>33</v>
      </c>
      <c r="F1095" t="s">
        <v>47</v>
      </c>
      <c r="G1095" t="s">
        <v>123</v>
      </c>
      <c r="J1095" t="s">
        <v>2573</v>
      </c>
      <c r="K1095" t="s">
        <v>38</v>
      </c>
      <c r="L1095" t="s">
        <v>38</v>
      </c>
      <c r="M1095" t="s">
        <v>38</v>
      </c>
      <c r="N1095" t="s">
        <v>38</v>
      </c>
      <c r="O1095" t="s">
        <v>38</v>
      </c>
      <c r="T1095" t="s">
        <v>38</v>
      </c>
      <c r="U1095">
        <v>0</v>
      </c>
      <c r="W1095">
        <v>0</v>
      </c>
      <c r="X1095">
        <v>0</v>
      </c>
      <c r="Y1095">
        <v>0</v>
      </c>
      <c r="AE1095">
        <f t="shared" si="51"/>
        <v>1</v>
      </c>
      <c r="AF1095">
        <f>VLOOKUP(D1095,especies!$A$2:$C$9,3,FALSE)</f>
        <v>1</v>
      </c>
      <c r="AG1095" t="str">
        <f t="shared" si="52"/>
        <v>1-Mestizo</v>
      </c>
      <c r="AH1095">
        <f>VLOOKUP('Fichas clínicas'!AG1095,razas!$A$2:$D$66,3,FALSE)</f>
        <v>1</v>
      </c>
      <c r="AI1095" t="str">
        <f t="shared" si="53"/>
        <v>M</v>
      </c>
    </row>
    <row r="1096" spans="1:35" x14ac:dyDescent="0.2">
      <c r="A1096">
        <v>1098</v>
      </c>
      <c r="B1096" t="s">
        <v>2574</v>
      </c>
      <c r="C1096" t="s">
        <v>2575</v>
      </c>
      <c r="D1096" t="s">
        <v>41</v>
      </c>
      <c r="E1096" t="s">
        <v>42</v>
      </c>
      <c r="F1096" t="s">
        <v>34</v>
      </c>
      <c r="G1096" t="s">
        <v>277</v>
      </c>
      <c r="J1096" t="s">
        <v>2576</v>
      </c>
      <c r="K1096" t="s">
        <v>38</v>
      </c>
      <c r="L1096" t="s">
        <v>38</v>
      </c>
      <c r="M1096" t="s">
        <v>38</v>
      </c>
      <c r="N1096" t="s">
        <v>38</v>
      </c>
      <c r="O1096" t="s">
        <v>38</v>
      </c>
      <c r="T1096" t="s">
        <v>38</v>
      </c>
      <c r="U1096">
        <v>0</v>
      </c>
      <c r="V1096">
        <v>1</v>
      </c>
      <c r="W1096">
        <v>0</v>
      </c>
      <c r="X1096">
        <v>0</v>
      </c>
      <c r="Y1096">
        <v>0</v>
      </c>
      <c r="AE1096">
        <f t="shared" si="51"/>
        <v>1</v>
      </c>
      <c r="AF1096">
        <f>VLOOKUP(D1096,especies!$A$2:$C$9,3,FALSE)</f>
        <v>2</v>
      </c>
      <c r="AG1096" t="str">
        <f t="shared" si="52"/>
        <v>2-DPC (Doméstico de pelo corto o DSH)</v>
      </c>
      <c r="AH1096">
        <f>VLOOKUP('Fichas clínicas'!AG1096,razas!$A$2:$D$66,3,FALSE)</f>
        <v>51</v>
      </c>
      <c r="AI1096" t="str">
        <f t="shared" si="53"/>
        <v>H</v>
      </c>
    </row>
    <row r="1097" spans="1:35" x14ac:dyDescent="0.2">
      <c r="A1097">
        <v>1099</v>
      </c>
      <c r="B1097" t="s">
        <v>791</v>
      </c>
      <c r="C1097" t="s">
        <v>2462</v>
      </c>
      <c r="D1097" t="s">
        <v>41</v>
      </c>
      <c r="E1097" t="s">
        <v>42</v>
      </c>
      <c r="F1097" t="s">
        <v>34</v>
      </c>
      <c r="G1097" t="s">
        <v>322</v>
      </c>
      <c r="J1097" t="s">
        <v>1522</v>
      </c>
      <c r="K1097" t="s">
        <v>38</v>
      </c>
      <c r="L1097" t="s">
        <v>38</v>
      </c>
      <c r="M1097" t="s">
        <v>38</v>
      </c>
      <c r="N1097" t="s">
        <v>38</v>
      </c>
      <c r="O1097" t="s">
        <v>38</v>
      </c>
      <c r="Q1097">
        <v>0</v>
      </c>
      <c r="T1097" t="s">
        <v>38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f t="shared" si="51"/>
        <v>1</v>
      </c>
      <c r="AF1097">
        <f>VLOOKUP(D1097,especies!$A$2:$C$9,3,FALSE)</f>
        <v>2</v>
      </c>
      <c r="AG1097" t="str">
        <f t="shared" si="52"/>
        <v>2-DPC (Doméstico de pelo corto o DSH)</v>
      </c>
      <c r="AH1097">
        <f>VLOOKUP('Fichas clínicas'!AG1097,razas!$A$2:$D$66,3,FALSE)</f>
        <v>51</v>
      </c>
      <c r="AI1097" t="str">
        <f t="shared" si="53"/>
        <v>H</v>
      </c>
    </row>
    <row r="1098" spans="1:35" x14ac:dyDescent="0.2">
      <c r="A1098">
        <v>1100</v>
      </c>
      <c r="B1098" t="s">
        <v>791</v>
      </c>
      <c r="C1098" t="s">
        <v>2577</v>
      </c>
      <c r="D1098" t="s">
        <v>41</v>
      </c>
      <c r="E1098" t="s">
        <v>42</v>
      </c>
      <c r="F1098" t="s">
        <v>34</v>
      </c>
      <c r="G1098" t="s">
        <v>587</v>
      </c>
      <c r="J1098" t="s">
        <v>1522</v>
      </c>
      <c r="K1098" t="s">
        <v>38</v>
      </c>
      <c r="L1098" t="s">
        <v>38</v>
      </c>
      <c r="M1098" t="s">
        <v>38</v>
      </c>
      <c r="N1098" t="s">
        <v>38</v>
      </c>
      <c r="O1098" t="s">
        <v>38</v>
      </c>
      <c r="T1098" t="s">
        <v>38</v>
      </c>
      <c r="U1098">
        <v>0</v>
      </c>
      <c r="W1098">
        <v>0</v>
      </c>
      <c r="X1098">
        <v>0</v>
      </c>
      <c r="Y1098">
        <v>0</v>
      </c>
      <c r="AE1098">
        <f t="shared" si="51"/>
        <v>1</v>
      </c>
      <c r="AF1098">
        <f>VLOOKUP(D1098,especies!$A$2:$C$9,3,FALSE)</f>
        <v>2</v>
      </c>
      <c r="AG1098" t="str">
        <f t="shared" si="52"/>
        <v>2-DPC (Doméstico de pelo corto o DSH)</v>
      </c>
      <c r="AH1098">
        <f>VLOOKUP('Fichas clínicas'!AG1098,razas!$A$2:$D$66,3,FALSE)</f>
        <v>51</v>
      </c>
      <c r="AI1098" t="str">
        <f t="shared" si="53"/>
        <v>H</v>
      </c>
    </row>
    <row r="1099" spans="1:35" x14ac:dyDescent="0.2">
      <c r="A1099">
        <v>1101</v>
      </c>
      <c r="B1099" t="s">
        <v>2578</v>
      </c>
      <c r="C1099" t="s">
        <v>2579</v>
      </c>
      <c r="D1099" t="s">
        <v>41</v>
      </c>
      <c r="E1099" t="s">
        <v>93</v>
      </c>
      <c r="F1099" t="s">
        <v>47</v>
      </c>
      <c r="G1099" t="s">
        <v>284</v>
      </c>
      <c r="J1099" t="s">
        <v>1840</v>
      </c>
      <c r="K1099" t="s">
        <v>38</v>
      </c>
      <c r="L1099" t="s">
        <v>38</v>
      </c>
      <c r="M1099" t="s">
        <v>38</v>
      </c>
      <c r="N1099" t="s">
        <v>38</v>
      </c>
      <c r="O1099" t="s">
        <v>38</v>
      </c>
      <c r="Q1099">
        <v>0</v>
      </c>
      <c r="T1099" t="s">
        <v>38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f t="shared" si="51"/>
        <v>1</v>
      </c>
      <c r="AF1099">
        <f>VLOOKUP(D1099,especies!$A$2:$C$9,3,FALSE)</f>
        <v>2</v>
      </c>
      <c r="AG1099" t="str">
        <f t="shared" si="52"/>
        <v>2-DPL (Doméstico de pelo Largo o DLH)</v>
      </c>
      <c r="AH1099">
        <f>VLOOKUP('Fichas clínicas'!AG1099,razas!$A$2:$D$66,3,FALSE)</f>
        <v>52</v>
      </c>
      <c r="AI1099" t="str">
        <f t="shared" si="53"/>
        <v>M</v>
      </c>
    </row>
    <row r="1100" spans="1:35" x14ac:dyDescent="0.2">
      <c r="A1100">
        <v>1102</v>
      </c>
      <c r="B1100" t="s">
        <v>2580</v>
      </c>
      <c r="C1100" t="s">
        <v>2581</v>
      </c>
      <c r="D1100" t="s">
        <v>32</v>
      </c>
      <c r="E1100" t="s">
        <v>257</v>
      </c>
      <c r="F1100" t="s">
        <v>47</v>
      </c>
      <c r="G1100" t="s">
        <v>258</v>
      </c>
      <c r="J1100" t="s">
        <v>527</v>
      </c>
      <c r="K1100" t="s">
        <v>38</v>
      </c>
      <c r="L1100" t="s">
        <v>38</v>
      </c>
      <c r="M1100" t="s">
        <v>38</v>
      </c>
      <c r="N1100" t="s">
        <v>38</v>
      </c>
      <c r="O1100" t="s">
        <v>38</v>
      </c>
      <c r="T1100" t="s">
        <v>38</v>
      </c>
      <c r="U1100">
        <v>0</v>
      </c>
      <c r="W1100">
        <v>0</v>
      </c>
      <c r="X1100">
        <v>0</v>
      </c>
      <c r="Y1100">
        <v>0</v>
      </c>
      <c r="AE1100">
        <f t="shared" si="51"/>
        <v>1</v>
      </c>
      <c r="AF1100">
        <f>VLOOKUP(D1100,especies!$A$2:$C$9,3,FALSE)</f>
        <v>1</v>
      </c>
      <c r="AG1100" t="str">
        <f t="shared" si="52"/>
        <v>1-Terrier Chileno</v>
      </c>
      <c r="AH1100">
        <f>VLOOKUP('Fichas clínicas'!AG1100,razas!$A$2:$D$66,3,FALSE)</f>
        <v>10</v>
      </c>
      <c r="AI1100" t="str">
        <f t="shared" si="53"/>
        <v>M</v>
      </c>
    </row>
    <row r="1101" spans="1:35" x14ac:dyDescent="0.2">
      <c r="A1101">
        <v>1103</v>
      </c>
      <c r="B1101" t="s">
        <v>2582</v>
      </c>
      <c r="C1101" t="s">
        <v>347</v>
      </c>
      <c r="D1101" t="s">
        <v>32</v>
      </c>
      <c r="E1101" t="s">
        <v>206</v>
      </c>
      <c r="F1101" t="s">
        <v>34</v>
      </c>
      <c r="G1101" t="s">
        <v>165</v>
      </c>
      <c r="J1101" t="s">
        <v>2583</v>
      </c>
      <c r="K1101" t="s">
        <v>38</v>
      </c>
      <c r="L1101" t="s">
        <v>38</v>
      </c>
      <c r="M1101" t="s">
        <v>38</v>
      </c>
      <c r="N1101" t="s">
        <v>38</v>
      </c>
      <c r="O1101" t="s">
        <v>38</v>
      </c>
      <c r="T1101" t="s">
        <v>38</v>
      </c>
      <c r="U1101">
        <v>0</v>
      </c>
      <c r="W1101">
        <v>0</v>
      </c>
      <c r="X1101">
        <v>0</v>
      </c>
      <c r="Y1101">
        <v>0</v>
      </c>
      <c r="AE1101">
        <f t="shared" si="51"/>
        <v>1</v>
      </c>
      <c r="AF1101">
        <f>VLOOKUP(D1101,especies!$A$2:$C$9,3,FALSE)</f>
        <v>1</v>
      </c>
      <c r="AG1101" t="str">
        <f t="shared" si="52"/>
        <v>1-Chow-Chow</v>
      </c>
      <c r="AH1101">
        <f>VLOOKUP('Fichas clínicas'!AG1101,razas!$A$2:$D$66,3,FALSE)</f>
        <v>9</v>
      </c>
      <c r="AI1101" t="str">
        <f t="shared" si="53"/>
        <v>H</v>
      </c>
    </row>
    <row r="1102" spans="1:35" x14ac:dyDescent="0.2">
      <c r="A1102">
        <v>1104</v>
      </c>
      <c r="B1102" t="s">
        <v>845</v>
      </c>
      <c r="C1102" t="s">
        <v>2584</v>
      </c>
      <c r="D1102" t="s">
        <v>32</v>
      </c>
      <c r="E1102" t="s">
        <v>33</v>
      </c>
      <c r="F1102" t="s">
        <v>47</v>
      </c>
      <c r="G1102" t="s">
        <v>404</v>
      </c>
      <c r="J1102" t="s">
        <v>359</v>
      </c>
      <c r="K1102" t="s">
        <v>38</v>
      </c>
      <c r="L1102" t="s">
        <v>38</v>
      </c>
      <c r="M1102" t="s">
        <v>38</v>
      </c>
      <c r="N1102" t="s">
        <v>38</v>
      </c>
      <c r="O1102" t="s">
        <v>38</v>
      </c>
      <c r="T1102" t="s">
        <v>38</v>
      </c>
      <c r="U1102">
        <v>0</v>
      </c>
      <c r="W1102">
        <v>0</v>
      </c>
      <c r="X1102">
        <v>0</v>
      </c>
      <c r="Y1102">
        <v>0</v>
      </c>
      <c r="AE1102">
        <f t="shared" si="51"/>
        <v>1</v>
      </c>
      <c r="AF1102">
        <f>VLOOKUP(D1102,especies!$A$2:$C$9,3,FALSE)</f>
        <v>1</v>
      </c>
      <c r="AG1102" t="str">
        <f t="shared" si="52"/>
        <v>1-Mestizo</v>
      </c>
      <c r="AH1102">
        <f>VLOOKUP('Fichas clínicas'!AG1102,razas!$A$2:$D$66,3,FALSE)</f>
        <v>1</v>
      </c>
      <c r="AI1102" t="str">
        <f t="shared" si="53"/>
        <v>M</v>
      </c>
    </row>
    <row r="1103" spans="1:35" x14ac:dyDescent="0.2">
      <c r="A1103">
        <v>1105</v>
      </c>
      <c r="B1103" t="s">
        <v>2585</v>
      </c>
      <c r="C1103" t="s">
        <v>2586</v>
      </c>
      <c r="D1103" t="s">
        <v>32</v>
      </c>
      <c r="E1103" t="s">
        <v>33</v>
      </c>
      <c r="F1103" t="s">
        <v>47</v>
      </c>
      <c r="G1103" t="s">
        <v>165</v>
      </c>
      <c r="J1103" t="s">
        <v>2587</v>
      </c>
      <c r="K1103" t="s">
        <v>38</v>
      </c>
      <c r="L1103" t="s">
        <v>38</v>
      </c>
      <c r="M1103" t="s">
        <v>38</v>
      </c>
      <c r="N1103" t="s">
        <v>38</v>
      </c>
      <c r="O1103" t="s">
        <v>38</v>
      </c>
      <c r="T1103" t="s">
        <v>38</v>
      </c>
      <c r="U1103">
        <v>0</v>
      </c>
      <c r="W1103">
        <v>0</v>
      </c>
      <c r="X1103">
        <v>0</v>
      </c>
      <c r="Y1103">
        <v>0</v>
      </c>
      <c r="AE1103">
        <f t="shared" si="51"/>
        <v>1</v>
      </c>
      <c r="AF1103">
        <f>VLOOKUP(D1103,especies!$A$2:$C$9,3,FALSE)</f>
        <v>1</v>
      </c>
      <c r="AG1103" t="str">
        <f t="shared" si="52"/>
        <v>1-Mestizo</v>
      </c>
      <c r="AH1103">
        <f>VLOOKUP('Fichas clínicas'!AG1103,razas!$A$2:$D$66,3,FALSE)</f>
        <v>1</v>
      </c>
      <c r="AI1103" t="str">
        <f t="shared" si="53"/>
        <v>M</v>
      </c>
    </row>
    <row r="1104" spans="1:35" x14ac:dyDescent="0.2">
      <c r="A1104">
        <v>1106</v>
      </c>
      <c r="B1104" t="s">
        <v>2588</v>
      </c>
      <c r="C1104" t="s">
        <v>2589</v>
      </c>
      <c r="D1104" t="s">
        <v>32</v>
      </c>
      <c r="E1104" t="s">
        <v>33</v>
      </c>
      <c r="F1104" t="s">
        <v>47</v>
      </c>
      <c r="G1104" t="s">
        <v>54</v>
      </c>
      <c r="J1104" t="s">
        <v>1036</v>
      </c>
      <c r="K1104" t="s">
        <v>38</v>
      </c>
      <c r="L1104" t="s">
        <v>38</v>
      </c>
      <c r="M1104" t="s">
        <v>38</v>
      </c>
      <c r="N1104" t="s">
        <v>38</v>
      </c>
      <c r="O1104" t="s">
        <v>38</v>
      </c>
      <c r="T1104" t="s">
        <v>38</v>
      </c>
      <c r="U1104">
        <v>0</v>
      </c>
      <c r="W1104">
        <v>0</v>
      </c>
      <c r="X1104">
        <v>0</v>
      </c>
      <c r="Y1104">
        <v>0</v>
      </c>
      <c r="AE1104">
        <f t="shared" si="51"/>
        <v>1</v>
      </c>
      <c r="AF1104">
        <f>VLOOKUP(D1104,especies!$A$2:$C$9,3,FALSE)</f>
        <v>1</v>
      </c>
      <c r="AG1104" t="str">
        <f t="shared" si="52"/>
        <v>1-Mestizo</v>
      </c>
      <c r="AH1104">
        <f>VLOOKUP('Fichas clínicas'!AG1104,razas!$A$2:$D$66,3,FALSE)</f>
        <v>1</v>
      </c>
      <c r="AI1104" t="str">
        <f t="shared" si="53"/>
        <v>M</v>
      </c>
    </row>
    <row r="1105" spans="1:35" x14ac:dyDescent="0.2">
      <c r="A1105">
        <v>1107</v>
      </c>
      <c r="B1105" t="s">
        <v>2590</v>
      </c>
      <c r="C1105" t="s">
        <v>2591</v>
      </c>
      <c r="D1105" t="s">
        <v>32</v>
      </c>
      <c r="E1105" t="s">
        <v>33</v>
      </c>
      <c r="F1105" t="s">
        <v>47</v>
      </c>
      <c r="G1105" t="s">
        <v>258</v>
      </c>
      <c r="J1105" t="s">
        <v>2264</v>
      </c>
      <c r="K1105" t="s">
        <v>38</v>
      </c>
      <c r="L1105" t="s">
        <v>38</v>
      </c>
      <c r="M1105" t="s">
        <v>38</v>
      </c>
      <c r="N1105" t="s">
        <v>38</v>
      </c>
      <c r="O1105" t="s">
        <v>38</v>
      </c>
      <c r="T1105" t="s">
        <v>38</v>
      </c>
      <c r="U1105">
        <v>0</v>
      </c>
      <c r="W1105">
        <v>0</v>
      </c>
      <c r="X1105">
        <v>0</v>
      </c>
      <c r="Y1105">
        <v>0</v>
      </c>
      <c r="AE1105">
        <f t="shared" si="51"/>
        <v>1</v>
      </c>
      <c r="AF1105">
        <f>VLOOKUP(D1105,especies!$A$2:$C$9,3,FALSE)</f>
        <v>1</v>
      </c>
      <c r="AG1105" t="str">
        <f t="shared" si="52"/>
        <v>1-Mestizo</v>
      </c>
      <c r="AH1105">
        <f>VLOOKUP('Fichas clínicas'!AG1105,razas!$A$2:$D$66,3,FALSE)</f>
        <v>1</v>
      </c>
      <c r="AI1105" t="str">
        <f t="shared" si="53"/>
        <v>M</v>
      </c>
    </row>
    <row r="1106" spans="1:35" x14ac:dyDescent="0.2">
      <c r="A1106">
        <v>1108</v>
      </c>
      <c r="B1106" t="s">
        <v>2592</v>
      </c>
      <c r="C1106" t="s">
        <v>2593</v>
      </c>
      <c r="D1106" t="s">
        <v>32</v>
      </c>
      <c r="E1106" t="s">
        <v>33</v>
      </c>
      <c r="F1106" t="s">
        <v>34</v>
      </c>
      <c r="G1106" t="s">
        <v>123</v>
      </c>
      <c r="J1106" t="s">
        <v>58</v>
      </c>
      <c r="K1106" t="s">
        <v>38</v>
      </c>
      <c r="L1106" t="s">
        <v>38</v>
      </c>
      <c r="M1106" t="s">
        <v>38</v>
      </c>
      <c r="N1106" t="s">
        <v>38</v>
      </c>
      <c r="O1106" t="s">
        <v>38</v>
      </c>
      <c r="T1106" t="s">
        <v>38</v>
      </c>
      <c r="U1106">
        <v>0</v>
      </c>
      <c r="W1106">
        <v>0</v>
      </c>
      <c r="X1106">
        <v>0</v>
      </c>
      <c r="Y1106">
        <v>0</v>
      </c>
      <c r="AE1106">
        <f t="shared" si="51"/>
        <v>1</v>
      </c>
      <c r="AF1106">
        <f>VLOOKUP(D1106,especies!$A$2:$C$9,3,FALSE)</f>
        <v>1</v>
      </c>
      <c r="AG1106" t="str">
        <f t="shared" si="52"/>
        <v>1-Mestizo</v>
      </c>
      <c r="AH1106">
        <f>VLOOKUP('Fichas clínicas'!AG1106,razas!$A$2:$D$66,3,FALSE)</f>
        <v>1</v>
      </c>
      <c r="AI1106" t="str">
        <f t="shared" si="53"/>
        <v>H</v>
      </c>
    </row>
    <row r="1107" spans="1:35" x14ac:dyDescent="0.2">
      <c r="A1107">
        <v>1109</v>
      </c>
      <c r="B1107" t="s">
        <v>2594</v>
      </c>
      <c r="C1107" t="s">
        <v>2595</v>
      </c>
      <c r="D1107" t="s">
        <v>32</v>
      </c>
      <c r="E1107" t="s">
        <v>150</v>
      </c>
      <c r="F1107" t="s">
        <v>34</v>
      </c>
      <c r="G1107" t="s">
        <v>123</v>
      </c>
      <c r="J1107" t="s">
        <v>2596</v>
      </c>
      <c r="K1107" t="s">
        <v>38</v>
      </c>
      <c r="L1107" t="s">
        <v>38</v>
      </c>
      <c r="M1107" t="s">
        <v>38</v>
      </c>
      <c r="N1107" t="s">
        <v>38</v>
      </c>
      <c r="O1107" t="s">
        <v>38</v>
      </c>
      <c r="T1107" t="s">
        <v>38</v>
      </c>
      <c r="U1107">
        <v>0</v>
      </c>
      <c r="W1107">
        <v>0</v>
      </c>
      <c r="X1107">
        <v>0</v>
      </c>
      <c r="Y1107">
        <v>0</v>
      </c>
      <c r="AE1107">
        <f t="shared" si="51"/>
        <v>1</v>
      </c>
      <c r="AF1107">
        <f>VLOOKUP(D1107,especies!$A$2:$C$9,3,FALSE)</f>
        <v>1</v>
      </c>
      <c r="AG1107" t="str">
        <f t="shared" si="52"/>
        <v>1-Poodle</v>
      </c>
      <c r="AH1107">
        <f>VLOOKUP('Fichas clínicas'!AG1107,razas!$A$2:$D$66,3,FALSE)</f>
        <v>6</v>
      </c>
      <c r="AI1107" t="str">
        <f t="shared" si="53"/>
        <v>H</v>
      </c>
    </row>
    <row r="1108" spans="1:35" x14ac:dyDescent="0.2">
      <c r="A1108">
        <v>1110</v>
      </c>
      <c r="B1108" t="s">
        <v>2597</v>
      </c>
      <c r="C1108" t="s">
        <v>216</v>
      </c>
      <c r="D1108" t="s">
        <v>32</v>
      </c>
      <c r="E1108" t="s">
        <v>150</v>
      </c>
      <c r="F1108" t="s">
        <v>47</v>
      </c>
      <c r="G1108" t="s">
        <v>2429</v>
      </c>
      <c r="J1108" t="s">
        <v>44</v>
      </c>
      <c r="K1108" t="s">
        <v>38</v>
      </c>
      <c r="L1108" t="s">
        <v>38</v>
      </c>
      <c r="M1108" t="s">
        <v>38</v>
      </c>
      <c r="N1108" t="s">
        <v>38</v>
      </c>
      <c r="O1108" t="s">
        <v>38</v>
      </c>
      <c r="T1108" t="s">
        <v>38</v>
      </c>
      <c r="U1108">
        <v>0</v>
      </c>
      <c r="W1108">
        <v>0</v>
      </c>
      <c r="X1108">
        <v>0</v>
      </c>
      <c r="Y1108">
        <v>0</v>
      </c>
      <c r="AE1108">
        <f t="shared" si="51"/>
        <v>1</v>
      </c>
      <c r="AF1108">
        <f>VLOOKUP(D1108,especies!$A$2:$C$9,3,FALSE)</f>
        <v>1</v>
      </c>
      <c r="AG1108" t="str">
        <f t="shared" si="52"/>
        <v>1-Poodle</v>
      </c>
      <c r="AH1108">
        <f>VLOOKUP('Fichas clínicas'!AG1108,razas!$A$2:$D$66,3,FALSE)</f>
        <v>6</v>
      </c>
      <c r="AI1108" t="str">
        <f t="shared" si="53"/>
        <v>M</v>
      </c>
    </row>
    <row r="1109" spans="1:35" x14ac:dyDescent="0.2">
      <c r="A1109">
        <v>1111</v>
      </c>
      <c r="B1109" t="s">
        <v>2598</v>
      </c>
      <c r="C1109" t="s">
        <v>2599</v>
      </c>
      <c r="D1109" t="s">
        <v>41</v>
      </c>
      <c r="E1109" t="s">
        <v>42</v>
      </c>
      <c r="F1109" t="s">
        <v>34</v>
      </c>
      <c r="G1109" t="s">
        <v>109</v>
      </c>
      <c r="J1109" t="s">
        <v>889</v>
      </c>
      <c r="K1109" t="s">
        <v>38</v>
      </c>
      <c r="L1109" t="s">
        <v>38</v>
      </c>
      <c r="M1109" t="s">
        <v>38</v>
      </c>
      <c r="N1109" t="s">
        <v>38</v>
      </c>
      <c r="O1109" t="s">
        <v>38</v>
      </c>
      <c r="T1109" t="s">
        <v>38</v>
      </c>
      <c r="U1109">
        <v>0</v>
      </c>
      <c r="V1109">
        <v>1</v>
      </c>
      <c r="W1109">
        <v>0</v>
      </c>
      <c r="X1109">
        <v>0</v>
      </c>
      <c r="Y1109">
        <v>0</v>
      </c>
      <c r="AE1109">
        <f t="shared" si="51"/>
        <v>1</v>
      </c>
      <c r="AF1109">
        <f>VLOOKUP(D1109,especies!$A$2:$C$9,3,FALSE)</f>
        <v>2</v>
      </c>
      <c r="AG1109" t="str">
        <f t="shared" si="52"/>
        <v>2-DPC (Doméstico de pelo corto o DSH)</v>
      </c>
      <c r="AH1109">
        <f>VLOOKUP('Fichas clínicas'!AG1109,razas!$A$2:$D$66,3,FALSE)</f>
        <v>51</v>
      </c>
      <c r="AI1109" t="str">
        <f t="shared" si="53"/>
        <v>H</v>
      </c>
    </row>
    <row r="1110" spans="1:35" x14ac:dyDescent="0.2">
      <c r="A1110">
        <v>1112</v>
      </c>
      <c r="B1110" t="s">
        <v>2011</v>
      </c>
      <c r="C1110" t="s">
        <v>2600</v>
      </c>
      <c r="D1110" t="s">
        <v>41</v>
      </c>
      <c r="E1110" t="s">
        <v>42</v>
      </c>
      <c r="F1110" t="s">
        <v>47</v>
      </c>
      <c r="G1110" t="s">
        <v>297</v>
      </c>
      <c r="J1110" t="s">
        <v>2601</v>
      </c>
      <c r="K1110" t="s">
        <v>38</v>
      </c>
      <c r="L1110" t="s">
        <v>38</v>
      </c>
      <c r="M1110" t="s">
        <v>38</v>
      </c>
      <c r="N1110" t="s">
        <v>38</v>
      </c>
      <c r="O1110" t="s">
        <v>38</v>
      </c>
      <c r="Q1110">
        <v>0</v>
      </c>
      <c r="T1110" t="s">
        <v>38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f t="shared" si="51"/>
        <v>1</v>
      </c>
      <c r="AF1110">
        <f>VLOOKUP(D1110,especies!$A$2:$C$9,3,FALSE)</f>
        <v>2</v>
      </c>
      <c r="AG1110" t="str">
        <f t="shared" si="52"/>
        <v>2-DPC (Doméstico de pelo corto o DSH)</v>
      </c>
      <c r="AH1110">
        <f>VLOOKUP('Fichas clínicas'!AG1110,razas!$A$2:$D$66,3,FALSE)</f>
        <v>51</v>
      </c>
      <c r="AI1110" t="str">
        <f t="shared" si="53"/>
        <v>M</v>
      </c>
    </row>
    <row r="1111" spans="1:35" x14ac:dyDescent="0.2">
      <c r="A1111">
        <v>1113</v>
      </c>
      <c r="B1111" t="s">
        <v>2602</v>
      </c>
      <c r="C1111" t="s">
        <v>2603</v>
      </c>
      <c r="D1111" t="s">
        <v>32</v>
      </c>
      <c r="E1111" t="s">
        <v>33</v>
      </c>
      <c r="F1111" t="s">
        <v>34</v>
      </c>
      <c r="G1111" t="s">
        <v>639</v>
      </c>
      <c r="J1111" t="s">
        <v>2604</v>
      </c>
      <c r="K1111" t="s">
        <v>38</v>
      </c>
      <c r="L1111" t="s">
        <v>38</v>
      </c>
      <c r="M1111" t="s">
        <v>38</v>
      </c>
      <c r="N1111" t="s">
        <v>38</v>
      </c>
      <c r="O1111" t="s">
        <v>38</v>
      </c>
      <c r="T1111" t="s">
        <v>38</v>
      </c>
      <c r="U1111">
        <v>0</v>
      </c>
      <c r="V1111">
        <v>1</v>
      </c>
      <c r="W1111">
        <v>0</v>
      </c>
      <c r="X1111">
        <v>0</v>
      </c>
      <c r="Y1111">
        <v>0</v>
      </c>
      <c r="AE1111">
        <f t="shared" si="51"/>
        <v>1</v>
      </c>
      <c r="AF1111">
        <f>VLOOKUP(D1111,especies!$A$2:$C$9,3,FALSE)</f>
        <v>1</v>
      </c>
      <c r="AG1111" t="str">
        <f t="shared" si="52"/>
        <v>1-Mestizo</v>
      </c>
      <c r="AH1111">
        <f>VLOOKUP('Fichas clínicas'!AG1111,razas!$A$2:$D$66,3,FALSE)</f>
        <v>1</v>
      </c>
      <c r="AI1111" t="str">
        <f t="shared" si="53"/>
        <v>H</v>
      </c>
    </row>
    <row r="1112" spans="1:35" x14ac:dyDescent="0.2">
      <c r="A1112">
        <v>1114</v>
      </c>
      <c r="B1112" t="s">
        <v>2605</v>
      </c>
      <c r="C1112" t="s">
        <v>2606</v>
      </c>
      <c r="D1112" t="s">
        <v>41</v>
      </c>
      <c r="E1112" t="s">
        <v>42</v>
      </c>
      <c r="F1112" t="s">
        <v>34</v>
      </c>
      <c r="G1112" t="s">
        <v>2302</v>
      </c>
      <c r="J1112" t="s">
        <v>2607</v>
      </c>
      <c r="K1112" t="s">
        <v>38</v>
      </c>
      <c r="L1112" t="s">
        <v>38</v>
      </c>
      <c r="M1112" t="s">
        <v>38</v>
      </c>
      <c r="N1112" t="s">
        <v>38</v>
      </c>
      <c r="O1112" t="s">
        <v>38</v>
      </c>
      <c r="T1112" t="s">
        <v>38</v>
      </c>
      <c r="U1112">
        <v>0</v>
      </c>
      <c r="W1112">
        <v>0</v>
      </c>
      <c r="X1112">
        <v>0</v>
      </c>
      <c r="Y1112">
        <v>0</v>
      </c>
      <c r="AE1112">
        <f t="shared" si="51"/>
        <v>1</v>
      </c>
      <c r="AF1112">
        <f>VLOOKUP(D1112,especies!$A$2:$C$9,3,FALSE)</f>
        <v>2</v>
      </c>
      <c r="AG1112" t="str">
        <f t="shared" si="52"/>
        <v>2-DPC (Doméstico de pelo corto o DSH)</v>
      </c>
      <c r="AH1112">
        <f>VLOOKUP('Fichas clínicas'!AG1112,razas!$A$2:$D$66,3,FALSE)</f>
        <v>51</v>
      </c>
      <c r="AI1112" t="str">
        <f t="shared" si="53"/>
        <v>H</v>
      </c>
    </row>
    <row r="1113" spans="1:35" x14ac:dyDescent="0.2">
      <c r="A1113">
        <v>1115</v>
      </c>
      <c r="B1113" t="s">
        <v>2608</v>
      </c>
      <c r="C1113" t="s">
        <v>2609</v>
      </c>
      <c r="D1113" t="s">
        <v>41</v>
      </c>
      <c r="E1113" t="s">
        <v>93</v>
      </c>
      <c r="F1113" t="s">
        <v>34</v>
      </c>
      <c r="G1113" t="s">
        <v>123</v>
      </c>
      <c r="J1113" t="s">
        <v>288</v>
      </c>
      <c r="K1113" t="s">
        <v>38</v>
      </c>
      <c r="L1113" t="s">
        <v>38</v>
      </c>
      <c r="M1113" t="s">
        <v>38</v>
      </c>
      <c r="N1113" t="s">
        <v>38</v>
      </c>
      <c r="O1113" t="s">
        <v>38</v>
      </c>
      <c r="T1113" t="s">
        <v>38</v>
      </c>
      <c r="U1113">
        <v>0</v>
      </c>
      <c r="W1113">
        <v>0</v>
      </c>
      <c r="X1113">
        <v>0</v>
      </c>
      <c r="Y1113">
        <v>0</v>
      </c>
      <c r="AE1113">
        <f t="shared" si="51"/>
        <v>1</v>
      </c>
      <c r="AF1113">
        <f>VLOOKUP(D1113,especies!$A$2:$C$9,3,FALSE)</f>
        <v>2</v>
      </c>
      <c r="AG1113" t="str">
        <f t="shared" si="52"/>
        <v>2-DPL (Doméstico de pelo Largo o DLH)</v>
      </c>
      <c r="AH1113">
        <f>VLOOKUP('Fichas clínicas'!AG1113,razas!$A$2:$D$66,3,FALSE)</f>
        <v>52</v>
      </c>
      <c r="AI1113" t="str">
        <f t="shared" si="53"/>
        <v>H</v>
      </c>
    </row>
    <row r="1114" spans="1:35" x14ac:dyDescent="0.2">
      <c r="A1114">
        <v>1116</v>
      </c>
      <c r="B1114" t="s">
        <v>2610</v>
      </c>
      <c r="C1114" t="s">
        <v>350</v>
      </c>
      <c r="D1114" t="s">
        <v>32</v>
      </c>
      <c r="E1114" t="s">
        <v>33</v>
      </c>
      <c r="F1114" t="s">
        <v>47</v>
      </c>
      <c r="G1114" t="s">
        <v>467</v>
      </c>
      <c r="J1114" t="s">
        <v>2611</v>
      </c>
      <c r="K1114" t="s">
        <v>38</v>
      </c>
      <c r="L1114" t="s">
        <v>38</v>
      </c>
      <c r="M1114" t="s">
        <v>38</v>
      </c>
      <c r="N1114" t="s">
        <v>38</v>
      </c>
      <c r="O1114" t="s">
        <v>38</v>
      </c>
      <c r="T1114" t="s">
        <v>38</v>
      </c>
      <c r="U1114">
        <v>0</v>
      </c>
      <c r="W1114">
        <v>0</v>
      </c>
      <c r="X1114">
        <v>0</v>
      </c>
      <c r="Y1114">
        <v>0</v>
      </c>
      <c r="AE1114">
        <f t="shared" si="51"/>
        <v>1</v>
      </c>
      <c r="AF1114">
        <f>VLOOKUP(D1114,especies!$A$2:$C$9,3,FALSE)</f>
        <v>1</v>
      </c>
      <c r="AG1114" t="str">
        <f t="shared" si="52"/>
        <v>1-Mestizo</v>
      </c>
      <c r="AH1114">
        <f>VLOOKUP('Fichas clínicas'!AG1114,razas!$A$2:$D$66,3,FALSE)</f>
        <v>1</v>
      </c>
      <c r="AI1114" t="str">
        <f t="shared" si="53"/>
        <v>M</v>
      </c>
    </row>
    <row r="1115" spans="1:35" x14ac:dyDescent="0.2">
      <c r="A1115">
        <v>1117</v>
      </c>
      <c r="B1115" t="s">
        <v>754</v>
      </c>
      <c r="C1115" t="s">
        <v>2612</v>
      </c>
      <c r="D1115" t="s">
        <v>41</v>
      </c>
      <c r="E1115" t="s">
        <v>42</v>
      </c>
      <c r="F1115" t="s">
        <v>47</v>
      </c>
      <c r="G1115" t="s">
        <v>81</v>
      </c>
      <c r="J1115" t="s">
        <v>2613</v>
      </c>
      <c r="K1115" t="s">
        <v>38</v>
      </c>
      <c r="L1115" t="s">
        <v>38</v>
      </c>
      <c r="M1115" t="s">
        <v>38</v>
      </c>
      <c r="N1115" t="s">
        <v>38</v>
      </c>
      <c r="O1115" t="s">
        <v>38</v>
      </c>
      <c r="Q1115">
        <v>0</v>
      </c>
      <c r="T1115" t="s">
        <v>38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f t="shared" si="51"/>
        <v>1</v>
      </c>
      <c r="AF1115">
        <f>VLOOKUP(D1115,especies!$A$2:$C$9,3,FALSE)</f>
        <v>2</v>
      </c>
      <c r="AG1115" t="str">
        <f t="shared" si="52"/>
        <v>2-DPC (Doméstico de pelo corto o DSH)</v>
      </c>
      <c r="AH1115">
        <f>VLOOKUP('Fichas clínicas'!AG1115,razas!$A$2:$D$66,3,FALSE)</f>
        <v>51</v>
      </c>
      <c r="AI1115" t="str">
        <f t="shared" si="53"/>
        <v>M</v>
      </c>
    </row>
    <row r="1116" spans="1:35" x14ac:dyDescent="0.2">
      <c r="A1116">
        <v>1118</v>
      </c>
      <c r="B1116" t="s">
        <v>2614</v>
      </c>
      <c r="C1116" t="s">
        <v>2615</v>
      </c>
      <c r="D1116" t="s">
        <v>32</v>
      </c>
      <c r="E1116" t="s">
        <v>309</v>
      </c>
      <c r="F1116" t="s">
        <v>34</v>
      </c>
      <c r="G1116" t="s">
        <v>77</v>
      </c>
      <c r="J1116" t="s">
        <v>90</v>
      </c>
      <c r="K1116" t="s">
        <v>38</v>
      </c>
      <c r="L1116" t="s">
        <v>38</v>
      </c>
      <c r="M1116" t="s">
        <v>38</v>
      </c>
      <c r="N1116" t="s">
        <v>38</v>
      </c>
      <c r="O1116" t="s">
        <v>38</v>
      </c>
      <c r="T1116" t="s">
        <v>38</v>
      </c>
      <c r="U1116">
        <v>0</v>
      </c>
      <c r="W1116">
        <v>0</v>
      </c>
      <c r="X1116">
        <v>0</v>
      </c>
      <c r="Y1116">
        <v>0</v>
      </c>
      <c r="AE1116">
        <f t="shared" si="51"/>
        <v>1</v>
      </c>
      <c r="AF1116">
        <f>VLOOKUP(D1116,especies!$A$2:$C$9,3,FALSE)</f>
        <v>1</v>
      </c>
      <c r="AG1116" t="str">
        <f t="shared" si="52"/>
        <v>1-Pug</v>
      </c>
      <c r="AH1116">
        <f>VLOOKUP('Fichas clínicas'!AG1116,razas!$A$2:$D$66,3,FALSE)</f>
        <v>11</v>
      </c>
      <c r="AI1116" t="str">
        <f t="shared" si="53"/>
        <v>H</v>
      </c>
    </row>
    <row r="1117" spans="1:35" x14ac:dyDescent="0.2">
      <c r="A1117">
        <v>1119</v>
      </c>
      <c r="B1117" t="s">
        <v>2616</v>
      </c>
      <c r="C1117" t="s">
        <v>350</v>
      </c>
      <c r="D1117" t="s">
        <v>32</v>
      </c>
      <c r="E1117" t="s">
        <v>206</v>
      </c>
      <c r="F1117" t="s">
        <v>47</v>
      </c>
      <c r="G1117" t="s">
        <v>165</v>
      </c>
      <c r="J1117" t="s">
        <v>2617</v>
      </c>
      <c r="K1117" t="s">
        <v>38</v>
      </c>
      <c r="L1117" t="s">
        <v>38</v>
      </c>
      <c r="M1117" t="s">
        <v>38</v>
      </c>
      <c r="N1117" t="s">
        <v>38</v>
      </c>
      <c r="O1117" t="s">
        <v>38</v>
      </c>
      <c r="T1117" t="s">
        <v>38</v>
      </c>
      <c r="U1117">
        <v>0</v>
      </c>
      <c r="W1117">
        <v>0</v>
      </c>
      <c r="X1117">
        <v>0</v>
      </c>
      <c r="Y1117">
        <v>0</v>
      </c>
      <c r="AE1117">
        <f t="shared" si="51"/>
        <v>1</v>
      </c>
      <c r="AF1117">
        <f>VLOOKUP(D1117,especies!$A$2:$C$9,3,FALSE)</f>
        <v>1</v>
      </c>
      <c r="AG1117" t="str">
        <f t="shared" si="52"/>
        <v>1-Chow-Chow</v>
      </c>
      <c r="AH1117">
        <f>VLOOKUP('Fichas clínicas'!AG1117,razas!$A$2:$D$66,3,FALSE)</f>
        <v>9</v>
      </c>
      <c r="AI1117" t="str">
        <f t="shared" si="53"/>
        <v>M</v>
      </c>
    </row>
    <row r="1118" spans="1:35" x14ac:dyDescent="0.2">
      <c r="A1118">
        <v>1120</v>
      </c>
      <c r="B1118" t="s">
        <v>2618</v>
      </c>
      <c r="C1118" t="s">
        <v>2619</v>
      </c>
      <c r="D1118" t="s">
        <v>41</v>
      </c>
      <c r="E1118" t="s">
        <v>42</v>
      </c>
      <c r="F1118" t="s">
        <v>34</v>
      </c>
      <c r="G1118" t="s">
        <v>640</v>
      </c>
      <c r="J1118" t="s">
        <v>37</v>
      </c>
      <c r="K1118" t="s">
        <v>38</v>
      </c>
      <c r="L1118" t="s">
        <v>38</v>
      </c>
      <c r="M1118" t="s">
        <v>38</v>
      </c>
      <c r="N1118" t="s">
        <v>38</v>
      </c>
      <c r="O1118" t="s">
        <v>38</v>
      </c>
      <c r="T1118" t="s">
        <v>38</v>
      </c>
      <c r="U1118">
        <v>0</v>
      </c>
      <c r="W1118">
        <v>0</v>
      </c>
      <c r="X1118">
        <v>0</v>
      </c>
      <c r="Y1118">
        <v>0</v>
      </c>
      <c r="AE1118">
        <f t="shared" si="51"/>
        <v>1</v>
      </c>
      <c r="AF1118">
        <f>VLOOKUP(D1118,especies!$A$2:$C$9,3,FALSE)</f>
        <v>2</v>
      </c>
      <c r="AG1118" t="str">
        <f t="shared" si="52"/>
        <v>2-DPC (Doméstico de pelo corto o DSH)</v>
      </c>
      <c r="AH1118">
        <f>VLOOKUP('Fichas clínicas'!AG1118,razas!$A$2:$D$66,3,FALSE)</f>
        <v>51</v>
      </c>
      <c r="AI1118" t="str">
        <f t="shared" si="53"/>
        <v>H</v>
      </c>
    </row>
    <row r="1119" spans="1:35" x14ac:dyDescent="0.2">
      <c r="A1119">
        <v>1121</v>
      </c>
      <c r="B1119" t="s">
        <v>2022</v>
      </c>
      <c r="C1119" t="s">
        <v>2620</v>
      </c>
      <c r="D1119" t="s">
        <v>41</v>
      </c>
      <c r="E1119" t="s">
        <v>42</v>
      </c>
      <c r="F1119" t="s">
        <v>47</v>
      </c>
      <c r="G1119" t="s">
        <v>2118</v>
      </c>
      <c r="J1119" t="s">
        <v>2621</v>
      </c>
      <c r="K1119" t="s">
        <v>38</v>
      </c>
      <c r="L1119" t="s">
        <v>38</v>
      </c>
      <c r="M1119" t="s">
        <v>38</v>
      </c>
      <c r="N1119" t="s">
        <v>38</v>
      </c>
      <c r="O1119" t="s">
        <v>38</v>
      </c>
      <c r="T1119" t="s">
        <v>38</v>
      </c>
      <c r="U1119">
        <v>0</v>
      </c>
      <c r="V1119">
        <v>1</v>
      </c>
      <c r="W1119">
        <v>0</v>
      </c>
      <c r="X1119">
        <v>0</v>
      </c>
      <c r="Y1119">
        <v>0</v>
      </c>
      <c r="AE1119">
        <f t="shared" si="51"/>
        <v>1</v>
      </c>
      <c r="AF1119">
        <f>VLOOKUP(D1119,especies!$A$2:$C$9,3,FALSE)</f>
        <v>2</v>
      </c>
      <c r="AG1119" t="str">
        <f t="shared" si="52"/>
        <v>2-DPC (Doméstico de pelo corto o DSH)</v>
      </c>
      <c r="AH1119">
        <f>VLOOKUP('Fichas clínicas'!AG1119,razas!$A$2:$D$66,3,FALSE)</f>
        <v>51</v>
      </c>
      <c r="AI1119" t="str">
        <f t="shared" si="53"/>
        <v>M</v>
      </c>
    </row>
    <row r="1120" spans="1:35" x14ac:dyDescent="0.2">
      <c r="A1120">
        <v>1122</v>
      </c>
      <c r="B1120" t="s">
        <v>2622</v>
      </c>
      <c r="C1120" t="s">
        <v>2623</v>
      </c>
      <c r="D1120" t="s">
        <v>41</v>
      </c>
      <c r="E1120" t="s">
        <v>2624</v>
      </c>
      <c r="F1120" t="s">
        <v>47</v>
      </c>
      <c r="G1120" t="s">
        <v>2436</v>
      </c>
      <c r="J1120" t="s">
        <v>130</v>
      </c>
      <c r="K1120" t="s">
        <v>38</v>
      </c>
      <c r="L1120" t="s">
        <v>38</v>
      </c>
      <c r="M1120" t="s">
        <v>38</v>
      </c>
      <c r="N1120" t="s">
        <v>38</v>
      </c>
      <c r="O1120" t="s">
        <v>38</v>
      </c>
      <c r="T1120" t="s">
        <v>38</v>
      </c>
      <c r="U1120">
        <v>0</v>
      </c>
      <c r="W1120">
        <v>0</v>
      </c>
      <c r="X1120">
        <v>0</v>
      </c>
      <c r="Y1120">
        <v>0</v>
      </c>
      <c r="AE1120">
        <f t="shared" si="51"/>
        <v>1</v>
      </c>
      <c r="AF1120">
        <f>VLOOKUP(D1120,especies!$A$2:$C$9,3,FALSE)</f>
        <v>2</v>
      </c>
      <c r="AG1120" t="str">
        <f t="shared" si="52"/>
        <v>2-Británico de Pelo Corto</v>
      </c>
      <c r="AH1120">
        <f>VLOOKUP('Fichas clínicas'!AG1120,razas!$A$2:$D$66,3,FALSE)</f>
        <v>53</v>
      </c>
      <c r="AI1120" t="str">
        <f t="shared" si="53"/>
        <v>M</v>
      </c>
    </row>
    <row r="1121" spans="1:35" x14ac:dyDescent="0.2">
      <c r="A1121">
        <v>1123</v>
      </c>
      <c r="B1121" t="s">
        <v>2625</v>
      </c>
      <c r="C1121" t="s">
        <v>2626</v>
      </c>
      <c r="D1121" t="s">
        <v>41</v>
      </c>
      <c r="E1121" t="s">
        <v>42</v>
      </c>
      <c r="F1121" t="s">
        <v>34</v>
      </c>
      <c r="G1121" t="s">
        <v>109</v>
      </c>
      <c r="J1121" t="s">
        <v>2627</v>
      </c>
      <c r="K1121" t="s">
        <v>38</v>
      </c>
      <c r="L1121" t="s">
        <v>38</v>
      </c>
      <c r="M1121" t="s">
        <v>38</v>
      </c>
      <c r="N1121" t="s">
        <v>38</v>
      </c>
      <c r="O1121" t="s">
        <v>38</v>
      </c>
      <c r="T1121" t="s">
        <v>38</v>
      </c>
      <c r="U1121">
        <v>0</v>
      </c>
      <c r="W1121">
        <v>0</v>
      </c>
      <c r="X1121">
        <v>0</v>
      </c>
      <c r="Y1121">
        <v>0</v>
      </c>
      <c r="AE1121">
        <f t="shared" si="51"/>
        <v>1</v>
      </c>
      <c r="AF1121">
        <f>VLOOKUP(D1121,especies!$A$2:$C$9,3,FALSE)</f>
        <v>2</v>
      </c>
      <c r="AG1121" t="str">
        <f t="shared" si="52"/>
        <v>2-DPC (Doméstico de pelo corto o DSH)</v>
      </c>
      <c r="AH1121">
        <f>VLOOKUP('Fichas clínicas'!AG1121,razas!$A$2:$D$66,3,FALSE)</f>
        <v>51</v>
      </c>
      <c r="AI1121" t="str">
        <f t="shared" si="53"/>
        <v>H</v>
      </c>
    </row>
    <row r="1122" spans="1:35" x14ac:dyDescent="0.2">
      <c r="A1122">
        <v>1124</v>
      </c>
      <c r="B1122" t="s">
        <v>2628</v>
      </c>
      <c r="C1122" t="s">
        <v>1106</v>
      </c>
      <c r="D1122" t="s">
        <v>41</v>
      </c>
      <c r="E1122" t="s">
        <v>42</v>
      </c>
      <c r="F1122" t="s">
        <v>34</v>
      </c>
      <c r="G1122" t="s">
        <v>2436</v>
      </c>
      <c r="J1122" t="s">
        <v>2629</v>
      </c>
      <c r="K1122" t="s">
        <v>38</v>
      </c>
      <c r="L1122" t="s">
        <v>38</v>
      </c>
      <c r="M1122" t="s">
        <v>38</v>
      </c>
      <c r="N1122" t="s">
        <v>38</v>
      </c>
      <c r="O1122" t="s">
        <v>38</v>
      </c>
      <c r="T1122" t="s">
        <v>38</v>
      </c>
      <c r="U1122">
        <v>0</v>
      </c>
      <c r="W1122">
        <v>0</v>
      </c>
      <c r="X1122">
        <v>0</v>
      </c>
      <c r="Y1122">
        <v>0</v>
      </c>
      <c r="AE1122">
        <f t="shared" si="51"/>
        <v>1</v>
      </c>
      <c r="AF1122">
        <f>VLOOKUP(D1122,especies!$A$2:$C$9,3,FALSE)</f>
        <v>2</v>
      </c>
      <c r="AG1122" t="str">
        <f t="shared" si="52"/>
        <v>2-DPC (Doméstico de pelo corto o DSH)</v>
      </c>
      <c r="AH1122">
        <f>VLOOKUP('Fichas clínicas'!AG1122,razas!$A$2:$D$66,3,FALSE)</f>
        <v>51</v>
      </c>
      <c r="AI1122" t="str">
        <f t="shared" si="53"/>
        <v>H</v>
      </c>
    </row>
    <row r="1123" spans="1:35" x14ac:dyDescent="0.2">
      <c r="A1123">
        <v>1125</v>
      </c>
      <c r="B1123" t="s">
        <v>2630</v>
      </c>
      <c r="C1123" t="s">
        <v>2584</v>
      </c>
      <c r="D1123" t="s">
        <v>32</v>
      </c>
      <c r="E1123" t="s">
        <v>33</v>
      </c>
      <c r="F1123" t="s">
        <v>47</v>
      </c>
      <c r="G1123" t="s">
        <v>2631</v>
      </c>
      <c r="J1123" t="s">
        <v>2632</v>
      </c>
      <c r="K1123" t="s">
        <v>38</v>
      </c>
      <c r="L1123" t="s">
        <v>38</v>
      </c>
      <c r="M1123" t="s">
        <v>38</v>
      </c>
      <c r="N1123" t="s">
        <v>38</v>
      </c>
      <c r="O1123" t="s">
        <v>38</v>
      </c>
      <c r="T1123" t="s">
        <v>38</v>
      </c>
      <c r="U1123">
        <v>0</v>
      </c>
      <c r="W1123">
        <v>0</v>
      </c>
      <c r="X1123">
        <v>0</v>
      </c>
      <c r="Y1123">
        <v>0</v>
      </c>
      <c r="AE1123">
        <f t="shared" si="51"/>
        <v>1</v>
      </c>
      <c r="AF1123">
        <f>VLOOKUP(D1123,especies!$A$2:$C$9,3,FALSE)</f>
        <v>1</v>
      </c>
      <c r="AG1123" t="str">
        <f t="shared" si="52"/>
        <v>1-Mestizo</v>
      </c>
      <c r="AH1123">
        <f>VLOOKUP('Fichas clínicas'!AG1123,razas!$A$2:$D$66,3,FALSE)</f>
        <v>1</v>
      </c>
      <c r="AI1123" t="str">
        <f t="shared" si="53"/>
        <v>M</v>
      </c>
    </row>
    <row r="1124" spans="1:35" x14ac:dyDescent="0.2">
      <c r="A1124">
        <v>1126</v>
      </c>
      <c r="B1124" t="s">
        <v>2633</v>
      </c>
      <c r="C1124" t="s">
        <v>1834</v>
      </c>
      <c r="D1124" t="s">
        <v>41</v>
      </c>
      <c r="E1124" t="s">
        <v>42</v>
      </c>
      <c r="F1124" t="s">
        <v>34</v>
      </c>
      <c r="G1124" t="s">
        <v>2436</v>
      </c>
      <c r="J1124" t="s">
        <v>841</v>
      </c>
      <c r="K1124" t="s">
        <v>38</v>
      </c>
      <c r="L1124" t="s">
        <v>38</v>
      </c>
      <c r="M1124" t="s">
        <v>38</v>
      </c>
      <c r="N1124" t="s">
        <v>38</v>
      </c>
      <c r="O1124" t="s">
        <v>38</v>
      </c>
      <c r="T1124" t="s">
        <v>38</v>
      </c>
      <c r="U1124">
        <v>0</v>
      </c>
      <c r="W1124">
        <v>0</v>
      </c>
      <c r="X1124">
        <v>0</v>
      </c>
      <c r="Y1124">
        <v>0</v>
      </c>
      <c r="AE1124">
        <f t="shared" si="51"/>
        <v>1</v>
      </c>
      <c r="AF1124">
        <f>VLOOKUP(D1124,especies!$A$2:$C$9,3,FALSE)</f>
        <v>2</v>
      </c>
      <c r="AG1124" t="str">
        <f t="shared" si="52"/>
        <v>2-DPC (Doméstico de pelo corto o DSH)</v>
      </c>
      <c r="AH1124">
        <f>VLOOKUP('Fichas clínicas'!AG1124,razas!$A$2:$D$66,3,FALSE)</f>
        <v>51</v>
      </c>
      <c r="AI1124" t="str">
        <f t="shared" si="53"/>
        <v>H</v>
      </c>
    </row>
    <row r="1125" spans="1:35" x14ac:dyDescent="0.2">
      <c r="A1125">
        <v>1127</v>
      </c>
      <c r="B1125" t="s">
        <v>2634</v>
      </c>
      <c r="C1125" t="s">
        <v>2635</v>
      </c>
      <c r="D1125" t="s">
        <v>32</v>
      </c>
      <c r="E1125" t="s">
        <v>150</v>
      </c>
      <c r="F1125" t="s">
        <v>34</v>
      </c>
      <c r="G1125" t="s">
        <v>123</v>
      </c>
      <c r="J1125" t="s">
        <v>2636</v>
      </c>
      <c r="K1125" t="s">
        <v>38</v>
      </c>
      <c r="L1125" t="s">
        <v>38</v>
      </c>
      <c r="M1125" t="s">
        <v>38</v>
      </c>
      <c r="N1125" t="s">
        <v>38</v>
      </c>
      <c r="O1125" t="s">
        <v>38</v>
      </c>
      <c r="T1125" t="s">
        <v>38</v>
      </c>
      <c r="U1125">
        <v>0</v>
      </c>
      <c r="W1125">
        <v>0</v>
      </c>
      <c r="X1125">
        <v>0</v>
      </c>
      <c r="Y1125">
        <v>0</v>
      </c>
      <c r="AE1125">
        <f t="shared" si="51"/>
        <v>1</v>
      </c>
      <c r="AF1125">
        <f>VLOOKUP(D1125,especies!$A$2:$C$9,3,FALSE)</f>
        <v>1</v>
      </c>
      <c r="AG1125" t="str">
        <f t="shared" si="52"/>
        <v>1-Poodle</v>
      </c>
      <c r="AH1125">
        <f>VLOOKUP('Fichas clínicas'!AG1125,razas!$A$2:$D$66,3,FALSE)</f>
        <v>6</v>
      </c>
      <c r="AI1125" t="str">
        <f t="shared" si="53"/>
        <v>H</v>
      </c>
    </row>
    <row r="1126" spans="1:35" x14ac:dyDescent="0.2">
      <c r="A1126">
        <v>1128</v>
      </c>
      <c r="B1126" t="s">
        <v>2637</v>
      </c>
      <c r="C1126" t="s">
        <v>2638</v>
      </c>
      <c r="D1126" t="s">
        <v>41</v>
      </c>
      <c r="E1126" t="s">
        <v>42</v>
      </c>
      <c r="F1126" t="s">
        <v>47</v>
      </c>
      <c r="G1126" t="s">
        <v>277</v>
      </c>
      <c r="J1126" t="s">
        <v>58</v>
      </c>
      <c r="K1126" t="s">
        <v>38</v>
      </c>
      <c r="L1126" t="s">
        <v>38</v>
      </c>
      <c r="M1126" t="s">
        <v>38</v>
      </c>
      <c r="N1126" t="s">
        <v>38</v>
      </c>
      <c r="O1126" t="s">
        <v>38</v>
      </c>
      <c r="T1126" t="s">
        <v>38</v>
      </c>
      <c r="U1126">
        <v>0</v>
      </c>
      <c r="W1126">
        <v>0</v>
      </c>
      <c r="X1126">
        <v>0</v>
      </c>
      <c r="Y1126">
        <v>0</v>
      </c>
      <c r="AE1126">
        <f t="shared" si="51"/>
        <v>1</v>
      </c>
      <c r="AF1126">
        <f>VLOOKUP(D1126,especies!$A$2:$C$9,3,FALSE)</f>
        <v>2</v>
      </c>
      <c r="AG1126" t="str">
        <f t="shared" si="52"/>
        <v>2-DPC (Doméstico de pelo corto o DSH)</v>
      </c>
      <c r="AH1126">
        <f>VLOOKUP('Fichas clínicas'!AG1126,razas!$A$2:$D$66,3,FALSE)</f>
        <v>51</v>
      </c>
      <c r="AI1126" t="str">
        <f t="shared" si="53"/>
        <v>M</v>
      </c>
    </row>
    <row r="1127" spans="1:35" x14ac:dyDescent="0.2">
      <c r="A1127">
        <v>1129</v>
      </c>
      <c r="B1127" t="s">
        <v>2637</v>
      </c>
      <c r="C1127" t="s">
        <v>2189</v>
      </c>
      <c r="D1127" t="s">
        <v>32</v>
      </c>
      <c r="E1127" t="s">
        <v>33</v>
      </c>
      <c r="F1127" t="s">
        <v>47</v>
      </c>
      <c r="G1127" t="s">
        <v>123</v>
      </c>
      <c r="I1127">
        <v>939000001602673</v>
      </c>
      <c r="J1127" t="s">
        <v>2639</v>
      </c>
      <c r="K1127" t="s">
        <v>38</v>
      </c>
      <c r="L1127" t="s">
        <v>38</v>
      </c>
      <c r="M1127" t="s">
        <v>38</v>
      </c>
      <c r="N1127" t="s">
        <v>38</v>
      </c>
      <c r="O1127" t="s">
        <v>38</v>
      </c>
      <c r="Q1127">
        <v>0</v>
      </c>
      <c r="T1127" t="s">
        <v>38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f t="shared" si="51"/>
        <v>1</v>
      </c>
      <c r="AF1127">
        <f>VLOOKUP(D1127,especies!$A$2:$C$9,3,FALSE)</f>
        <v>1</v>
      </c>
      <c r="AG1127" t="str">
        <f t="shared" si="52"/>
        <v>1-Mestizo</v>
      </c>
      <c r="AH1127">
        <f>VLOOKUP('Fichas clínicas'!AG1127,razas!$A$2:$D$66,3,FALSE)</f>
        <v>1</v>
      </c>
      <c r="AI1127" t="str">
        <f t="shared" si="53"/>
        <v>M</v>
      </c>
    </row>
    <row r="1128" spans="1:35" x14ac:dyDescent="0.2">
      <c r="A1128">
        <v>1130</v>
      </c>
      <c r="B1128" t="s">
        <v>2483</v>
      </c>
      <c r="C1128" t="s">
        <v>2640</v>
      </c>
      <c r="D1128" t="s">
        <v>41</v>
      </c>
      <c r="E1128" t="s">
        <v>42</v>
      </c>
      <c r="F1128" t="s">
        <v>47</v>
      </c>
      <c r="G1128" t="s">
        <v>81</v>
      </c>
      <c r="J1128" t="s">
        <v>725</v>
      </c>
      <c r="K1128" t="s">
        <v>38</v>
      </c>
      <c r="L1128" t="s">
        <v>38</v>
      </c>
      <c r="M1128" t="s">
        <v>38</v>
      </c>
      <c r="N1128" t="s">
        <v>38</v>
      </c>
      <c r="O1128" t="s">
        <v>38</v>
      </c>
      <c r="T1128" t="s">
        <v>38</v>
      </c>
      <c r="U1128">
        <v>0</v>
      </c>
      <c r="W1128">
        <v>0</v>
      </c>
      <c r="X1128">
        <v>0</v>
      </c>
      <c r="Y1128">
        <v>0</v>
      </c>
      <c r="AE1128">
        <f t="shared" si="51"/>
        <v>1</v>
      </c>
      <c r="AF1128">
        <f>VLOOKUP(D1128,especies!$A$2:$C$9,3,FALSE)</f>
        <v>2</v>
      </c>
      <c r="AG1128" t="str">
        <f t="shared" si="52"/>
        <v>2-DPC (Doméstico de pelo corto o DSH)</v>
      </c>
      <c r="AH1128">
        <f>VLOOKUP('Fichas clínicas'!AG1128,razas!$A$2:$D$66,3,FALSE)</f>
        <v>51</v>
      </c>
      <c r="AI1128" t="str">
        <f t="shared" si="53"/>
        <v>M</v>
      </c>
    </row>
    <row r="1129" spans="1:35" x14ac:dyDescent="0.2">
      <c r="A1129">
        <v>1131</v>
      </c>
      <c r="B1129" t="s">
        <v>2641</v>
      </c>
      <c r="C1129" t="s">
        <v>2642</v>
      </c>
      <c r="D1129" t="s">
        <v>41</v>
      </c>
      <c r="E1129" t="s">
        <v>42</v>
      </c>
      <c r="F1129" t="s">
        <v>47</v>
      </c>
      <c r="G1129" t="s">
        <v>43</v>
      </c>
      <c r="J1129" t="s">
        <v>330</v>
      </c>
      <c r="K1129" t="s">
        <v>38</v>
      </c>
      <c r="L1129" t="s">
        <v>38</v>
      </c>
      <c r="M1129" t="s">
        <v>38</v>
      </c>
      <c r="N1129" t="s">
        <v>38</v>
      </c>
      <c r="O1129" t="s">
        <v>38</v>
      </c>
      <c r="T1129" t="s">
        <v>38</v>
      </c>
      <c r="U1129">
        <v>0</v>
      </c>
      <c r="V1129">
        <v>1</v>
      </c>
      <c r="W1129">
        <v>0</v>
      </c>
      <c r="X1129">
        <v>0</v>
      </c>
      <c r="Y1129">
        <v>0</v>
      </c>
      <c r="AE1129">
        <f t="shared" si="51"/>
        <v>1</v>
      </c>
      <c r="AF1129">
        <f>VLOOKUP(D1129,especies!$A$2:$C$9,3,FALSE)</f>
        <v>2</v>
      </c>
      <c r="AG1129" t="str">
        <f t="shared" si="52"/>
        <v>2-DPC (Doméstico de pelo corto o DSH)</v>
      </c>
      <c r="AH1129">
        <f>VLOOKUP('Fichas clínicas'!AG1129,razas!$A$2:$D$66,3,FALSE)</f>
        <v>51</v>
      </c>
      <c r="AI1129" t="str">
        <f t="shared" si="53"/>
        <v>M</v>
      </c>
    </row>
    <row r="1130" spans="1:35" x14ac:dyDescent="0.2">
      <c r="A1130">
        <v>1132</v>
      </c>
      <c r="B1130" t="s">
        <v>2643</v>
      </c>
      <c r="C1130" t="s">
        <v>2644</v>
      </c>
      <c r="D1130" t="s">
        <v>41</v>
      </c>
      <c r="E1130" t="s">
        <v>93</v>
      </c>
      <c r="F1130" t="s">
        <v>47</v>
      </c>
      <c r="G1130" t="s">
        <v>1073</v>
      </c>
      <c r="J1130" t="s">
        <v>2645</v>
      </c>
      <c r="K1130" t="s">
        <v>38</v>
      </c>
      <c r="L1130" t="s">
        <v>38</v>
      </c>
      <c r="M1130" t="s">
        <v>38</v>
      </c>
      <c r="N1130" t="s">
        <v>38</v>
      </c>
      <c r="O1130" t="s">
        <v>38</v>
      </c>
      <c r="T1130" t="s">
        <v>38</v>
      </c>
      <c r="U1130">
        <v>0</v>
      </c>
      <c r="W1130">
        <v>0</v>
      </c>
      <c r="X1130">
        <v>0</v>
      </c>
      <c r="Y1130">
        <v>0</v>
      </c>
      <c r="AE1130">
        <f t="shared" si="51"/>
        <v>1</v>
      </c>
      <c r="AF1130">
        <f>VLOOKUP(D1130,especies!$A$2:$C$9,3,FALSE)</f>
        <v>2</v>
      </c>
      <c r="AG1130" t="str">
        <f t="shared" si="52"/>
        <v>2-DPL (Doméstico de pelo Largo o DLH)</v>
      </c>
      <c r="AH1130">
        <f>VLOOKUP('Fichas clínicas'!AG1130,razas!$A$2:$D$66,3,FALSE)</f>
        <v>52</v>
      </c>
      <c r="AI1130" t="str">
        <f t="shared" si="53"/>
        <v>M</v>
      </c>
    </row>
    <row r="1131" spans="1:35" x14ac:dyDescent="0.2">
      <c r="A1131">
        <v>1133</v>
      </c>
      <c r="B1131" t="s">
        <v>2646</v>
      </c>
      <c r="C1131" t="s">
        <v>2644</v>
      </c>
      <c r="D1131" t="s">
        <v>41</v>
      </c>
      <c r="E1131" t="s">
        <v>42</v>
      </c>
      <c r="F1131" t="s">
        <v>47</v>
      </c>
      <c r="G1131" t="s">
        <v>81</v>
      </c>
      <c r="J1131" t="s">
        <v>2647</v>
      </c>
      <c r="K1131" t="s">
        <v>38</v>
      </c>
      <c r="L1131" t="s">
        <v>38</v>
      </c>
      <c r="M1131" t="s">
        <v>38</v>
      </c>
      <c r="N1131" t="s">
        <v>38</v>
      </c>
      <c r="O1131" t="s">
        <v>38</v>
      </c>
      <c r="T1131" t="s">
        <v>38</v>
      </c>
      <c r="U1131">
        <v>0</v>
      </c>
      <c r="W1131">
        <v>0</v>
      </c>
      <c r="X1131">
        <v>0</v>
      </c>
      <c r="Y1131">
        <v>0</v>
      </c>
      <c r="AE1131">
        <f t="shared" si="51"/>
        <v>1</v>
      </c>
      <c r="AF1131">
        <f>VLOOKUP(D1131,especies!$A$2:$C$9,3,FALSE)</f>
        <v>2</v>
      </c>
      <c r="AG1131" t="str">
        <f t="shared" si="52"/>
        <v>2-DPC (Doméstico de pelo corto o DSH)</v>
      </c>
      <c r="AH1131">
        <f>VLOOKUP('Fichas clínicas'!AG1131,razas!$A$2:$D$66,3,FALSE)</f>
        <v>51</v>
      </c>
      <c r="AI1131" t="str">
        <f t="shared" si="53"/>
        <v>M</v>
      </c>
    </row>
    <row r="1132" spans="1:35" x14ac:dyDescent="0.2">
      <c r="A1132">
        <v>1134</v>
      </c>
      <c r="B1132" t="s">
        <v>2648</v>
      </c>
      <c r="C1132" t="s">
        <v>1781</v>
      </c>
      <c r="D1132" t="s">
        <v>32</v>
      </c>
      <c r="E1132" t="s">
        <v>33</v>
      </c>
      <c r="F1132" t="s">
        <v>47</v>
      </c>
      <c r="G1132" t="s">
        <v>740</v>
      </c>
      <c r="J1132" t="s">
        <v>1380</v>
      </c>
      <c r="K1132" t="s">
        <v>38</v>
      </c>
      <c r="L1132" t="s">
        <v>38</v>
      </c>
      <c r="M1132" t="s">
        <v>38</v>
      </c>
      <c r="N1132" t="s">
        <v>38</v>
      </c>
      <c r="O1132" t="s">
        <v>38</v>
      </c>
      <c r="T1132" t="s">
        <v>38</v>
      </c>
      <c r="U1132">
        <v>0</v>
      </c>
      <c r="W1132">
        <v>0</v>
      </c>
      <c r="X1132">
        <v>0</v>
      </c>
      <c r="Y1132">
        <v>0</v>
      </c>
      <c r="AE1132">
        <f t="shared" si="51"/>
        <v>1</v>
      </c>
      <c r="AF1132">
        <f>VLOOKUP(D1132,especies!$A$2:$C$9,3,FALSE)</f>
        <v>1</v>
      </c>
      <c r="AG1132" t="str">
        <f t="shared" si="52"/>
        <v>1-Mestizo</v>
      </c>
      <c r="AH1132">
        <f>VLOOKUP('Fichas clínicas'!AG1132,razas!$A$2:$D$66,3,FALSE)</f>
        <v>1</v>
      </c>
      <c r="AI1132" t="str">
        <f t="shared" si="53"/>
        <v>M</v>
      </c>
    </row>
    <row r="1133" spans="1:35" x14ac:dyDescent="0.2">
      <c r="A1133">
        <v>1135</v>
      </c>
      <c r="B1133" t="s">
        <v>2649</v>
      </c>
      <c r="C1133" t="s">
        <v>2650</v>
      </c>
      <c r="D1133" t="s">
        <v>32</v>
      </c>
      <c r="E1133" t="s">
        <v>143</v>
      </c>
      <c r="F1133" t="s">
        <v>34</v>
      </c>
      <c r="G1133" t="s">
        <v>54</v>
      </c>
      <c r="J1133" t="s">
        <v>1128</v>
      </c>
      <c r="K1133" t="s">
        <v>38</v>
      </c>
      <c r="L1133" t="s">
        <v>38</v>
      </c>
      <c r="M1133" t="s">
        <v>38</v>
      </c>
      <c r="N1133" t="s">
        <v>38</v>
      </c>
      <c r="O1133" t="s">
        <v>38</v>
      </c>
      <c r="T1133" t="s">
        <v>38</v>
      </c>
      <c r="U1133">
        <v>0</v>
      </c>
      <c r="W1133">
        <v>0</v>
      </c>
      <c r="X1133">
        <v>0</v>
      </c>
      <c r="Y1133">
        <v>0</v>
      </c>
      <c r="AE1133">
        <f t="shared" si="51"/>
        <v>1</v>
      </c>
      <c r="AF1133">
        <f>VLOOKUP(D1133,especies!$A$2:$C$9,3,FALSE)</f>
        <v>1</v>
      </c>
      <c r="AG1133" t="str">
        <f t="shared" si="52"/>
        <v>1-Yorkshire Terrier</v>
      </c>
      <c r="AH1133">
        <f>VLOOKUP('Fichas clínicas'!AG1133,razas!$A$2:$D$66,3,FALSE)</f>
        <v>5</v>
      </c>
      <c r="AI1133" t="str">
        <f t="shared" si="53"/>
        <v>H</v>
      </c>
    </row>
    <row r="1134" spans="1:35" x14ac:dyDescent="0.2">
      <c r="A1134">
        <v>1136</v>
      </c>
      <c r="B1134" t="s">
        <v>2651</v>
      </c>
      <c r="C1134" t="s">
        <v>2642</v>
      </c>
      <c r="D1134" t="s">
        <v>41</v>
      </c>
      <c r="E1134" t="s">
        <v>42</v>
      </c>
      <c r="F1134" t="s">
        <v>47</v>
      </c>
      <c r="G1134" t="s">
        <v>43</v>
      </c>
      <c r="J1134" t="s">
        <v>2652</v>
      </c>
      <c r="K1134" t="s">
        <v>38</v>
      </c>
      <c r="L1134" t="s">
        <v>38</v>
      </c>
      <c r="M1134" t="s">
        <v>38</v>
      </c>
      <c r="N1134" t="s">
        <v>38</v>
      </c>
      <c r="O1134" t="s">
        <v>38</v>
      </c>
      <c r="T1134" t="s">
        <v>38</v>
      </c>
      <c r="U1134">
        <v>0</v>
      </c>
      <c r="W1134">
        <v>0</v>
      </c>
      <c r="X1134">
        <v>0</v>
      </c>
      <c r="Y1134">
        <v>0</v>
      </c>
      <c r="AE1134">
        <f t="shared" si="51"/>
        <v>1</v>
      </c>
      <c r="AF1134">
        <f>VLOOKUP(D1134,especies!$A$2:$C$9,3,FALSE)</f>
        <v>2</v>
      </c>
      <c r="AG1134" t="str">
        <f t="shared" si="52"/>
        <v>2-DPC (Doméstico de pelo corto o DSH)</v>
      </c>
      <c r="AH1134">
        <f>VLOOKUP('Fichas clínicas'!AG1134,razas!$A$2:$D$66,3,FALSE)</f>
        <v>51</v>
      </c>
      <c r="AI1134" t="str">
        <f t="shared" si="53"/>
        <v>M</v>
      </c>
    </row>
    <row r="1135" spans="1:35" x14ac:dyDescent="0.2">
      <c r="A1135">
        <v>1137</v>
      </c>
      <c r="B1135" t="s">
        <v>1080</v>
      </c>
      <c r="C1135" t="s">
        <v>2653</v>
      </c>
      <c r="D1135" t="s">
        <v>32</v>
      </c>
      <c r="E1135" t="s">
        <v>33</v>
      </c>
      <c r="F1135" t="s">
        <v>47</v>
      </c>
      <c r="G1135" t="s">
        <v>102</v>
      </c>
      <c r="J1135" t="s">
        <v>2654</v>
      </c>
      <c r="K1135" t="s">
        <v>38</v>
      </c>
      <c r="L1135" t="s">
        <v>38</v>
      </c>
      <c r="M1135" t="s">
        <v>38</v>
      </c>
      <c r="N1135" t="s">
        <v>38</v>
      </c>
      <c r="O1135" t="s">
        <v>38</v>
      </c>
      <c r="Q1135">
        <v>0</v>
      </c>
      <c r="T1135" t="s">
        <v>38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f t="shared" si="51"/>
        <v>1</v>
      </c>
      <c r="AF1135">
        <f>VLOOKUP(D1135,especies!$A$2:$C$9,3,FALSE)</f>
        <v>1</v>
      </c>
      <c r="AG1135" t="str">
        <f t="shared" si="52"/>
        <v>1-Mestizo</v>
      </c>
      <c r="AH1135">
        <f>VLOOKUP('Fichas clínicas'!AG1135,razas!$A$2:$D$66,3,FALSE)</f>
        <v>1</v>
      </c>
      <c r="AI1135" t="str">
        <f t="shared" si="53"/>
        <v>M</v>
      </c>
    </row>
    <row r="1136" spans="1:35" x14ac:dyDescent="0.2">
      <c r="A1136">
        <v>1138</v>
      </c>
      <c r="B1136" t="s">
        <v>2655</v>
      </c>
      <c r="C1136" t="s">
        <v>1527</v>
      </c>
      <c r="D1136" t="s">
        <v>32</v>
      </c>
      <c r="E1136" t="s">
        <v>33</v>
      </c>
      <c r="F1136" t="s">
        <v>34</v>
      </c>
      <c r="G1136" t="s">
        <v>43</v>
      </c>
      <c r="J1136" t="s">
        <v>2656</v>
      </c>
      <c r="K1136" t="s">
        <v>38</v>
      </c>
      <c r="L1136" t="s">
        <v>38</v>
      </c>
      <c r="M1136" t="s">
        <v>38</v>
      </c>
      <c r="N1136" t="s">
        <v>38</v>
      </c>
      <c r="O1136" t="s">
        <v>38</v>
      </c>
      <c r="T1136" t="s">
        <v>38</v>
      </c>
      <c r="U1136">
        <v>0</v>
      </c>
      <c r="W1136">
        <v>0</v>
      </c>
      <c r="X1136">
        <v>0</v>
      </c>
      <c r="Y1136">
        <v>0</v>
      </c>
      <c r="AE1136">
        <f t="shared" si="51"/>
        <v>1</v>
      </c>
      <c r="AF1136">
        <f>VLOOKUP(D1136,especies!$A$2:$C$9,3,FALSE)</f>
        <v>1</v>
      </c>
      <c r="AG1136" t="str">
        <f t="shared" si="52"/>
        <v>1-Mestizo</v>
      </c>
      <c r="AH1136">
        <f>VLOOKUP('Fichas clínicas'!AG1136,razas!$A$2:$D$66,3,FALSE)</f>
        <v>1</v>
      </c>
      <c r="AI1136" t="str">
        <f t="shared" si="53"/>
        <v>H</v>
      </c>
    </row>
    <row r="1137" spans="1:35" x14ac:dyDescent="0.2">
      <c r="A1137">
        <v>1139</v>
      </c>
      <c r="B1137" t="s">
        <v>2657</v>
      </c>
      <c r="C1137" t="s">
        <v>2642</v>
      </c>
      <c r="D1137" t="s">
        <v>41</v>
      </c>
      <c r="E1137" t="s">
        <v>42</v>
      </c>
      <c r="F1137" t="s">
        <v>47</v>
      </c>
      <c r="G1137" t="s">
        <v>1073</v>
      </c>
      <c r="J1137" t="s">
        <v>2658</v>
      </c>
      <c r="K1137" t="s">
        <v>38</v>
      </c>
      <c r="L1137" t="s">
        <v>38</v>
      </c>
      <c r="M1137" t="s">
        <v>38</v>
      </c>
      <c r="N1137" t="s">
        <v>38</v>
      </c>
      <c r="O1137" t="s">
        <v>38</v>
      </c>
      <c r="T1137" t="s">
        <v>38</v>
      </c>
      <c r="U1137">
        <v>0</v>
      </c>
      <c r="W1137">
        <v>0</v>
      </c>
      <c r="X1137">
        <v>0</v>
      </c>
      <c r="Y1137">
        <v>0</v>
      </c>
      <c r="AE1137">
        <f t="shared" si="51"/>
        <v>1</v>
      </c>
      <c r="AF1137">
        <f>VLOOKUP(D1137,especies!$A$2:$C$9,3,FALSE)</f>
        <v>2</v>
      </c>
      <c r="AG1137" t="str">
        <f t="shared" si="52"/>
        <v>2-DPC (Doméstico de pelo corto o DSH)</v>
      </c>
      <c r="AH1137">
        <f>VLOOKUP('Fichas clínicas'!AG1137,razas!$A$2:$D$66,3,FALSE)</f>
        <v>51</v>
      </c>
      <c r="AI1137" t="str">
        <f t="shared" si="53"/>
        <v>M</v>
      </c>
    </row>
    <row r="1138" spans="1:35" x14ac:dyDescent="0.2">
      <c r="A1138">
        <v>1140</v>
      </c>
      <c r="B1138" t="s">
        <v>2659</v>
      </c>
      <c r="C1138" t="s">
        <v>2660</v>
      </c>
      <c r="D1138" t="s">
        <v>32</v>
      </c>
      <c r="E1138" t="s">
        <v>143</v>
      </c>
      <c r="F1138" t="s">
        <v>47</v>
      </c>
      <c r="G1138" t="s">
        <v>329</v>
      </c>
      <c r="I1138">
        <v>992001000393433</v>
      </c>
      <c r="J1138" t="s">
        <v>90</v>
      </c>
      <c r="K1138" t="s">
        <v>38</v>
      </c>
      <c r="L1138" t="s">
        <v>38</v>
      </c>
      <c r="M1138" t="s">
        <v>38</v>
      </c>
      <c r="N1138" t="s">
        <v>38</v>
      </c>
      <c r="O1138" t="s">
        <v>38</v>
      </c>
      <c r="Q1138">
        <v>0</v>
      </c>
      <c r="T1138" t="s">
        <v>38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f t="shared" si="51"/>
        <v>1</v>
      </c>
      <c r="AF1138">
        <f>VLOOKUP(D1138,especies!$A$2:$C$9,3,FALSE)</f>
        <v>1</v>
      </c>
      <c r="AG1138" t="str">
        <f t="shared" si="52"/>
        <v>1-Yorkshire Terrier</v>
      </c>
      <c r="AH1138">
        <f>VLOOKUP('Fichas clínicas'!AG1138,razas!$A$2:$D$66,3,FALSE)</f>
        <v>5</v>
      </c>
      <c r="AI1138" t="str">
        <f t="shared" si="53"/>
        <v>M</v>
      </c>
    </row>
    <row r="1139" spans="1:35" x14ac:dyDescent="0.2">
      <c r="A1139">
        <v>1141</v>
      </c>
      <c r="B1139" t="s">
        <v>2661</v>
      </c>
      <c r="C1139" t="s">
        <v>2399</v>
      </c>
      <c r="D1139" t="s">
        <v>41</v>
      </c>
      <c r="E1139" t="s">
        <v>42</v>
      </c>
      <c r="F1139" t="s">
        <v>34</v>
      </c>
      <c r="G1139" t="s">
        <v>284</v>
      </c>
      <c r="I1139">
        <v>991001002921604</v>
      </c>
      <c r="J1139" t="s">
        <v>2662</v>
      </c>
      <c r="K1139" t="s">
        <v>38</v>
      </c>
      <c r="L1139" t="s">
        <v>38</v>
      </c>
      <c r="M1139" t="s">
        <v>38</v>
      </c>
      <c r="N1139" t="s">
        <v>38</v>
      </c>
      <c r="O1139" t="s">
        <v>38</v>
      </c>
      <c r="Q1139">
        <v>0</v>
      </c>
      <c r="T1139" t="s">
        <v>38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f t="shared" si="51"/>
        <v>1</v>
      </c>
      <c r="AF1139">
        <f>VLOOKUP(D1139,especies!$A$2:$C$9,3,FALSE)</f>
        <v>2</v>
      </c>
      <c r="AG1139" t="str">
        <f t="shared" si="52"/>
        <v>2-DPC (Doméstico de pelo corto o DSH)</v>
      </c>
      <c r="AH1139">
        <f>VLOOKUP('Fichas clínicas'!AG1139,razas!$A$2:$D$66,3,FALSE)</f>
        <v>51</v>
      </c>
      <c r="AI1139" t="str">
        <f t="shared" si="53"/>
        <v>H</v>
      </c>
    </row>
    <row r="1140" spans="1:35" x14ac:dyDescent="0.2">
      <c r="A1140">
        <v>1142</v>
      </c>
      <c r="B1140" t="s">
        <v>2663</v>
      </c>
      <c r="C1140" t="s">
        <v>2664</v>
      </c>
      <c r="D1140" t="s">
        <v>32</v>
      </c>
      <c r="E1140" t="s">
        <v>812</v>
      </c>
      <c r="F1140" t="s">
        <v>47</v>
      </c>
      <c r="G1140" t="s">
        <v>258</v>
      </c>
      <c r="I1140">
        <v>900113001676624</v>
      </c>
      <c r="J1140" t="s">
        <v>2665</v>
      </c>
      <c r="K1140" t="s">
        <v>38</v>
      </c>
      <c r="L1140" t="s">
        <v>38</v>
      </c>
      <c r="M1140" t="s">
        <v>38</v>
      </c>
      <c r="N1140" t="s">
        <v>38</v>
      </c>
      <c r="O1140" t="s">
        <v>38</v>
      </c>
      <c r="Q1140">
        <v>0</v>
      </c>
      <c r="T1140" t="s">
        <v>38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f t="shared" si="51"/>
        <v>1</v>
      </c>
      <c r="AF1140">
        <f>VLOOKUP(D1140,especies!$A$2:$C$9,3,FALSE)</f>
        <v>1</v>
      </c>
      <c r="AG1140" t="str">
        <f t="shared" si="52"/>
        <v>1-Fox Terrier de Pelo Duro</v>
      </c>
      <c r="AH1140">
        <f>VLOOKUP('Fichas clínicas'!AG1140,razas!$A$2:$D$66,3,FALSE)</f>
        <v>18</v>
      </c>
      <c r="AI1140" t="str">
        <f t="shared" si="53"/>
        <v>M</v>
      </c>
    </row>
    <row r="1141" spans="1:35" x14ac:dyDescent="0.2">
      <c r="A1141">
        <v>1143</v>
      </c>
      <c r="B1141" t="s">
        <v>2666</v>
      </c>
      <c r="C1141" t="s">
        <v>2667</v>
      </c>
      <c r="D1141" t="s">
        <v>32</v>
      </c>
      <c r="E1141" t="s">
        <v>33</v>
      </c>
      <c r="F1141" t="s">
        <v>34</v>
      </c>
      <c r="G1141" t="s">
        <v>73</v>
      </c>
      <c r="J1141" t="s">
        <v>2668</v>
      </c>
      <c r="K1141" t="s">
        <v>38</v>
      </c>
      <c r="L1141" t="s">
        <v>38</v>
      </c>
      <c r="M1141" t="s">
        <v>38</v>
      </c>
      <c r="N1141" t="s">
        <v>38</v>
      </c>
      <c r="O1141" t="s">
        <v>38</v>
      </c>
      <c r="Q1141">
        <v>1</v>
      </c>
      <c r="T1141" t="s">
        <v>38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f t="shared" si="51"/>
        <v>1</v>
      </c>
      <c r="AF1141">
        <f>VLOOKUP(D1141,especies!$A$2:$C$9,3,FALSE)</f>
        <v>1</v>
      </c>
      <c r="AG1141" t="str">
        <f t="shared" si="52"/>
        <v>1-Mestizo</v>
      </c>
      <c r="AH1141">
        <f>VLOOKUP('Fichas clínicas'!AG1141,razas!$A$2:$D$66,3,FALSE)</f>
        <v>1</v>
      </c>
      <c r="AI1141" t="str">
        <f t="shared" si="53"/>
        <v>H</v>
      </c>
    </row>
    <row r="1142" spans="1:35" x14ac:dyDescent="0.2">
      <c r="A1142">
        <v>1144</v>
      </c>
      <c r="B1142" t="s">
        <v>2669</v>
      </c>
      <c r="C1142" t="s">
        <v>2644</v>
      </c>
      <c r="D1142" t="s">
        <v>41</v>
      </c>
      <c r="E1142" t="s">
        <v>42</v>
      </c>
      <c r="F1142" t="s">
        <v>47</v>
      </c>
      <c r="G1142" t="s">
        <v>616</v>
      </c>
      <c r="J1142" t="s">
        <v>2670</v>
      </c>
      <c r="K1142" t="s">
        <v>38</v>
      </c>
      <c r="L1142" t="s">
        <v>38</v>
      </c>
      <c r="M1142" t="s">
        <v>38</v>
      </c>
      <c r="N1142" t="s">
        <v>38</v>
      </c>
      <c r="O1142" t="s">
        <v>38</v>
      </c>
      <c r="T1142" t="s">
        <v>38</v>
      </c>
      <c r="U1142">
        <v>0</v>
      </c>
      <c r="V1142">
        <v>1</v>
      </c>
      <c r="W1142">
        <v>0</v>
      </c>
      <c r="X1142">
        <v>0</v>
      </c>
      <c r="Y1142">
        <v>0</v>
      </c>
      <c r="AE1142">
        <f t="shared" si="51"/>
        <v>1</v>
      </c>
      <c r="AF1142">
        <f>VLOOKUP(D1142,especies!$A$2:$C$9,3,FALSE)</f>
        <v>2</v>
      </c>
      <c r="AG1142" t="str">
        <f t="shared" si="52"/>
        <v>2-DPC (Doméstico de pelo corto o DSH)</v>
      </c>
      <c r="AH1142">
        <f>VLOOKUP('Fichas clínicas'!AG1142,razas!$A$2:$D$66,3,FALSE)</f>
        <v>51</v>
      </c>
      <c r="AI1142" t="str">
        <f t="shared" si="53"/>
        <v>M</v>
      </c>
    </row>
    <row r="1143" spans="1:35" x14ac:dyDescent="0.2">
      <c r="A1143">
        <v>1145</v>
      </c>
      <c r="B1143" t="s">
        <v>2671</v>
      </c>
      <c r="C1143" t="s">
        <v>1781</v>
      </c>
      <c r="D1143" t="s">
        <v>32</v>
      </c>
      <c r="E1143" t="s">
        <v>33</v>
      </c>
      <c r="F1143" t="s">
        <v>47</v>
      </c>
      <c r="G1143" t="s">
        <v>2672</v>
      </c>
      <c r="J1143" t="s">
        <v>2673</v>
      </c>
      <c r="K1143" t="s">
        <v>38</v>
      </c>
      <c r="L1143" t="s">
        <v>38</v>
      </c>
      <c r="M1143" t="s">
        <v>38</v>
      </c>
      <c r="N1143" t="s">
        <v>38</v>
      </c>
      <c r="O1143" t="s">
        <v>38</v>
      </c>
      <c r="T1143" t="s">
        <v>38</v>
      </c>
      <c r="U1143">
        <v>0</v>
      </c>
      <c r="W1143">
        <v>0</v>
      </c>
      <c r="X1143">
        <v>0</v>
      </c>
      <c r="Y1143">
        <v>0</v>
      </c>
      <c r="AE1143">
        <f t="shared" si="51"/>
        <v>1</v>
      </c>
      <c r="AF1143">
        <f>VLOOKUP(D1143,especies!$A$2:$C$9,3,FALSE)</f>
        <v>1</v>
      </c>
      <c r="AG1143" t="str">
        <f t="shared" si="52"/>
        <v>1-Mestizo</v>
      </c>
      <c r="AH1143">
        <f>VLOOKUP('Fichas clínicas'!AG1143,razas!$A$2:$D$66,3,FALSE)</f>
        <v>1</v>
      </c>
      <c r="AI1143" t="str">
        <f t="shared" si="53"/>
        <v>M</v>
      </c>
    </row>
    <row r="1144" spans="1:35" x14ac:dyDescent="0.2">
      <c r="A1144">
        <v>1146</v>
      </c>
      <c r="B1144" t="s">
        <v>2674</v>
      </c>
      <c r="C1144" t="s">
        <v>2675</v>
      </c>
      <c r="D1144" t="s">
        <v>32</v>
      </c>
      <c r="E1144" t="s">
        <v>33</v>
      </c>
      <c r="F1144" t="s">
        <v>47</v>
      </c>
      <c r="G1144" t="s">
        <v>77</v>
      </c>
      <c r="J1144" t="s">
        <v>737</v>
      </c>
      <c r="K1144" t="s">
        <v>38</v>
      </c>
      <c r="L1144" t="s">
        <v>38</v>
      </c>
      <c r="M1144" t="s">
        <v>38</v>
      </c>
      <c r="N1144" t="s">
        <v>38</v>
      </c>
      <c r="O1144" t="s">
        <v>38</v>
      </c>
      <c r="T1144" t="s">
        <v>38</v>
      </c>
      <c r="U1144">
        <v>0</v>
      </c>
      <c r="V1144">
        <v>1</v>
      </c>
      <c r="W1144">
        <v>0</v>
      </c>
      <c r="X1144">
        <v>0</v>
      </c>
      <c r="Y1144">
        <v>0</v>
      </c>
      <c r="AE1144">
        <f t="shared" si="51"/>
        <v>1</v>
      </c>
      <c r="AF1144">
        <f>VLOOKUP(D1144,especies!$A$2:$C$9,3,FALSE)</f>
        <v>1</v>
      </c>
      <c r="AG1144" t="str">
        <f t="shared" si="52"/>
        <v>1-Mestizo</v>
      </c>
      <c r="AH1144">
        <f>VLOOKUP('Fichas clínicas'!AG1144,razas!$A$2:$D$66,3,FALSE)</f>
        <v>1</v>
      </c>
      <c r="AI1144" t="str">
        <f t="shared" si="53"/>
        <v>M</v>
      </c>
    </row>
    <row r="1145" spans="1:35" x14ac:dyDescent="0.2">
      <c r="A1145">
        <v>1147</v>
      </c>
      <c r="B1145" t="s">
        <v>2676</v>
      </c>
      <c r="C1145" t="s">
        <v>2677</v>
      </c>
      <c r="D1145" t="s">
        <v>41</v>
      </c>
      <c r="E1145" t="s">
        <v>42</v>
      </c>
      <c r="F1145" t="s">
        <v>47</v>
      </c>
      <c r="G1145" t="s">
        <v>109</v>
      </c>
      <c r="J1145" t="s">
        <v>2678</v>
      </c>
      <c r="K1145" t="s">
        <v>38</v>
      </c>
      <c r="L1145" t="s">
        <v>38</v>
      </c>
      <c r="M1145" t="s">
        <v>38</v>
      </c>
      <c r="N1145" t="s">
        <v>38</v>
      </c>
      <c r="O1145" t="s">
        <v>38</v>
      </c>
      <c r="T1145" t="s">
        <v>38</v>
      </c>
      <c r="U1145">
        <v>0</v>
      </c>
      <c r="W1145">
        <v>0</v>
      </c>
      <c r="X1145">
        <v>0</v>
      </c>
      <c r="Y1145">
        <v>0</v>
      </c>
      <c r="AE1145">
        <f t="shared" si="51"/>
        <v>1</v>
      </c>
      <c r="AF1145">
        <f>VLOOKUP(D1145,especies!$A$2:$C$9,3,FALSE)</f>
        <v>2</v>
      </c>
      <c r="AG1145" t="str">
        <f t="shared" si="52"/>
        <v>2-DPC (Doméstico de pelo corto o DSH)</v>
      </c>
      <c r="AH1145">
        <f>VLOOKUP('Fichas clínicas'!AG1145,razas!$A$2:$D$66,3,FALSE)</f>
        <v>51</v>
      </c>
      <c r="AI1145" t="str">
        <f t="shared" si="53"/>
        <v>M</v>
      </c>
    </row>
    <row r="1146" spans="1:35" x14ac:dyDescent="0.2">
      <c r="A1146">
        <v>1148</v>
      </c>
      <c r="B1146" t="s">
        <v>2679</v>
      </c>
      <c r="C1146" t="s">
        <v>2680</v>
      </c>
      <c r="D1146" t="s">
        <v>41</v>
      </c>
      <c r="E1146" t="s">
        <v>42</v>
      </c>
      <c r="F1146" t="s">
        <v>34</v>
      </c>
      <c r="G1146" t="s">
        <v>300</v>
      </c>
      <c r="I1146">
        <v>9920001000391788</v>
      </c>
      <c r="J1146" t="s">
        <v>419</v>
      </c>
      <c r="K1146" t="s">
        <v>38</v>
      </c>
      <c r="L1146" t="s">
        <v>38</v>
      </c>
      <c r="M1146" t="s">
        <v>38</v>
      </c>
      <c r="N1146" t="s">
        <v>38</v>
      </c>
      <c r="O1146" t="s">
        <v>38</v>
      </c>
      <c r="Q1146">
        <v>0</v>
      </c>
      <c r="T1146" t="s">
        <v>38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f t="shared" si="51"/>
        <v>1</v>
      </c>
      <c r="AF1146">
        <f>VLOOKUP(D1146,especies!$A$2:$C$9,3,FALSE)</f>
        <v>2</v>
      </c>
      <c r="AG1146" t="str">
        <f t="shared" si="52"/>
        <v>2-DPC (Doméstico de pelo corto o DSH)</v>
      </c>
      <c r="AH1146">
        <f>VLOOKUP('Fichas clínicas'!AG1146,razas!$A$2:$D$66,3,FALSE)</f>
        <v>51</v>
      </c>
      <c r="AI1146" t="str">
        <f t="shared" si="53"/>
        <v>H</v>
      </c>
    </row>
    <row r="1147" spans="1:35" x14ac:dyDescent="0.2">
      <c r="A1147">
        <v>1149</v>
      </c>
      <c r="B1147" t="s">
        <v>2681</v>
      </c>
      <c r="C1147" t="s">
        <v>2682</v>
      </c>
      <c r="D1147" t="s">
        <v>41</v>
      </c>
      <c r="E1147" t="s">
        <v>42</v>
      </c>
      <c r="F1147" t="s">
        <v>47</v>
      </c>
      <c r="G1147" t="s">
        <v>652</v>
      </c>
      <c r="J1147" t="s">
        <v>130</v>
      </c>
      <c r="K1147" t="s">
        <v>38</v>
      </c>
      <c r="L1147" t="s">
        <v>38</v>
      </c>
      <c r="M1147" t="s">
        <v>38</v>
      </c>
      <c r="N1147" t="s">
        <v>38</v>
      </c>
      <c r="O1147" t="s">
        <v>38</v>
      </c>
      <c r="T1147" t="s">
        <v>38</v>
      </c>
      <c r="U1147">
        <v>0</v>
      </c>
      <c r="W1147">
        <v>0</v>
      </c>
      <c r="X1147">
        <v>0</v>
      </c>
      <c r="Y1147">
        <v>0</v>
      </c>
      <c r="AE1147">
        <f t="shared" si="51"/>
        <v>1</v>
      </c>
      <c r="AF1147">
        <f>VLOOKUP(D1147,especies!$A$2:$C$9,3,FALSE)</f>
        <v>2</v>
      </c>
      <c r="AG1147" t="str">
        <f t="shared" si="52"/>
        <v>2-DPC (Doméstico de pelo corto o DSH)</v>
      </c>
      <c r="AH1147">
        <f>VLOOKUP('Fichas clínicas'!AG1147,razas!$A$2:$D$66,3,FALSE)</f>
        <v>51</v>
      </c>
      <c r="AI1147" t="str">
        <f t="shared" si="53"/>
        <v>M</v>
      </c>
    </row>
    <row r="1148" spans="1:35" x14ac:dyDescent="0.2">
      <c r="A1148">
        <v>1150</v>
      </c>
      <c r="B1148" t="s">
        <v>2423</v>
      </c>
      <c r="C1148" t="s">
        <v>2683</v>
      </c>
      <c r="D1148" t="s">
        <v>41</v>
      </c>
      <c r="E1148" t="s">
        <v>42</v>
      </c>
      <c r="F1148" t="s">
        <v>47</v>
      </c>
      <c r="G1148" t="s">
        <v>277</v>
      </c>
      <c r="J1148" t="s">
        <v>2684</v>
      </c>
      <c r="K1148" t="s">
        <v>38</v>
      </c>
      <c r="L1148" t="s">
        <v>38</v>
      </c>
      <c r="M1148" t="s">
        <v>38</v>
      </c>
      <c r="N1148" t="s">
        <v>38</v>
      </c>
      <c r="O1148" t="s">
        <v>38</v>
      </c>
      <c r="T1148" t="s">
        <v>38</v>
      </c>
      <c r="U1148">
        <v>0</v>
      </c>
      <c r="V1148">
        <v>1</v>
      </c>
      <c r="W1148">
        <v>0</v>
      </c>
      <c r="X1148">
        <v>0</v>
      </c>
      <c r="Y1148">
        <v>0</v>
      </c>
      <c r="AE1148">
        <f t="shared" si="51"/>
        <v>1</v>
      </c>
      <c r="AF1148">
        <f>VLOOKUP(D1148,especies!$A$2:$C$9,3,FALSE)</f>
        <v>2</v>
      </c>
      <c r="AG1148" t="str">
        <f t="shared" si="52"/>
        <v>2-DPC (Doméstico de pelo corto o DSH)</v>
      </c>
      <c r="AH1148">
        <f>VLOOKUP('Fichas clínicas'!AG1148,razas!$A$2:$D$66,3,FALSE)</f>
        <v>51</v>
      </c>
      <c r="AI1148" t="str">
        <f t="shared" si="53"/>
        <v>M</v>
      </c>
    </row>
    <row r="1149" spans="1:35" x14ac:dyDescent="0.2">
      <c r="A1149">
        <v>1151</v>
      </c>
      <c r="B1149" t="s">
        <v>243</v>
      </c>
      <c r="C1149" t="s">
        <v>2642</v>
      </c>
      <c r="D1149" t="s">
        <v>41</v>
      </c>
      <c r="E1149" t="s">
        <v>42</v>
      </c>
      <c r="F1149" t="s">
        <v>47</v>
      </c>
      <c r="G1149" t="s">
        <v>43</v>
      </c>
      <c r="J1149" t="s">
        <v>82</v>
      </c>
      <c r="K1149" t="s">
        <v>38</v>
      </c>
      <c r="L1149" t="s">
        <v>38</v>
      </c>
      <c r="M1149" t="s">
        <v>38</v>
      </c>
      <c r="N1149" t="s">
        <v>38</v>
      </c>
      <c r="O1149" t="s">
        <v>38</v>
      </c>
      <c r="T1149" t="s">
        <v>38</v>
      </c>
      <c r="U1149">
        <v>0</v>
      </c>
      <c r="W1149">
        <v>0</v>
      </c>
      <c r="X1149">
        <v>0</v>
      </c>
      <c r="Y1149">
        <v>0</v>
      </c>
      <c r="AE1149">
        <f t="shared" si="51"/>
        <v>1</v>
      </c>
      <c r="AF1149">
        <f>VLOOKUP(D1149,especies!$A$2:$C$9,3,FALSE)</f>
        <v>2</v>
      </c>
      <c r="AG1149" t="str">
        <f t="shared" si="52"/>
        <v>2-DPC (Doméstico de pelo corto o DSH)</v>
      </c>
      <c r="AH1149">
        <f>VLOOKUP('Fichas clínicas'!AG1149,razas!$A$2:$D$66,3,FALSE)</f>
        <v>51</v>
      </c>
      <c r="AI1149" t="str">
        <f t="shared" si="53"/>
        <v>M</v>
      </c>
    </row>
    <row r="1150" spans="1:35" x14ac:dyDescent="0.2">
      <c r="A1150">
        <v>1152</v>
      </c>
      <c r="B1150" t="s">
        <v>2685</v>
      </c>
      <c r="C1150" t="s">
        <v>2686</v>
      </c>
      <c r="D1150" t="s">
        <v>41</v>
      </c>
      <c r="E1150" t="s">
        <v>42</v>
      </c>
      <c r="F1150" t="s">
        <v>47</v>
      </c>
      <c r="G1150" t="s">
        <v>81</v>
      </c>
      <c r="J1150" t="s">
        <v>2687</v>
      </c>
      <c r="K1150" t="s">
        <v>38</v>
      </c>
      <c r="L1150" t="s">
        <v>38</v>
      </c>
      <c r="M1150" t="s">
        <v>38</v>
      </c>
      <c r="N1150" t="s">
        <v>38</v>
      </c>
      <c r="O1150" t="s">
        <v>38</v>
      </c>
      <c r="T1150" t="s">
        <v>38</v>
      </c>
      <c r="U1150">
        <v>0</v>
      </c>
      <c r="W1150">
        <v>0</v>
      </c>
      <c r="X1150">
        <v>0</v>
      </c>
      <c r="Y1150">
        <v>0</v>
      </c>
      <c r="AE1150">
        <f t="shared" si="51"/>
        <v>1</v>
      </c>
      <c r="AF1150">
        <f>VLOOKUP(D1150,especies!$A$2:$C$9,3,FALSE)</f>
        <v>2</v>
      </c>
      <c r="AG1150" t="str">
        <f t="shared" si="52"/>
        <v>2-DPC (Doméstico de pelo corto o DSH)</v>
      </c>
      <c r="AH1150">
        <f>VLOOKUP('Fichas clínicas'!AG1150,razas!$A$2:$D$66,3,FALSE)</f>
        <v>51</v>
      </c>
      <c r="AI1150" t="str">
        <f t="shared" si="53"/>
        <v>M</v>
      </c>
    </row>
    <row r="1151" spans="1:35" x14ac:dyDescent="0.2">
      <c r="A1151">
        <v>1153</v>
      </c>
      <c r="B1151" t="s">
        <v>2688</v>
      </c>
      <c r="C1151" t="s">
        <v>2644</v>
      </c>
      <c r="D1151" t="s">
        <v>41</v>
      </c>
      <c r="E1151" t="s">
        <v>42</v>
      </c>
      <c r="F1151" t="s">
        <v>47</v>
      </c>
      <c r="G1151" t="s">
        <v>277</v>
      </c>
      <c r="J1151" t="s">
        <v>90</v>
      </c>
      <c r="K1151" t="s">
        <v>38</v>
      </c>
      <c r="L1151" t="s">
        <v>38</v>
      </c>
      <c r="M1151" t="s">
        <v>38</v>
      </c>
      <c r="N1151" t="s">
        <v>38</v>
      </c>
      <c r="O1151" t="s">
        <v>38</v>
      </c>
      <c r="T1151" t="s">
        <v>38</v>
      </c>
      <c r="U1151">
        <v>0</v>
      </c>
      <c r="W1151">
        <v>0</v>
      </c>
      <c r="X1151">
        <v>0</v>
      </c>
      <c r="Y1151">
        <v>0</v>
      </c>
      <c r="AE1151">
        <f t="shared" si="51"/>
        <v>1</v>
      </c>
      <c r="AF1151">
        <f>VLOOKUP(D1151,especies!$A$2:$C$9,3,FALSE)</f>
        <v>2</v>
      </c>
      <c r="AG1151" t="str">
        <f t="shared" si="52"/>
        <v>2-DPC (Doméstico de pelo corto o DSH)</v>
      </c>
      <c r="AH1151">
        <f>VLOOKUP('Fichas clínicas'!AG1151,razas!$A$2:$D$66,3,FALSE)</f>
        <v>51</v>
      </c>
      <c r="AI1151" t="str">
        <f t="shared" si="53"/>
        <v>M</v>
      </c>
    </row>
    <row r="1152" spans="1:35" x14ac:dyDescent="0.2">
      <c r="A1152">
        <v>1154</v>
      </c>
      <c r="B1152" t="s">
        <v>2689</v>
      </c>
      <c r="C1152" t="s">
        <v>2690</v>
      </c>
      <c r="D1152" t="s">
        <v>41</v>
      </c>
      <c r="E1152" t="s">
        <v>42</v>
      </c>
      <c r="F1152" t="s">
        <v>47</v>
      </c>
      <c r="G1152" t="s">
        <v>1073</v>
      </c>
      <c r="J1152" t="s">
        <v>2691</v>
      </c>
      <c r="K1152" t="s">
        <v>38</v>
      </c>
      <c r="L1152" t="s">
        <v>38</v>
      </c>
      <c r="M1152" t="s">
        <v>38</v>
      </c>
      <c r="N1152" t="s">
        <v>38</v>
      </c>
      <c r="O1152" t="s">
        <v>38</v>
      </c>
      <c r="T1152" t="s">
        <v>38</v>
      </c>
      <c r="U1152">
        <v>0</v>
      </c>
      <c r="V1152">
        <v>1</v>
      </c>
      <c r="W1152">
        <v>0</v>
      </c>
      <c r="X1152">
        <v>0</v>
      </c>
      <c r="Y1152">
        <v>0</v>
      </c>
      <c r="AE1152">
        <f t="shared" si="51"/>
        <v>1</v>
      </c>
      <c r="AF1152">
        <f>VLOOKUP(D1152,especies!$A$2:$C$9,3,FALSE)</f>
        <v>2</v>
      </c>
      <c r="AG1152" t="str">
        <f t="shared" si="52"/>
        <v>2-DPC (Doméstico de pelo corto o DSH)</v>
      </c>
      <c r="AH1152">
        <f>VLOOKUP('Fichas clínicas'!AG1152,razas!$A$2:$D$66,3,FALSE)</f>
        <v>51</v>
      </c>
      <c r="AI1152" t="str">
        <f t="shared" si="53"/>
        <v>M</v>
      </c>
    </row>
    <row r="1153" spans="1:35" x14ac:dyDescent="0.2">
      <c r="A1153">
        <v>1155</v>
      </c>
      <c r="B1153" t="s">
        <v>2120</v>
      </c>
      <c r="C1153" t="s">
        <v>1912</v>
      </c>
      <c r="D1153" t="s">
        <v>32</v>
      </c>
      <c r="E1153" t="s">
        <v>150</v>
      </c>
      <c r="F1153" t="s">
        <v>47</v>
      </c>
      <c r="G1153" t="s">
        <v>123</v>
      </c>
      <c r="J1153" t="s">
        <v>1439</v>
      </c>
      <c r="K1153" t="s">
        <v>38</v>
      </c>
      <c r="L1153" t="s">
        <v>38</v>
      </c>
      <c r="M1153" t="s">
        <v>38</v>
      </c>
      <c r="N1153" t="s">
        <v>38</v>
      </c>
      <c r="O1153" t="s">
        <v>38</v>
      </c>
      <c r="T1153" t="s">
        <v>38</v>
      </c>
      <c r="U1153">
        <v>0</v>
      </c>
      <c r="V1153">
        <v>1</v>
      </c>
      <c r="W1153">
        <v>0</v>
      </c>
      <c r="X1153">
        <v>0</v>
      </c>
      <c r="Y1153">
        <v>0</v>
      </c>
      <c r="AE1153">
        <f t="shared" si="51"/>
        <v>1</v>
      </c>
      <c r="AF1153">
        <f>VLOOKUP(D1153,especies!$A$2:$C$9,3,FALSE)</f>
        <v>1</v>
      </c>
      <c r="AG1153" t="str">
        <f t="shared" si="52"/>
        <v>1-Poodle</v>
      </c>
      <c r="AH1153">
        <f>VLOOKUP('Fichas clínicas'!AG1153,razas!$A$2:$D$66,3,FALSE)</f>
        <v>6</v>
      </c>
      <c r="AI1153" t="str">
        <f t="shared" si="53"/>
        <v>M</v>
      </c>
    </row>
    <row r="1154" spans="1:35" x14ac:dyDescent="0.2">
      <c r="A1154">
        <v>1156</v>
      </c>
      <c r="B1154" t="s">
        <v>2692</v>
      </c>
      <c r="C1154" t="s">
        <v>2693</v>
      </c>
      <c r="D1154" t="s">
        <v>32</v>
      </c>
      <c r="E1154" t="s">
        <v>33</v>
      </c>
      <c r="F1154" t="s">
        <v>47</v>
      </c>
      <c r="G1154" t="s">
        <v>656</v>
      </c>
      <c r="J1154" t="s">
        <v>955</v>
      </c>
      <c r="K1154" t="s">
        <v>38</v>
      </c>
      <c r="L1154" t="s">
        <v>38</v>
      </c>
      <c r="M1154" t="s">
        <v>38</v>
      </c>
      <c r="N1154" t="s">
        <v>38</v>
      </c>
      <c r="O1154" t="s">
        <v>38</v>
      </c>
      <c r="T1154" t="s">
        <v>38</v>
      </c>
      <c r="U1154">
        <v>0</v>
      </c>
      <c r="V1154">
        <v>1</v>
      </c>
      <c r="W1154">
        <v>0</v>
      </c>
      <c r="X1154">
        <v>0</v>
      </c>
      <c r="Y1154">
        <v>0</v>
      </c>
      <c r="AE1154">
        <f t="shared" si="51"/>
        <v>1</v>
      </c>
      <c r="AF1154">
        <f>VLOOKUP(D1154,especies!$A$2:$C$9,3,FALSE)</f>
        <v>1</v>
      </c>
      <c r="AG1154" t="str">
        <f t="shared" si="52"/>
        <v>1-Mestizo</v>
      </c>
      <c r="AH1154">
        <f>VLOOKUP('Fichas clínicas'!AG1154,razas!$A$2:$D$66,3,FALSE)</f>
        <v>1</v>
      </c>
      <c r="AI1154" t="str">
        <f t="shared" si="53"/>
        <v>M</v>
      </c>
    </row>
    <row r="1155" spans="1:35" x14ac:dyDescent="0.2">
      <c r="A1155">
        <v>1157</v>
      </c>
      <c r="B1155" t="s">
        <v>2694</v>
      </c>
      <c r="C1155" t="s">
        <v>2695</v>
      </c>
      <c r="D1155" t="s">
        <v>41</v>
      </c>
      <c r="E1155" t="s">
        <v>42</v>
      </c>
      <c r="F1155" t="s">
        <v>34</v>
      </c>
      <c r="G1155" t="s">
        <v>2696</v>
      </c>
      <c r="J1155" t="s">
        <v>2002</v>
      </c>
      <c r="K1155" t="s">
        <v>38</v>
      </c>
      <c r="L1155" t="s">
        <v>38</v>
      </c>
      <c r="M1155" t="s">
        <v>38</v>
      </c>
      <c r="N1155" t="s">
        <v>38</v>
      </c>
      <c r="O1155" t="s">
        <v>38</v>
      </c>
      <c r="T1155" t="s">
        <v>38</v>
      </c>
      <c r="U1155">
        <v>0</v>
      </c>
      <c r="W1155">
        <v>0</v>
      </c>
      <c r="X1155">
        <v>0</v>
      </c>
      <c r="Y1155">
        <v>0</v>
      </c>
      <c r="AE1155">
        <f t="shared" ref="AE1155:AE1218" si="54">SUBTOTAL(103,E1155)</f>
        <v>1</v>
      </c>
      <c r="AF1155">
        <f>VLOOKUP(D1155,especies!$A$2:$C$9,3,FALSE)</f>
        <v>2</v>
      </c>
      <c r="AG1155" t="str">
        <f t="shared" ref="AG1155:AG1218" si="55">AF1155&amp;"-"&amp;E1155</f>
        <v>2-DPC (Doméstico de pelo corto o DSH)</v>
      </c>
      <c r="AH1155">
        <f>VLOOKUP('Fichas clínicas'!AG1155,razas!$A$2:$D$66,3,FALSE)</f>
        <v>51</v>
      </c>
      <c r="AI1155" t="str">
        <f t="shared" ref="AI1155:AI1218" si="56">IF(F1155="Hembra","H","M")</f>
        <v>H</v>
      </c>
    </row>
    <row r="1156" spans="1:35" x14ac:dyDescent="0.2">
      <c r="A1156">
        <v>1158</v>
      </c>
      <c r="B1156" t="s">
        <v>2697</v>
      </c>
      <c r="C1156" t="s">
        <v>2698</v>
      </c>
      <c r="D1156" t="s">
        <v>32</v>
      </c>
      <c r="E1156" t="s">
        <v>33</v>
      </c>
      <c r="F1156" t="s">
        <v>47</v>
      </c>
      <c r="G1156" t="s">
        <v>329</v>
      </c>
      <c r="J1156" t="s">
        <v>1987</v>
      </c>
      <c r="K1156" t="s">
        <v>38</v>
      </c>
      <c r="L1156" t="s">
        <v>38</v>
      </c>
      <c r="M1156" t="s">
        <v>38</v>
      </c>
      <c r="N1156" t="s">
        <v>38</v>
      </c>
      <c r="O1156" t="s">
        <v>38</v>
      </c>
      <c r="Q1156">
        <v>0</v>
      </c>
      <c r="T1156" t="s">
        <v>38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f t="shared" si="54"/>
        <v>1</v>
      </c>
      <c r="AF1156">
        <f>VLOOKUP(D1156,especies!$A$2:$C$9,3,FALSE)</f>
        <v>1</v>
      </c>
      <c r="AG1156" t="str">
        <f t="shared" si="55"/>
        <v>1-Mestizo</v>
      </c>
      <c r="AH1156">
        <f>VLOOKUP('Fichas clínicas'!AG1156,razas!$A$2:$D$66,3,FALSE)</f>
        <v>1</v>
      </c>
      <c r="AI1156" t="str">
        <f t="shared" si="56"/>
        <v>M</v>
      </c>
    </row>
    <row r="1157" spans="1:35" x14ac:dyDescent="0.2">
      <c r="A1157">
        <v>1159</v>
      </c>
      <c r="B1157" t="s">
        <v>2699</v>
      </c>
      <c r="C1157" t="s">
        <v>2700</v>
      </c>
      <c r="D1157" t="s">
        <v>32</v>
      </c>
      <c r="E1157" t="s">
        <v>150</v>
      </c>
      <c r="F1157" t="s">
        <v>47</v>
      </c>
      <c r="G1157" t="s">
        <v>116</v>
      </c>
      <c r="J1157" t="s">
        <v>2701</v>
      </c>
      <c r="K1157" t="s">
        <v>38</v>
      </c>
      <c r="L1157" t="s">
        <v>38</v>
      </c>
      <c r="M1157" t="s">
        <v>38</v>
      </c>
      <c r="N1157" t="s">
        <v>38</v>
      </c>
      <c r="O1157" t="s">
        <v>38</v>
      </c>
      <c r="T1157" t="s">
        <v>38</v>
      </c>
      <c r="U1157">
        <v>0</v>
      </c>
      <c r="V1157">
        <v>1</v>
      </c>
      <c r="W1157">
        <v>0</v>
      </c>
      <c r="X1157">
        <v>0</v>
      </c>
      <c r="Y1157">
        <v>0</v>
      </c>
      <c r="AE1157">
        <f t="shared" si="54"/>
        <v>1</v>
      </c>
      <c r="AF1157">
        <f>VLOOKUP(D1157,especies!$A$2:$C$9,3,FALSE)</f>
        <v>1</v>
      </c>
      <c r="AG1157" t="str">
        <f t="shared" si="55"/>
        <v>1-Poodle</v>
      </c>
      <c r="AH1157">
        <f>VLOOKUP('Fichas clínicas'!AG1157,razas!$A$2:$D$66,3,FALSE)</f>
        <v>6</v>
      </c>
      <c r="AI1157" t="str">
        <f t="shared" si="56"/>
        <v>M</v>
      </c>
    </row>
    <row r="1158" spans="1:35" x14ac:dyDescent="0.2">
      <c r="A1158">
        <v>1160</v>
      </c>
      <c r="B1158" t="s">
        <v>2702</v>
      </c>
      <c r="C1158" t="s">
        <v>216</v>
      </c>
      <c r="D1158" t="s">
        <v>32</v>
      </c>
      <c r="E1158" t="s">
        <v>150</v>
      </c>
      <c r="F1158" t="s">
        <v>47</v>
      </c>
      <c r="G1158" t="s">
        <v>2429</v>
      </c>
      <c r="J1158" t="s">
        <v>2703</v>
      </c>
      <c r="K1158" t="s">
        <v>38</v>
      </c>
      <c r="L1158" t="s">
        <v>38</v>
      </c>
      <c r="M1158" t="s">
        <v>38</v>
      </c>
      <c r="N1158" t="s">
        <v>38</v>
      </c>
      <c r="O1158" t="s">
        <v>38</v>
      </c>
      <c r="T1158" t="s">
        <v>38</v>
      </c>
      <c r="U1158">
        <v>0</v>
      </c>
      <c r="V1158">
        <v>1</v>
      </c>
      <c r="W1158">
        <v>0</v>
      </c>
      <c r="X1158">
        <v>0</v>
      </c>
      <c r="Y1158">
        <v>0</v>
      </c>
      <c r="AE1158">
        <f t="shared" si="54"/>
        <v>1</v>
      </c>
      <c r="AF1158">
        <f>VLOOKUP(D1158,especies!$A$2:$C$9,3,FALSE)</f>
        <v>1</v>
      </c>
      <c r="AG1158" t="str">
        <f t="shared" si="55"/>
        <v>1-Poodle</v>
      </c>
      <c r="AH1158">
        <f>VLOOKUP('Fichas clínicas'!AG1158,razas!$A$2:$D$66,3,FALSE)</f>
        <v>6</v>
      </c>
      <c r="AI1158" t="str">
        <f t="shared" si="56"/>
        <v>M</v>
      </c>
    </row>
    <row r="1159" spans="1:35" x14ac:dyDescent="0.2">
      <c r="A1159">
        <v>1161</v>
      </c>
      <c r="B1159" t="s">
        <v>2704</v>
      </c>
      <c r="C1159" t="s">
        <v>2705</v>
      </c>
      <c r="D1159" t="s">
        <v>41</v>
      </c>
      <c r="E1159" t="s">
        <v>42</v>
      </c>
      <c r="F1159" t="s">
        <v>47</v>
      </c>
      <c r="G1159" t="s">
        <v>2436</v>
      </c>
      <c r="J1159" t="s">
        <v>119</v>
      </c>
      <c r="K1159" t="s">
        <v>38</v>
      </c>
      <c r="L1159" t="s">
        <v>38</v>
      </c>
      <c r="M1159" t="s">
        <v>38</v>
      </c>
      <c r="N1159" t="s">
        <v>38</v>
      </c>
      <c r="O1159" t="s">
        <v>38</v>
      </c>
      <c r="T1159" t="s">
        <v>38</v>
      </c>
      <c r="U1159">
        <v>0</v>
      </c>
      <c r="W1159">
        <v>0</v>
      </c>
      <c r="X1159">
        <v>0</v>
      </c>
      <c r="Y1159">
        <v>0</v>
      </c>
      <c r="AE1159">
        <f t="shared" si="54"/>
        <v>1</v>
      </c>
      <c r="AF1159">
        <f>VLOOKUP(D1159,especies!$A$2:$C$9,3,FALSE)</f>
        <v>2</v>
      </c>
      <c r="AG1159" t="str">
        <f t="shared" si="55"/>
        <v>2-DPC (Doméstico de pelo corto o DSH)</v>
      </c>
      <c r="AH1159">
        <f>VLOOKUP('Fichas clínicas'!AG1159,razas!$A$2:$D$66,3,FALSE)</f>
        <v>51</v>
      </c>
      <c r="AI1159" t="str">
        <f t="shared" si="56"/>
        <v>M</v>
      </c>
    </row>
    <row r="1160" spans="1:35" x14ac:dyDescent="0.2">
      <c r="A1160">
        <v>1162</v>
      </c>
      <c r="B1160" t="s">
        <v>2706</v>
      </c>
      <c r="C1160" t="s">
        <v>2707</v>
      </c>
      <c r="D1160" t="s">
        <v>41</v>
      </c>
      <c r="E1160" t="s">
        <v>42</v>
      </c>
      <c r="F1160" t="s">
        <v>47</v>
      </c>
      <c r="G1160" t="s">
        <v>284</v>
      </c>
      <c r="J1160" t="s">
        <v>281</v>
      </c>
      <c r="K1160" t="s">
        <v>38</v>
      </c>
      <c r="L1160" t="s">
        <v>38</v>
      </c>
      <c r="M1160" t="s">
        <v>38</v>
      </c>
      <c r="N1160" t="s">
        <v>38</v>
      </c>
      <c r="O1160" t="s">
        <v>38</v>
      </c>
      <c r="T1160" t="s">
        <v>38</v>
      </c>
      <c r="U1160">
        <v>0</v>
      </c>
      <c r="W1160">
        <v>0</v>
      </c>
      <c r="X1160">
        <v>0</v>
      </c>
      <c r="Y1160">
        <v>0</v>
      </c>
      <c r="AE1160">
        <f t="shared" si="54"/>
        <v>1</v>
      </c>
      <c r="AF1160">
        <f>VLOOKUP(D1160,especies!$A$2:$C$9,3,FALSE)</f>
        <v>2</v>
      </c>
      <c r="AG1160" t="str">
        <f t="shared" si="55"/>
        <v>2-DPC (Doméstico de pelo corto o DSH)</v>
      </c>
      <c r="AH1160">
        <f>VLOOKUP('Fichas clínicas'!AG1160,razas!$A$2:$D$66,3,FALSE)</f>
        <v>51</v>
      </c>
      <c r="AI1160" t="str">
        <f t="shared" si="56"/>
        <v>M</v>
      </c>
    </row>
    <row r="1161" spans="1:35" x14ac:dyDescent="0.2">
      <c r="A1161">
        <v>1163</v>
      </c>
      <c r="B1161" t="s">
        <v>2708</v>
      </c>
      <c r="C1161" t="s">
        <v>2709</v>
      </c>
      <c r="D1161" t="s">
        <v>32</v>
      </c>
      <c r="E1161" t="s">
        <v>33</v>
      </c>
      <c r="F1161" t="s">
        <v>47</v>
      </c>
      <c r="G1161" t="s">
        <v>54</v>
      </c>
      <c r="J1161" t="s">
        <v>90</v>
      </c>
      <c r="K1161" t="s">
        <v>38</v>
      </c>
      <c r="L1161" t="s">
        <v>38</v>
      </c>
      <c r="M1161" t="s">
        <v>38</v>
      </c>
      <c r="N1161" t="s">
        <v>38</v>
      </c>
      <c r="O1161" t="s">
        <v>38</v>
      </c>
      <c r="T1161" t="s">
        <v>38</v>
      </c>
      <c r="U1161">
        <v>0</v>
      </c>
      <c r="W1161">
        <v>0</v>
      </c>
      <c r="X1161">
        <v>0</v>
      </c>
      <c r="Y1161">
        <v>0</v>
      </c>
      <c r="AE1161">
        <f t="shared" si="54"/>
        <v>1</v>
      </c>
      <c r="AF1161">
        <f>VLOOKUP(D1161,especies!$A$2:$C$9,3,FALSE)</f>
        <v>1</v>
      </c>
      <c r="AG1161" t="str">
        <f t="shared" si="55"/>
        <v>1-Mestizo</v>
      </c>
      <c r="AH1161">
        <f>VLOOKUP('Fichas clínicas'!AG1161,razas!$A$2:$D$66,3,FALSE)</f>
        <v>1</v>
      </c>
      <c r="AI1161" t="str">
        <f t="shared" si="56"/>
        <v>M</v>
      </c>
    </row>
    <row r="1162" spans="1:35" x14ac:dyDescent="0.2">
      <c r="A1162">
        <v>1164</v>
      </c>
      <c r="B1162" t="s">
        <v>2710</v>
      </c>
      <c r="C1162" t="s">
        <v>2711</v>
      </c>
      <c r="D1162" t="s">
        <v>32</v>
      </c>
      <c r="E1162" t="s">
        <v>150</v>
      </c>
      <c r="F1162" t="s">
        <v>47</v>
      </c>
      <c r="G1162" t="s">
        <v>123</v>
      </c>
      <c r="J1162" t="s">
        <v>2712</v>
      </c>
      <c r="K1162" t="s">
        <v>38</v>
      </c>
      <c r="L1162" t="s">
        <v>38</v>
      </c>
      <c r="M1162" t="s">
        <v>38</v>
      </c>
      <c r="N1162" t="s">
        <v>38</v>
      </c>
      <c r="O1162" t="s">
        <v>38</v>
      </c>
      <c r="T1162" t="s">
        <v>38</v>
      </c>
      <c r="U1162">
        <v>0</v>
      </c>
      <c r="W1162">
        <v>0</v>
      </c>
      <c r="X1162">
        <v>0</v>
      </c>
      <c r="Y1162">
        <v>0</v>
      </c>
      <c r="AE1162">
        <f t="shared" si="54"/>
        <v>1</v>
      </c>
      <c r="AF1162">
        <f>VLOOKUP(D1162,especies!$A$2:$C$9,3,FALSE)</f>
        <v>1</v>
      </c>
      <c r="AG1162" t="str">
        <f t="shared" si="55"/>
        <v>1-Poodle</v>
      </c>
      <c r="AH1162">
        <f>VLOOKUP('Fichas clínicas'!AG1162,razas!$A$2:$D$66,3,FALSE)</f>
        <v>6</v>
      </c>
      <c r="AI1162" t="str">
        <f t="shared" si="56"/>
        <v>M</v>
      </c>
    </row>
    <row r="1163" spans="1:35" x14ac:dyDescent="0.2">
      <c r="A1163">
        <v>1165</v>
      </c>
      <c r="B1163" t="s">
        <v>2713</v>
      </c>
      <c r="C1163" t="s">
        <v>2714</v>
      </c>
      <c r="D1163" t="s">
        <v>32</v>
      </c>
      <c r="E1163" t="s">
        <v>33</v>
      </c>
      <c r="F1163" t="s">
        <v>47</v>
      </c>
      <c r="G1163" t="s">
        <v>2715</v>
      </c>
      <c r="J1163" t="s">
        <v>2716</v>
      </c>
      <c r="K1163" t="s">
        <v>38</v>
      </c>
      <c r="L1163" t="s">
        <v>38</v>
      </c>
      <c r="M1163" t="s">
        <v>38</v>
      </c>
      <c r="N1163" t="s">
        <v>38</v>
      </c>
      <c r="O1163" t="s">
        <v>38</v>
      </c>
      <c r="Q1163">
        <v>0</v>
      </c>
      <c r="T1163" t="s">
        <v>38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f t="shared" si="54"/>
        <v>1</v>
      </c>
      <c r="AF1163">
        <f>VLOOKUP(D1163,especies!$A$2:$C$9,3,FALSE)</f>
        <v>1</v>
      </c>
      <c r="AG1163" t="str">
        <f t="shared" si="55"/>
        <v>1-Mestizo</v>
      </c>
      <c r="AH1163">
        <f>VLOOKUP('Fichas clínicas'!AG1163,razas!$A$2:$D$66,3,FALSE)</f>
        <v>1</v>
      </c>
      <c r="AI1163" t="str">
        <f t="shared" si="56"/>
        <v>M</v>
      </c>
    </row>
    <row r="1164" spans="1:35" x14ac:dyDescent="0.2">
      <c r="A1164">
        <v>1166</v>
      </c>
      <c r="B1164" t="s">
        <v>2717</v>
      </c>
      <c r="C1164" t="s">
        <v>1619</v>
      </c>
      <c r="D1164" t="s">
        <v>32</v>
      </c>
      <c r="E1164" t="s">
        <v>33</v>
      </c>
      <c r="F1164" t="s">
        <v>34</v>
      </c>
      <c r="G1164" t="s">
        <v>300</v>
      </c>
      <c r="J1164" t="s">
        <v>2718</v>
      </c>
      <c r="K1164" t="s">
        <v>38</v>
      </c>
      <c r="L1164" t="s">
        <v>38</v>
      </c>
      <c r="M1164" t="s">
        <v>38</v>
      </c>
      <c r="N1164" t="s">
        <v>38</v>
      </c>
      <c r="O1164" t="s">
        <v>38</v>
      </c>
      <c r="T1164" t="s">
        <v>38</v>
      </c>
      <c r="U1164">
        <v>0</v>
      </c>
      <c r="W1164">
        <v>0</v>
      </c>
      <c r="X1164">
        <v>0</v>
      </c>
      <c r="Y1164">
        <v>0</v>
      </c>
      <c r="AE1164">
        <f t="shared" si="54"/>
        <v>1</v>
      </c>
      <c r="AF1164">
        <f>VLOOKUP(D1164,especies!$A$2:$C$9,3,FALSE)</f>
        <v>1</v>
      </c>
      <c r="AG1164" t="str">
        <f t="shared" si="55"/>
        <v>1-Mestizo</v>
      </c>
      <c r="AH1164">
        <f>VLOOKUP('Fichas clínicas'!AG1164,razas!$A$2:$D$66,3,FALSE)</f>
        <v>1</v>
      </c>
      <c r="AI1164" t="str">
        <f t="shared" si="56"/>
        <v>H</v>
      </c>
    </row>
    <row r="1165" spans="1:35" x14ac:dyDescent="0.2">
      <c r="A1165">
        <v>1167</v>
      </c>
      <c r="B1165" t="s">
        <v>2719</v>
      </c>
      <c r="C1165" t="s">
        <v>2720</v>
      </c>
      <c r="D1165" t="s">
        <v>32</v>
      </c>
      <c r="E1165" t="s">
        <v>33</v>
      </c>
      <c r="F1165" t="s">
        <v>34</v>
      </c>
      <c r="G1165" t="s">
        <v>2721</v>
      </c>
      <c r="J1165" t="s">
        <v>797</v>
      </c>
      <c r="K1165" t="s">
        <v>38</v>
      </c>
      <c r="L1165" t="s">
        <v>38</v>
      </c>
      <c r="M1165" t="s">
        <v>38</v>
      </c>
      <c r="N1165" t="s">
        <v>38</v>
      </c>
      <c r="O1165" t="s">
        <v>38</v>
      </c>
      <c r="T1165" t="s">
        <v>38</v>
      </c>
      <c r="U1165">
        <v>0</v>
      </c>
      <c r="W1165">
        <v>0</v>
      </c>
      <c r="X1165">
        <v>0</v>
      </c>
      <c r="Y1165">
        <v>0</v>
      </c>
      <c r="AE1165">
        <f t="shared" si="54"/>
        <v>1</v>
      </c>
      <c r="AF1165">
        <f>VLOOKUP(D1165,especies!$A$2:$C$9,3,FALSE)</f>
        <v>1</v>
      </c>
      <c r="AG1165" t="str">
        <f t="shared" si="55"/>
        <v>1-Mestizo</v>
      </c>
      <c r="AH1165">
        <f>VLOOKUP('Fichas clínicas'!AG1165,razas!$A$2:$D$66,3,FALSE)</f>
        <v>1</v>
      </c>
      <c r="AI1165" t="str">
        <f t="shared" si="56"/>
        <v>H</v>
      </c>
    </row>
    <row r="1166" spans="1:35" x14ac:dyDescent="0.2">
      <c r="A1166">
        <v>1168</v>
      </c>
      <c r="B1166" t="s">
        <v>726</v>
      </c>
      <c r="C1166" t="s">
        <v>2722</v>
      </c>
      <c r="D1166" t="s">
        <v>32</v>
      </c>
      <c r="E1166" t="s">
        <v>33</v>
      </c>
      <c r="F1166" t="s">
        <v>47</v>
      </c>
      <c r="G1166" t="s">
        <v>740</v>
      </c>
      <c r="J1166" t="s">
        <v>2723</v>
      </c>
      <c r="K1166" t="s">
        <v>38</v>
      </c>
      <c r="L1166" t="s">
        <v>38</v>
      </c>
      <c r="M1166" t="s">
        <v>38</v>
      </c>
      <c r="N1166" t="s">
        <v>38</v>
      </c>
      <c r="O1166" t="s">
        <v>38</v>
      </c>
      <c r="T1166" t="s">
        <v>38</v>
      </c>
      <c r="U1166">
        <v>0</v>
      </c>
      <c r="W1166">
        <v>0</v>
      </c>
      <c r="X1166">
        <v>0</v>
      </c>
      <c r="Y1166">
        <v>0</v>
      </c>
      <c r="AE1166">
        <f t="shared" si="54"/>
        <v>1</v>
      </c>
      <c r="AF1166">
        <f>VLOOKUP(D1166,especies!$A$2:$C$9,3,FALSE)</f>
        <v>1</v>
      </c>
      <c r="AG1166" t="str">
        <f t="shared" si="55"/>
        <v>1-Mestizo</v>
      </c>
      <c r="AH1166">
        <f>VLOOKUP('Fichas clínicas'!AG1166,razas!$A$2:$D$66,3,FALSE)</f>
        <v>1</v>
      </c>
      <c r="AI1166" t="str">
        <f t="shared" si="56"/>
        <v>M</v>
      </c>
    </row>
    <row r="1167" spans="1:35" x14ac:dyDescent="0.2">
      <c r="A1167">
        <v>1169</v>
      </c>
      <c r="B1167" t="s">
        <v>2724</v>
      </c>
      <c r="C1167" t="s">
        <v>2690</v>
      </c>
      <c r="D1167" t="s">
        <v>32</v>
      </c>
      <c r="E1167" t="s">
        <v>33</v>
      </c>
      <c r="F1167" t="s">
        <v>47</v>
      </c>
      <c r="G1167" t="s">
        <v>116</v>
      </c>
      <c r="J1167" t="s">
        <v>1437</v>
      </c>
      <c r="K1167" t="s">
        <v>38</v>
      </c>
      <c r="L1167" t="s">
        <v>38</v>
      </c>
      <c r="M1167" t="s">
        <v>38</v>
      </c>
      <c r="N1167" t="s">
        <v>38</v>
      </c>
      <c r="O1167" t="s">
        <v>38</v>
      </c>
      <c r="T1167" t="s">
        <v>38</v>
      </c>
      <c r="U1167">
        <v>0</v>
      </c>
      <c r="W1167">
        <v>0</v>
      </c>
      <c r="X1167">
        <v>0</v>
      </c>
      <c r="Y1167">
        <v>0</v>
      </c>
      <c r="AE1167">
        <f t="shared" si="54"/>
        <v>1</v>
      </c>
      <c r="AF1167">
        <f>VLOOKUP(D1167,especies!$A$2:$C$9,3,FALSE)</f>
        <v>1</v>
      </c>
      <c r="AG1167" t="str">
        <f t="shared" si="55"/>
        <v>1-Mestizo</v>
      </c>
      <c r="AH1167">
        <f>VLOOKUP('Fichas clínicas'!AG1167,razas!$A$2:$D$66,3,FALSE)</f>
        <v>1</v>
      </c>
      <c r="AI1167" t="str">
        <f t="shared" si="56"/>
        <v>M</v>
      </c>
    </row>
    <row r="1168" spans="1:35" x14ac:dyDescent="0.2">
      <c r="A1168">
        <v>1170</v>
      </c>
      <c r="B1168" t="s">
        <v>2713</v>
      </c>
      <c r="C1168" t="s">
        <v>2725</v>
      </c>
      <c r="D1168" t="s">
        <v>41</v>
      </c>
      <c r="E1168" t="s">
        <v>42</v>
      </c>
      <c r="F1168" t="s">
        <v>34</v>
      </c>
      <c r="G1168" t="s">
        <v>2726</v>
      </c>
      <c r="J1168" t="s">
        <v>2727</v>
      </c>
      <c r="K1168" t="s">
        <v>38</v>
      </c>
      <c r="L1168" t="s">
        <v>38</v>
      </c>
      <c r="M1168" t="s">
        <v>38</v>
      </c>
      <c r="N1168" t="s">
        <v>38</v>
      </c>
      <c r="O1168" t="s">
        <v>38</v>
      </c>
      <c r="T1168" t="s">
        <v>38</v>
      </c>
      <c r="U1168">
        <v>0</v>
      </c>
      <c r="W1168">
        <v>0</v>
      </c>
      <c r="X1168">
        <v>0</v>
      </c>
      <c r="Y1168">
        <v>0</v>
      </c>
      <c r="AE1168">
        <f t="shared" si="54"/>
        <v>1</v>
      </c>
      <c r="AF1168">
        <f>VLOOKUP(D1168,especies!$A$2:$C$9,3,FALSE)</f>
        <v>2</v>
      </c>
      <c r="AG1168" t="str">
        <f t="shared" si="55"/>
        <v>2-DPC (Doméstico de pelo corto o DSH)</v>
      </c>
      <c r="AH1168">
        <f>VLOOKUP('Fichas clínicas'!AG1168,razas!$A$2:$D$66,3,FALSE)</f>
        <v>51</v>
      </c>
      <c r="AI1168" t="str">
        <f t="shared" si="56"/>
        <v>H</v>
      </c>
    </row>
    <row r="1169" spans="1:35" x14ac:dyDescent="0.2">
      <c r="A1169">
        <v>1171</v>
      </c>
      <c r="B1169" t="s">
        <v>2728</v>
      </c>
      <c r="C1169" t="s">
        <v>2642</v>
      </c>
      <c r="D1169" t="s">
        <v>41</v>
      </c>
      <c r="E1169" t="s">
        <v>42</v>
      </c>
      <c r="F1169" t="s">
        <v>47</v>
      </c>
      <c r="G1169" t="s">
        <v>81</v>
      </c>
      <c r="J1169" t="s">
        <v>2729</v>
      </c>
      <c r="K1169" t="s">
        <v>38</v>
      </c>
      <c r="L1169" t="s">
        <v>38</v>
      </c>
      <c r="M1169" t="s">
        <v>38</v>
      </c>
      <c r="N1169" t="s">
        <v>38</v>
      </c>
      <c r="O1169" t="s">
        <v>38</v>
      </c>
      <c r="T1169" t="s">
        <v>38</v>
      </c>
      <c r="U1169">
        <v>0</v>
      </c>
      <c r="V1169">
        <v>1</v>
      </c>
      <c r="W1169">
        <v>0</v>
      </c>
      <c r="X1169">
        <v>0</v>
      </c>
      <c r="Y1169">
        <v>0</v>
      </c>
      <c r="AE1169">
        <f t="shared" si="54"/>
        <v>1</v>
      </c>
      <c r="AF1169">
        <f>VLOOKUP(D1169,especies!$A$2:$C$9,3,FALSE)</f>
        <v>2</v>
      </c>
      <c r="AG1169" t="str">
        <f t="shared" si="55"/>
        <v>2-DPC (Doméstico de pelo corto o DSH)</v>
      </c>
      <c r="AH1169">
        <f>VLOOKUP('Fichas clínicas'!AG1169,razas!$A$2:$D$66,3,FALSE)</f>
        <v>51</v>
      </c>
      <c r="AI1169" t="str">
        <f t="shared" si="56"/>
        <v>M</v>
      </c>
    </row>
    <row r="1170" spans="1:35" x14ac:dyDescent="0.2">
      <c r="A1170">
        <v>1172</v>
      </c>
      <c r="B1170" t="s">
        <v>1274</v>
      </c>
      <c r="C1170" t="s">
        <v>2730</v>
      </c>
      <c r="D1170" t="s">
        <v>32</v>
      </c>
      <c r="E1170" t="s">
        <v>33</v>
      </c>
      <c r="F1170" t="s">
        <v>47</v>
      </c>
      <c r="G1170" t="s">
        <v>81</v>
      </c>
      <c r="J1170" t="s">
        <v>90</v>
      </c>
      <c r="K1170" t="s">
        <v>38</v>
      </c>
      <c r="L1170" t="s">
        <v>38</v>
      </c>
      <c r="M1170" t="s">
        <v>38</v>
      </c>
      <c r="N1170" t="s">
        <v>38</v>
      </c>
      <c r="O1170" t="s">
        <v>38</v>
      </c>
      <c r="T1170" t="s">
        <v>38</v>
      </c>
      <c r="U1170">
        <v>0</v>
      </c>
      <c r="W1170">
        <v>0</v>
      </c>
      <c r="X1170">
        <v>0</v>
      </c>
      <c r="Y1170">
        <v>0</v>
      </c>
      <c r="AE1170">
        <f t="shared" si="54"/>
        <v>1</v>
      </c>
      <c r="AF1170">
        <f>VLOOKUP(D1170,especies!$A$2:$C$9,3,FALSE)</f>
        <v>1</v>
      </c>
      <c r="AG1170" t="str">
        <f t="shared" si="55"/>
        <v>1-Mestizo</v>
      </c>
      <c r="AH1170">
        <f>VLOOKUP('Fichas clínicas'!AG1170,razas!$A$2:$D$66,3,FALSE)</f>
        <v>1</v>
      </c>
      <c r="AI1170" t="str">
        <f t="shared" si="56"/>
        <v>M</v>
      </c>
    </row>
    <row r="1171" spans="1:35" x14ac:dyDescent="0.2">
      <c r="A1171">
        <v>1173</v>
      </c>
      <c r="B1171" t="s">
        <v>2731</v>
      </c>
      <c r="C1171" t="s">
        <v>2664</v>
      </c>
      <c r="D1171" t="s">
        <v>32</v>
      </c>
      <c r="E1171" t="s">
        <v>33</v>
      </c>
      <c r="F1171" t="s">
        <v>47</v>
      </c>
      <c r="G1171" t="s">
        <v>54</v>
      </c>
      <c r="J1171" t="s">
        <v>2732</v>
      </c>
      <c r="K1171" t="s">
        <v>38</v>
      </c>
      <c r="L1171" t="s">
        <v>38</v>
      </c>
      <c r="M1171" t="s">
        <v>38</v>
      </c>
      <c r="N1171" t="s">
        <v>38</v>
      </c>
      <c r="O1171" t="s">
        <v>38</v>
      </c>
      <c r="T1171" t="s">
        <v>38</v>
      </c>
      <c r="U1171">
        <v>0</v>
      </c>
      <c r="W1171">
        <v>0</v>
      </c>
      <c r="X1171">
        <v>0</v>
      </c>
      <c r="Y1171">
        <v>0</v>
      </c>
      <c r="AE1171">
        <f t="shared" si="54"/>
        <v>1</v>
      </c>
      <c r="AF1171">
        <f>VLOOKUP(D1171,especies!$A$2:$C$9,3,FALSE)</f>
        <v>1</v>
      </c>
      <c r="AG1171" t="str">
        <f t="shared" si="55"/>
        <v>1-Mestizo</v>
      </c>
      <c r="AH1171">
        <f>VLOOKUP('Fichas clínicas'!AG1171,razas!$A$2:$D$66,3,FALSE)</f>
        <v>1</v>
      </c>
      <c r="AI1171" t="str">
        <f t="shared" si="56"/>
        <v>M</v>
      </c>
    </row>
    <row r="1172" spans="1:35" x14ac:dyDescent="0.2">
      <c r="A1172">
        <v>1174</v>
      </c>
      <c r="B1172" t="s">
        <v>1297</v>
      </c>
      <c r="C1172" t="s">
        <v>232</v>
      </c>
      <c r="D1172" t="s">
        <v>32</v>
      </c>
      <c r="E1172" t="s">
        <v>150</v>
      </c>
      <c r="F1172" t="s">
        <v>47</v>
      </c>
      <c r="G1172" t="s">
        <v>123</v>
      </c>
      <c r="J1172" t="s">
        <v>1150</v>
      </c>
      <c r="K1172" t="s">
        <v>38</v>
      </c>
      <c r="L1172" t="s">
        <v>38</v>
      </c>
      <c r="M1172" t="s">
        <v>38</v>
      </c>
      <c r="N1172" t="s">
        <v>38</v>
      </c>
      <c r="O1172" t="s">
        <v>38</v>
      </c>
      <c r="T1172" t="s">
        <v>38</v>
      </c>
      <c r="U1172">
        <v>0</v>
      </c>
      <c r="W1172">
        <v>0</v>
      </c>
      <c r="X1172">
        <v>0</v>
      </c>
      <c r="Y1172">
        <v>0</v>
      </c>
      <c r="AE1172">
        <f t="shared" si="54"/>
        <v>1</v>
      </c>
      <c r="AF1172">
        <f>VLOOKUP(D1172,especies!$A$2:$C$9,3,FALSE)</f>
        <v>1</v>
      </c>
      <c r="AG1172" t="str">
        <f t="shared" si="55"/>
        <v>1-Poodle</v>
      </c>
      <c r="AH1172">
        <f>VLOOKUP('Fichas clínicas'!AG1172,razas!$A$2:$D$66,3,FALSE)</f>
        <v>6</v>
      </c>
      <c r="AI1172" t="str">
        <f t="shared" si="56"/>
        <v>M</v>
      </c>
    </row>
    <row r="1173" spans="1:35" x14ac:dyDescent="0.2">
      <c r="A1173">
        <v>1175</v>
      </c>
      <c r="B1173" t="s">
        <v>2733</v>
      </c>
      <c r="C1173" t="s">
        <v>2734</v>
      </c>
      <c r="D1173" t="s">
        <v>41</v>
      </c>
      <c r="E1173" t="s">
        <v>42</v>
      </c>
      <c r="F1173" t="s">
        <v>34</v>
      </c>
      <c r="G1173" t="s">
        <v>2735</v>
      </c>
      <c r="J1173" t="s">
        <v>2221</v>
      </c>
      <c r="K1173" t="s">
        <v>38</v>
      </c>
      <c r="L1173" t="s">
        <v>38</v>
      </c>
      <c r="M1173" t="s">
        <v>38</v>
      </c>
      <c r="N1173" t="s">
        <v>38</v>
      </c>
      <c r="O1173" t="s">
        <v>38</v>
      </c>
      <c r="T1173" t="s">
        <v>38</v>
      </c>
      <c r="U1173">
        <v>0</v>
      </c>
      <c r="V1173">
        <v>1</v>
      </c>
      <c r="W1173">
        <v>0</v>
      </c>
      <c r="X1173">
        <v>0</v>
      </c>
      <c r="Y1173">
        <v>0</v>
      </c>
      <c r="AE1173">
        <f t="shared" si="54"/>
        <v>1</v>
      </c>
      <c r="AF1173">
        <f>VLOOKUP(D1173,especies!$A$2:$C$9,3,FALSE)</f>
        <v>2</v>
      </c>
      <c r="AG1173" t="str">
        <f t="shared" si="55"/>
        <v>2-DPC (Doméstico de pelo corto o DSH)</v>
      </c>
      <c r="AH1173">
        <f>VLOOKUP('Fichas clínicas'!AG1173,razas!$A$2:$D$66,3,FALSE)</f>
        <v>51</v>
      </c>
      <c r="AI1173" t="str">
        <f t="shared" si="56"/>
        <v>H</v>
      </c>
    </row>
    <row r="1174" spans="1:35" x14ac:dyDescent="0.2">
      <c r="A1174">
        <v>1176</v>
      </c>
      <c r="B1174" t="s">
        <v>2736</v>
      </c>
      <c r="C1174" t="s">
        <v>486</v>
      </c>
      <c r="D1174" t="s">
        <v>41</v>
      </c>
      <c r="E1174" t="s">
        <v>93</v>
      </c>
      <c r="F1174" t="s">
        <v>34</v>
      </c>
      <c r="G1174" t="s">
        <v>116</v>
      </c>
      <c r="J1174" t="s">
        <v>2737</v>
      </c>
      <c r="K1174" t="s">
        <v>38</v>
      </c>
      <c r="L1174" t="s">
        <v>38</v>
      </c>
      <c r="M1174" t="s">
        <v>38</v>
      </c>
      <c r="N1174" t="s">
        <v>38</v>
      </c>
      <c r="O1174" t="s">
        <v>38</v>
      </c>
      <c r="T1174" t="s">
        <v>38</v>
      </c>
      <c r="U1174">
        <v>0</v>
      </c>
      <c r="V1174">
        <v>1</v>
      </c>
      <c r="W1174">
        <v>0</v>
      </c>
      <c r="X1174">
        <v>0</v>
      </c>
      <c r="Y1174">
        <v>0</v>
      </c>
      <c r="AE1174">
        <f t="shared" si="54"/>
        <v>1</v>
      </c>
      <c r="AF1174">
        <f>VLOOKUP(D1174,especies!$A$2:$C$9,3,FALSE)</f>
        <v>2</v>
      </c>
      <c r="AG1174" t="str">
        <f t="shared" si="55"/>
        <v>2-DPL (Doméstico de pelo Largo o DLH)</v>
      </c>
      <c r="AH1174">
        <f>VLOOKUP('Fichas clínicas'!AG1174,razas!$A$2:$D$66,3,FALSE)</f>
        <v>52</v>
      </c>
      <c r="AI1174" t="str">
        <f t="shared" si="56"/>
        <v>H</v>
      </c>
    </row>
    <row r="1175" spans="1:35" x14ac:dyDescent="0.2">
      <c r="A1175">
        <v>1177</v>
      </c>
      <c r="B1175" t="s">
        <v>2738</v>
      </c>
      <c r="C1175" t="s">
        <v>2739</v>
      </c>
      <c r="D1175" t="s">
        <v>41</v>
      </c>
      <c r="E1175" t="s">
        <v>42</v>
      </c>
      <c r="F1175" t="s">
        <v>47</v>
      </c>
      <c r="G1175" t="s">
        <v>109</v>
      </c>
      <c r="J1175" t="s">
        <v>90</v>
      </c>
      <c r="K1175" t="s">
        <v>38</v>
      </c>
      <c r="L1175" t="s">
        <v>38</v>
      </c>
      <c r="M1175" t="s">
        <v>38</v>
      </c>
      <c r="N1175" t="s">
        <v>38</v>
      </c>
      <c r="O1175" t="s">
        <v>38</v>
      </c>
      <c r="T1175" t="s">
        <v>38</v>
      </c>
      <c r="U1175">
        <v>0</v>
      </c>
      <c r="W1175">
        <v>0</v>
      </c>
      <c r="X1175">
        <v>0</v>
      </c>
      <c r="Y1175">
        <v>0</v>
      </c>
      <c r="AE1175">
        <f t="shared" si="54"/>
        <v>1</v>
      </c>
      <c r="AF1175">
        <f>VLOOKUP(D1175,especies!$A$2:$C$9,3,FALSE)</f>
        <v>2</v>
      </c>
      <c r="AG1175" t="str">
        <f t="shared" si="55"/>
        <v>2-DPC (Doméstico de pelo corto o DSH)</v>
      </c>
      <c r="AH1175">
        <f>VLOOKUP('Fichas clínicas'!AG1175,razas!$A$2:$D$66,3,FALSE)</f>
        <v>51</v>
      </c>
      <c r="AI1175" t="str">
        <f t="shared" si="56"/>
        <v>M</v>
      </c>
    </row>
    <row r="1176" spans="1:35" x14ac:dyDescent="0.2">
      <c r="A1176">
        <v>1178</v>
      </c>
      <c r="B1176" t="s">
        <v>2740</v>
      </c>
      <c r="C1176" t="s">
        <v>2741</v>
      </c>
      <c r="D1176" t="s">
        <v>41</v>
      </c>
      <c r="E1176" t="s">
        <v>93</v>
      </c>
      <c r="F1176" t="s">
        <v>34</v>
      </c>
      <c r="G1176" t="s">
        <v>329</v>
      </c>
      <c r="J1176" t="s">
        <v>119</v>
      </c>
      <c r="K1176" t="s">
        <v>38</v>
      </c>
      <c r="L1176" t="s">
        <v>38</v>
      </c>
      <c r="M1176" t="s">
        <v>38</v>
      </c>
      <c r="N1176" t="s">
        <v>38</v>
      </c>
      <c r="O1176" t="s">
        <v>38</v>
      </c>
      <c r="T1176" t="s">
        <v>38</v>
      </c>
      <c r="U1176">
        <v>0</v>
      </c>
      <c r="W1176">
        <v>0</v>
      </c>
      <c r="X1176">
        <v>0</v>
      </c>
      <c r="Y1176">
        <v>0</v>
      </c>
      <c r="AE1176">
        <f t="shared" si="54"/>
        <v>1</v>
      </c>
      <c r="AF1176">
        <f>VLOOKUP(D1176,especies!$A$2:$C$9,3,FALSE)</f>
        <v>2</v>
      </c>
      <c r="AG1176" t="str">
        <f t="shared" si="55"/>
        <v>2-DPL (Doméstico de pelo Largo o DLH)</v>
      </c>
      <c r="AH1176">
        <f>VLOOKUP('Fichas clínicas'!AG1176,razas!$A$2:$D$66,3,FALSE)</f>
        <v>52</v>
      </c>
      <c r="AI1176" t="str">
        <f t="shared" si="56"/>
        <v>H</v>
      </c>
    </row>
    <row r="1177" spans="1:35" x14ac:dyDescent="0.2">
      <c r="A1177">
        <v>1179</v>
      </c>
      <c r="B1177" t="s">
        <v>1297</v>
      </c>
      <c r="C1177" t="s">
        <v>2742</v>
      </c>
      <c r="D1177" t="s">
        <v>41</v>
      </c>
      <c r="E1177" t="s">
        <v>42</v>
      </c>
      <c r="F1177" t="s">
        <v>34</v>
      </c>
      <c r="G1177" t="s">
        <v>77</v>
      </c>
      <c r="J1177" t="s">
        <v>2563</v>
      </c>
      <c r="K1177" t="s">
        <v>38</v>
      </c>
      <c r="L1177" t="s">
        <v>38</v>
      </c>
      <c r="M1177" t="s">
        <v>38</v>
      </c>
      <c r="N1177" t="s">
        <v>38</v>
      </c>
      <c r="O1177" t="s">
        <v>38</v>
      </c>
      <c r="T1177" t="s">
        <v>38</v>
      </c>
      <c r="U1177">
        <v>0</v>
      </c>
      <c r="W1177">
        <v>0</v>
      </c>
      <c r="X1177">
        <v>0</v>
      </c>
      <c r="Y1177">
        <v>0</v>
      </c>
      <c r="AE1177">
        <f t="shared" si="54"/>
        <v>1</v>
      </c>
      <c r="AF1177">
        <f>VLOOKUP(D1177,especies!$A$2:$C$9,3,FALSE)</f>
        <v>2</v>
      </c>
      <c r="AG1177" t="str">
        <f t="shared" si="55"/>
        <v>2-DPC (Doméstico de pelo corto o DSH)</v>
      </c>
      <c r="AH1177">
        <f>VLOOKUP('Fichas clínicas'!AG1177,razas!$A$2:$D$66,3,FALSE)</f>
        <v>51</v>
      </c>
      <c r="AI1177" t="str">
        <f t="shared" si="56"/>
        <v>H</v>
      </c>
    </row>
    <row r="1178" spans="1:35" x14ac:dyDescent="0.2">
      <c r="A1178">
        <v>1180</v>
      </c>
      <c r="B1178" t="s">
        <v>2743</v>
      </c>
      <c r="C1178" t="s">
        <v>2744</v>
      </c>
      <c r="D1178" t="s">
        <v>41</v>
      </c>
      <c r="E1178" t="s">
        <v>42</v>
      </c>
      <c r="F1178" t="s">
        <v>47</v>
      </c>
      <c r="G1178" t="s">
        <v>2745</v>
      </c>
      <c r="J1178" t="s">
        <v>2746</v>
      </c>
      <c r="K1178" t="s">
        <v>38</v>
      </c>
      <c r="L1178" t="s">
        <v>38</v>
      </c>
      <c r="M1178" t="s">
        <v>38</v>
      </c>
      <c r="N1178" t="s">
        <v>38</v>
      </c>
      <c r="O1178" t="s">
        <v>38</v>
      </c>
      <c r="T1178" t="s">
        <v>38</v>
      </c>
      <c r="U1178">
        <v>0</v>
      </c>
      <c r="W1178">
        <v>0</v>
      </c>
      <c r="X1178">
        <v>0</v>
      </c>
      <c r="Y1178">
        <v>0</v>
      </c>
      <c r="AE1178">
        <f t="shared" si="54"/>
        <v>1</v>
      </c>
      <c r="AF1178">
        <f>VLOOKUP(D1178,especies!$A$2:$C$9,3,FALSE)</f>
        <v>2</v>
      </c>
      <c r="AG1178" t="str">
        <f t="shared" si="55"/>
        <v>2-DPC (Doméstico de pelo corto o DSH)</v>
      </c>
      <c r="AH1178">
        <f>VLOOKUP('Fichas clínicas'!AG1178,razas!$A$2:$D$66,3,FALSE)</f>
        <v>51</v>
      </c>
      <c r="AI1178" t="str">
        <f t="shared" si="56"/>
        <v>M</v>
      </c>
    </row>
    <row r="1179" spans="1:35" x14ac:dyDescent="0.2">
      <c r="A1179">
        <v>1181</v>
      </c>
      <c r="B1179" t="s">
        <v>2747</v>
      </c>
      <c r="C1179" t="s">
        <v>2741</v>
      </c>
      <c r="D1179" t="s">
        <v>32</v>
      </c>
      <c r="E1179" t="s">
        <v>33</v>
      </c>
      <c r="F1179" t="s">
        <v>34</v>
      </c>
      <c r="G1179" t="s">
        <v>123</v>
      </c>
      <c r="J1179" t="s">
        <v>2748</v>
      </c>
      <c r="K1179" t="s">
        <v>38</v>
      </c>
      <c r="L1179" t="s">
        <v>38</v>
      </c>
      <c r="M1179" t="s">
        <v>38</v>
      </c>
      <c r="N1179" t="s">
        <v>38</v>
      </c>
      <c r="O1179" t="s">
        <v>38</v>
      </c>
      <c r="T1179" t="s">
        <v>38</v>
      </c>
      <c r="U1179">
        <v>0</v>
      </c>
      <c r="W1179">
        <v>0</v>
      </c>
      <c r="X1179">
        <v>0</v>
      </c>
      <c r="Y1179">
        <v>0</v>
      </c>
      <c r="AE1179">
        <f t="shared" si="54"/>
        <v>1</v>
      </c>
      <c r="AF1179">
        <f>VLOOKUP(D1179,especies!$A$2:$C$9,3,FALSE)</f>
        <v>1</v>
      </c>
      <c r="AG1179" t="str">
        <f t="shared" si="55"/>
        <v>1-Mestizo</v>
      </c>
      <c r="AH1179">
        <f>VLOOKUP('Fichas clínicas'!AG1179,razas!$A$2:$D$66,3,FALSE)</f>
        <v>1</v>
      </c>
      <c r="AI1179" t="str">
        <f t="shared" si="56"/>
        <v>H</v>
      </c>
    </row>
    <row r="1180" spans="1:35" x14ac:dyDescent="0.2">
      <c r="A1180">
        <v>1182</v>
      </c>
      <c r="B1180" t="s">
        <v>2749</v>
      </c>
      <c r="C1180" t="s">
        <v>2289</v>
      </c>
      <c r="D1180" t="s">
        <v>32</v>
      </c>
      <c r="E1180" t="s">
        <v>2750</v>
      </c>
      <c r="F1180" t="s">
        <v>34</v>
      </c>
      <c r="G1180" t="s">
        <v>43</v>
      </c>
      <c r="J1180" t="s">
        <v>2751</v>
      </c>
      <c r="K1180" t="s">
        <v>38</v>
      </c>
      <c r="L1180" t="s">
        <v>38</v>
      </c>
      <c r="M1180" t="s">
        <v>38</v>
      </c>
      <c r="N1180" t="s">
        <v>38</v>
      </c>
      <c r="O1180" t="s">
        <v>38</v>
      </c>
      <c r="T1180" t="s">
        <v>38</v>
      </c>
      <c r="U1180">
        <v>0</v>
      </c>
      <c r="W1180">
        <v>0</v>
      </c>
      <c r="X1180">
        <v>0</v>
      </c>
      <c r="Y1180">
        <v>0</v>
      </c>
      <c r="AE1180">
        <f t="shared" si="54"/>
        <v>1</v>
      </c>
      <c r="AF1180">
        <f>VLOOKUP(D1180,especies!$A$2:$C$9,3,FALSE)</f>
        <v>1</v>
      </c>
      <c r="AG1180" t="str">
        <f t="shared" si="55"/>
        <v>1-Terranova</v>
      </c>
      <c r="AH1180">
        <f>VLOOKUP('Fichas clínicas'!AG1180,razas!$A$2:$D$66,3,FALSE)</f>
        <v>42</v>
      </c>
      <c r="AI1180" t="str">
        <f t="shared" si="56"/>
        <v>H</v>
      </c>
    </row>
    <row r="1181" spans="1:35" x14ac:dyDescent="0.2">
      <c r="A1181">
        <v>1183</v>
      </c>
      <c r="B1181" t="s">
        <v>2752</v>
      </c>
      <c r="C1181" t="s">
        <v>2753</v>
      </c>
      <c r="D1181" t="s">
        <v>32</v>
      </c>
      <c r="E1181" t="s">
        <v>33</v>
      </c>
      <c r="F1181" t="s">
        <v>34</v>
      </c>
      <c r="G1181" t="s">
        <v>165</v>
      </c>
      <c r="J1181" t="s">
        <v>1702</v>
      </c>
      <c r="K1181" t="s">
        <v>38</v>
      </c>
      <c r="L1181" t="s">
        <v>38</v>
      </c>
      <c r="M1181" t="s">
        <v>38</v>
      </c>
      <c r="N1181" t="s">
        <v>38</v>
      </c>
      <c r="O1181" t="s">
        <v>38</v>
      </c>
      <c r="T1181" t="s">
        <v>38</v>
      </c>
      <c r="U1181">
        <v>0</v>
      </c>
      <c r="V1181">
        <v>1</v>
      </c>
      <c r="W1181">
        <v>0</v>
      </c>
      <c r="X1181">
        <v>0</v>
      </c>
      <c r="Y1181">
        <v>0</v>
      </c>
      <c r="AE1181">
        <f t="shared" si="54"/>
        <v>1</v>
      </c>
      <c r="AF1181">
        <f>VLOOKUP(D1181,especies!$A$2:$C$9,3,FALSE)</f>
        <v>1</v>
      </c>
      <c r="AG1181" t="str">
        <f t="shared" si="55"/>
        <v>1-Mestizo</v>
      </c>
      <c r="AH1181">
        <f>VLOOKUP('Fichas clínicas'!AG1181,razas!$A$2:$D$66,3,FALSE)</f>
        <v>1</v>
      </c>
      <c r="AI1181" t="str">
        <f t="shared" si="56"/>
        <v>H</v>
      </c>
    </row>
    <row r="1182" spans="1:35" x14ac:dyDescent="0.2">
      <c r="A1182">
        <v>1184</v>
      </c>
      <c r="B1182" t="s">
        <v>1674</v>
      </c>
      <c r="C1182" t="s">
        <v>1781</v>
      </c>
      <c r="D1182" t="s">
        <v>32</v>
      </c>
      <c r="E1182" t="s">
        <v>812</v>
      </c>
      <c r="F1182" t="s">
        <v>47</v>
      </c>
      <c r="G1182" t="s">
        <v>284</v>
      </c>
      <c r="J1182" t="s">
        <v>2754</v>
      </c>
      <c r="K1182" t="s">
        <v>38</v>
      </c>
      <c r="L1182" t="s">
        <v>38</v>
      </c>
      <c r="M1182" t="s">
        <v>38</v>
      </c>
      <c r="N1182" t="s">
        <v>38</v>
      </c>
      <c r="O1182" t="s">
        <v>38</v>
      </c>
      <c r="T1182" t="s">
        <v>38</v>
      </c>
      <c r="U1182">
        <v>0</v>
      </c>
      <c r="W1182">
        <v>0</v>
      </c>
      <c r="X1182">
        <v>0</v>
      </c>
      <c r="Y1182">
        <v>0</v>
      </c>
      <c r="AE1182">
        <f t="shared" si="54"/>
        <v>1</v>
      </c>
      <c r="AF1182">
        <f>VLOOKUP(D1182,especies!$A$2:$C$9,3,FALSE)</f>
        <v>1</v>
      </c>
      <c r="AG1182" t="str">
        <f t="shared" si="55"/>
        <v>1-Fox Terrier de Pelo Duro</v>
      </c>
      <c r="AH1182">
        <f>VLOOKUP('Fichas clínicas'!AG1182,razas!$A$2:$D$66,3,FALSE)</f>
        <v>18</v>
      </c>
      <c r="AI1182" t="str">
        <f t="shared" si="56"/>
        <v>M</v>
      </c>
    </row>
    <row r="1183" spans="1:35" x14ac:dyDescent="0.2">
      <c r="A1183">
        <v>1185</v>
      </c>
      <c r="B1183" t="s">
        <v>2755</v>
      </c>
      <c r="C1183" t="s">
        <v>1781</v>
      </c>
      <c r="D1183" t="s">
        <v>32</v>
      </c>
      <c r="E1183" t="s">
        <v>150</v>
      </c>
      <c r="F1183" t="s">
        <v>47</v>
      </c>
      <c r="G1183" t="s">
        <v>1547</v>
      </c>
      <c r="J1183" t="s">
        <v>2756</v>
      </c>
      <c r="K1183" t="s">
        <v>38</v>
      </c>
      <c r="L1183" t="s">
        <v>38</v>
      </c>
      <c r="M1183" t="s">
        <v>38</v>
      </c>
      <c r="N1183" t="s">
        <v>38</v>
      </c>
      <c r="O1183" t="s">
        <v>38</v>
      </c>
      <c r="T1183" t="s">
        <v>38</v>
      </c>
      <c r="U1183">
        <v>0</v>
      </c>
      <c r="W1183">
        <v>0</v>
      </c>
      <c r="X1183">
        <v>0</v>
      </c>
      <c r="Y1183">
        <v>0</v>
      </c>
      <c r="AE1183">
        <f t="shared" si="54"/>
        <v>1</v>
      </c>
      <c r="AF1183">
        <f>VLOOKUP(D1183,especies!$A$2:$C$9,3,FALSE)</f>
        <v>1</v>
      </c>
      <c r="AG1183" t="str">
        <f t="shared" si="55"/>
        <v>1-Poodle</v>
      </c>
      <c r="AH1183">
        <f>VLOOKUP('Fichas clínicas'!AG1183,razas!$A$2:$D$66,3,FALSE)</f>
        <v>6</v>
      </c>
      <c r="AI1183" t="str">
        <f t="shared" si="56"/>
        <v>M</v>
      </c>
    </row>
    <row r="1184" spans="1:35" x14ac:dyDescent="0.2">
      <c r="A1184">
        <v>1186</v>
      </c>
      <c r="B1184" t="s">
        <v>2555</v>
      </c>
      <c r="C1184" t="s">
        <v>1685</v>
      </c>
      <c r="D1184" t="s">
        <v>32</v>
      </c>
      <c r="E1184" t="s">
        <v>150</v>
      </c>
      <c r="F1184" t="s">
        <v>34</v>
      </c>
      <c r="G1184" t="s">
        <v>116</v>
      </c>
      <c r="J1184" t="s">
        <v>1415</v>
      </c>
      <c r="K1184" t="s">
        <v>38</v>
      </c>
      <c r="L1184" t="s">
        <v>38</v>
      </c>
      <c r="M1184" t="s">
        <v>38</v>
      </c>
      <c r="N1184" t="s">
        <v>38</v>
      </c>
      <c r="O1184" t="s">
        <v>38</v>
      </c>
      <c r="T1184" t="s">
        <v>38</v>
      </c>
      <c r="U1184">
        <v>0</v>
      </c>
      <c r="W1184">
        <v>0</v>
      </c>
      <c r="X1184">
        <v>0</v>
      </c>
      <c r="Y1184">
        <v>0</v>
      </c>
      <c r="AE1184">
        <f t="shared" si="54"/>
        <v>1</v>
      </c>
      <c r="AF1184">
        <f>VLOOKUP(D1184,especies!$A$2:$C$9,3,FALSE)</f>
        <v>1</v>
      </c>
      <c r="AG1184" t="str">
        <f t="shared" si="55"/>
        <v>1-Poodle</v>
      </c>
      <c r="AH1184">
        <f>VLOOKUP('Fichas clínicas'!AG1184,razas!$A$2:$D$66,3,FALSE)</f>
        <v>6</v>
      </c>
      <c r="AI1184" t="str">
        <f t="shared" si="56"/>
        <v>H</v>
      </c>
    </row>
    <row r="1185" spans="1:35" x14ac:dyDescent="0.2">
      <c r="A1185">
        <v>1187</v>
      </c>
      <c r="B1185" t="s">
        <v>305</v>
      </c>
      <c r="C1185" t="s">
        <v>2690</v>
      </c>
      <c r="D1185" t="s">
        <v>32</v>
      </c>
      <c r="E1185" t="s">
        <v>33</v>
      </c>
      <c r="F1185" t="s">
        <v>47</v>
      </c>
      <c r="G1185" t="s">
        <v>116</v>
      </c>
      <c r="J1185" t="s">
        <v>2757</v>
      </c>
      <c r="K1185" t="s">
        <v>38</v>
      </c>
      <c r="L1185" t="s">
        <v>38</v>
      </c>
      <c r="M1185" t="s">
        <v>38</v>
      </c>
      <c r="N1185" t="s">
        <v>38</v>
      </c>
      <c r="O1185" t="s">
        <v>38</v>
      </c>
      <c r="T1185" t="s">
        <v>38</v>
      </c>
      <c r="U1185">
        <v>0</v>
      </c>
      <c r="W1185">
        <v>0</v>
      </c>
      <c r="X1185">
        <v>0</v>
      </c>
      <c r="Y1185">
        <v>0</v>
      </c>
      <c r="AE1185">
        <f t="shared" si="54"/>
        <v>1</v>
      </c>
      <c r="AF1185">
        <f>VLOOKUP(D1185,especies!$A$2:$C$9,3,FALSE)</f>
        <v>1</v>
      </c>
      <c r="AG1185" t="str">
        <f t="shared" si="55"/>
        <v>1-Mestizo</v>
      </c>
      <c r="AH1185">
        <f>VLOOKUP('Fichas clínicas'!AG1185,razas!$A$2:$D$66,3,FALSE)</f>
        <v>1</v>
      </c>
      <c r="AI1185" t="str">
        <f t="shared" si="56"/>
        <v>M</v>
      </c>
    </row>
    <row r="1186" spans="1:35" x14ac:dyDescent="0.2">
      <c r="A1186">
        <v>1188</v>
      </c>
      <c r="B1186" t="s">
        <v>2403</v>
      </c>
      <c r="C1186" t="s">
        <v>1781</v>
      </c>
      <c r="D1186" t="s">
        <v>32</v>
      </c>
      <c r="E1186" t="s">
        <v>150</v>
      </c>
      <c r="F1186" t="s">
        <v>47</v>
      </c>
      <c r="G1186" t="s">
        <v>102</v>
      </c>
      <c r="J1186" t="s">
        <v>2758</v>
      </c>
      <c r="K1186" t="s">
        <v>38</v>
      </c>
      <c r="L1186" t="s">
        <v>38</v>
      </c>
      <c r="M1186" t="s">
        <v>38</v>
      </c>
      <c r="N1186" t="s">
        <v>38</v>
      </c>
      <c r="O1186" t="s">
        <v>38</v>
      </c>
      <c r="T1186" t="s">
        <v>38</v>
      </c>
      <c r="U1186">
        <v>0</v>
      </c>
      <c r="V1186">
        <v>1</v>
      </c>
      <c r="W1186">
        <v>0</v>
      </c>
      <c r="X1186">
        <v>0</v>
      </c>
      <c r="Y1186">
        <v>0</v>
      </c>
      <c r="AE1186">
        <f t="shared" si="54"/>
        <v>1</v>
      </c>
      <c r="AF1186">
        <f>VLOOKUP(D1186,especies!$A$2:$C$9,3,FALSE)</f>
        <v>1</v>
      </c>
      <c r="AG1186" t="str">
        <f t="shared" si="55"/>
        <v>1-Poodle</v>
      </c>
      <c r="AH1186">
        <f>VLOOKUP('Fichas clínicas'!AG1186,razas!$A$2:$D$66,3,FALSE)</f>
        <v>6</v>
      </c>
      <c r="AI1186" t="str">
        <f t="shared" si="56"/>
        <v>M</v>
      </c>
    </row>
    <row r="1187" spans="1:35" x14ac:dyDescent="0.2">
      <c r="A1187">
        <v>1189</v>
      </c>
      <c r="B1187" t="s">
        <v>456</v>
      </c>
      <c r="C1187" t="s">
        <v>2759</v>
      </c>
      <c r="D1187" t="s">
        <v>32</v>
      </c>
      <c r="E1187" t="s">
        <v>458</v>
      </c>
      <c r="F1187" t="s">
        <v>47</v>
      </c>
      <c r="G1187" t="s">
        <v>1384</v>
      </c>
      <c r="J1187" t="s">
        <v>2760</v>
      </c>
      <c r="K1187" t="s">
        <v>38</v>
      </c>
      <c r="L1187" t="s">
        <v>38</v>
      </c>
      <c r="M1187" t="s">
        <v>38</v>
      </c>
      <c r="N1187" t="s">
        <v>38</v>
      </c>
      <c r="O1187" t="s">
        <v>38</v>
      </c>
      <c r="Q1187">
        <v>1</v>
      </c>
      <c r="T1187" t="s">
        <v>38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f t="shared" si="54"/>
        <v>1</v>
      </c>
      <c r="AF1187">
        <f>VLOOKUP(D1187,especies!$A$2:$C$9,3,FALSE)</f>
        <v>1</v>
      </c>
      <c r="AG1187" t="str">
        <f t="shared" si="55"/>
        <v>1-Beagle</v>
      </c>
      <c r="AH1187">
        <f>VLOOKUP('Fichas clínicas'!AG1187,razas!$A$2:$D$66,3,FALSE)</f>
        <v>13</v>
      </c>
      <c r="AI1187" t="str">
        <f t="shared" si="56"/>
        <v>M</v>
      </c>
    </row>
    <row r="1188" spans="1:35" x14ac:dyDescent="0.2">
      <c r="A1188">
        <v>1190</v>
      </c>
      <c r="B1188" t="s">
        <v>2761</v>
      </c>
      <c r="C1188" t="s">
        <v>2762</v>
      </c>
      <c r="D1188" t="s">
        <v>41</v>
      </c>
      <c r="E1188" t="s">
        <v>93</v>
      </c>
      <c r="F1188" t="s">
        <v>34</v>
      </c>
      <c r="G1188" t="s">
        <v>2763</v>
      </c>
      <c r="J1188" t="s">
        <v>955</v>
      </c>
      <c r="K1188" t="s">
        <v>38</v>
      </c>
      <c r="L1188" t="s">
        <v>38</v>
      </c>
      <c r="M1188" t="s">
        <v>38</v>
      </c>
      <c r="N1188" t="s">
        <v>38</v>
      </c>
      <c r="O1188" t="s">
        <v>38</v>
      </c>
      <c r="T1188" t="s">
        <v>38</v>
      </c>
      <c r="U1188">
        <v>0</v>
      </c>
      <c r="V1188">
        <v>1</v>
      </c>
      <c r="W1188">
        <v>0</v>
      </c>
      <c r="X1188">
        <v>0</v>
      </c>
      <c r="Y1188">
        <v>0</v>
      </c>
      <c r="AE1188">
        <f t="shared" si="54"/>
        <v>1</v>
      </c>
      <c r="AF1188">
        <f>VLOOKUP(D1188,especies!$A$2:$C$9,3,FALSE)</f>
        <v>2</v>
      </c>
      <c r="AG1188" t="str">
        <f t="shared" si="55"/>
        <v>2-DPL (Doméstico de pelo Largo o DLH)</v>
      </c>
      <c r="AH1188">
        <f>VLOOKUP('Fichas clínicas'!AG1188,razas!$A$2:$D$66,3,FALSE)</f>
        <v>52</v>
      </c>
      <c r="AI1188" t="str">
        <f t="shared" si="56"/>
        <v>H</v>
      </c>
    </row>
    <row r="1189" spans="1:35" x14ac:dyDescent="0.2">
      <c r="A1189">
        <v>1191</v>
      </c>
      <c r="B1189" t="s">
        <v>2764</v>
      </c>
      <c r="C1189" t="s">
        <v>2765</v>
      </c>
      <c r="D1189" t="s">
        <v>41</v>
      </c>
      <c r="E1189" t="s">
        <v>42</v>
      </c>
      <c r="F1189" t="s">
        <v>47</v>
      </c>
      <c r="G1189" t="s">
        <v>284</v>
      </c>
      <c r="J1189" t="s">
        <v>2766</v>
      </c>
      <c r="K1189" t="s">
        <v>38</v>
      </c>
      <c r="L1189" t="s">
        <v>38</v>
      </c>
      <c r="M1189" t="s">
        <v>38</v>
      </c>
      <c r="N1189" t="s">
        <v>38</v>
      </c>
      <c r="O1189" t="s">
        <v>38</v>
      </c>
      <c r="T1189" t="s">
        <v>38</v>
      </c>
      <c r="U1189">
        <v>0</v>
      </c>
      <c r="W1189">
        <v>0</v>
      </c>
      <c r="X1189">
        <v>0</v>
      </c>
      <c r="Y1189">
        <v>0</v>
      </c>
      <c r="AE1189">
        <f t="shared" si="54"/>
        <v>1</v>
      </c>
      <c r="AF1189">
        <f>VLOOKUP(D1189,especies!$A$2:$C$9,3,FALSE)</f>
        <v>2</v>
      </c>
      <c r="AG1189" t="str">
        <f t="shared" si="55"/>
        <v>2-DPC (Doméstico de pelo corto o DSH)</v>
      </c>
      <c r="AH1189">
        <f>VLOOKUP('Fichas clínicas'!AG1189,razas!$A$2:$D$66,3,FALSE)</f>
        <v>51</v>
      </c>
      <c r="AI1189" t="str">
        <f t="shared" si="56"/>
        <v>M</v>
      </c>
    </row>
    <row r="1190" spans="1:35" x14ac:dyDescent="0.2">
      <c r="A1190">
        <v>1192</v>
      </c>
      <c r="B1190" t="s">
        <v>2767</v>
      </c>
      <c r="C1190" t="s">
        <v>2768</v>
      </c>
      <c r="D1190" t="s">
        <v>32</v>
      </c>
      <c r="E1190" t="s">
        <v>257</v>
      </c>
      <c r="F1190" t="s">
        <v>34</v>
      </c>
      <c r="G1190" t="s">
        <v>284</v>
      </c>
      <c r="J1190" t="s">
        <v>2769</v>
      </c>
      <c r="K1190" t="s">
        <v>38</v>
      </c>
      <c r="L1190" t="s">
        <v>38</v>
      </c>
      <c r="M1190" t="s">
        <v>38</v>
      </c>
      <c r="N1190" t="s">
        <v>38</v>
      </c>
      <c r="O1190" t="s">
        <v>38</v>
      </c>
      <c r="T1190" t="s">
        <v>38</v>
      </c>
      <c r="U1190">
        <v>0</v>
      </c>
      <c r="W1190">
        <v>0</v>
      </c>
      <c r="X1190">
        <v>0</v>
      </c>
      <c r="Y1190">
        <v>0</v>
      </c>
      <c r="AE1190">
        <f t="shared" si="54"/>
        <v>1</v>
      </c>
      <c r="AF1190">
        <f>VLOOKUP(D1190,especies!$A$2:$C$9,3,FALSE)</f>
        <v>1</v>
      </c>
      <c r="AG1190" t="str">
        <f t="shared" si="55"/>
        <v>1-Terrier Chileno</v>
      </c>
      <c r="AH1190">
        <f>VLOOKUP('Fichas clínicas'!AG1190,razas!$A$2:$D$66,3,FALSE)</f>
        <v>10</v>
      </c>
      <c r="AI1190" t="str">
        <f t="shared" si="56"/>
        <v>H</v>
      </c>
    </row>
    <row r="1191" spans="1:35" x14ac:dyDescent="0.2">
      <c r="A1191">
        <v>1193</v>
      </c>
      <c r="B1191" t="s">
        <v>2770</v>
      </c>
      <c r="C1191" t="s">
        <v>2771</v>
      </c>
      <c r="D1191" t="s">
        <v>32</v>
      </c>
      <c r="E1191" t="s">
        <v>33</v>
      </c>
      <c r="F1191" t="s">
        <v>47</v>
      </c>
      <c r="G1191" t="s">
        <v>258</v>
      </c>
      <c r="J1191" t="s">
        <v>2772</v>
      </c>
      <c r="K1191" t="s">
        <v>38</v>
      </c>
      <c r="L1191" t="s">
        <v>38</v>
      </c>
      <c r="M1191" t="s">
        <v>38</v>
      </c>
      <c r="N1191" t="s">
        <v>38</v>
      </c>
      <c r="O1191" t="s">
        <v>38</v>
      </c>
      <c r="T1191" t="s">
        <v>38</v>
      </c>
      <c r="U1191">
        <v>0</v>
      </c>
      <c r="W1191">
        <v>0</v>
      </c>
      <c r="X1191">
        <v>0</v>
      </c>
      <c r="Y1191">
        <v>0</v>
      </c>
      <c r="AE1191">
        <f t="shared" si="54"/>
        <v>1</v>
      </c>
      <c r="AF1191">
        <f>VLOOKUP(D1191,especies!$A$2:$C$9,3,FALSE)</f>
        <v>1</v>
      </c>
      <c r="AG1191" t="str">
        <f t="shared" si="55"/>
        <v>1-Mestizo</v>
      </c>
      <c r="AH1191">
        <f>VLOOKUP('Fichas clínicas'!AG1191,razas!$A$2:$D$66,3,FALSE)</f>
        <v>1</v>
      </c>
      <c r="AI1191" t="str">
        <f t="shared" si="56"/>
        <v>M</v>
      </c>
    </row>
    <row r="1192" spans="1:35" x14ac:dyDescent="0.2">
      <c r="A1192">
        <v>1194</v>
      </c>
      <c r="B1192" t="s">
        <v>2773</v>
      </c>
      <c r="C1192" t="s">
        <v>2774</v>
      </c>
      <c r="D1192" t="s">
        <v>32</v>
      </c>
      <c r="E1192" t="s">
        <v>33</v>
      </c>
      <c r="F1192" t="s">
        <v>47</v>
      </c>
      <c r="G1192" t="s">
        <v>116</v>
      </c>
      <c r="J1192" t="s">
        <v>2775</v>
      </c>
      <c r="K1192" t="s">
        <v>38</v>
      </c>
      <c r="L1192" t="s">
        <v>38</v>
      </c>
      <c r="M1192" t="s">
        <v>38</v>
      </c>
      <c r="N1192" t="s">
        <v>38</v>
      </c>
      <c r="O1192" t="s">
        <v>38</v>
      </c>
      <c r="T1192" t="s">
        <v>38</v>
      </c>
      <c r="U1192">
        <v>0</v>
      </c>
      <c r="W1192">
        <v>0</v>
      </c>
      <c r="X1192">
        <v>0</v>
      </c>
      <c r="Y1192">
        <v>0</v>
      </c>
      <c r="AE1192">
        <f t="shared" si="54"/>
        <v>1</v>
      </c>
      <c r="AF1192">
        <f>VLOOKUP(D1192,especies!$A$2:$C$9,3,FALSE)</f>
        <v>1</v>
      </c>
      <c r="AG1192" t="str">
        <f t="shared" si="55"/>
        <v>1-Mestizo</v>
      </c>
      <c r="AH1192">
        <f>VLOOKUP('Fichas clínicas'!AG1192,razas!$A$2:$D$66,3,FALSE)</f>
        <v>1</v>
      </c>
      <c r="AI1192" t="str">
        <f t="shared" si="56"/>
        <v>M</v>
      </c>
    </row>
    <row r="1193" spans="1:35" x14ac:dyDescent="0.2">
      <c r="A1193">
        <v>1195</v>
      </c>
      <c r="B1193" t="s">
        <v>2776</v>
      </c>
      <c r="C1193" t="s">
        <v>2777</v>
      </c>
      <c r="D1193" t="s">
        <v>32</v>
      </c>
      <c r="E1193" t="s">
        <v>33</v>
      </c>
      <c r="F1193" t="s">
        <v>47</v>
      </c>
      <c r="G1193" t="s">
        <v>77</v>
      </c>
      <c r="J1193" t="s">
        <v>2778</v>
      </c>
      <c r="K1193" t="s">
        <v>38</v>
      </c>
      <c r="L1193" t="s">
        <v>38</v>
      </c>
      <c r="M1193" t="s">
        <v>38</v>
      </c>
      <c r="N1193" t="s">
        <v>38</v>
      </c>
      <c r="O1193" t="s">
        <v>38</v>
      </c>
      <c r="T1193" t="s">
        <v>38</v>
      </c>
      <c r="U1193">
        <v>0</v>
      </c>
      <c r="V1193">
        <v>1</v>
      </c>
      <c r="W1193">
        <v>0</v>
      </c>
      <c r="X1193">
        <v>0</v>
      </c>
      <c r="Y1193">
        <v>0</v>
      </c>
      <c r="AE1193">
        <f t="shared" si="54"/>
        <v>1</v>
      </c>
      <c r="AF1193">
        <f>VLOOKUP(D1193,especies!$A$2:$C$9,3,FALSE)</f>
        <v>1</v>
      </c>
      <c r="AG1193" t="str">
        <f t="shared" si="55"/>
        <v>1-Mestizo</v>
      </c>
      <c r="AH1193">
        <f>VLOOKUP('Fichas clínicas'!AG1193,razas!$A$2:$D$66,3,FALSE)</f>
        <v>1</v>
      </c>
      <c r="AI1193" t="str">
        <f t="shared" si="56"/>
        <v>M</v>
      </c>
    </row>
    <row r="1194" spans="1:35" x14ac:dyDescent="0.2">
      <c r="A1194">
        <v>1196</v>
      </c>
      <c r="B1194" t="s">
        <v>2779</v>
      </c>
      <c r="C1194" t="s">
        <v>2780</v>
      </c>
      <c r="D1194" t="s">
        <v>41</v>
      </c>
      <c r="E1194" t="s">
        <v>42</v>
      </c>
      <c r="F1194" t="s">
        <v>34</v>
      </c>
      <c r="G1194" t="s">
        <v>2781</v>
      </c>
      <c r="J1194" t="s">
        <v>221</v>
      </c>
      <c r="K1194" t="s">
        <v>38</v>
      </c>
      <c r="L1194" t="s">
        <v>38</v>
      </c>
      <c r="M1194" t="s">
        <v>38</v>
      </c>
      <c r="N1194" t="s">
        <v>38</v>
      </c>
      <c r="O1194" t="s">
        <v>38</v>
      </c>
      <c r="T1194" t="s">
        <v>38</v>
      </c>
      <c r="U1194">
        <v>0</v>
      </c>
      <c r="W1194">
        <v>0</v>
      </c>
      <c r="X1194">
        <v>0</v>
      </c>
      <c r="Y1194">
        <v>0</v>
      </c>
      <c r="AE1194">
        <f t="shared" si="54"/>
        <v>1</v>
      </c>
      <c r="AF1194">
        <f>VLOOKUP(D1194,especies!$A$2:$C$9,3,FALSE)</f>
        <v>2</v>
      </c>
      <c r="AG1194" t="str">
        <f t="shared" si="55"/>
        <v>2-DPC (Doméstico de pelo corto o DSH)</v>
      </c>
      <c r="AH1194">
        <f>VLOOKUP('Fichas clínicas'!AG1194,razas!$A$2:$D$66,3,FALSE)</f>
        <v>51</v>
      </c>
      <c r="AI1194" t="str">
        <f t="shared" si="56"/>
        <v>H</v>
      </c>
    </row>
    <row r="1195" spans="1:35" x14ac:dyDescent="0.2">
      <c r="A1195">
        <v>1197</v>
      </c>
      <c r="B1195" t="s">
        <v>2782</v>
      </c>
      <c r="C1195" t="s">
        <v>2783</v>
      </c>
      <c r="D1195" t="s">
        <v>32</v>
      </c>
      <c r="E1195" t="s">
        <v>33</v>
      </c>
      <c r="F1195" t="s">
        <v>34</v>
      </c>
      <c r="G1195" t="s">
        <v>123</v>
      </c>
      <c r="J1195" t="s">
        <v>1012</v>
      </c>
      <c r="K1195" t="s">
        <v>38</v>
      </c>
      <c r="L1195" t="s">
        <v>38</v>
      </c>
      <c r="M1195" t="s">
        <v>38</v>
      </c>
      <c r="N1195" t="s">
        <v>38</v>
      </c>
      <c r="O1195" t="s">
        <v>38</v>
      </c>
      <c r="T1195" t="s">
        <v>38</v>
      </c>
      <c r="U1195">
        <v>0</v>
      </c>
      <c r="W1195">
        <v>0</v>
      </c>
      <c r="X1195">
        <v>0</v>
      </c>
      <c r="Y1195">
        <v>0</v>
      </c>
      <c r="AE1195">
        <f t="shared" si="54"/>
        <v>1</v>
      </c>
      <c r="AF1195">
        <f>VLOOKUP(D1195,especies!$A$2:$C$9,3,FALSE)</f>
        <v>1</v>
      </c>
      <c r="AG1195" t="str">
        <f t="shared" si="55"/>
        <v>1-Mestizo</v>
      </c>
      <c r="AH1195">
        <f>VLOOKUP('Fichas clínicas'!AG1195,razas!$A$2:$D$66,3,FALSE)</f>
        <v>1</v>
      </c>
      <c r="AI1195" t="str">
        <f t="shared" si="56"/>
        <v>H</v>
      </c>
    </row>
    <row r="1196" spans="1:35" x14ac:dyDescent="0.2">
      <c r="A1196">
        <v>1198</v>
      </c>
      <c r="B1196" t="s">
        <v>2578</v>
      </c>
      <c r="C1196" t="s">
        <v>2784</v>
      </c>
      <c r="D1196" t="s">
        <v>41</v>
      </c>
      <c r="E1196" t="s">
        <v>42</v>
      </c>
      <c r="F1196" t="s">
        <v>34</v>
      </c>
      <c r="G1196" t="s">
        <v>639</v>
      </c>
      <c r="J1196" t="s">
        <v>777</v>
      </c>
      <c r="K1196" t="s">
        <v>38</v>
      </c>
      <c r="L1196" t="s">
        <v>38</v>
      </c>
      <c r="M1196" t="s">
        <v>38</v>
      </c>
      <c r="N1196" t="s">
        <v>38</v>
      </c>
      <c r="O1196" t="s">
        <v>38</v>
      </c>
      <c r="T1196" t="s">
        <v>38</v>
      </c>
      <c r="U1196">
        <v>0</v>
      </c>
      <c r="V1196">
        <v>1</v>
      </c>
      <c r="W1196">
        <v>0</v>
      </c>
      <c r="X1196">
        <v>0</v>
      </c>
      <c r="Y1196">
        <v>0</v>
      </c>
      <c r="AE1196">
        <f t="shared" si="54"/>
        <v>1</v>
      </c>
      <c r="AF1196">
        <f>VLOOKUP(D1196,especies!$A$2:$C$9,3,FALSE)</f>
        <v>2</v>
      </c>
      <c r="AG1196" t="str">
        <f t="shared" si="55"/>
        <v>2-DPC (Doméstico de pelo corto o DSH)</v>
      </c>
      <c r="AH1196">
        <f>VLOOKUP('Fichas clínicas'!AG1196,razas!$A$2:$D$66,3,FALSE)</f>
        <v>51</v>
      </c>
      <c r="AI1196" t="str">
        <f t="shared" si="56"/>
        <v>H</v>
      </c>
    </row>
    <row r="1197" spans="1:35" x14ac:dyDescent="0.2">
      <c r="A1197">
        <v>1199</v>
      </c>
      <c r="B1197" t="s">
        <v>2785</v>
      </c>
      <c r="C1197" t="s">
        <v>2786</v>
      </c>
      <c r="D1197" t="s">
        <v>41</v>
      </c>
      <c r="E1197" t="s">
        <v>42</v>
      </c>
      <c r="F1197" t="s">
        <v>47</v>
      </c>
      <c r="G1197" t="s">
        <v>77</v>
      </c>
      <c r="J1197" t="s">
        <v>2787</v>
      </c>
      <c r="K1197" t="s">
        <v>38</v>
      </c>
      <c r="L1197" t="s">
        <v>38</v>
      </c>
      <c r="M1197" t="s">
        <v>38</v>
      </c>
      <c r="N1197" t="s">
        <v>38</v>
      </c>
      <c r="O1197" t="s">
        <v>38</v>
      </c>
      <c r="T1197" t="s">
        <v>38</v>
      </c>
      <c r="U1197">
        <v>0</v>
      </c>
      <c r="V1197">
        <v>1</v>
      </c>
      <c r="W1197">
        <v>0</v>
      </c>
      <c r="X1197">
        <v>0</v>
      </c>
      <c r="Y1197">
        <v>0</v>
      </c>
      <c r="AE1197">
        <f t="shared" si="54"/>
        <v>1</v>
      </c>
      <c r="AF1197">
        <f>VLOOKUP(D1197,especies!$A$2:$C$9,3,FALSE)</f>
        <v>2</v>
      </c>
      <c r="AG1197" t="str">
        <f t="shared" si="55"/>
        <v>2-DPC (Doméstico de pelo corto o DSH)</v>
      </c>
      <c r="AH1197">
        <f>VLOOKUP('Fichas clínicas'!AG1197,razas!$A$2:$D$66,3,FALSE)</f>
        <v>51</v>
      </c>
      <c r="AI1197" t="str">
        <f t="shared" si="56"/>
        <v>M</v>
      </c>
    </row>
    <row r="1198" spans="1:35" x14ac:dyDescent="0.2">
      <c r="A1198">
        <v>1200</v>
      </c>
      <c r="B1198" t="s">
        <v>2788</v>
      </c>
      <c r="C1198" t="s">
        <v>2789</v>
      </c>
      <c r="D1198" t="s">
        <v>41</v>
      </c>
      <c r="E1198" t="s">
        <v>93</v>
      </c>
      <c r="F1198" t="s">
        <v>47</v>
      </c>
      <c r="G1198" t="s">
        <v>43</v>
      </c>
      <c r="J1198" t="s">
        <v>1599</v>
      </c>
      <c r="K1198" t="s">
        <v>38</v>
      </c>
      <c r="L1198" t="s">
        <v>38</v>
      </c>
      <c r="M1198" t="s">
        <v>38</v>
      </c>
      <c r="N1198" t="s">
        <v>38</v>
      </c>
      <c r="O1198" t="s">
        <v>38</v>
      </c>
      <c r="T1198" t="s">
        <v>38</v>
      </c>
      <c r="U1198">
        <v>0</v>
      </c>
      <c r="V1198">
        <v>1</v>
      </c>
      <c r="W1198">
        <v>0</v>
      </c>
      <c r="X1198">
        <v>0</v>
      </c>
      <c r="Y1198">
        <v>0</v>
      </c>
      <c r="AE1198">
        <f t="shared" si="54"/>
        <v>1</v>
      </c>
      <c r="AF1198">
        <f>VLOOKUP(D1198,especies!$A$2:$C$9,3,FALSE)</f>
        <v>2</v>
      </c>
      <c r="AG1198" t="str">
        <f t="shared" si="55"/>
        <v>2-DPL (Doméstico de pelo Largo o DLH)</v>
      </c>
      <c r="AH1198">
        <f>VLOOKUP('Fichas clínicas'!AG1198,razas!$A$2:$D$66,3,FALSE)</f>
        <v>52</v>
      </c>
      <c r="AI1198" t="str">
        <f t="shared" si="56"/>
        <v>M</v>
      </c>
    </row>
    <row r="1199" spans="1:35" x14ac:dyDescent="0.2">
      <c r="A1199">
        <v>1201</v>
      </c>
      <c r="B1199" t="s">
        <v>2790</v>
      </c>
      <c r="C1199" t="s">
        <v>2791</v>
      </c>
      <c r="D1199" t="s">
        <v>41</v>
      </c>
      <c r="E1199" t="s">
        <v>42</v>
      </c>
      <c r="F1199" t="s">
        <v>34</v>
      </c>
      <c r="G1199" t="s">
        <v>116</v>
      </c>
      <c r="J1199" t="s">
        <v>58</v>
      </c>
      <c r="K1199" t="s">
        <v>38</v>
      </c>
      <c r="L1199" t="s">
        <v>38</v>
      </c>
      <c r="M1199" t="s">
        <v>38</v>
      </c>
      <c r="N1199" t="s">
        <v>38</v>
      </c>
      <c r="O1199" t="s">
        <v>38</v>
      </c>
      <c r="T1199" t="s">
        <v>38</v>
      </c>
      <c r="U1199">
        <v>0</v>
      </c>
      <c r="W1199">
        <v>0</v>
      </c>
      <c r="X1199">
        <v>0</v>
      </c>
      <c r="Y1199">
        <v>0</v>
      </c>
      <c r="AE1199">
        <f t="shared" si="54"/>
        <v>1</v>
      </c>
      <c r="AF1199">
        <f>VLOOKUP(D1199,especies!$A$2:$C$9,3,FALSE)</f>
        <v>2</v>
      </c>
      <c r="AG1199" t="str">
        <f t="shared" si="55"/>
        <v>2-DPC (Doméstico de pelo corto o DSH)</v>
      </c>
      <c r="AH1199">
        <f>VLOOKUP('Fichas clínicas'!AG1199,razas!$A$2:$D$66,3,FALSE)</f>
        <v>51</v>
      </c>
      <c r="AI1199" t="str">
        <f t="shared" si="56"/>
        <v>H</v>
      </c>
    </row>
    <row r="1200" spans="1:35" x14ac:dyDescent="0.2">
      <c r="A1200">
        <v>1202</v>
      </c>
      <c r="B1200" t="s">
        <v>2792</v>
      </c>
      <c r="C1200" t="s">
        <v>2793</v>
      </c>
      <c r="D1200" t="s">
        <v>32</v>
      </c>
      <c r="E1200" t="s">
        <v>309</v>
      </c>
      <c r="F1200" t="s">
        <v>47</v>
      </c>
      <c r="G1200" t="s">
        <v>2794</v>
      </c>
      <c r="J1200" t="s">
        <v>923</v>
      </c>
      <c r="K1200" t="s">
        <v>38</v>
      </c>
      <c r="L1200" t="s">
        <v>38</v>
      </c>
      <c r="M1200" t="s">
        <v>38</v>
      </c>
      <c r="N1200" t="s">
        <v>38</v>
      </c>
      <c r="O1200" t="s">
        <v>38</v>
      </c>
      <c r="T1200" t="s">
        <v>38</v>
      </c>
      <c r="U1200">
        <v>0</v>
      </c>
      <c r="V1200">
        <v>1</v>
      </c>
      <c r="W1200">
        <v>0</v>
      </c>
      <c r="X1200">
        <v>0</v>
      </c>
      <c r="Y1200">
        <v>0</v>
      </c>
      <c r="AE1200">
        <f t="shared" si="54"/>
        <v>1</v>
      </c>
      <c r="AF1200">
        <f>VLOOKUP(D1200,especies!$A$2:$C$9,3,FALSE)</f>
        <v>1</v>
      </c>
      <c r="AG1200" t="str">
        <f t="shared" si="55"/>
        <v>1-Pug</v>
      </c>
      <c r="AH1200">
        <f>VLOOKUP('Fichas clínicas'!AG1200,razas!$A$2:$D$66,3,FALSE)</f>
        <v>11</v>
      </c>
      <c r="AI1200" t="str">
        <f t="shared" si="56"/>
        <v>M</v>
      </c>
    </row>
    <row r="1201" spans="1:35" x14ac:dyDescent="0.2">
      <c r="A1201">
        <v>1203</v>
      </c>
      <c r="B1201" t="s">
        <v>2795</v>
      </c>
      <c r="C1201" t="s">
        <v>2498</v>
      </c>
      <c r="D1201" t="s">
        <v>32</v>
      </c>
      <c r="E1201" t="s">
        <v>33</v>
      </c>
      <c r="F1201" t="s">
        <v>47</v>
      </c>
      <c r="G1201" t="s">
        <v>656</v>
      </c>
      <c r="J1201" t="s">
        <v>2796</v>
      </c>
      <c r="K1201" t="s">
        <v>38</v>
      </c>
      <c r="L1201" t="s">
        <v>38</v>
      </c>
      <c r="M1201" t="s">
        <v>38</v>
      </c>
      <c r="N1201" t="s">
        <v>38</v>
      </c>
      <c r="O1201" t="s">
        <v>38</v>
      </c>
      <c r="T1201" t="s">
        <v>38</v>
      </c>
      <c r="U1201">
        <v>0</v>
      </c>
      <c r="W1201">
        <v>0</v>
      </c>
      <c r="X1201">
        <v>0</v>
      </c>
      <c r="Y1201">
        <v>0</v>
      </c>
      <c r="AE1201">
        <f t="shared" si="54"/>
        <v>1</v>
      </c>
      <c r="AF1201">
        <f>VLOOKUP(D1201,especies!$A$2:$C$9,3,FALSE)</f>
        <v>1</v>
      </c>
      <c r="AG1201" t="str">
        <f t="shared" si="55"/>
        <v>1-Mestizo</v>
      </c>
      <c r="AH1201">
        <f>VLOOKUP('Fichas clínicas'!AG1201,razas!$A$2:$D$66,3,FALSE)</f>
        <v>1</v>
      </c>
      <c r="AI1201" t="str">
        <f t="shared" si="56"/>
        <v>M</v>
      </c>
    </row>
    <row r="1202" spans="1:35" x14ac:dyDescent="0.2">
      <c r="A1202">
        <v>1204</v>
      </c>
      <c r="B1202" t="s">
        <v>847</v>
      </c>
      <c r="C1202" t="s">
        <v>2331</v>
      </c>
      <c r="D1202" t="s">
        <v>41</v>
      </c>
      <c r="E1202" t="s">
        <v>42</v>
      </c>
      <c r="F1202" t="s">
        <v>34</v>
      </c>
      <c r="G1202" t="s">
        <v>2797</v>
      </c>
      <c r="J1202" t="s">
        <v>2798</v>
      </c>
      <c r="K1202" t="s">
        <v>38</v>
      </c>
      <c r="L1202" t="s">
        <v>38</v>
      </c>
      <c r="M1202" t="s">
        <v>38</v>
      </c>
      <c r="N1202" t="s">
        <v>38</v>
      </c>
      <c r="O1202" t="s">
        <v>38</v>
      </c>
      <c r="T1202" t="s">
        <v>38</v>
      </c>
      <c r="U1202">
        <v>0</v>
      </c>
      <c r="W1202">
        <v>0</v>
      </c>
      <c r="X1202">
        <v>0</v>
      </c>
      <c r="Y1202">
        <v>0</v>
      </c>
      <c r="AE1202">
        <f t="shared" si="54"/>
        <v>1</v>
      </c>
      <c r="AF1202">
        <f>VLOOKUP(D1202,especies!$A$2:$C$9,3,FALSE)</f>
        <v>2</v>
      </c>
      <c r="AG1202" t="str">
        <f t="shared" si="55"/>
        <v>2-DPC (Doméstico de pelo corto o DSH)</v>
      </c>
      <c r="AH1202">
        <f>VLOOKUP('Fichas clínicas'!AG1202,razas!$A$2:$D$66,3,FALSE)</f>
        <v>51</v>
      </c>
      <c r="AI1202" t="str">
        <f t="shared" si="56"/>
        <v>H</v>
      </c>
    </row>
    <row r="1203" spans="1:35" x14ac:dyDescent="0.2">
      <c r="A1203">
        <v>1205</v>
      </c>
      <c r="B1203" t="s">
        <v>2799</v>
      </c>
      <c r="C1203" t="s">
        <v>2800</v>
      </c>
      <c r="D1203" t="s">
        <v>41</v>
      </c>
      <c r="E1203" t="s">
        <v>42</v>
      </c>
      <c r="F1203" t="s">
        <v>34</v>
      </c>
      <c r="G1203" t="s">
        <v>2801</v>
      </c>
      <c r="J1203" t="s">
        <v>2802</v>
      </c>
      <c r="K1203" t="s">
        <v>38</v>
      </c>
      <c r="L1203" t="s">
        <v>38</v>
      </c>
      <c r="M1203" t="s">
        <v>38</v>
      </c>
      <c r="N1203" t="s">
        <v>38</v>
      </c>
      <c r="O1203" t="s">
        <v>38</v>
      </c>
      <c r="T1203" t="s">
        <v>38</v>
      </c>
      <c r="U1203">
        <v>0</v>
      </c>
      <c r="V1203">
        <v>1</v>
      </c>
      <c r="W1203">
        <v>0</v>
      </c>
      <c r="X1203">
        <v>0</v>
      </c>
      <c r="Y1203">
        <v>0</v>
      </c>
      <c r="AE1203">
        <f t="shared" si="54"/>
        <v>1</v>
      </c>
      <c r="AF1203">
        <f>VLOOKUP(D1203,especies!$A$2:$C$9,3,FALSE)</f>
        <v>2</v>
      </c>
      <c r="AG1203" t="str">
        <f t="shared" si="55"/>
        <v>2-DPC (Doméstico de pelo corto o DSH)</v>
      </c>
      <c r="AH1203">
        <f>VLOOKUP('Fichas clínicas'!AG1203,razas!$A$2:$D$66,3,FALSE)</f>
        <v>51</v>
      </c>
      <c r="AI1203" t="str">
        <f t="shared" si="56"/>
        <v>H</v>
      </c>
    </row>
    <row r="1204" spans="1:35" x14ac:dyDescent="0.2">
      <c r="A1204">
        <v>1206</v>
      </c>
      <c r="B1204" t="s">
        <v>2803</v>
      </c>
      <c r="C1204" t="s">
        <v>1768</v>
      </c>
      <c r="D1204" t="s">
        <v>32</v>
      </c>
      <c r="E1204" t="s">
        <v>33</v>
      </c>
      <c r="F1204" t="s">
        <v>47</v>
      </c>
      <c r="G1204" t="s">
        <v>2804</v>
      </c>
      <c r="J1204" t="s">
        <v>2805</v>
      </c>
      <c r="K1204" t="s">
        <v>38</v>
      </c>
      <c r="L1204" t="s">
        <v>38</v>
      </c>
      <c r="M1204" t="s">
        <v>38</v>
      </c>
      <c r="N1204" t="s">
        <v>38</v>
      </c>
      <c r="O1204" t="s">
        <v>38</v>
      </c>
      <c r="T1204" t="s">
        <v>38</v>
      </c>
      <c r="U1204">
        <v>0</v>
      </c>
      <c r="V1204">
        <v>1</v>
      </c>
      <c r="W1204">
        <v>0</v>
      </c>
      <c r="X1204">
        <v>0</v>
      </c>
      <c r="Y1204">
        <v>0</v>
      </c>
      <c r="AE1204">
        <f t="shared" si="54"/>
        <v>1</v>
      </c>
      <c r="AF1204">
        <f>VLOOKUP(D1204,especies!$A$2:$C$9,3,FALSE)</f>
        <v>1</v>
      </c>
      <c r="AG1204" t="str">
        <f t="shared" si="55"/>
        <v>1-Mestizo</v>
      </c>
      <c r="AH1204">
        <f>VLOOKUP('Fichas clínicas'!AG1204,razas!$A$2:$D$66,3,FALSE)</f>
        <v>1</v>
      </c>
      <c r="AI1204" t="str">
        <f t="shared" si="56"/>
        <v>M</v>
      </c>
    </row>
    <row r="1205" spans="1:35" x14ac:dyDescent="0.2">
      <c r="A1205">
        <v>1207</v>
      </c>
      <c r="B1205" t="s">
        <v>2806</v>
      </c>
      <c r="C1205" t="s">
        <v>2807</v>
      </c>
      <c r="D1205" t="s">
        <v>32</v>
      </c>
      <c r="E1205" t="s">
        <v>33</v>
      </c>
      <c r="F1205" t="s">
        <v>34</v>
      </c>
      <c r="G1205" t="s">
        <v>2054</v>
      </c>
      <c r="J1205" t="s">
        <v>719</v>
      </c>
      <c r="K1205" t="s">
        <v>38</v>
      </c>
      <c r="L1205" t="s">
        <v>38</v>
      </c>
      <c r="M1205" t="s">
        <v>38</v>
      </c>
      <c r="N1205" t="s">
        <v>38</v>
      </c>
      <c r="O1205" t="s">
        <v>38</v>
      </c>
      <c r="T1205" t="s">
        <v>38</v>
      </c>
      <c r="U1205">
        <v>0</v>
      </c>
      <c r="V1205">
        <v>1</v>
      </c>
      <c r="W1205">
        <v>0</v>
      </c>
      <c r="X1205">
        <v>0</v>
      </c>
      <c r="Y1205">
        <v>0</v>
      </c>
      <c r="AE1205">
        <f t="shared" si="54"/>
        <v>1</v>
      </c>
      <c r="AF1205">
        <f>VLOOKUP(D1205,especies!$A$2:$C$9,3,FALSE)</f>
        <v>1</v>
      </c>
      <c r="AG1205" t="str">
        <f t="shared" si="55"/>
        <v>1-Mestizo</v>
      </c>
      <c r="AH1205">
        <f>VLOOKUP('Fichas clínicas'!AG1205,razas!$A$2:$D$66,3,FALSE)</f>
        <v>1</v>
      </c>
      <c r="AI1205" t="str">
        <f t="shared" si="56"/>
        <v>H</v>
      </c>
    </row>
    <row r="1206" spans="1:35" x14ac:dyDescent="0.2">
      <c r="A1206">
        <v>1208</v>
      </c>
      <c r="B1206" t="s">
        <v>750</v>
      </c>
      <c r="C1206" t="s">
        <v>2808</v>
      </c>
      <c r="D1206" t="s">
        <v>41</v>
      </c>
      <c r="E1206" t="s">
        <v>42</v>
      </c>
      <c r="F1206" t="s">
        <v>47</v>
      </c>
      <c r="G1206" t="s">
        <v>77</v>
      </c>
      <c r="J1206" t="s">
        <v>2809</v>
      </c>
      <c r="K1206" t="s">
        <v>38</v>
      </c>
      <c r="L1206" t="s">
        <v>38</v>
      </c>
      <c r="M1206" t="s">
        <v>38</v>
      </c>
      <c r="N1206" t="s">
        <v>38</v>
      </c>
      <c r="O1206" t="s">
        <v>38</v>
      </c>
      <c r="T1206" t="s">
        <v>38</v>
      </c>
      <c r="U1206">
        <v>0</v>
      </c>
      <c r="W1206">
        <v>0</v>
      </c>
      <c r="X1206">
        <v>0</v>
      </c>
      <c r="Y1206">
        <v>0</v>
      </c>
      <c r="AE1206">
        <f t="shared" si="54"/>
        <v>1</v>
      </c>
      <c r="AF1206">
        <f>VLOOKUP(D1206,especies!$A$2:$C$9,3,FALSE)</f>
        <v>2</v>
      </c>
      <c r="AG1206" t="str">
        <f t="shared" si="55"/>
        <v>2-DPC (Doméstico de pelo corto o DSH)</v>
      </c>
      <c r="AH1206">
        <f>VLOOKUP('Fichas clínicas'!AG1206,razas!$A$2:$D$66,3,FALSE)</f>
        <v>51</v>
      </c>
      <c r="AI1206" t="str">
        <f t="shared" si="56"/>
        <v>M</v>
      </c>
    </row>
    <row r="1207" spans="1:35" x14ac:dyDescent="0.2">
      <c r="A1207">
        <v>1209</v>
      </c>
      <c r="B1207" t="s">
        <v>2810</v>
      </c>
      <c r="C1207" t="s">
        <v>2811</v>
      </c>
      <c r="D1207" t="s">
        <v>41</v>
      </c>
      <c r="E1207" t="s">
        <v>42</v>
      </c>
      <c r="F1207" t="s">
        <v>34</v>
      </c>
      <c r="G1207" t="s">
        <v>2812</v>
      </c>
      <c r="I1207">
        <v>992001000393608</v>
      </c>
      <c r="J1207" t="s">
        <v>2813</v>
      </c>
      <c r="K1207" t="s">
        <v>38</v>
      </c>
      <c r="L1207" t="s">
        <v>38</v>
      </c>
      <c r="M1207" t="s">
        <v>38</v>
      </c>
      <c r="N1207" t="s">
        <v>38</v>
      </c>
      <c r="O1207" t="s">
        <v>38</v>
      </c>
      <c r="Q1207">
        <v>0</v>
      </c>
      <c r="T1207" t="s">
        <v>38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f t="shared" si="54"/>
        <v>1</v>
      </c>
      <c r="AF1207">
        <f>VLOOKUP(D1207,especies!$A$2:$C$9,3,FALSE)</f>
        <v>2</v>
      </c>
      <c r="AG1207" t="str">
        <f t="shared" si="55"/>
        <v>2-DPC (Doméstico de pelo corto o DSH)</v>
      </c>
      <c r="AH1207">
        <f>VLOOKUP('Fichas clínicas'!AG1207,razas!$A$2:$D$66,3,FALSE)</f>
        <v>51</v>
      </c>
      <c r="AI1207" t="str">
        <f t="shared" si="56"/>
        <v>H</v>
      </c>
    </row>
    <row r="1208" spans="1:35" x14ac:dyDescent="0.2">
      <c r="A1208">
        <v>1210</v>
      </c>
      <c r="B1208" t="s">
        <v>2814</v>
      </c>
      <c r="C1208" t="s">
        <v>2815</v>
      </c>
      <c r="D1208" t="s">
        <v>41</v>
      </c>
      <c r="E1208" t="s">
        <v>93</v>
      </c>
      <c r="F1208" t="s">
        <v>34</v>
      </c>
      <c r="G1208" t="s">
        <v>2812</v>
      </c>
      <c r="J1208" t="s">
        <v>37</v>
      </c>
      <c r="K1208" t="s">
        <v>38</v>
      </c>
      <c r="L1208" t="s">
        <v>38</v>
      </c>
      <c r="M1208" t="s">
        <v>38</v>
      </c>
      <c r="N1208" t="s">
        <v>38</v>
      </c>
      <c r="O1208" t="s">
        <v>38</v>
      </c>
      <c r="T1208" t="s">
        <v>38</v>
      </c>
      <c r="U1208">
        <v>0</v>
      </c>
      <c r="W1208">
        <v>0</v>
      </c>
      <c r="X1208">
        <v>0</v>
      </c>
      <c r="Y1208">
        <v>0</v>
      </c>
      <c r="AE1208">
        <f t="shared" si="54"/>
        <v>1</v>
      </c>
      <c r="AF1208">
        <f>VLOOKUP(D1208,especies!$A$2:$C$9,3,FALSE)</f>
        <v>2</v>
      </c>
      <c r="AG1208" t="str">
        <f t="shared" si="55"/>
        <v>2-DPL (Doméstico de pelo Largo o DLH)</v>
      </c>
      <c r="AH1208">
        <f>VLOOKUP('Fichas clínicas'!AG1208,razas!$A$2:$D$66,3,FALSE)</f>
        <v>52</v>
      </c>
      <c r="AI1208" t="str">
        <f t="shared" si="56"/>
        <v>H</v>
      </c>
    </row>
    <row r="1209" spans="1:35" x14ac:dyDescent="0.2">
      <c r="A1209">
        <v>1211</v>
      </c>
      <c r="B1209" t="s">
        <v>1690</v>
      </c>
      <c r="C1209" t="s">
        <v>2816</v>
      </c>
      <c r="D1209" t="s">
        <v>32</v>
      </c>
      <c r="E1209" t="s">
        <v>33</v>
      </c>
      <c r="F1209" t="s">
        <v>34</v>
      </c>
      <c r="G1209" t="s">
        <v>73</v>
      </c>
      <c r="J1209" t="s">
        <v>1691</v>
      </c>
      <c r="K1209" t="s">
        <v>38</v>
      </c>
      <c r="L1209" t="s">
        <v>38</v>
      </c>
      <c r="M1209" t="s">
        <v>38</v>
      </c>
      <c r="N1209" t="s">
        <v>38</v>
      </c>
      <c r="O1209" t="s">
        <v>38</v>
      </c>
      <c r="Q1209">
        <v>0</v>
      </c>
      <c r="T1209" t="s">
        <v>38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f t="shared" si="54"/>
        <v>1</v>
      </c>
      <c r="AF1209">
        <f>VLOOKUP(D1209,especies!$A$2:$C$9,3,FALSE)</f>
        <v>1</v>
      </c>
      <c r="AG1209" t="str">
        <f t="shared" si="55"/>
        <v>1-Mestizo</v>
      </c>
      <c r="AH1209">
        <f>VLOOKUP('Fichas clínicas'!AG1209,razas!$A$2:$D$66,3,FALSE)</f>
        <v>1</v>
      </c>
      <c r="AI1209" t="str">
        <f t="shared" si="56"/>
        <v>H</v>
      </c>
    </row>
    <row r="1210" spans="1:35" x14ac:dyDescent="0.2">
      <c r="A1210">
        <v>1212</v>
      </c>
      <c r="B1210" t="s">
        <v>2817</v>
      </c>
      <c r="C1210" t="s">
        <v>2818</v>
      </c>
      <c r="D1210" t="s">
        <v>32</v>
      </c>
      <c r="E1210" t="s">
        <v>508</v>
      </c>
      <c r="F1210" t="s">
        <v>34</v>
      </c>
      <c r="G1210" t="s">
        <v>2819</v>
      </c>
      <c r="I1210">
        <v>9990201906690</v>
      </c>
      <c r="J1210" t="s">
        <v>2820</v>
      </c>
      <c r="K1210" t="s">
        <v>38</v>
      </c>
      <c r="L1210" t="s">
        <v>38</v>
      </c>
      <c r="M1210" t="s">
        <v>38</v>
      </c>
      <c r="N1210" t="s">
        <v>38</v>
      </c>
      <c r="O1210" t="s">
        <v>38</v>
      </c>
      <c r="Q1210">
        <v>0</v>
      </c>
      <c r="T1210" t="s">
        <v>38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f t="shared" si="54"/>
        <v>1</v>
      </c>
      <c r="AF1210">
        <f>VLOOKUP(D1210,especies!$A$2:$C$9,3,FALSE)</f>
        <v>1</v>
      </c>
      <c r="AG1210" t="str">
        <f t="shared" si="55"/>
        <v>1-Akita Americano</v>
      </c>
      <c r="AH1210">
        <f>VLOOKUP('Fichas clínicas'!AG1210,razas!$A$2:$D$66,3,FALSE)</f>
        <v>15</v>
      </c>
      <c r="AI1210" t="str">
        <f t="shared" si="56"/>
        <v>H</v>
      </c>
    </row>
    <row r="1211" spans="1:35" x14ac:dyDescent="0.2">
      <c r="A1211">
        <v>1213</v>
      </c>
      <c r="B1211" t="s">
        <v>2821</v>
      </c>
      <c r="C1211" t="s">
        <v>2822</v>
      </c>
      <c r="D1211" t="s">
        <v>41</v>
      </c>
      <c r="E1211" t="s">
        <v>42</v>
      </c>
      <c r="F1211" t="s">
        <v>47</v>
      </c>
      <c r="G1211" t="s">
        <v>300</v>
      </c>
      <c r="I1211">
        <v>991001002937244</v>
      </c>
      <c r="J1211" t="s">
        <v>489</v>
      </c>
      <c r="K1211" t="s">
        <v>38</v>
      </c>
      <c r="L1211" t="s">
        <v>38</v>
      </c>
      <c r="M1211" t="s">
        <v>38</v>
      </c>
      <c r="N1211" t="s">
        <v>38</v>
      </c>
      <c r="O1211" t="s">
        <v>38</v>
      </c>
      <c r="Q1211">
        <v>0</v>
      </c>
      <c r="T1211" t="s">
        <v>38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f t="shared" si="54"/>
        <v>1</v>
      </c>
      <c r="AF1211">
        <f>VLOOKUP(D1211,especies!$A$2:$C$9,3,FALSE)</f>
        <v>2</v>
      </c>
      <c r="AG1211" t="str">
        <f t="shared" si="55"/>
        <v>2-DPC (Doméstico de pelo corto o DSH)</v>
      </c>
      <c r="AH1211">
        <f>VLOOKUP('Fichas clínicas'!AG1211,razas!$A$2:$D$66,3,FALSE)</f>
        <v>51</v>
      </c>
      <c r="AI1211" t="str">
        <f t="shared" si="56"/>
        <v>M</v>
      </c>
    </row>
    <row r="1212" spans="1:35" x14ac:dyDescent="0.2">
      <c r="A1212">
        <v>1214</v>
      </c>
      <c r="B1212" t="s">
        <v>171</v>
      </c>
      <c r="C1212" t="s">
        <v>2823</v>
      </c>
      <c r="D1212" t="s">
        <v>41</v>
      </c>
      <c r="E1212" t="s">
        <v>42</v>
      </c>
      <c r="F1212" t="s">
        <v>47</v>
      </c>
      <c r="G1212" t="s">
        <v>1547</v>
      </c>
      <c r="J1212" t="s">
        <v>2824</v>
      </c>
      <c r="K1212" t="s">
        <v>38</v>
      </c>
      <c r="L1212" t="s">
        <v>38</v>
      </c>
      <c r="M1212" t="s">
        <v>38</v>
      </c>
      <c r="N1212" t="s">
        <v>38</v>
      </c>
      <c r="O1212" t="s">
        <v>38</v>
      </c>
      <c r="T1212" t="s">
        <v>38</v>
      </c>
      <c r="U1212">
        <v>0</v>
      </c>
      <c r="V1212">
        <v>1</v>
      </c>
      <c r="W1212">
        <v>0</v>
      </c>
      <c r="X1212">
        <v>0</v>
      </c>
      <c r="Y1212">
        <v>0</v>
      </c>
      <c r="AE1212">
        <f t="shared" si="54"/>
        <v>1</v>
      </c>
      <c r="AF1212">
        <f>VLOOKUP(D1212,especies!$A$2:$C$9,3,FALSE)</f>
        <v>2</v>
      </c>
      <c r="AG1212" t="str">
        <f t="shared" si="55"/>
        <v>2-DPC (Doméstico de pelo corto o DSH)</v>
      </c>
      <c r="AH1212">
        <f>VLOOKUP('Fichas clínicas'!AG1212,razas!$A$2:$D$66,3,FALSE)</f>
        <v>51</v>
      </c>
      <c r="AI1212" t="str">
        <f t="shared" si="56"/>
        <v>M</v>
      </c>
    </row>
    <row r="1213" spans="1:35" x14ac:dyDescent="0.2">
      <c r="A1213">
        <v>1215</v>
      </c>
      <c r="B1213" t="s">
        <v>1890</v>
      </c>
      <c r="C1213" t="s">
        <v>2825</v>
      </c>
      <c r="D1213" t="s">
        <v>32</v>
      </c>
      <c r="E1213" t="s">
        <v>33</v>
      </c>
      <c r="F1213" t="s">
        <v>34</v>
      </c>
      <c r="G1213" t="s">
        <v>81</v>
      </c>
      <c r="I1213">
        <v>963007000510299</v>
      </c>
      <c r="J1213" t="s">
        <v>74</v>
      </c>
      <c r="K1213" t="s">
        <v>38</v>
      </c>
      <c r="L1213" t="s">
        <v>38</v>
      </c>
      <c r="M1213" t="s">
        <v>38</v>
      </c>
      <c r="N1213" t="s">
        <v>38</v>
      </c>
      <c r="O1213" t="s">
        <v>38</v>
      </c>
      <c r="Q1213">
        <v>0</v>
      </c>
      <c r="T1213" t="s">
        <v>38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f t="shared" si="54"/>
        <v>1</v>
      </c>
      <c r="AF1213">
        <f>VLOOKUP(D1213,especies!$A$2:$C$9,3,FALSE)</f>
        <v>1</v>
      </c>
      <c r="AG1213" t="str">
        <f t="shared" si="55"/>
        <v>1-Mestizo</v>
      </c>
      <c r="AH1213">
        <f>VLOOKUP('Fichas clínicas'!AG1213,razas!$A$2:$D$66,3,FALSE)</f>
        <v>1</v>
      </c>
      <c r="AI1213" t="str">
        <f t="shared" si="56"/>
        <v>H</v>
      </c>
    </row>
    <row r="1214" spans="1:35" x14ac:dyDescent="0.2">
      <c r="A1214">
        <v>1216</v>
      </c>
      <c r="B1214" t="s">
        <v>2826</v>
      </c>
      <c r="C1214" t="s">
        <v>1607</v>
      </c>
      <c r="D1214" t="s">
        <v>41</v>
      </c>
      <c r="E1214" t="s">
        <v>93</v>
      </c>
      <c r="F1214" t="s">
        <v>47</v>
      </c>
      <c r="G1214" t="s">
        <v>2827</v>
      </c>
      <c r="J1214" t="s">
        <v>338</v>
      </c>
      <c r="K1214" t="s">
        <v>38</v>
      </c>
      <c r="L1214" t="s">
        <v>38</v>
      </c>
      <c r="M1214" t="s">
        <v>38</v>
      </c>
      <c r="N1214" t="s">
        <v>38</v>
      </c>
      <c r="O1214" t="s">
        <v>38</v>
      </c>
      <c r="T1214" t="s">
        <v>38</v>
      </c>
      <c r="U1214">
        <v>0</v>
      </c>
      <c r="W1214">
        <v>0</v>
      </c>
      <c r="X1214">
        <v>0</v>
      </c>
      <c r="Y1214">
        <v>0</v>
      </c>
      <c r="AE1214">
        <f t="shared" si="54"/>
        <v>1</v>
      </c>
      <c r="AF1214">
        <f>VLOOKUP(D1214,especies!$A$2:$C$9,3,FALSE)</f>
        <v>2</v>
      </c>
      <c r="AG1214" t="str">
        <f t="shared" si="55"/>
        <v>2-DPL (Doméstico de pelo Largo o DLH)</v>
      </c>
      <c r="AH1214">
        <f>VLOOKUP('Fichas clínicas'!AG1214,razas!$A$2:$D$66,3,FALSE)</f>
        <v>52</v>
      </c>
      <c r="AI1214" t="str">
        <f t="shared" si="56"/>
        <v>M</v>
      </c>
    </row>
    <row r="1215" spans="1:35" x14ac:dyDescent="0.2">
      <c r="A1215">
        <v>1217</v>
      </c>
      <c r="B1215" t="s">
        <v>2828</v>
      </c>
      <c r="C1215" t="s">
        <v>2829</v>
      </c>
      <c r="D1215" t="s">
        <v>41</v>
      </c>
      <c r="E1215" t="s">
        <v>42</v>
      </c>
      <c r="F1215" t="s">
        <v>47</v>
      </c>
      <c r="G1215" t="s">
        <v>1862</v>
      </c>
      <c r="J1215" t="s">
        <v>2830</v>
      </c>
      <c r="K1215" t="s">
        <v>38</v>
      </c>
      <c r="L1215" t="s">
        <v>38</v>
      </c>
      <c r="M1215" t="s">
        <v>38</v>
      </c>
      <c r="N1215" t="s">
        <v>38</v>
      </c>
      <c r="O1215" t="s">
        <v>38</v>
      </c>
      <c r="T1215" t="s">
        <v>38</v>
      </c>
      <c r="U1215">
        <v>0</v>
      </c>
      <c r="V1215">
        <v>1</v>
      </c>
      <c r="W1215">
        <v>0</v>
      </c>
      <c r="X1215">
        <v>0</v>
      </c>
      <c r="Y1215">
        <v>0</v>
      </c>
      <c r="AE1215">
        <f t="shared" si="54"/>
        <v>1</v>
      </c>
      <c r="AF1215">
        <f>VLOOKUP(D1215,especies!$A$2:$C$9,3,FALSE)</f>
        <v>2</v>
      </c>
      <c r="AG1215" t="str">
        <f t="shared" si="55"/>
        <v>2-DPC (Doméstico de pelo corto o DSH)</v>
      </c>
      <c r="AH1215">
        <f>VLOOKUP('Fichas clínicas'!AG1215,razas!$A$2:$D$66,3,FALSE)</f>
        <v>51</v>
      </c>
      <c r="AI1215" t="str">
        <f t="shared" si="56"/>
        <v>M</v>
      </c>
    </row>
    <row r="1216" spans="1:35" x14ac:dyDescent="0.2">
      <c r="A1216">
        <v>1218</v>
      </c>
      <c r="B1216" t="s">
        <v>2831</v>
      </c>
      <c r="C1216" t="s">
        <v>2832</v>
      </c>
      <c r="D1216" t="s">
        <v>32</v>
      </c>
      <c r="E1216" t="s">
        <v>33</v>
      </c>
      <c r="F1216" t="s">
        <v>47</v>
      </c>
      <c r="G1216" t="s">
        <v>2833</v>
      </c>
      <c r="J1216" t="s">
        <v>2560</v>
      </c>
      <c r="K1216" t="s">
        <v>38</v>
      </c>
      <c r="L1216" t="s">
        <v>38</v>
      </c>
      <c r="M1216" t="s">
        <v>38</v>
      </c>
      <c r="N1216" t="s">
        <v>38</v>
      </c>
      <c r="O1216" t="s">
        <v>38</v>
      </c>
      <c r="T1216" t="s">
        <v>38</v>
      </c>
      <c r="U1216">
        <v>0</v>
      </c>
      <c r="W1216">
        <v>0</v>
      </c>
      <c r="X1216">
        <v>0</v>
      </c>
      <c r="Y1216">
        <v>0</v>
      </c>
      <c r="AE1216">
        <f t="shared" si="54"/>
        <v>1</v>
      </c>
      <c r="AF1216">
        <f>VLOOKUP(D1216,especies!$A$2:$C$9,3,FALSE)</f>
        <v>1</v>
      </c>
      <c r="AG1216" t="str">
        <f t="shared" si="55"/>
        <v>1-Mestizo</v>
      </c>
      <c r="AH1216">
        <f>VLOOKUP('Fichas clínicas'!AG1216,razas!$A$2:$D$66,3,FALSE)</f>
        <v>1</v>
      </c>
      <c r="AI1216" t="str">
        <f t="shared" si="56"/>
        <v>M</v>
      </c>
    </row>
    <row r="1217" spans="1:35" x14ac:dyDescent="0.2">
      <c r="A1217">
        <v>1219</v>
      </c>
      <c r="B1217" t="s">
        <v>1671</v>
      </c>
      <c r="C1217" t="s">
        <v>2834</v>
      </c>
      <c r="D1217" t="s">
        <v>32</v>
      </c>
      <c r="E1217" t="s">
        <v>150</v>
      </c>
      <c r="F1217" t="s">
        <v>34</v>
      </c>
      <c r="G1217" t="s">
        <v>123</v>
      </c>
      <c r="J1217" t="s">
        <v>2835</v>
      </c>
      <c r="K1217" t="s">
        <v>38</v>
      </c>
      <c r="L1217" t="s">
        <v>38</v>
      </c>
      <c r="M1217" t="s">
        <v>38</v>
      </c>
      <c r="N1217" t="s">
        <v>38</v>
      </c>
      <c r="O1217" t="s">
        <v>38</v>
      </c>
      <c r="T1217" t="s">
        <v>38</v>
      </c>
      <c r="U1217">
        <v>0</v>
      </c>
      <c r="W1217">
        <v>0</v>
      </c>
      <c r="X1217">
        <v>0</v>
      </c>
      <c r="Y1217">
        <v>0</v>
      </c>
      <c r="AE1217">
        <f t="shared" si="54"/>
        <v>1</v>
      </c>
      <c r="AF1217">
        <f>VLOOKUP(D1217,especies!$A$2:$C$9,3,FALSE)</f>
        <v>1</v>
      </c>
      <c r="AG1217" t="str">
        <f t="shared" si="55"/>
        <v>1-Poodle</v>
      </c>
      <c r="AH1217">
        <f>VLOOKUP('Fichas clínicas'!AG1217,razas!$A$2:$D$66,3,FALSE)</f>
        <v>6</v>
      </c>
      <c r="AI1217" t="str">
        <f t="shared" si="56"/>
        <v>H</v>
      </c>
    </row>
    <row r="1218" spans="1:35" x14ac:dyDescent="0.2">
      <c r="A1218">
        <v>1220</v>
      </c>
      <c r="B1218" t="s">
        <v>2836</v>
      </c>
      <c r="C1218" t="s">
        <v>2837</v>
      </c>
      <c r="D1218" t="s">
        <v>32</v>
      </c>
      <c r="E1218" t="s">
        <v>150</v>
      </c>
      <c r="F1218" t="s">
        <v>34</v>
      </c>
      <c r="G1218" t="s">
        <v>123</v>
      </c>
      <c r="J1218" t="s">
        <v>2838</v>
      </c>
      <c r="K1218" t="s">
        <v>38</v>
      </c>
      <c r="L1218" t="s">
        <v>38</v>
      </c>
      <c r="M1218" t="s">
        <v>38</v>
      </c>
      <c r="N1218" t="s">
        <v>38</v>
      </c>
      <c r="O1218" t="s">
        <v>38</v>
      </c>
      <c r="T1218" t="s">
        <v>38</v>
      </c>
      <c r="U1218">
        <v>0</v>
      </c>
      <c r="W1218">
        <v>0</v>
      </c>
      <c r="X1218">
        <v>0</v>
      </c>
      <c r="Y1218">
        <v>0</v>
      </c>
      <c r="AE1218">
        <f t="shared" si="54"/>
        <v>1</v>
      </c>
      <c r="AF1218">
        <f>VLOOKUP(D1218,especies!$A$2:$C$9,3,FALSE)</f>
        <v>1</v>
      </c>
      <c r="AG1218" t="str">
        <f t="shared" si="55"/>
        <v>1-Poodle</v>
      </c>
      <c r="AH1218">
        <f>VLOOKUP('Fichas clínicas'!AG1218,razas!$A$2:$D$66,3,FALSE)</f>
        <v>6</v>
      </c>
      <c r="AI1218" t="str">
        <f t="shared" si="56"/>
        <v>H</v>
      </c>
    </row>
    <row r="1219" spans="1:35" x14ac:dyDescent="0.2">
      <c r="A1219">
        <v>1221</v>
      </c>
      <c r="B1219" t="s">
        <v>2238</v>
      </c>
      <c r="C1219" t="s">
        <v>358</v>
      </c>
      <c r="D1219" t="s">
        <v>41</v>
      </c>
      <c r="E1219" t="s">
        <v>42</v>
      </c>
      <c r="F1219" t="s">
        <v>47</v>
      </c>
      <c r="G1219" t="s">
        <v>277</v>
      </c>
      <c r="J1219" t="s">
        <v>989</v>
      </c>
      <c r="K1219" t="s">
        <v>38</v>
      </c>
      <c r="L1219" t="s">
        <v>38</v>
      </c>
      <c r="M1219" t="s">
        <v>38</v>
      </c>
      <c r="N1219" t="s">
        <v>38</v>
      </c>
      <c r="O1219" t="s">
        <v>38</v>
      </c>
      <c r="Q1219">
        <v>1</v>
      </c>
      <c r="T1219" t="s">
        <v>38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f t="shared" ref="AE1219:AE1282" si="57">SUBTOTAL(103,E1219)</f>
        <v>1</v>
      </c>
      <c r="AF1219">
        <f>VLOOKUP(D1219,especies!$A$2:$C$9,3,FALSE)</f>
        <v>2</v>
      </c>
      <c r="AG1219" t="str">
        <f t="shared" ref="AG1219:AG1282" si="58">AF1219&amp;"-"&amp;E1219</f>
        <v>2-DPC (Doméstico de pelo corto o DSH)</v>
      </c>
      <c r="AH1219">
        <f>VLOOKUP('Fichas clínicas'!AG1219,razas!$A$2:$D$66,3,FALSE)</f>
        <v>51</v>
      </c>
      <c r="AI1219" t="str">
        <f t="shared" ref="AI1219:AI1282" si="59">IF(F1219="Hembra","H","M")</f>
        <v>M</v>
      </c>
    </row>
    <row r="1220" spans="1:35" x14ac:dyDescent="0.2">
      <c r="A1220">
        <v>1222</v>
      </c>
      <c r="B1220" t="s">
        <v>2839</v>
      </c>
      <c r="C1220" t="s">
        <v>2840</v>
      </c>
      <c r="D1220" t="s">
        <v>41</v>
      </c>
      <c r="E1220" t="s">
        <v>42</v>
      </c>
      <c r="F1220" t="s">
        <v>34</v>
      </c>
      <c r="G1220" t="s">
        <v>194</v>
      </c>
      <c r="J1220" t="s">
        <v>861</v>
      </c>
      <c r="K1220" t="s">
        <v>38</v>
      </c>
      <c r="L1220" t="s">
        <v>38</v>
      </c>
      <c r="M1220" t="s">
        <v>38</v>
      </c>
      <c r="N1220" t="s">
        <v>38</v>
      </c>
      <c r="O1220" t="s">
        <v>38</v>
      </c>
      <c r="T1220" t="s">
        <v>38</v>
      </c>
      <c r="U1220">
        <v>0</v>
      </c>
      <c r="W1220">
        <v>0</v>
      </c>
      <c r="X1220">
        <v>0</v>
      </c>
      <c r="Y1220">
        <v>0</v>
      </c>
      <c r="AE1220">
        <f t="shared" si="57"/>
        <v>1</v>
      </c>
      <c r="AF1220">
        <f>VLOOKUP(D1220,especies!$A$2:$C$9,3,FALSE)</f>
        <v>2</v>
      </c>
      <c r="AG1220" t="str">
        <f t="shared" si="58"/>
        <v>2-DPC (Doméstico de pelo corto o DSH)</v>
      </c>
      <c r="AH1220">
        <f>VLOOKUP('Fichas clínicas'!AG1220,razas!$A$2:$D$66,3,FALSE)</f>
        <v>51</v>
      </c>
      <c r="AI1220" t="str">
        <f t="shared" si="59"/>
        <v>H</v>
      </c>
    </row>
    <row r="1221" spans="1:35" x14ac:dyDescent="0.2">
      <c r="A1221">
        <v>1223</v>
      </c>
      <c r="B1221" t="s">
        <v>2841</v>
      </c>
      <c r="C1221" t="s">
        <v>2842</v>
      </c>
      <c r="D1221" t="s">
        <v>41</v>
      </c>
      <c r="E1221" t="s">
        <v>42</v>
      </c>
      <c r="F1221" t="s">
        <v>47</v>
      </c>
      <c r="G1221" t="s">
        <v>2054</v>
      </c>
      <c r="J1221" t="s">
        <v>2843</v>
      </c>
      <c r="K1221" t="s">
        <v>38</v>
      </c>
      <c r="L1221" t="s">
        <v>38</v>
      </c>
      <c r="M1221" t="s">
        <v>38</v>
      </c>
      <c r="N1221" t="s">
        <v>38</v>
      </c>
      <c r="O1221" t="s">
        <v>38</v>
      </c>
      <c r="T1221" t="s">
        <v>38</v>
      </c>
      <c r="U1221">
        <v>0</v>
      </c>
      <c r="W1221">
        <v>0</v>
      </c>
      <c r="X1221">
        <v>0</v>
      </c>
      <c r="Y1221">
        <v>0</v>
      </c>
      <c r="AE1221">
        <f t="shared" si="57"/>
        <v>1</v>
      </c>
      <c r="AF1221">
        <f>VLOOKUP(D1221,especies!$A$2:$C$9,3,FALSE)</f>
        <v>2</v>
      </c>
      <c r="AG1221" t="str">
        <f t="shared" si="58"/>
        <v>2-DPC (Doméstico de pelo corto o DSH)</v>
      </c>
      <c r="AH1221">
        <f>VLOOKUP('Fichas clínicas'!AG1221,razas!$A$2:$D$66,3,FALSE)</f>
        <v>51</v>
      </c>
      <c r="AI1221" t="str">
        <f t="shared" si="59"/>
        <v>M</v>
      </c>
    </row>
    <row r="1222" spans="1:35" x14ac:dyDescent="0.2">
      <c r="A1222">
        <v>1224</v>
      </c>
      <c r="B1222" t="s">
        <v>2844</v>
      </c>
      <c r="C1222" t="s">
        <v>667</v>
      </c>
      <c r="D1222" t="s">
        <v>41</v>
      </c>
      <c r="E1222" t="s">
        <v>42</v>
      </c>
      <c r="F1222" t="s">
        <v>47</v>
      </c>
      <c r="G1222" t="s">
        <v>306</v>
      </c>
      <c r="J1222" t="s">
        <v>2845</v>
      </c>
      <c r="K1222" t="s">
        <v>38</v>
      </c>
      <c r="L1222" t="s">
        <v>38</v>
      </c>
      <c r="M1222" t="s">
        <v>38</v>
      </c>
      <c r="N1222" t="s">
        <v>38</v>
      </c>
      <c r="O1222" t="s">
        <v>38</v>
      </c>
      <c r="T1222" t="s">
        <v>38</v>
      </c>
      <c r="U1222">
        <v>0</v>
      </c>
      <c r="W1222">
        <v>0</v>
      </c>
      <c r="X1222">
        <v>0</v>
      </c>
      <c r="Y1222">
        <v>0</v>
      </c>
      <c r="AE1222">
        <f t="shared" si="57"/>
        <v>1</v>
      </c>
      <c r="AF1222">
        <f>VLOOKUP(D1222,especies!$A$2:$C$9,3,FALSE)</f>
        <v>2</v>
      </c>
      <c r="AG1222" t="str">
        <f t="shared" si="58"/>
        <v>2-DPC (Doméstico de pelo corto o DSH)</v>
      </c>
      <c r="AH1222">
        <f>VLOOKUP('Fichas clínicas'!AG1222,razas!$A$2:$D$66,3,FALSE)</f>
        <v>51</v>
      </c>
      <c r="AI1222" t="str">
        <f t="shared" si="59"/>
        <v>M</v>
      </c>
    </row>
    <row r="1223" spans="1:35" x14ac:dyDescent="0.2">
      <c r="A1223">
        <v>1225</v>
      </c>
      <c r="B1223" t="s">
        <v>1684</v>
      </c>
      <c r="C1223" t="s">
        <v>2846</v>
      </c>
      <c r="D1223" t="s">
        <v>32</v>
      </c>
      <c r="E1223" t="s">
        <v>33</v>
      </c>
      <c r="F1223" t="s">
        <v>34</v>
      </c>
      <c r="G1223" t="s">
        <v>2833</v>
      </c>
      <c r="J1223" t="s">
        <v>2847</v>
      </c>
      <c r="K1223" t="s">
        <v>38</v>
      </c>
      <c r="L1223" t="s">
        <v>38</v>
      </c>
      <c r="M1223" t="s">
        <v>38</v>
      </c>
      <c r="N1223" t="s">
        <v>38</v>
      </c>
      <c r="O1223" t="s">
        <v>38</v>
      </c>
      <c r="T1223" t="s">
        <v>38</v>
      </c>
      <c r="U1223">
        <v>0</v>
      </c>
      <c r="W1223">
        <v>0</v>
      </c>
      <c r="X1223">
        <v>0</v>
      </c>
      <c r="Y1223">
        <v>0</v>
      </c>
      <c r="AE1223">
        <f t="shared" si="57"/>
        <v>1</v>
      </c>
      <c r="AF1223">
        <f>VLOOKUP(D1223,especies!$A$2:$C$9,3,FALSE)</f>
        <v>1</v>
      </c>
      <c r="AG1223" t="str">
        <f t="shared" si="58"/>
        <v>1-Mestizo</v>
      </c>
      <c r="AH1223">
        <f>VLOOKUP('Fichas clínicas'!AG1223,razas!$A$2:$D$66,3,FALSE)</f>
        <v>1</v>
      </c>
      <c r="AI1223" t="str">
        <f t="shared" si="59"/>
        <v>H</v>
      </c>
    </row>
    <row r="1224" spans="1:35" x14ac:dyDescent="0.2">
      <c r="A1224">
        <v>1226</v>
      </c>
      <c r="B1224" t="s">
        <v>2848</v>
      </c>
      <c r="C1224" t="s">
        <v>2849</v>
      </c>
      <c r="D1224" t="s">
        <v>32</v>
      </c>
      <c r="E1224" t="s">
        <v>206</v>
      </c>
      <c r="F1224" t="s">
        <v>34</v>
      </c>
      <c r="G1224" t="s">
        <v>2267</v>
      </c>
      <c r="J1224" t="s">
        <v>2274</v>
      </c>
      <c r="K1224" t="s">
        <v>38</v>
      </c>
      <c r="L1224" t="s">
        <v>38</v>
      </c>
      <c r="M1224" t="s">
        <v>38</v>
      </c>
      <c r="N1224" t="s">
        <v>38</v>
      </c>
      <c r="O1224" t="s">
        <v>38</v>
      </c>
      <c r="T1224" t="s">
        <v>38</v>
      </c>
      <c r="U1224">
        <v>0</v>
      </c>
      <c r="W1224">
        <v>0</v>
      </c>
      <c r="X1224">
        <v>0</v>
      </c>
      <c r="Y1224">
        <v>0</v>
      </c>
      <c r="AE1224">
        <f t="shared" si="57"/>
        <v>1</v>
      </c>
      <c r="AF1224">
        <f>VLOOKUP(D1224,especies!$A$2:$C$9,3,FALSE)</f>
        <v>1</v>
      </c>
      <c r="AG1224" t="str">
        <f t="shared" si="58"/>
        <v>1-Chow-Chow</v>
      </c>
      <c r="AH1224">
        <f>VLOOKUP('Fichas clínicas'!AG1224,razas!$A$2:$D$66,3,FALSE)</f>
        <v>9</v>
      </c>
      <c r="AI1224" t="str">
        <f t="shared" si="59"/>
        <v>H</v>
      </c>
    </row>
    <row r="1225" spans="1:35" x14ac:dyDescent="0.2">
      <c r="A1225">
        <v>1227</v>
      </c>
      <c r="B1225" t="s">
        <v>2850</v>
      </c>
      <c r="C1225" t="s">
        <v>2279</v>
      </c>
      <c r="D1225" t="s">
        <v>41</v>
      </c>
      <c r="E1225" t="s">
        <v>42</v>
      </c>
      <c r="F1225" t="s">
        <v>34</v>
      </c>
      <c r="G1225" t="s">
        <v>2851</v>
      </c>
      <c r="J1225" t="s">
        <v>1084</v>
      </c>
      <c r="K1225" t="s">
        <v>38</v>
      </c>
      <c r="L1225" t="s">
        <v>38</v>
      </c>
      <c r="M1225" t="s">
        <v>38</v>
      </c>
      <c r="N1225" t="s">
        <v>38</v>
      </c>
      <c r="O1225" t="s">
        <v>38</v>
      </c>
      <c r="T1225" t="s">
        <v>38</v>
      </c>
      <c r="U1225">
        <v>0</v>
      </c>
      <c r="W1225">
        <v>0</v>
      </c>
      <c r="X1225">
        <v>0</v>
      </c>
      <c r="Y1225">
        <v>0</v>
      </c>
      <c r="AE1225">
        <f t="shared" si="57"/>
        <v>1</v>
      </c>
      <c r="AF1225">
        <f>VLOOKUP(D1225,especies!$A$2:$C$9,3,FALSE)</f>
        <v>2</v>
      </c>
      <c r="AG1225" t="str">
        <f t="shared" si="58"/>
        <v>2-DPC (Doméstico de pelo corto o DSH)</v>
      </c>
      <c r="AH1225">
        <f>VLOOKUP('Fichas clínicas'!AG1225,razas!$A$2:$D$66,3,FALSE)</f>
        <v>51</v>
      </c>
      <c r="AI1225" t="str">
        <f t="shared" si="59"/>
        <v>H</v>
      </c>
    </row>
    <row r="1226" spans="1:35" x14ac:dyDescent="0.2">
      <c r="A1226">
        <v>1228</v>
      </c>
      <c r="B1226" t="s">
        <v>2852</v>
      </c>
      <c r="C1226" t="s">
        <v>2853</v>
      </c>
      <c r="D1226" t="s">
        <v>32</v>
      </c>
      <c r="E1226" t="s">
        <v>33</v>
      </c>
      <c r="F1226" t="s">
        <v>47</v>
      </c>
      <c r="G1226" t="s">
        <v>284</v>
      </c>
      <c r="J1226" t="s">
        <v>2636</v>
      </c>
      <c r="K1226" t="s">
        <v>38</v>
      </c>
      <c r="L1226" t="s">
        <v>38</v>
      </c>
      <c r="M1226" t="s">
        <v>38</v>
      </c>
      <c r="N1226" t="s">
        <v>38</v>
      </c>
      <c r="O1226" t="s">
        <v>38</v>
      </c>
      <c r="T1226" t="s">
        <v>38</v>
      </c>
      <c r="U1226">
        <v>0</v>
      </c>
      <c r="W1226">
        <v>0</v>
      </c>
      <c r="X1226">
        <v>0</v>
      </c>
      <c r="Y1226">
        <v>0</v>
      </c>
      <c r="AE1226">
        <f t="shared" si="57"/>
        <v>1</v>
      </c>
      <c r="AF1226">
        <f>VLOOKUP(D1226,especies!$A$2:$C$9,3,FALSE)</f>
        <v>1</v>
      </c>
      <c r="AG1226" t="str">
        <f t="shared" si="58"/>
        <v>1-Mestizo</v>
      </c>
      <c r="AH1226">
        <f>VLOOKUP('Fichas clínicas'!AG1226,razas!$A$2:$D$66,3,FALSE)</f>
        <v>1</v>
      </c>
      <c r="AI1226" t="str">
        <f t="shared" si="59"/>
        <v>M</v>
      </c>
    </row>
    <row r="1227" spans="1:35" x14ac:dyDescent="0.2">
      <c r="A1227">
        <v>1229</v>
      </c>
      <c r="B1227" t="s">
        <v>2854</v>
      </c>
      <c r="C1227" t="s">
        <v>2855</v>
      </c>
      <c r="D1227" t="s">
        <v>41</v>
      </c>
      <c r="E1227" t="s">
        <v>42</v>
      </c>
      <c r="F1227" t="s">
        <v>34</v>
      </c>
      <c r="G1227" t="s">
        <v>77</v>
      </c>
      <c r="J1227" t="s">
        <v>119</v>
      </c>
      <c r="K1227" t="s">
        <v>38</v>
      </c>
      <c r="L1227" t="s">
        <v>38</v>
      </c>
      <c r="M1227" t="s">
        <v>38</v>
      </c>
      <c r="N1227" t="s">
        <v>38</v>
      </c>
      <c r="O1227" t="s">
        <v>38</v>
      </c>
      <c r="T1227" t="s">
        <v>38</v>
      </c>
      <c r="U1227">
        <v>0</v>
      </c>
      <c r="W1227">
        <v>0</v>
      </c>
      <c r="X1227">
        <v>0</v>
      </c>
      <c r="Y1227">
        <v>0</v>
      </c>
      <c r="AE1227">
        <f t="shared" si="57"/>
        <v>1</v>
      </c>
      <c r="AF1227">
        <f>VLOOKUP(D1227,especies!$A$2:$C$9,3,FALSE)</f>
        <v>2</v>
      </c>
      <c r="AG1227" t="str">
        <f t="shared" si="58"/>
        <v>2-DPC (Doméstico de pelo corto o DSH)</v>
      </c>
      <c r="AH1227">
        <f>VLOOKUP('Fichas clínicas'!AG1227,razas!$A$2:$D$66,3,FALSE)</f>
        <v>51</v>
      </c>
      <c r="AI1227" t="str">
        <f t="shared" si="59"/>
        <v>H</v>
      </c>
    </row>
    <row r="1228" spans="1:35" x14ac:dyDescent="0.2">
      <c r="A1228">
        <v>1230</v>
      </c>
      <c r="B1228" t="s">
        <v>2856</v>
      </c>
      <c r="C1228" t="s">
        <v>1306</v>
      </c>
      <c r="D1228" t="s">
        <v>32</v>
      </c>
      <c r="E1228" t="s">
        <v>638</v>
      </c>
      <c r="F1228" t="s">
        <v>34</v>
      </c>
      <c r="G1228" t="s">
        <v>840</v>
      </c>
      <c r="J1228" t="s">
        <v>858</v>
      </c>
      <c r="K1228" t="s">
        <v>38</v>
      </c>
      <c r="L1228" t="s">
        <v>38</v>
      </c>
      <c r="M1228" t="s">
        <v>38</v>
      </c>
      <c r="N1228" t="s">
        <v>38</v>
      </c>
      <c r="O1228" t="s">
        <v>38</v>
      </c>
      <c r="T1228" t="s">
        <v>38</v>
      </c>
      <c r="U1228">
        <v>0</v>
      </c>
      <c r="W1228">
        <v>0</v>
      </c>
      <c r="X1228">
        <v>0</v>
      </c>
      <c r="Y1228">
        <v>0</v>
      </c>
      <c r="AE1228">
        <f t="shared" si="57"/>
        <v>1</v>
      </c>
      <c r="AF1228">
        <f>VLOOKUP(D1228,especies!$A$2:$C$9,3,FALSE)</f>
        <v>1</v>
      </c>
      <c r="AG1228" t="str">
        <f t="shared" si="58"/>
        <v>1-Malamute de Alaska</v>
      </c>
      <c r="AH1228">
        <f>VLOOKUP('Fichas clínicas'!AG1228,razas!$A$2:$D$66,3,FALSE)</f>
        <v>17</v>
      </c>
      <c r="AI1228" t="str">
        <f t="shared" si="59"/>
        <v>H</v>
      </c>
    </row>
    <row r="1229" spans="1:35" x14ac:dyDescent="0.2">
      <c r="A1229">
        <v>1231</v>
      </c>
      <c r="B1229" t="s">
        <v>1241</v>
      </c>
      <c r="C1229" t="s">
        <v>2857</v>
      </c>
      <c r="D1229" t="s">
        <v>41</v>
      </c>
      <c r="E1229" t="s">
        <v>42</v>
      </c>
      <c r="F1229" t="s">
        <v>34</v>
      </c>
      <c r="G1229" t="s">
        <v>2858</v>
      </c>
      <c r="J1229" t="s">
        <v>2859</v>
      </c>
      <c r="K1229" t="s">
        <v>38</v>
      </c>
      <c r="L1229" t="s">
        <v>38</v>
      </c>
      <c r="M1229" t="s">
        <v>38</v>
      </c>
      <c r="N1229" t="s">
        <v>38</v>
      </c>
      <c r="O1229" t="s">
        <v>38</v>
      </c>
      <c r="Q1229">
        <v>0</v>
      </c>
      <c r="T1229" t="s">
        <v>38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f t="shared" si="57"/>
        <v>1</v>
      </c>
      <c r="AF1229">
        <f>VLOOKUP(D1229,especies!$A$2:$C$9,3,FALSE)</f>
        <v>2</v>
      </c>
      <c r="AG1229" t="str">
        <f t="shared" si="58"/>
        <v>2-DPC (Doméstico de pelo corto o DSH)</v>
      </c>
      <c r="AH1229">
        <f>VLOOKUP('Fichas clínicas'!AG1229,razas!$A$2:$D$66,3,FALSE)</f>
        <v>51</v>
      </c>
      <c r="AI1229" t="str">
        <f t="shared" si="59"/>
        <v>H</v>
      </c>
    </row>
    <row r="1230" spans="1:35" x14ac:dyDescent="0.2">
      <c r="A1230">
        <v>1232</v>
      </c>
      <c r="B1230" t="s">
        <v>917</v>
      </c>
      <c r="C1230" t="s">
        <v>347</v>
      </c>
      <c r="D1230" t="s">
        <v>32</v>
      </c>
      <c r="E1230" t="s">
        <v>150</v>
      </c>
      <c r="F1230" t="s">
        <v>34</v>
      </c>
      <c r="G1230" t="s">
        <v>123</v>
      </c>
      <c r="J1230" t="s">
        <v>335</v>
      </c>
      <c r="K1230" t="s">
        <v>38</v>
      </c>
      <c r="L1230" t="s">
        <v>38</v>
      </c>
      <c r="M1230" t="s">
        <v>38</v>
      </c>
      <c r="N1230" t="s">
        <v>38</v>
      </c>
      <c r="O1230" t="s">
        <v>38</v>
      </c>
      <c r="T1230" t="s">
        <v>38</v>
      </c>
      <c r="U1230">
        <v>0</v>
      </c>
      <c r="W1230">
        <v>0</v>
      </c>
      <c r="X1230">
        <v>0</v>
      </c>
      <c r="Y1230">
        <v>0</v>
      </c>
      <c r="AE1230">
        <f t="shared" si="57"/>
        <v>1</v>
      </c>
      <c r="AF1230">
        <f>VLOOKUP(D1230,especies!$A$2:$C$9,3,FALSE)</f>
        <v>1</v>
      </c>
      <c r="AG1230" t="str">
        <f t="shared" si="58"/>
        <v>1-Poodle</v>
      </c>
      <c r="AH1230">
        <f>VLOOKUP('Fichas clínicas'!AG1230,razas!$A$2:$D$66,3,FALSE)</f>
        <v>6</v>
      </c>
      <c r="AI1230" t="str">
        <f t="shared" si="59"/>
        <v>H</v>
      </c>
    </row>
    <row r="1231" spans="1:35" x14ac:dyDescent="0.2">
      <c r="A1231">
        <v>1233</v>
      </c>
      <c r="B1231" t="s">
        <v>2860</v>
      </c>
      <c r="C1231" t="s">
        <v>2861</v>
      </c>
      <c r="D1231" t="s">
        <v>41</v>
      </c>
      <c r="E1231" t="s">
        <v>93</v>
      </c>
      <c r="F1231" t="s">
        <v>47</v>
      </c>
      <c r="G1231" t="s">
        <v>370</v>
      </c>
      <c r="J1231" t="s">
        <v>2813</v>
      </c>
      <c r="K1231" t="s">
        <v>38</v>
      </c>
      <c r="L1231" t="s">
        <v>38</v>
      </c>
      <c r="M1231" t="s">
        <v>38</v>
      </c>
      <c r="N1231" t="s">
        <v>38</v>
      </c>
      <c r="O1231" t="s">
        <v>38</v>
      </c>
      <c r="Q1231">
        <v>0</v>
      </c>
      <c r="T1231" t="s">
        <v>38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f t="shared" si="57"/>
        <v>1</v>
      </c>
      <c r="AF1231">
        <f>VLOOKUP(D1231,especies!$A$2:$C$9,3,FALSE)</f>
        <v>2</v>
      </c>
      <c r="AG1231" t="str">
        <f t="shared" si="58"/>
        <v>2-DPL (Doméstico de pelo Largo o DLH)</v>
      </c>
      <c r="AH1231">
        <f>VLOOKUP('Fichas clínicas'!AG1231,razas!$A$2:$D$66,3,FALSE)</f>
        <v>52</v>
      </c>
      <c r="AI1231" t="str">
        <f t="shared" si="59"/>
        <v>M</v>
      </c>
    </row>
    <row r="1232" spans="1:35" x14ac:dyDescent="0.2">
      <c r="A1232">
        <v>1234</v>
      </c>
      <c r="B1232" t="s">
        <v>956</v>
      </c>
      <c r="C1232" t="s">
        <v>2101</v>
      </c>
      <c r="D1232" t="s">
        <v>41</v>
      </c>
      <c r="E1232" t="s">
        <v>42</v>
      </c>
      <c r="F1232" t="s">
        <v>34</v>
      </c>
      <c r="G1232" t="s">
        <v>2862</v>
      </c>
      <c r="J1232" t="s">
        <v>2863</v>
      </c>
      <c r="K1232" t="s">
        <v>38</v>
      </c>
      <c r="L1232" t="s">
        <v>38</v>
      </c>
      <c r="M1232" t="s">
        <v>38</v>
      </c>
      <c r="N1232" t="s">
        <v>38</v>
      </c>
      <c r="O1232" t="s">
        <v>38</v>
      </c>
      <c r="T1232" t="s">
        <v>38</v>
      </c>
      <c r="U1232">
        <v>0</v>
      </c>
      <c r="W1232">
        <v>0</v>
      </c>
      <c r="X1232">
        <v>0</v>
      </c>
      <c r="Y1232">
        <v>0</v>
      </c>
      <c r="AE1232">
        <f t="shared" si="57"/>
        <v>1</v>
      </c>
      <c r="AF1232">
        <f>VLOOKUP(D1232,especies!$A$2:$C$9,3,FALSE)</f>
        <v>2</v>
      </c>
      <c r="AG1232" t="str">
        <f t="shared" si="58"/>
        <v>2-DPC (Doméstico de pelo corto o DSH)</v>
      </c>
      <c r="AH1232">
        <f>VLOOKUP('Fichas clínicas'!AG1232,razas!$A$2:$D$66,3,FALSE)</f>
        <v>51</v>
      </c>
      <c r="AI1232" t="str">
        <f t="shared" si="59"/>
        <v>H</v>
      </c>
    </row>
    <row r="1233" spans="1:35" x14ac:dyDescent="0.2">
      <c r="A1233">
        <v>1235</v>
      </c>
      <c r="B1233" t="s">
        <v>956</v>
      </c>
      <c r="C1233" t="s">
        <v>2864</v>
      </c>
      <c r="D1233" t="s">
        <v>41</v>
      </c>
      <c r="E1233" t="s">
        <v>42</v>
      </c>
      <c r="F1233" t="s">
        <v>34</v>
      </c>
      <c r="G1233" t="s">
        <v>2865</v>
      </c>
      <c r="J1233" t="s">
        <v>2863</v>
      </c>
      <c r="K1233" t="s">
        <v>38</v>
      </c>
      <c r="L1233" t="s">
        <v>38</v>
      </c>
      <c r="M1233" t="s">
        <v>38</v>
      </c>
      <c r="N1233" t="s">
        <v>38</v>
      </c>
      <c r="O1233" t="s">
        <v>38</v>
      </c>
      <c r="Q1233">
        <v>0</v>
      </c>
      <c r="T1233" t="s">
        <v>38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f t="shared" si="57"/>
        <v>1</v>
      </c>
      <c r="AF1233">
        <f>VLOOKUP(D1233,especies!$A$2:$C$9,3,FALSE)</f>
        <v>2</v>
      </c>
      <c r="AG1233" t="str">
        <f t="shared" si="58"/>
        <v>2-DPC (Doméstico de pelo corto o DSH)</v>
      </c>
      <c r="AH1233">
        <f>VLOOKUP('Fichas clínicas'!AG1233,razas!$A$2:$D$66,3,FALSE)</f>
        <v>51</v>
      </c>
      <c r="AI1233" t="str">
        <f t="shared" si="59"/>
        <v>H</v>
      </c>
    </row>
    <row r="1234" spans="1:35" x14ac:dyDescent="0.2">
      <c r="A1234">
        <v>1236</v>
      </c>
      <c r="B1234" t="s">
        <v>2866</v>
      </c>
      <c r="C1234" t="s">
        <v>1527</v>
      </c>
      <c r="D1234" t="s">
        <v>41</v>
      </c>
      <c r="E1234" t="s">
        <v>42</v>
      </c>
      <c r="F1234" t="s">
        <v>34</v>
      </c>
      <c r="G1234" t="s">
        <v>2867</v>
      </c>
      <c r="J1234" t="s">
        <v>2838</v>
      </c>
      <c r="K1234" t="s">
        <v>38</v>
      </c>
      <c r="L1234" t="s">
        <v>38</v>
      </c>
      <c r="M1234" t="s">
        <v>38</v>
      </c>
      <c r="N1234" t="s">
        <v>38</v>
      </c>
      <c r="O1234" t="s">
        <v>38</v>
      </c>
      <c r="T1234" t="s">
        <v>38</v>
      </c>
      <c r="U1234">
        <v>0</v>
      </c>
      <c r="W1234">
        <v>0</v>
      </c>
      <c r="X1234">
        <v>0</v>
      </c>
      <c r="Y1234">
        <v>0</v>
      </c>
      <c r="AE1234">
        <f t="shared" si="57"/>
        <v>1</v>
      </c>
      <c r="AF1234">
        <f>VLOOKUP(D1234,especies!$A$2:$C$9,3,FALSE)</f>
        <v>2</v>
      </c>
      <c r="AG1234" t="str">
        <f t="shared" si="58"/>
        <v>2-DPC (Doméstico de pelo corto o DSH)</v>
      </c>
      <c r="AH1234">
        <f>VLOOKUP('Fichas clínicas'!AG1234,razas!$A$2:$D$66,3,FALSE)</f>
        <v>51</v>
      </c>
      <c r="AI1234" t="str">
        <f t="shared" si="59"/>
        <v>H</v>
      </c>
    </row>
    <row r="1235" spans="1:35" x14ac:dyDescent="0.2">
      <c r="A1235">
        <v>1237</v>
      </c>
      <c r="B1235" t="s">
        <v>2868</v>
      </c>
      <c r="C1235" t="s">
        <v>2869</v>
      </c>
      <c r="D1235" t="s">
        <v>32</v>
      </c>
      <c r="E1235" t="s">
        <v>508</v>
      </c>
      <c r="F1235" t="s">
        <v>47</v>
      </c>
      <c r="G1235" t="s">
        <v>2870</v>
      </c>
      <c r="J1235" t="s">
        <v>285</v>
      </c>
      <c r="K1235" t="s">
        <v>38</v>
      </c>
      <c r="L1235" t="s">
        <v>38</v>
      </c>
      <c r="M1235" t="s">
        <v>38</v>
      </c>
      <c r="N1235" t="s">
        <v>38</v>
      </c>
      <c r="O1235" t="s">
        <v>38</v>
      </c>
      <c r="T1235" t="s">
        <v>38</v>
      </c>
      <c r="U1235">
        <v>0</v>
      </c>
      <c r="W1235">
        <v>0</v>
      </c>
      <c r="X1235">
        <v>0</v>
      </c>
      <c r="Y1235">
        <v>0</v>
      </c>
      <c r="AE1235">
        <f t="shared" si="57"/>
        <v>1</v>
      </c>
      <c r="AF1235">
        <f>VLOOKUP(D1235,especies!$A$2:$C$9,3,FALSE)</f>
        <v>1</v>
      </c>
      <c r="AG1235" t="str">
        <f t="shared" si="58"/>
        <v>1-Akita Americano</v>
      </c>
      <c r="AH1235">
        <f>VLOOKUP('Fichas clínicas'!AG1235,razas!$A$2:$D$66,3,FALSE)</f>
        <v>15</v>
      </c>
      <c r="AI1235" t="str">
        <f t="shared" si="59"/>
        <v>M</v>
      </c>
    </row>
    <row r="1236" spans="1:35" x14ac:dyDescent="0.2">
      <c r="A1236">
        <v>1238</v>
      </c>
      <c r="B1236" t="s">
        <v>2871</v>
      </c>
      <c r="C1236" t="s">
        <v>1220</v>
      </c>
      <c r="D1236" t="s">
        <v>32</v>
      </c>
      <c r="E1236" t="s">
        <v>257</v>
      </c>
      <c r="F1236" t="s">
        <v>34</v>
      </c>
      <c r="G1236" t="s">
        <v>258</v>
      </c>
      <c r="J1236" t="s">
        <v>2872</v>
      </c>
      <c r="K1236" t="s">
        <v>38</v>
      </c>
      <c r="L1236" t="s">
        <v>38</v>
      </c>
      <c r="M1236" t="s">
        <v>38</v>
      </c>
      <c r="N1236" t="s">
        <v>38</v>
      </c>
      <c r="O1236" t="s">
        <v>38</v>
      </c>
      <c r="Q1236">
        <v>0</v>
      </c>
      <c r="T1236" t="s">
        <v>38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f t="shared" si="57"/>
        <v>1</v>
      </c>
      <c r="AF1236">
        <f>VLOOKUP(D1236,especies!$A$2:$C$9,3,FALSE)</f>
        <v>1</v>
      </c>
      <c r="AG1236" t="str">
        <f t="shared" si="58"/>
        <v>1-Terrier Chileno</v>
      </c>
      <c r="AH1236">
        <f>VLOOKUP('Fichas clínicas'!AG1236,razas!$A$2:$D$66,3,FALSE)</f>
        <v>10</v>
      </c>
      <c r="AI1236" t="str">
        <f t="shared" si="59"/>
        <v>H</v>
      </c>
    </row>
    <row r="1237" spans="1:35" x14ac:dyDescent="0.2">
      <c r="A1237">
        <v>1239</v>
      </c>
      <c r="B1237" t="s">
        <v>2106</v>
      </c>
      <c r="C1237" t="s">
        <v>2873</v>
      </c>
      <c r="D1237" t="s">
        <v>32</v>
      </c>
      <c r="E1237" t="s">
        <v>33</v>
      </c>
      <c r="F1237" t="s">
        <v>34</v>
      </c>
      <c r="G1237" t="s">
        <v>694</v>
      </c>
      <c r="J1237" t="s">
        <v>2874</v>
      </c>
      <c r="K1237" t="s">
        <v>38</v>
      </c>
      <c r="L1237" t="s">
        <v>38</v>
      </c>
      <c r="M1237" t="s">
        <v>38</v>
      </c>
      <c r="N1237" t="s">
        <v>38</v>
      </c>
      <c r="O1237" t="s">
        <v>38</v>
      </c>
      <c r="T1237" t="s">
        <v>38</v>
      </c>
      <c r="U1237">
        <v>0</v>
      </c>
      <c r="V1237">
        <v>1</v>
      </c>
      <c r="W1237">
        <v>0</v>
      </c>
      <c r="X1237">
        <v>0</v>
      </c>
      <c r="Y1237">
        <v>0</v>
      </c>
      <c r="AE1237">
        <f t="shared" si="57"/>
        <v>1</v>
      </c>
      <c r="AF1237">
        <f>VLOOKUP(D1237,especies!$A$2:$C$9,3,FALSE)</f>
        <v>1</v>
      </c>
      <c r="AG1237" t="str">
        <f t="shared" si="58"/>
        <v>1-Mestizo</v>
      </c>
      <c r="AH1237">
        <f>VLOOKUP('Fichas clínicas'!AG1237,razas!$A$2:$D$66,3,FALSE)</f>
        <v>1</v>
      </c>
      <c r="AI1237" t="str">
        <f t="shared" si="59"/>
        <v>H</v>
      </c>
    </row>
    <row r="1238" spans="1:35" x14ac:dyDescent="0.2">
      <c r="A1238">
        <v>1240</v>
      </c>
      <c r="B1238" t="s">
        <v>2875</v>
      </c>
      <c r="C1238" t="s">
        <v>667</v>
      </c>
      <c r="D1238" t="s">
        <v>41</v>
      </c>
      <c r="E1238" t="s">
        <v>42</v>
      </c>
      <c r="F1238" t="s">
        <v>47</v>
      </c>
      <c r="G1238" t="s">
        <v>81</v>
      </c>
      <c r="J1238" t="s">
        <v>281</v>
      </c>
      <c r="K1238" t="s">
        <v>38</v>
      </c>
      <c r="L1238" t="s">
        <v>38</v>
      </c>
      <c r="M1238" t="s">
        <v>38</v>
      </c>
      <c r="N1238" t="s">
        <v>38</v>
      </c>
      <c r="O1238" t="s">
        <v>38</v>
      </c>
      <c r="T1238" t="s">
        <v>38</v>
      </c>
      <c r="U1238">
        <v>0</v>
      </c>
      <c r="W1238">
        <v>0</v>
      </c>
      <c r="X1238">
        <v>0</v>
      </c>
      <c r="Y1238">
        <v>0</v>
      </c>
      <c r="AE1238">
        <f t="shared" si="57"/>
        <v>1</v>
      </c>
      <c r="AF1238">
        <f>VLOOKUP(D1238,especies!$A$2:$C$9,3,FALSE)</f>
        <v>2</v>
      </c>
      <c r="AG1238" t="str">
        <f t="shared" si="58"/>
        <v>2-DPC (Doméstico de pelo corto o DSH)</v>
      </c>
      <c r="AH1238">
        <f>VLOOKUP('Fichas clínicas'!AG1238,razas!$A$2:$D$66,3,FALSE)</f>
        <v>51</v>
      </c>
      <c r="AI1238" t="str">
        <f t="shared" si="59"/>
        <v>M</v>
      </c>
    </row>
    <row r="1239" spans="1:35" x14ac:dyDescent="0.2">
      <c r="A1239">
        <v>1241</v>
      </c>
      <c r="B1239" t="s">
        <v>2876</v>
      </c>
      <c r="C1239" t="s">
        <v>2877</v>
      </c>
      <c r="D1239" t="s">
        <v>32</v>
      </c>
      <c r="E1239" t="s">
        <v>438</v>
      </c>
      <c r="F1239" t="s">
        <v>47</v>
      </c>
      <c r="G1239" t="s">
        <v>2878</v>
      </c>
      <c r="J1239" t="s">
        <v>2879</v>
      </c>
      <c r="K1239" t="s">
        <v>38</v>
      </c>
      <c r="L1239" t="s">
        <v>38</v>
      </c>
      <c r="M1239" t="s">
        <v>38</v>
      </c>
      <c r="N1239" t="s">
        <v>38</v>
      </c>
      <c r="O1239" t="s">
        <v>38</v>
      </c>
      <c r="T1239" t="s">
        <v>38</v>
      </c>
      <c r="U1239">
        <v>0</v>
      </c>
      <c r="W1239">
        <v>0</v>
      </c>
      <c r="X1239">
        <v>0</v>
      </c>
      <c r="Y1239">
        <v>0</v>
      </c>
      <c r="AE1239">
        <f t="shared" si="57"/>
        <v>1</v>
      </c>
      <c r="AF1239">
        <f>VLOOKUP(D1239,especies!$A$2:$C$9,3,FALSE)</f>
        <v>1</v>
      </c>
      <c r="AG1239" t="str">
        <f t="shared" si="58"/>
        <v>1-Ovejero Alemán</v>
      </c>
      <c r="AH1239">
        <f>VLOOKUP('Fichas clínicas'!AG1239,razas!$A$2:$D$66,3,FALSE)</f>
        <v>12</v>
      </c>
      <c r="AI1239" t="str">
        <f t="shared" si="59"/>
        <v>M</v>
      </c>
    </row>
    <row r="1240" spans="1:35" x14ac:dyDescent="0.2">
      <c r="A1240">
        <v>1242</v>
      </c>
      <c r="B1240" t="s">
        <v>2876</v>
      </c>
      <c r="C1240" t="s">
        <v>2880</v>
      </c>
      <c r="D1240" t="s">
        <v>41</v>
      </c>
      <c r="E1240" t="s">
        <v>42</v>
      </c>
      <c r="F1240" t="s">
        <v>47</v>
      </c>
      <c r="G1240" t="s">
        <v>2827</v>
      </c>
      <c r="J1240" t="s">
        <v>2881</v>
      </c>
      <c r="K1240" t="s">
        <v>38</v>
      </c>
      <c r="L1240" t="s">
        <v>38</v>
      </c>
      <c r="M1240" t="s">
        <v>38</v>
      </c>
      <c r="N1240" t="s">
        <v>38</v>
      </c>
      <c r="O1240" t="s">
        <v>38</v>
      </c>
      <c r="T1240" t="s">
        <v>38</v>
      </c>
      <c r="U1240">
        <v>0</v>
      </c>
      <c r="V1240">
        <v>1</v>
      </c>
      <c r="W1240">
        <v>0</v>
      </c>
      <c r="X1240">
        <v>0</v>
      </c>
      <c r="Y1240">
        <v>0</v>
      </c>
      <c r="AE1240">
        <f t="shared" si="57"/>
        <v>1</v>
      </c>
      <c r="AF1240">
        <f>VLOOKUP(D1240,especies!$A$2:$C$9,3,FALSE)</f>
        <v>2</v>
      </c>
      <c r="AG1240" t="str">
        <f t="shared" si="58"/>
        <v>2-DPC (Doméstico de pelo corto o DSH)</v>
      </c>
      <c r="AH1240">
        <f>VLOOKUP('Fichas clínicas'!AG1240,razas!$A$2:$D$66,3,FALSE)</f>
        <v>51</v>
      </c>
      <c r="AI1240" t="str">
        <f t="shared" si="59"/>
        <v>M</v>
      </c>
    </row>
    <row r="1241" spans="1:35" x14ac:dyDescent="0.2">
      <c r="A1241">
        <v>1243</v>
      </c>
      <c r="B1241" t="s">
        <v>2882</v>
      </c>
      <c r="C1241" t="s">
        <v>2883</v>
      </c>
      <c r="D1241" t="s">
        <v>41</v>
      </c>
      <c r="E1241" t="s">
        <v>42</v>
      </c>
      <c r="F1241" t="s">
        <v>34</v>
      </c>
      <c r="G1241" t="s">
        <v>2884</v>
      </c>
      <c r="J1241" t="s">
        <v>2885</v>
      </c>
      <c r="K1241" t="s">
        <v>38</v>
      </c>
      <c r="L1241" t="s">
        <v>38</v>
      </c>
      <c r="M1241" t="s">
        <v>38</v>
      </c>
      <c r="N1241" t="s">
        <v>38</v>
      </c>
      <c r="O1241" t="s">
        <v>38</v>
      </c>
      <c r="Q1241">
        <v>0</v>
      </c>
      <c r="T1241" t="s">
        <v>38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f t="shared" si="57"/>
        <v>1</v>
      </c>
      <c r="AF1241">
        <f>VLOOKUP(D1241,especies!$A$2:$C$9,3,FALSE)</f>
        <v>2</v>
      </c>
      <c r="AG1241" t="str">
        <f t="shared" si="58"/>
        <v>2-DPC (Doméstico de pelo corto o DSH)</v>
      </c>
      <c r="AH1241">
        <f>VLOOKUP('Fichas clínicas'!AG1241,razas!$A$2:$D$66,3,FALSE)</f>
        <v>51</v>
      </c>
      <c r="AI1241" t="str">
        <f t="shared" si="59"/>
        <v>H</v>
      </c>
    </row>
    <row r="1242" spans="1:35" x14ac:dyDescent="0.2">
      <c r="A1242">
        <v>1244</v>
      </c>
      <c r="B1242" t="s">
        <v>2886</v>
      </c>
      <c r="C1242" t="s">
        <v>1800</v>
      </c>
      <c r="D1242" t="s">
        <v>41</v>
      </c>
      <c r="E1242" t="s">
        <v>42</v>
      </c>
      <c r="F1242" t="s">
        <v>34</v>
      </c>
      <c r="G1242" t="s">
        <v>2887</v>
      </c>
      <c r="J1242" t="s">
        <v>2357</v>
      </c>
      <c r="K1242" t="s">
        <v>38</v>
      </c>
      <c r="L1242" t="s">
        <v>38</v>
      </c>
      <c r="M1242" t="s">
        <v>38</v>
      </c>
      <c r="N1242" t="s">
        <v>38</v>
      </c>
      <c r="O1242" t="s">
        <v>38</v>
      </c>
      <c r="T1242" t="s">
        <v>38</v>
      </c>
      <c r="U1242">
        <v>0</v>
      </c>
      <c r="W1242">
        <v>0</v>
      </c>
      <c r="X1242">
        <v>0</v>
      </c>
      <c r="Y1242">
        <v>0</v>
      </c>
      <c r="AE1242">
        <f t="shared" si="57"/>
        <v>1</v>
      </c>
      <c r="AF1242">
        <f>VLOOKUP(D1242,especies!$A$2:$C$9,3,FALSE)</f>
        <v>2</v>
      </c>
      <c r="AG1242" t="str">
        <f t="shared" si="58"/>
        <v>2-DPC (Doméstico de pelo corto o DSH)</v>
      </c>
      <c r="AH1242">
        <f>VLOOKUP('Fichas clínicas'!AG1242,razas!$A$2:$D$66,3,FALSE)</f>
        <v>51</v>
      </c>
      <c r="AI1242" t="str">
        <f t="shared" si="59"/>
        <v>H</v>
      </c>
    </row>
    <row r="1243" spans="1:35" x14ac:dyDescent="0.2">
      <c r="A1243">
        <v>1245</v>
      </c>
      <c r="B1243" t="s">
        <v>1674</v>
      </c>
      <c r="C1243" t="s">
        <v>2888</v>
      </c>
      <c r="D1243" t="s">
        <v>32</v>
      </c>
      <c r="E1243" t="s">
        <v>812</v>
      </c>
      <c r="F1243" t="s">
        <v>34</v>
      </c>
      <c r="G1243" t="s">
        <v>2889</v>
      </c>
      <c r="J1243" t="s">
        <v>2890</v>
      </c>
      <c r="K1243" t="s">
        <v>38</v>
      </c>
      <c r="L1243" t="s">
        <v>38</v>
      </c>
      <c r="M1243" t="s">
        <v>38</v>
      </c>
      <c r="N1243" t="s">
        <v>38</v>
      </c>
      <c r="O1243" t="s">
        <v>38</v>
      </c>
      <c r="T1243" t="s">
        <v>38</v>
      </c>
      <c r="U1243">
        <v>0</v>
      </c>
      <c r="W1243">
        <v>0</v>
      </c>
      <c r="X1243">
        <v>0</v>
      </c>
      <c r="Y1243">
        <v>0</v>
      </c>
      <c r="AE1243">
        <f t="shared" si="57"/>
        <v>1</v>
      </c>
      <c r="AF1243">
        <f>VLOOKUP(D1243,especies!$A$2:$C$9,3,FALSE)</f>
        <v>1</v>
      </c>
      <c r="AG1243" t="str">
        <f t="shared" si="58"/>
        <v>1-Fox Terrier de Pelo Duro</v>
      </c>
      <c r="AH1243">
        <f>VLOOKUP('Fichas clínicas'!AG1243,razas!$A$2:$D$66,3,FALSE)</f>
        <v>18</v>
      </c>
      <c r="AI1243" t="str">
        <f t="shared" si="59"/>
        <v>H</v>
      </c>
    </row>
    <row r="1244" spans="1:35" x14ac:dyDescent="0.2">
      <c r="A1244">
        <v>1246</v>
      </c>
      <c r="B1244" t="s">
        <v>726</v>
      </c>
      <c r="C1244" t="s">
        <v>2891</v>
      </c>
      <c r="D1244" t="s">
        <v>32</v>
      </c>
      <c r="E1244" t="s">
        <v>33</v>
      </c>
      <c r="F1244" t="s">
        <v>47</v>
      </c>
      <c r="G1244" t="s">
        <v>2054</v>
      </c>
      <c r="J1244" t="s">
        <v>2892</v>
      </c>
      <c r="K1244" t="s">
        <v>38</v>
      </c>
      <c r="L1244" t="s">
        <v>38</v>
      </c>
      <c r="M1244" t="s">
        <v>38</v>
      </c>
      <c r="N1244" t="s">
        <v>38</v>
      </c>
      <c r="O1244" t="s">
        <v>38</v>
      </c>
      <c r="T1244" t="s">
        <v>38</v>
      </c>
      <c r="U1244">
        <v>0</v>
      </c>
      <c r="W1244">
        <v>0</v>
      </c>
      <c r="X1244">
        <v>0</v>
      </c>
      <c r="Y1244">
        <v>0</v>
      </c>
      <c r="AE1244">
        <f t="shared" si="57"/>
        <v>1</v>
      </c>
      <c r="AF1244">
        <f>VLOOKUP(D1244,especies!$A$2:$C$9,3,FALSE)</f>
        <v>1</v>
      </c>
      <c r="AG1244" t="str">
        <f t="shared" si="58"/>
        <v>1-Mestizo</v>
      </c>
      <c r="AH1244">
        <f>VLOOKUP('Fichas clínicas'!AG1244,razas!$A$2:$D$66,3,FALSE)</f>
        <v>1</v>
      </c>
      <c r="AI1244" t="str">
        <f t="shared" si="59"/>
        <v>M</v>
      </c>
    </row>
    <row r="1245" spans="1:35" x14ac:dyDescent="0.2">
      <c r="A1245">
        <v>1247</v>
      </c>
      <c r="B1245" t="s">
        <v>2893</v>
      </c>
      <c r="C1245" t="s">
        <v>1800</v>
      </c>
      <c r="D1245" t="s">
        <v>41</v>
      </c>
      <c r="E1245" t="s">
        <v>42</v>
      </c>
      <c r="F1245" t="s">
        <v>34</v>
      </c>
      <c r="G1245" t="s">
        <v>2894</v>
      </c>
      <c r="J1245" t="s">
        <v>2895</v>
      </c>
      <c r="K1245" t="s">
        <v>38</v>
      </c>
      <c r="L1245" t="s">
        <v>38</v>
      </c>
      <c r="M1245" t="s">
        <v>38</v>
      </c>
      <c r="N1245" t="s">
        <v>38</v>
      </c>
      <c r="O1245" t="s">
        <v>38</v>
      </c>
      <c r="T1245" t="s">
        <v>38</v>
      </c>
      <c r="U1245">
        <v>0</v>
      </c>
      <c r="V1245">
        <v>1</v>
      </c>
      <c r="W1245">
        <v>0</v>
      </c>
      <c r="X1245">
        <v>0</v>
      </c>
      <c r="Y1245">
        <v>0</v>
      </c>
      <c r="AE1245">
        <f t="shared" si="57"/>
        <v>1</v>
      </c>
      <c r="AF1245">
        <f>VLOOKUP(D1245,especies!$A$2:$C$9,3,FALSE)</f>
        <v>2</v>
      </c>
      <c r="AG1245" t="str">
        <f t="shared" si="58"/>
        <v>2-DPC (Doméstico de pelo corto o DSH)</v>
      </c>
      <c r="AH1245">
        <f>VLOOKUP('Fichas clínicas'!AG1245,razas!$A$2:$D$66,3,FALSE)</f>
        <v>51</v>
      </c>
      <c r="AI1245" t="str">
        <f t="shared" si="59"/>
        <v>H</v>
      </c>
    </row>
    <row r="1246" spans="1:35" x14ac:dyDescent="0.2">
      <c r="A1246">
        <v>1248</v>
      </c>
      <c r="B1246" t="s">
        <v>2896</v>
      </c>
      <c r="C1246" t="s">
        <v>2897</v>
      </c>
      <c r="D1246" t="s">
        <v>41</v>
      </c>
      <c r="E1246" t="s">
        <v>42</v>
      </c>
      <c r="F1246" t="s">
        <v>47</v>
      </c>
      <c r="G1246" t="s">
        <v>2870</v>
      </c>
      <c r="J1246" t="s">
        <v>2898</v>
      </c>
      <c r="K1246" t="s">
        <v>38</v>
      </c>
      <c r="L1246" t="s">
        <v>38</v>
      </c>
      <c r="M1246" t="s">
        <v>38</v>
      </c>
      <c r="N1246" t="s">
        <v>38</v>
      </c>
      <c r="O1246" t="s">
        <v>38</v>
      </c>
      <c r="T1246" t="s">
        <v>38</v>
      </c>
      <c r="U1246">
        <v>0</v>
      </c>
      <c r="V1246">
        <v>1</v>
      </c>
      <c r="W1246">
        <v>0</v>
      </c>
      <c r="X1246">
        <v>0</v>
      </c>
      <c r="Y1246">
        <v>0</v>
      </c>
      <c r="AE1246">
        <f t="shared" si="57"/>
        <v>1</v>
      </c>
      <c r="AF1246">
        <f>VLOOKUP(D1246,especies!$A$2:$C$9,3,FALSE)</f>
        <v>2</v>
      </c>
      <c r="AG1246" t="str">
        <f t="shared" si="58"/>
        <v>2-DPC (Doméstico de pelo corto o DSH)</v>
      </c>
      <c r="AH1246">
        <f>VLOOKUP('Fichas clínicas'!AG1246,razas!$A$2:$D$66,3,FALSE)</f>
        <v>51</v>
      </c>
      <c r="AI1246" t="str">
        <f t="shared" si="59"/>
        <v>M</v>
      </c>
    </row>
    <row r="1247" spans="1:35" x14ac:dyDescent="0.2">
      <c r="A1247">
        <v>1249</v>
      </c>
      <c r="B1247" t="s">
        <v>2899</v>
      </c>
      <c r="C1247" t="s">
        <v>2239</v>
      </c>
      <c r="D1247" t="s">
        <v>41</v>
      </c>
      <c r="E1247" t="s">
        <v>42</v>
      </c>
      <c r="F1247" t="s">
        <v>47</v>
      </c>
      <c r="G1247" t="s">
        <v>2812</v>
      </c>
      <c r="J1247" t="s">
        <v>2900</v>
      </c>
      <c r="K1247" t="s">
        <v>38</v>
      </c>
      <c r="L1247" t="s">
        <v>38</v>
      </c>
      <c r="M1247" t="s">
        <v>38</v>
      </c>
      <c r="N1247" t="s">
        <v>38</v>
      </c>
      <c r="O1247" t="s">
        <v>38</v>
      </c>
      <c r="T1247" t="s">
        <v>38</v>
      </c>
      <c r="U1247">
        <v>0</v>
      </c>
      <c r="V1247">
        <v>1</v>
      </c>
      <c r="W1247">
        <v>0</v>
      </c>
      <c r="X1247">
        <v>0</v>
      </c>
      <c r="Y1247">
        <v>0</v>
      </c>
      <c r="AE1247">
        <f t="shared" si="57"/>
        <v>1</v>
      </c>
      <c r="AF1247">
        <f>VLOOKUP(D1247,especies!$A$2:$C$9,3,FALSE)</f>
        <v>2</v>
      </c>
      <c r="AG1247" t="str">
        <f t="shared" si="58"/>
        <v>2-DPC (Doméstico de pelo corto o DSH)</v>
      </c>
      <c r="AH1247">
        <f>VLOOKUP('Fichas clínicas'!AG1247,razas!$A$2:$D$66,3,FALSE)</f>
        <v>51</v>
      </c>
      <c r="AI1247" t="str">
        <f t="shared" si="59"/>
        <v>M</v>
      </c>
    </row>
    <row r="1248" spans="1:35" x14ac:dyDescent="0.2">
      <c r="A1248">
        <v>1250</v>
      </c>
      <c r="B1248" t="s">
        <v>2901</v>
      </c>
      <c r="C1248" t="s">
        <v>2902</v>
      </c>
      <c r="D1248" t="s">
        <v>32</v>
      </c>
      <c r="E1248" t="s">
        <v>33</v>
      </c>
      <c r="F1248" t="s">
        <v>47</v>
      </c>
      <c r="G1248" t="s">
        <v>639</v>
      </c>
      <c r="J1248" t="s">
        <v>2903</v>
      </c>
      <c r="K1248" t="s">
        <v>38</v>
      </c>
      <c r="L1248" t="s">
        <v>38</v>
      </c>
      <c r="M1248" t="s">
        <v>38</v>
      </c>
      <c r="N1248" t="s">
        <v>38</v>
      </c>
      <c r="O1248" t="s">
        <v>38</v>
      </c>
      <c r="T1248" t="s">
        <v>38</v>
      </c>
      <c r="U1248">
        <v>0</v>
      </c>
      <c r="W1248">
        <v>0</v>
      </c>
      <c r="X1248">
        <v>0</v>
      </c>
      <c r="Y1248">
        <v>0</v>
      </c>
      <c r="AE1248">
        <f t="shared" si="57"/>
        <v>1</v>
      </c>
      <c r="AF1248">
        <f>VLOOKUP(D1248,especies!$A$2:$C$9,3,FALSE)</f>
        <v>1</v>
      </c>
      <c r="AG1248" t="str">
        <f t="shared" si="58"/>
        <v>1-Mestizo</v>
      </c>
      <c r="AH1248">
        <f>VLOOKUP('Fichas clínicas'!AG1248,razas!$A$2:$D$66,3,FALSE)</f>
        <v>1</v>
      </c>
      <c r="AI1248" t="str">
        <f t="shared" si="59"/>
        <v>M</v>
      </c>
    </row>
    <row r="1249" spans="1:35" x14ac:dyDescent="0.2">
      <c r="A1249">
        <v>1251</v>
      </c>
      <c r="B1249" t="s">
        <v>2525</v>
      </c>
      <c r="C1249" t="s">
        <v>2904</v>
      </c>
      <c r="D1249" t="s">
        <v>41</v>
      </c>
      <c r="E1249" t="s">
        <v>42</v>
      </c>
      <c r="F1249" t="s">
        <v>47</v>
      </c>
      <c r="G1249" t="s">
        <v>81</v>
      </c>
      <c r="J1249" t="s">
        <v>393</v>
      </c>
      <c r="K1249" t="s">
        <v>38</v>
      </c>
      <c r="L1249" t="s">
        <v>38</v>
      </c>
      <c r="M1249" t="s">
        <v>38</v>
      </c>
      <c r="N1249" t="s">
        <v>38</v>
      </c>
      <c r="O1249" t="s">
        <v>38</v>
      </c>
      <c r="Q1249">
        <v>0</v>
      </c>
      <c r="T1249" t="s">
        <v>38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f t="shared" si="57"/>
        <v>1</v>
      </c>
      <c r="AF1249">
        <f>VLOOKUP(D1249,especies!$A$2:$C$9,3,FALSE)</f>
        <v>2</v>
      </c>
      <c r="AG1249" t="str">
        <f t="shared" si="58"/>
        <v>2-DPC (Doméstico de pelo corto o DSH)</v>
      </c>
      <c r="AH1249">
        <f>VLOOKUP('Fichas clínicas'!AG1249,razas!$A$2:$D$66,3,FALSE)</f>
        <v>51</v>
      </c>
      <c r="AI1249" t="str">
        <f t="shared" si="59"/>
        <v>M</v>
      </c>
    </row>
    <row r="1250" spans="1:35" x14ac:dyDescent="0.2">
      <c r="A1250">
        <v>1252</v>
      </c>
      <c r="B1250" t="s">
        <v>2905</v>
      </c>
      <c r="C1250" t="s">
        <v>2906</v>
      </c>
      <c r="D1250" t="s">
        <v>32</v>
      </c>
      <c r="E1250" t="s">
        <v>33</v>
      </c>
      <c r="F1250" t="s">
        <v>47</v>
      </c>
      <c r="G1250" t="s">
        <v>2878</v>
      </c>
      <c r="J1250" t="s">
        <v>2907</v>
      </c>
      <c r="K1250" t="s">
        <v>38</v>
      </c>
      <c r="L1250" t="s">
        <v>38</v>
      </c>
      <c r="M1250" t="s">
        <v>38</v>
      </c>
      <c r="N1250" t="s">
        <v>38</v>
      </c>
      <c r="O1250" t="s">
        <v>38</v>
      </c>
      <c r="T1250" t="s">
        <v>38</v>
      </c>
      <c r="U1250">
        <v>0</v>
      </c>
      <c r="W1250">
        <v>0</v>
      </c>
      <c r="X1250">
        <v>0</v>
      </c>
      <c r="Y1250">
        <v>0</v>
      </c>
      <c r="AE1250">
        <f t="shared" si="57"/>
        <v>1</v>
      </c>
      <c r="AF1250">
        <f>VLOOKUP(D1250,especies!$A$2:$C$9,3,FALSE)</f>
        <v>1</v>
      </c>
      <c r="AG1250" t="str">
        <f t="shared" si="58"/>
        <v>1-Mestizo</v>
      </c>
      <c r="AH1250">
        <f>VLOOKUP('Fichas clínicas'!AG1250,razas!$A$2:$D$66,3,FALSE)</f>
        <v>1</v>
      </c>
      <c r="AI1250" t="str">
        <f t="shared" si="59"/>
        <v>M</v>
      </c>
    </row>
    <row r="1251" spans="1:35" x14ac:dyDescent="0.2">
      <c r="A1251">
        <v>1253</v>
      </c>
      <c r="B1251" t="s">
        <v>2908</v>
      </c>
      <c r="C1251" t="s">
        <v>2909</v>
      </c>
      <c r="D1251" t="s">
        <v>32</v>
      </c>
      <c r="E1251" t="s">
        <v>33</v>
      </c>
      <c r="F1251" t="s">
        <v>47</v>
      </c>
      <c r="G1251" t="s">
        <v>2910</v>
      </c>
      <c r="J1251" t="s">
        <v>359</v>
      </c>
      <c r="K1251" t="s">
        <v>38</v>
      </c>
      <c r="L1251" t="s">
        <v>38</v>
      </c>
      <c r="M1251" t="s">
        <v>38</v>
      </c>
      <c r="N1251" t="s">
        <v>38</v>
      </c>
      <c r="O1251" t="s">
        <v>38</v>
      </c>
      <c r="T1251" t="s">
        <v>38</v>
      </c>
      <c r="U1251">
        <v>0</v>
      </c>
      <c r="W1251">
        <v>0</v>
      </c>
      <c r="X1251">
        <v>0</v>
      </c>
      <c r="Y1251">
        <v>0</v>
      </c>
      <c r="AE1251">
        <f t="shared" si="57"/>
        <v>1</v>
      </c>
      <c r="AF1251">
        <f>VLOOKUP(D1251,especies!$A$2:$C$9,3,FALSE)</f>
        <v>1</v>
      </c>
      <c r="AG1251" t="str">
        <f t="shared" si="58"/>
        <v>1-Mestizo</v>
      </c>
      <c r="AH1251">
        <f>VLOOKUP('Fichas clínicas'!AG1251,razas!$A$2:$D$66,3,FALSE)</f>
        <v>1</v>
      </c>
      <c r="AI1251" t="str">
        <f t="shared" si="59"/>
        <v>M</v>
      </c>
    </row>
    <row r="1252" spans="1:35" x14ac:dyDescent="0.2">
      <c r="A1252">
        <v>1254</v>
      </c>
      <c r="B1252" t="s">
        <v>243</v>
      </c>
      <c r="C1252" t="s">
        <v>2911</v>
      </c>
      <c r="D1252" t="s">
        <v>32</v>
      </c>
      <c r="E1252" t="s">
        <v>160</v>
      </c>
      <c r="F1252" t="s">
        <v>34</v>
      </c>
      <c r="G1252" t="s">
        <v>2912</v>
      </c>
      <c r="J1252" t="s">
        <v>1691</v>
      </c>
      <c r="K1252" t="s">
        <v>38</v>
      </c>
      <c r="L1252" t="s">
        <v>38</v>
      </c>
      <c r="M1252" t="s">
        <v>38</v>
      </c>
      <c r="N1252" t="s">
        <v>38</v>
      </c>
      <c r="O1252" t="s">
        <v>38</v>
      </c>
      <c r="T1252" t="s">
        <v>38</v>
      </c>
      <c r="U1252">
        <v>0</v>
      </c>
      <c r="V1252">
        <v>1</v>
      </c>
      <c r="W1252">
        <v>0</v>
      </c>
      <c r="X1252">
        <v>0</v>
      </c>
      <c r="Y1252">
        <v>0</v>
      </c>
      <c r="AE1252">
        <f t="shared" si="57"/>
        <v>1</v>
      </c>
      <c r="AF1252">
        <f>VLOOKUP(D1252,especies!$A$2:$C$9,3,FALSE)</f>
        <v>1</v>
      </c>
      <c r="AG1252" t="str">
        <f t="shared" si="58"/>
        <v>1-Shih Tzu</v>
      </c>
      <c r="AH1252">
        <f>VLOOKUP('Fichas clínicas'!AG1252,razas!$A$2:$D$66,3,FALSE)</f>
        <v>7</v>
      </c>
      <c r="AI1252" t="str">
        <f t="shared" si="59"/>
        <v>H</v>
      </c>
    </row>
    <row r="1253" spans="1:35" x14ac:dyDescent="0.2">
      <c r="A1253">
        <v>1255</v>
      </c>
      <c r="B1253" t="s">
        <v>263</v>
      </c>
      <c r="C1253" t="s">
        <v>2695</v>
      </c>
      <c r="D1253" t="s">
        <v>41</v>
      </c>
      <c r="E1253" t="s">
        <v>42</v>
      </c>
      <c r="F1253" t="s">
        <v>34</v>
      </c>
      <c r="G1253" t="s">
        <v>2827</v>
      </c>
      <c r="J1253" t="s">
        <v>330</v>
      </c>
      <c r="K1253" t="s">
        <v>38</v>
      </c>
      <c r="L1253" t="s">
        <v>38</v>
      </c>
      <c r="M1253" t="s">
        <v>38</v>
      </c>
      <c r="N1253" t="s">
        <v>38</v>
      </c>
      <c r="O1253" t="s">
        <v>38</v>
      </c>
      <c r="T1253" t="s">
        <v>38</v>
      </c>
      <c r="U1253">
        <v>0</v>
      </c>
      <c r="V1253">
        <v>1</v>
      </c>
      <c r="W1253">
        <v>0</v>
      </c>
      <c r="X1253">
        <v>0</v>
      </c>
      <c r="Y1253">
        <v>0</v>
      </c>
      <c r="AE1253">
        <f t="shared" si="57"/>
        <v>1</v>
      </c>
      <c r="AF1253">
        <f>VLOOKUP(D1253,especies!$A$2:$C$9,3,FALSE)</f>
        <v>2</v>
      </c>
      <c r="AG1253" t="str">
        <f t="shared" si="58"/>
        <v>2-DPC (Doméstico de pelo corto o DSH)</v>
      </c>
      <c r="AH1253">
        <f>VLOOKUP('Fichas clínicas'!AG1253,razas!$A$2:$D$66,3,FALSE)</f>
        <v>51</v>
      </c>
      <c r="AI1253" t="str">
        <f t="shared" si="59"/>
        <v>H</v>
      </c>
    </row>
    <row r="1254" spans="1:35" x14ac:dyDescent="0.2">
      <c r="A1254">
        <v>1256</v>
      </c>
      <c r="B1254" t="s">
        <v>1190</v>
      </c>
      <c r="C1254" t="s">
        <v>358</v>
      </c>
      <c r="D1254" t="s">
        <v>41</v>
      </c>
      <c r="E1254" t="s">
        <v>42</v>
      </c>
      <c r="F1254" t="s">
        <v>47</v>
      </c>
      <c r="G1254" t="s">
        <v>284</v>
      </c>
      <c r="J1254" t="s">
        <v>2913</v>
      </c>
      <c r="K1254" t="s">
        <v>38</v>
      </c>
      <c r="L1254" t="s">
        <v>38</v>
      </c>
      <c r="M1254" t="s">
        <v>38</v>
      </c>
      <c r="N1254" t="s">
        <v>38</v>
      </c>
      <c r="O1254" t="s">
        <v>38</v>
      </c>
      <c r="T1254" t="s">
        <v>38</v>
      </c>
      <c r="U1254">
        <v>0</v>
      </c>
      <c r="W1254">
        <v>0</v>
      </c>
      <c r="X1254">
        <v>0</v>
      </c>
      <c r="Y1254">
        <v>0</v>
      </c>
      <c r="AE1254">
        <f t="shared" si="57"/>
        <v>1</v>
      </c>
      <c r="AF1254">
        <f>VLOOKUP(D1254,especies!$A$2:$C$9,3,FALSE)</f>
        <v>2</v>
      </c>
      <c r="AG1254" t="str">
        <f t="shared" si="58"/>
        <v>2-DPC (Doméstico de pelo corto o DSH)</v>
      </c>
      <c r="AH1254">
        <f>VLOOKUP('Fichas clínicas'!AG1254,razas!$A$2:$D$66,3,FALSE)</f>
        <v>51</v>
      </c>
      <c r="AI1254" t="str">
        <f t="shared" si="59"/>
        <v>M</v>
      </c>
    </row>
    <row r="1255" spans="1:35" x14ac:dyDescent="0.2">
      <c r="A1255">
        <v>1257</v>
      </c>
      <c r="B1255" t="s">
        <v>2914</v>
      </c>
      <c r="C1255" t="s">
        <v>2915</v>
      </c>
      <c r="D1255" t="s">
        <v>32</v>
      </c>
      <c r="E1255" t="s">
        <v>33</v>
      </c>
      <c r="F1255" t="s">
        <v>34</v>
      </c>
      <c r="G1255" t="s">
        <v>43</v>
      </c>
      <c r="J1255" t="s">
        <v>58</v>
      </c>
      <c r="K1255" t="s">
        <v>38</v>
      </c>
      <c r="L1255" t="s">
        <v>38</v>
      </c>
      <c r="M1255" t="s">
        <v>38</v>
      </c>
      <c r="N1255" t="s">
        <v>38</v>
      </c>
      <c r="O1255" t="s">
        <v>38</v>
      </c>
      <c r="T1255" t="s">
        <v>38</v>
      </c>
      <c r="U1255">
        <v>0</v>
      </c>
      <c r="W1255">
        <v>0</v>
      </c>
      <c r="X1255">
        <v>0</v>
      </c>
      <c r="Y1255">
        <v>0</v>
      </c>
      <c r="AE1255">
        <f t="shared" si="57"/>
        <v>1</v>
      </c>
      <c r="AF1255">
        <f>VLOOKUP(D1255,especies!$A$2:$C$9,3,FALSE)</f>
        <v>1</v>
      </c>
      <c r="AG1255" t="str">
        <f t="shared" si="58"/>
        <v>1-Mestizo</v>
      </c>
      <c r="AH1255">
        <f>VLOOKUP('Fichas clínicas'!AG1255,razas!$A$2:$D$66,3,FALSE)</f>
        <v>1</v>
      </c>
      <c r="AI1255" t="str">
        <f t="shared" si="59"/>
        <v>H</v>
      </c>
    </row>
    <row r="1256" spans="1:35" x14ac:dyDescent="0.2">
      <c r="A1256">
        <v>1258</v>
      </c>
      <c r="B1256" t="s">
        <v>2916</v>
      </c>
      <c r="C1256" t="s">
        <v>2917</v>
      </c>
      <c r="D1256" t="s">
        <v>32</v>
      </c>
      <c r="E1256" t="s">
        <v>33</v>
      </c>
      <c r="F1256" t="s">
        <v>47</v>
      </c>
      <c r="G1256" t="s">
        <v>81</v>
      </c>
      <c r="J1256" t="s">
        <v>2425</v>
      </c>
      <c r="K1256" t="s">
        <v>38</v>
      </c>
      <c r="L1256" t="s">
        <v>38</v>
      </c>
      <c r="M1256" t="s">
        <v>38</v>
      </c>
      <c r="N1256" t="s">
        <v>38</v>
      </c>
      <c r="O1256" t="s">
        <v>38</v>
      </c>
      <c r="T1256" t="s">
        <v>38</v>
      </c>
      <c r="U1256">
        <v>0</v>
      </c>
      <c r="W1256">
        <v>0</v>
      </c>
      <c r="X1256">
        <v>0</v>
      </c>
      <c r="Y1256">
        <v>0</v>
      </c>
      <c r="AE1256">
        <f t="shared" si="57"/>
        <v>1</v>
      </c>
      <c r="AF1256">
        <f>VLOOKUP(D1256,especies!$A$2:$C$9,3,FALSE)</f>
        <v>1</v>
      </c>
      <c r="AG1256" t="str">
        <f t="shared" si="58"/>
        <v>1-Mestizo</v>
      </c>
      <c r="AH1256">
        <f>VLOOKUP('Fichas clínicas'!AG1256,razas!$A$2:$D$66,3,FALSE)</f>
        <v>1</v>
      </c>
      <c r="AI1256" t="str">
        <f t="shared" si="59"/>
        <v>M</v>
      </c>
    </row>
    <row r="1257" spans="1:35" x14ac:dyDescent="0.2">
      <c r="A1257">
        <v>1259</v>
      </c>
      <c r="B1257" t="s">
        <v>2914</v>
      </c>
      <c r="C1257" t="s">
        <v>2918</v>
      </c>
      <c r="D1257" t="s">
        <v>32</v>
      </c>
      <c r="E1257" t="s">
        <v>33</v>
      </c>
      <c r="F1257" t="s">
        <v>34</v>
      </c>
      <c r="G1257" t="s">
        <v>54</v>
      </c>
      <c r="J1257" t="s">
        <v>271</v>
      </c>
      <c r="K1257" t="s">
        <v>38</v>
      </c>
      <c r="L1257" t="s">
        <v>38</v>
      </c>
      <c r="M1257" t="s">
        <v>38</v>
      </c>
      <c r="N1257" t="s">
        <v>38</v>
      </c>
      <c r="O1257" t="s">
        <v>38</v>
      </c>
      <c r="T1257" t="s">
        <v>38</v>
      </c>
      <c r="U1257">
        <v>0</v>
      </c>
      <c r="W1257">
        <v>0</v>
      </c>
      <c r="X1257">
        <v>0</v>
      </c>
      <c r="Y1257">
        <v>0</v>
      </c>
      <c r="AE1257">
        <f t="shared" si="57"/>
        <v>1</v>
      </c>
      <c r="AF1257">
        <f>VLOOKUP(D1257,especies!$A$2:$C$9,3,FALSE)</f>
        <v>1</v>
      </c>
      <c r="AG1257" t="str">
        <f t="shared" si="58"/>
        <v>1-Mestizo</v>
      </c>
      <c r="AH1257">
        <f>VLOOKUP('Fichas clínicas'!AG1257,razas!$A$2:$D$66,3,FALSE)</f>
        <v>1</v>
      </c>
      <c r="AI1257" t="str">
        <f t="shared" si="59"/>
        <v>H</v>
      </c>
    </row>
    <row r="1258" spans="1:35" x14ac:dyDescent="0.2">
      <c r="A1258">
        <v>1260</v>
      </c>
      <c r="B1258" t="s">
        <v>2919</v>
      </c>
      <c r="C1258" t="s">
        <v>2920</v>
      </c>
      <c r="D1258" t="s">
        <v>32</v>
      </c>
      <c r="E1258" t="s">
        <v>257</v>
      </c>
      <c r="F1258" t="s">
        <v>34</v>
      </c>
      <c r="G1258" t="s">
        <v>258</v>
      </c>
      <c r="J1258" t="s">
        <v>58</v>
      </c>
      <c r="K1258" t="s">
        <v>38</v>
      </c>
      <c r="L1258" t="s">
        <v>38</v>
      </c>
      <c r="M1258" t="s">
        <v>38</v>
      </c>
      <c r="N1258" t="s">
        <v>38</v>
      </c>
      <c r="O1258" t="s">
        <v>38</v>
      </c>
      <c r="T1258" t="s">
        <v>38</v>
      </c>
      <c r="U1258">
        <v>0</v>
      </c>
      <c r="W1258">
        <v>0</v>
      </c>
      <c r="X1258">
        <v>0</v>
      </c>
      <c r="Y1258">
        <v>0</v>
      </c>
      <c r="AE1258">
        <f t="shared" si="57"/>
        <v>1</v>
      </c>
      <c r="AF1258">
        <f>VLOOKUP(D1258,especies!$A$2:$C$9,3,FALSE)</f>
        <v>1</v>
      </c>
      <c r="AG1258" t="str">
        <f t="shared" si="58"/>
        <v>1-Terrier Chileno</v>
      </c>
      <c r="AH1258">
        <f>VLOOKUP('Fichas clínicas'!AG1258,razas!$A$2:$D$66,3,FALSE)</f>
        <v>10</v>
      </c>
      <c r="AI1258" t="str">
        <f t="shared" si="59"/>
        <v>H</v>
      </c>
    </row>
    <row r="1259" spans="1:35" x14ac:dyDescent="0.2">
      <c r="A1259">
        <v>1261</v>
      </c>
      <c r="B1259" t="s">
        <v>2699</v>
      </c>
      <c r="C1259" t="s">
        <v>347</v>
      </c>
      <c r="D1259" t="s">
        <v>41</v>
      </c>
      <c r="E1259" t="s">
        <v>42</v>
      </c>
      <c r="F1259" t="s">
        <v>34</v>
      </c>
      <c r="G1259" t="s">
        <v>370</v>
      </c>
      <c r="J1259" t="s">
        <v>2921</v>
      </c>
      <c r="K1259" t="s">
        <v>38</v>
      </c>
      <c r="L1259" t="s">
        <v>38</v>
      </c>
      <c r="M1259" t="s">
        <v>38</v>
      </c>
      <c r="N1259" t="s">
        <v>38</v>
      </c>
      <c r="O1259" t="s">
        <v>38</v>
      </c>
      <c r="T1259" t="s">
        <v>38</v>
      </c>
      <c r="U1259">
        <v>0</v>
      </c>
      <c r="W1259">
        <v>0</v>
      </c>
      <c r="X1259">
        <v>0</v>
      </c>
      <c r="Y1259">
        <v>0</v>
      </c>
      <c r="AE1259">
        <f t="shared" si="57"/>
        <v>1</v>
      </c>
      <c r="AF1259">
        <f>VLOOKUP(D1259,especies!$A$2:$C$9,3,FALSE)</f>
        <v>2</v>
      </c>
      <c r="AG1259" t="str">
        <f t="shared" si="58"/>
        <v>2-DPC (Doméstico de pelo corto o DSH)</v>
      </c>
      <c r="AH1259">
        <f>VLOOKUP('Fichas clínicas'!AG1259,razas!$A$2:$D$66,3,FALSE)</f>
        <v>51</v>
      </c>
      <c r="AI1259" t="str">
        <f t="shared" si="59"/>
        <v>H</v>
      </c>
    </row>
    <row r="1260" spans="1:35" x14ac:dyDescent="0.2">
      <c r="A1260">
        <v>1262</v>
      </c>
      <c r="B1260" t="s">
        <v>2922</v>
      </c>
      <c r="C1260" t="s">
        <v>988</v>
      </c>
      <c r="D1260" t="s">
        <v>41</v>
      </c>
      <c r="E1260" t="s">
        <v>93</v>
      </c>
      <c r="F1260" t="s">
        <v>47</v>
      </c>
      <c r="G1260" t="s">
        <v>169</v>
      </c>
      <c r="J1260" t="s">
        <v>2923</v>
      </c>
      <c r="K1260" t="s">
        <v>38</v>
      </c>
      <c r="L1260" t="s">
        <v>38</v>
      </c>
      <c r="M1260" t="s">
        <v>38</v>
      </c>
      <c r="N1260" t="s">
        <v>38</v>
      </c>
      <c r="O1260" t="s">
        <v>38</v>
      </c>
      <c r="T1260" t="s">
        <v>38</v>
      </c>
      <c r="U1260">
        <v>0</v>
      </c>
      <c r="V1260">
        <v>1</v>
      </c>
      <c r="W1260">
        <v>0</v>
      </c>
      <c r="X1260">
        <v>0</v>
      </c>
      <c r="Y1260">
        <v>0</v>
      </c>
      <c r="AE1260">
        <f t="shared" si="57"/>
        <v>1</v>
      </c>
      <c r="AF1260">
        <f>VLOOKUP(D1260,especies!$A$2:$C$9,3,FALSE)</f>
        <v>2</v>
      </c>
      <c r="AG1260" t="str">
        <f t="shared" si="58"/>
        <v>2-DPL (Doméstico de pelo Largo o DLH)</v>
      </c>
      <c r="AH1260">
        <f>VLOOKUP('Fichas clínicas'!AG1260,razas!$A$2:$D$66,3,FALSE)</f>
        <v>52</v>
      </c>
      <c r="AI1260" t="str">
        <f t="shared" si="59"/>
        <v>M</v>
      </c>
    </row>
    <row r="1261" spans="1:35" x14ac:dyDescent="0.2">
      <c r="A1261">
        <v>1263</v>
      </c>
      <c r="B1261" t="s">
        <v>2924</v>
      </c>
      <c r="C1261" t="s">
        <v>613</v>
      </c>
      <c r="D1261" t="s">
        <v>41</v>
      </c>
      <c r="E1261" t="s">
        <v>42</v>
      </c>
      <c r="F1261" t="s">
        <v>34</v>
      </c>
      <c r="G1261" t="s">
        <v>804</v>
      </c>
      <c r="J1261" t="s">
        <v>90</v>
      </c>
      <c r="K1261" t="s">
        <v>38</v>
      </c>
      <c r="L1261" t="s">
        <v>38</v>
      </c>
      <c r="M1261" t="s">
        <v>38</v>
      </c>
      <c r="N1261" t="s">
        <v>38</v>
      </c>
      <c r="O1261" t="s">
        <v>38</v>
      </c>
      <c r="T1261" t="s">
        <v>38</v>
      </c>
      <c r="U1261">
        <v>0</v>
      </c>
      <c r="W1261">
        <v>0</v>
      </c>
      <c r="X1261">
        <v>0</v>
      </c>
      <c r="Y1261">
        <v>0</v>
      </c>
      <c r="AE1261">
        <f t="shared" si="57"/>
        <v>1</v>
      </c>
      <c r="AF1261">
        <f>VLOOKUP(D1261,especies!$A$2:$C$9,3,FALSE)</f>
        <v>2</v>
      </c>
      <c r="AG1261" t="str">
        <f t="shared" si="58"/>
        <v>2-DPC (Doméstico de pelo corto o DSH)</v>
      </c>
      <c r="AH1261">
        <f>VLOOKUP('Fichas clínicas'!AG1261,razas!$A$2:$D$66,3,FALSE)</f>
        <v>51</v>
      </c>
      <c r="AI1261" t="str">
        <f t="shared" si="59"/>
        <v>H</v>
      </c>
    </row>
    <row r="1262" spans="1:35" x14ac:dyDescent="0.2">
      <c r="A1262">
        <v>1264</v>
      </c>
      <c r="B1262" t="s">
        <v>1282</v>
      </c>
      <c r="C1262" t="s">
        <v>2925</v>
      </c>
      <c r="D1262" t="s">
        <v>32</v>
      </c>
      <c r="E1262" t="s">
        <v>33</v>
      </c>
      <c r="F1262" t="s">
        <v>47</v>
      </c>
      <c r="G1262" t="s">
        <v>300</v>
      </c>
      <c r="I1262">
        <v>9390000042655084</v>
      </c>
      <c r="J1262" t="s">
        <v>2926</v>
      </c>
      <c r="K1262" t="s">
        <v>38</v>
      </c>
      <c r="L1262" t="s">
        <v>38</v>
      </c>
      <c r="M1262" t="s">
        <v>38</v>
      </c>
      <c r="N1262" t="s">
        <v>38</v>
      </c>
      <c r="O1262" t="s">
        <v>38</v>
      </c>
      <c r="Q1262">
        <v>0</v>
      </c>
      <c r="T1262" t="s">
        <v>38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f t="shared" si="57"/>
        <v>1</v>
      </c>
      <c r="AF1262">
        <f>VLOOKUP(D1262,especies!$A$2:$C$9,3,FALSE)</f>
        <v>1</v>
      </c>
      <c r="AG1262" t="str">
        <f t="shared" si="58"/>
        <v>1-Mestizo</v>
      </c>
      <c r="AH1262">
        <f>VLOOKUP('Fichas clínicas'!AG1262,razas!$A$2:$D$66,3,FALSE)</f>
        <v>1</v>
      </c>
      <c r="AI1262" t="str">
        <f t="shared" si="59"/>
        <v>M</v>
      </c>
    </row>
    <row r="1263" spans="1:35" x14ac:dyDescent="0.2">
      <c r="A1263">
        <v>1265</v>
      </c>
      <c r="B1263" t="s">
        <v>2927</v>
      </c>
      <c r="C1263" t="s">
        <v>988</v>
      </c>
      <c r="D1263" t="s">
        <v>32</v>
      </c>
      <c r="E1263" t="s">
        <v>257</v>
      </c>
      <c r="F1263" t="s">
        <v>47</v>
      </c>
      <c r="G1263" t="s">
        <v>258</v>
      </c>
      <c r="J1263" t="s">
        <v>119</v>
      </c>
      <c r="K1263" t="s">
        <v>38</v>
      </c>
      <c r="L1263" t="s">
        <v>38</v>
      </c>
      <c r="M1263" t="s">
        <v>38</v>
      </c>
      <c r="N1263" t="s">
        <v>38</v>
      </c>
      <c r="O1263" t="s">
        <v>38</v>
      </c>
      <c r="T1263" t="s">
        <v>38</v>
      </c>
      <c r="U1263">
        <v>0</v>
      </c>
      <c r="W1263">
        <v>0</v>
      </c>
      <c r="X1263">
        <v>0</v>
      </c>
      <c r="Y1263">
        <v>0</v>
      </c>
      <c r="AE1263">
        <f t="shared" si="57"/>
        <v>1</v>
      </c>
      <c r="AF1263">
        <f>VLOOKUP(D1263,especies!$A$2:$C$9,3,FALSE)</f>
        <v>1</v>
      </c>
      <c r="AG1263" t="str">
        <f t="shared" si="58"/>
        <v>1-Terrier Chileno</v>
      </c>
      <c r="AH1263">
        <f>VLOOKUP('Fichas clínicas'!AG1263,razas!$A$2:$D$66,3,FALSE)</f>
        <v>10</v>
      </c>
      <c r="AI1263" t="str">
        <f t="shared" si="59"/>
        <v>M</v>
      </c>
    </row>
    <row r="1264" spans="1:35" x14ac:dyDescent="0.2">
      <c r="A1264">
        <v>1266</v>
      </c>
      <c r="B1264" t="s">
        <v>2928</v>
      </c>
      <c r="C1264" t="s">
        <v>2929</v>
      </c>
      <c r="D1264" t="s">
        <v>2280</v>
      </c>
      <c r="E1264" t="s">
        <v>2930</v>
      </c>
      <c r="F1264" t="s">
        <v>34</v>
      </c>
      <c r="G1264" t="s">
        <v>2870</v>
      </c>
      <c r="J1264" t="s">
        <v>2931</v>
      </c>
      <c r="K1264" t="s">
        <v>38</v>
      </c>
      <c r="L1264" t="s">
        <v>38</v>
      </c>
      <c r="M1264" t="s">
        <v>38</v>
      </c>
      <c r="N1264" t="s">
        <v>38</v>
      </c>
      <c r="O1264" t="s">
        <v>38</v>
      </c>
      <c r="T1264" t="s">
        <v>38</v>
      </c>
      <c r="U1264">
        <v>0</v>
      </c>
      <c r="W1264">
        <v>0</v>
      </c>
      <c r="X1264">
        <v>0</v>
      </c>
      <c r="Y1264">
        <v>0</v>
      </c>
      <c r="AE1264">
        <f t="shared" si="57"/>
        <v>1</v>
      </c>
      <c r="AF1264">
        <f>VLOOKUP(D1264,especies!$A$2:$C$9,3,FALSE)</f>
        <v>6</v>
      </c>
      <c r="AG1264" t="str">
        <f t="shared" si="58"/>
        <v>6-Conejo Doméstico</v>
      </c>
      <c r="AH1264">
        <f>VLOOKUP('Fichas clínicas'!AG1264,razas!$A$2:$D$66,3,FALSE)</f>
        <v>61</v>
      </c>
      <c r="AI1264" t="str">
        <f t="shared" si="59"/>
        <v>H</v>
      </c>
    </row>
    <row r="1265" spans="1:35" x14ac:dyDescent="0.2">
      <c r="A1265">
        <v>1267</v>
      </c>
      <c r="B1265" t="s">
        <v>243</v>
      </c>
      <c r="C1265" t="s">
        <v>1069</v>
      </c>
      <c r="D1265" t="s">
        <v>41</v>
      </c>
      <c r="E1265" t="s">
        <v>93</v>
      </c>
      <c r="F1265" t="s">
        <v>47</v>
      </c>
      <c r="G1265" t="s">
        <v>77</v>
      </c>
      <c r="J1265" t="s">
        <v>58</v>
      </c>
      <c r="K1265" t="s">
        <v>38</v>
      </c>
      <c r="L1265" t="s">
        <v>38</v>
      </c>
      <c r="M1265" t="s">
        <v>38</v>
      </c>
      <c r="N1265" t="s">
        <v>38</v>
      </c>
      <c r="O1265" t="s">
        <v>38</v>
      </c>
      <c r="T1265" t="s">
        <v>38</v>
      </c>
      <c r="U1265">
        <v>0</v>
      </c>
      <c r="W1265">
        <v>0</v>
      </c>
      <c r="X1265">
        <v>0</v>
      </c>
      <c r="Y1265">
        <v>0</v>
      </c>
      <c r="AE1265">
        <f t="shared" si="57"/>
        <v>1</v>
      </c>
      <c r="AF1265">
        <f>VLOOKUP(D1265,especies!$A$2:$C$9,3,FALSE)</f>
        <v>2</v>
      </c>
      <c r="AG1265" t="str">
        <f t="shared" si="58"/>
        <v>2-DPL (Doméstico de pelo Largo o DLH)</v>
      </c>
      <c r="AH1265">
        <f>VLOOKUP('Fichas clínicas'!AG1265,razas!$A$2:$D$66,3,FALSE)</f>
        <v>52</v>
      </c>
      <c r="AI1265" t="str">
        <f t="shared" si="59"/>
        <v>M</v>
      </c>
    </row>
    <row r="1266" spans="1:35" x14ac:dyDescent="0.2">
      <c r="A1266">
        <v>1268</v>
      </c>
      <c r="B1266" t="s">
        <v>2932</v>
      </c>
      <c r="C1266" t="s">
        <v>2933</v>
      </c>
      <c r="D1266" t="s">
        <v>41</v>
      </c>
      <c r="E1266" t="s">
        <v>93</v>
      </c>
      <c r="F1266" t="s">
        <v>34</v>
      </c>
      <c r="G1266" t="s">
        <v>2851</v>
      </c>
      <c r="J1266" t="s">
        <v>1074</v>
      </c>
      <c r="K1266" t="s">
        <v>38</v>
      </c>
      <c r="L1266" t="s">
        <v>38</v>
      </c>
      <c r="M1266" t="s">
        <v>38</v>
      </c>
      <c r="N1266" t="s">
        <v>38</v>
      </c>
      <c r="O1266" t="s">
        <v>38</v>
      </c>
      <c r="T1266" t="s">
        <v>38</v>
      </c>
      <c r="U1266">
        <v>0</v>
      </c>
      <c r="W1266">
        <v>0</v>
      </c>
      <c r="X1266">
        <v>0</v>
      </c>
      <c r="Y1266">
        <v>0</v>
      </c>
      <c r="AE1266">
        <f t="shared" si="57"/>
        <v>1</v>
      </c>
      <c r="AF1266">
        <f>VLOOKUP(D1266,especies!$A$2:$C$9,3,FALSE)</f>
        <v>2</v>
      </c>
      <c r="AG1266" t="str">
        <f t="shared" si="58"/>
        <v>2-DPL (Doméstico de pelo Largo o DLH)</v>
      </c>
      <c r="AH1266">
        <f>VLOOKUP('Fichas clínicas'!AG1266,razas!$A$2:$D$66,3,FALSE)</f>
        <v>52</v>
      </c>
      <c r="AI1266" t="str">
        <f t="shared" si="59"/>
        <v>H</v>
      </c>
    </row>
    <row r="1267" spans="1:35" x14ac:dyDescent="0.2">
      <c r="A1267">
        <v>1269</v>
      </c>
      <c r="B1267" t="s">
        <v>2605</v>
      </c>
      <c r="C1267" t="s">
        <v>2934</v>
      </c>
      <c r="D1267" t="s">
        <v>41</v>
      </c>
      <c r="E1267" t="s">
        <v>93</v>
      </c>
      <c r="F1267" t="s">
        <v>47</v>
      </c>
      <c r="G1267" t="s">
        <v>652</v>
      </c>
      <c r="J1267" t="s">
        <v>2935</v>
      </c>
      <c r="K1267" t="s">
        <v>38</v>
      </c>
      <c r="L1267" t="s">
        <v>38</v>
      </c>
      <c r="M1267" t="s">
        <v>38</v>
      </c>
      <c r="N1267" t="s">
        <v>38</v>
      </c>
      <c r="O1267" t="s">
        <v>38</v>
      </c>
      <c r="T1267" t="s">
        <v>38</v>
      </c>
      <c r="U1267">
        <v>0</v>
      </c>
      <c r="V1267">
        <v>1</v>
      </c>
      <c r="W1267">
        <v>0</v>
      </c>
      <c r="X1267">
        <v>0</v>
      </c>
      <c r="Y1267">
        <v>0</v>
      </c>
      <c r="AE1267">
        <f t="shared" si="57"/>
        <v>1</v>
      </c>
      <c r="AF1267">
        <f>VLOOKUP(D1267,especies!$A$2:$C$9,3,FALSE)</f>
        <v>2</v>
      </c>
      <c r="AG1267" t="str">
        <f t="shared" si="58"/>
        <v>2-DPL (Doméstico de pelo Largo o DLH)</v>
      </c>
      <c r="AH1267">
        <f>VLOOKUP('Fichas clínicas'!AG1267,razas!$A$2:$D$66,3,FALSE)</f>
        <v>52</v>
      </c>
      <c r="AI1267" t="str">
        <f t="shared" si="59"/>
        <v>M</v>
      </c>
    </row>
    <row r="1268" spans="1:35" x14ac:dyDescent="0.2">
      <c r="A1268">
        <v>1270</v>
      </c>
      <c r="B1268" t="s">
        <v>2605</v>
      </c>
      <c r="C1268" t="s">
        <v>2936</v>
      </c>
      <c r="D1268" t="s">
        <v>41</v>
      </c>
      <c r="E1268" t="s">
        <v>42</v>
      </c>
      <c r="F1268" t="s">
        <v>34</v>
      </c>
      <c r="G1268" t="s">
        <v>297</v>
      </c>
      <c r="J1268" t="s">
        <v>2937</v>
      </c>
      <c r="K1268" t="s">
        <v>38</v>
      </c>
      <c r="L1268" t="s">
        <v>38</v>
      </c>
      <c r="M1268" t="s">
        <v>38</v>
      </c>
      <c r="N1268" t="s">
        <v>38</v>
      </c>
      <c r="O1268" t="s">
        <v>38</v>
      </c>
      <c r="T1268" t="s">
        <v>38</v>
      </c>
      <c r="U1268">
        <v>0</v>
      </c>
      <c r="V1268">
        <v>1</v>
      </c>
      <c r="W1268">
        <v>0</v>
      </c>
      <c r="X1268">
        <v>0</v>
      </c>
      <c r="Y1268">
        <v>0</v>
      </c>
      <c r="AE1268">
        <f t="shared" si="57"/>
        <v>1</v>
      </c>
      <c r="AF1268">
        <f>VLOOKUP(D1268,especies!$A$2:$C$9,3,FALSE)</f>
        <v>2</v>
      </c>
      <c r="AG1268" t="str">
        <f t="shared" si="58"/>
        <v>2-DPC (Doméstico de pelo corto o DSH)</v>
      </c>
      <c r="AH1268">
        <f>VLOOKUP('Fichas clínicas'!AG1268,razas!$A$2:$D$66,3,FALSE)</f>
        <v>51</v>
      </c>
      <c r="AI1268" t="str">
        <f t="shared" si="59"/>
        <v>H</v>
      </c>
    </row>
    <row r="1269" spans="1:35" x14ac:dyDescent="0.2">
      <c r="A1269">
        <v>1271</v>
      </c>
      <c r="B1269" t="s">
        <v>394</v>
      </c>
      <c r="C1269" t="s">
        <v>2938</v>
      </c>
      <c r="D1269" t="s">
        <v>41</v>
      </c>
      <c r="E1269" t="s">
        <v>42</v>
      </c>
      <c r="F1269" t="s">
        <v>34</v>
      </c>
      <c r="G1269" t="s">
        <v>77</v>
      </c>
      <c r="J1269" t="s">
        <v>989</v>
      </c>
      <c r="K1269" t="s">
        <v>38</v>
      </c>
      <c r="L1269" t="s">
        <v>38</v>
      </c>
      <c r="M1269" t="s">
        <v>38</v>
      </c>
      <c r="N1269" t="s">
        <v>38</v>
      </c>
      <c r="O1269" t="s">
        <v>38</v>
      </c>
      <c r="T1269" t="s">
        <v>38</v>
      </c>
      <c r="U1269">
        <v>0</v>
      </c>
      <c r="V1269">
        <v>1</v>
      </c>
      <c r="W1269">
        <v>0</v>
      </c>
      <c r="X1269">
        <v>0</v>
      </c>
      <c r="Y1269">
        <v>0</v>
      </c>
      <c r="AE1269">
        <f t="shared" si="57"/>
        <v>1</v>
      </c>
      <c r="AF1269">
        <f>VLOOKUP(D1269,especies!$A$2:$C$9,3,FALSE)</f>
        <v>2</v>
      </c>
      <c r="AG1269" t="str">
        <f t="shared" si="58"/>
        <v>2-DPC (Doméstico de pelo corto o DSH)</v>
      </c>
      <c r="AH1269">
        <f>VLOOKUP('Fichas clínicas'!AG1269,razas!$A$2:$D$66,3,FALSE)</f>
        <v>51</v>
      </c>
      <c r="AI1269" t="str">
        <f t="shared" si="59"/>
        <v>H</v>
      </c>
    </row>
    <row r="1270" spans="1:35" x14ac:dyDescent="0.2">
      <c r="A1270">
        <v>1272</v>
      </c>
      <c r="B1270" t="s">
        <v>2939</v>
      </c>
      <c r="C1270" t="s">
        <v>1655</v>
      </c>
      <c r="D1270" t="s">
        <v>32</v>
      </c>
      <c r="E1270" t="s">
        <v>33</v>
      </c>
      <c r="F1270" t="s">
        <v>47</v>
      </c>
      <c r="G1270" t="s">
        <v>2940</v>
      </c>
      <c r="I1270">
        <v>939000007228043</v>
      </c>
      <c r="J1270" t="s">
        <v>2941</v>
      </c>
      <c r="K1270" t="s">
        <v>38</v>
      </c>
      <c r="L1270" t="s">
        <v>38</v>
      </c>
      <c r="M1270" t="s">
        <v>38</v>
      </c>
      <c r="N1270" t="s">
        <v>38</v>
      </c>
      <c r="O1270" t="s">
        <v>38</v>
      </c>
      <c r="Q1270">
        <v>0</v>
      </c>
      <c r="T1270" t="s">
        <v>38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f t="shared" si="57"/>
        <v>1</v>
      </c>
      <c r="AF1270">
        <f>VLOOKUP(D1270,especies!$A$2:$C$9,3,FALSE)</f>
        <v>1</v>
      </c>
      <c r="AG1270" t="str">
        <f t="shared" si="58"/>
        <v>1-Mestizo</v>
      </c>
      <c r="AH1270">
        <f>VLOOKUP('Fichas clínicas'!AG1270,razas!$A$2:$D$66,3,FALSE)</f>
        <v>1</v>
      </c>
      <c r="AI1270" t="str">
        <f t="shared" si="59"/>
        <v>M</v>
      </c>
    </row>
    <row r="1271" spans="1:35" x14ac:dyDescent="0.2">
      <c r="A1271">
        <v>1273</v>
      </c>
      <c r="B1271" t="s">
        <v>778</v>
      </c>
      <c r="C1271" t="s">
        <v>2942</v>
      </c>
      <c r="D1271" t="s">
        <v>32</v>
      </c>
      <c r="E1271" t="s">
        <v>33</v>
      </c>
      <c r="F1271" t="s">
        <v>34</v>
      </c>
      <c r="G1271" t="s">
        <v>2943</v>
      </c>
      <c r="J1271" t="s">
        <v>2775</v>
      </c>
      <c r="K1271" t="s">
        <v>38</v>
      </c>
      <c r="L1271" t="s">
        <v>38</v>
      </c>
      <c r="M1271" t="s">
        <v>38</v>
      </c>
      <c r="N1271" t="s">
        <v>38</v>
      </c>
      <c r="O1271" t="s">
        <v>38</v>
      </c>
      <c r="T1271" t="s">
        <v>38</v>
      </c>
      <c r="U1271">
        <v>0</v>
      </c>
      <c r="W1271">
        <v>0</v>
      </c>
      <c r="X1271">
        <v>0</v>
      </c>
      <c r="Y1271">
        <v>0</v>
      </c>
      <c r="AE1271">
        <f t="shared" si="57"/>
        <v>1</v>
      </c>
      <c r="AF1271">
        <f>VLOOKUP(D1271,especies!$A$2:$C$9,3,FALSE)</f>
        <v>1</v>
      </c>
      <c r="AG1271" t="str">
        <f t="shared" si="58"/>
        <v>1-Mestizo</v>
      </c>
      <c r="AH1271">
        <f>VLOOKUP('Fichas clínicas'!AG1271,razas!$A$2:$D$66,3,FALSE)</f>
        <v>1</v>
      </c>
      <c r="AI1271" t="str">
        <f t="shared" si="59"/>
        <v>H</v>
      </c>
    </row>
    <row r="1272" spans="1:35" x14ac:dyDescent="0.2">
      <c r="A1272">
        <v>1274</v>
      </c>
      <c r="B1272" t="s">
        <v>2944</v>
      </c>
      <c r="C1272" t="s">
        <v>2945</v>
      </c>
      <c r="D1272" t="s">
        <v>41</v>
      </c>
      <c r="E1272" t="s">
        <v>42</v>
      </c>
      <c r="F1272" t="s">
        <v>34</v>
      </c>
      <c r="G1272" t="s">
        <v>2827</v>
      </c>
      <c r="J1272" t="s">
        <v>2946</v>
      </c>
      <c r="K1272" t="s">
        <v>38</v>
      </c>
      <c r="L1272" t="s">
        <v>38</v>
      </c>
      <c r="M1272" t="s">
        <v>38</v>
      </c>
      <c r="N1272" t="s">
        <v>38</v>
      </c>
      <c r="O1272" t="s">
        <v>38</v>
      </c>
      <c r="T1272" t="s">
        <v>38</v>
      </c>
      <c r="U1272">
        <v>0</v>
      </c>
      <c r="V1272">
        <v>1</v>
      </c>
      <c r="W1272">
        <v>0</v>
      </c>
      <c r="X1272">
        <v>0</v>
      </c>
      <c r="Y1272">
        <v>0</v>
      </c>
      <c r="AE1272">
        <f t="shared" si="57"/>
        <v>1</v>
      </c>
      <c r="AF1272">
        <f>VLOOKUP(D1272,especies!$A$2:$C$9,3,FALSE)</f>
        <v>2</v>
      </c>
      <c r="AG1272" t="str">
        <f t="shared" si="58"/>
        <v>2-DPC (Doméstico de pelo corto o DSH)</v>
      </c>
      <c r="AH1272">
        <f>VLOOKUP('Fichas clínicas'!AG1272,razas!$A$2:$D$66,3,FALSE)</f>
        <v>51</v>
      </c>
      <c r="AI1272" t="str">
        <f t="shared" si="59"/>
        <v>H</v>
      </c>
    </row>
    <row r="1273" spans="1:35" x14ac:dyDescent="0.2">
      <c r="A1273">
        <v>1275</v>
      </c>
      <c r="B1273" t="s">
        <v>2799</v>
      </c>
      <c r="C1273" t="s">
        <v>2947</v>
      </c>
      <c r="D1273" t="s">
        <v>32</v>
      </c>
      <c r="E1273" t="s">
        <v>33</v>
      </c>
      <c r="F1273" t="s">
        <v>47</v>
      </c>
      <c r="G1273" t="s">
        <v>2889</v>
      </c>
      <c r="H1273">
        <v>991001001551563</v>
      </c>
      <c r="J1273" t="s">
        <v>2601</v>
      </c>
      <c r="K1273" t="s">
        <v>38</v>
      </c>
      <c r="L1273" t="s">
        <v>38</v>
      </c>
      <c r="M1273" t="s">
        <v>38</v>
      </c>
      <c r="N1273" t="s">
        <v>38</v>
      </c>
      <c r="O1273" t="s">
        <v>38</v>
      </c>
      <c r="Q1273">
        <v>0</v>
      </c>
      <c r="T1273" t="s">
        <v>38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f t="shared" si="57"/>
        <v>1</v>
      </c>
      <c r="AF1273">
        <f>VLOOKUP(D1273,especies!$A$2:$C$9,3,FALSE)</f>
        <v>1</v>
      </c>
      <c r="AG1273" t="str">
        <f t="shared" si="58"/>
        <v>1-Mestizo</v>
      </c>
      <c r="AH1273">
        <f>VLOOKUP('Fichas clínicas'!AG1273,razas!$A$2:$D$66,3,FALSE)</f>
        <v>1</v>
      </c>
      <c r="AI1273" t="str">
        <f t="shared" si="59"/>
        <v>M</v>
      </c>
    </row>
    <row r="1274" spans="1:35" x14ac:dyDescent="0.2">
      <c r="A1274">
        <v>1276</v>
      </c>
      <c r="B1274" t="s">
        <v>2767</v>
      </c>
      <c r="C1274" t="s">
        <v>2948</v>
      </c>
      <c r="D1274" t="s">
        <v>41</v>
      </c>
      <c r="E1274" t="s">
        <v>42</v>
      </c>
      <c r="F1274" t="s">
        <v>34</v>
      </c>
      <c r="G1274" t="s">
        <v>2949</v>
      </c>
      <c r="J1274" t="s">
        <v>2950</v>
      </c>
      <c r="K1274" t="s">
        <v>38</v>
      </c>
      <c r="L1274" t="s">
        <v>38</v>
      </c>
      <c r="M1274" t="s">
        <v>38</v>
      </c>
      <c r="N1274" t="s">
        <v>38</v>
      </c>
      <c r="O1274" t="s">
        <v>38</v>
      </c>
      <c r="T1274" t="s">
        <v>38</v>
      </c>
      <c r="U1274">
        <v>0</v>
      </c>
      <c r="W1274">
        <v>0</v>
      </c>
      <c r="X1274">
        <v>0</v>
      </c>
      <c r="Y1274">
        <v>0</v>
      </c>
      <c r="AE1274">
        <f t="shared" si="57"/>
        <v>1</v>
      </c>
      <c r="AF1274">
        <f>VLOOKUP(D1274,especies!$A$2:$C$9,3,FALSE)</f>
        <v>2</v>
      </c>
      <c r="AG1274" t="str">
        <f t="shared" si="58"/>
        <v>2-DPC (Doméstico de pelo corto o DSH)</v>
      </c>
      <c r="AH1274">
        <f>VLOOKUP('Fichas clínicas'!AG1274,razas!$A$2:$D$66,3,FALSE)</f>
        <v>51</v>
      </c>
      <c r="AI1274" t="str">
        <f t="shared" si="59"/>
        <v>H</v>
      </c>
    </row>
    <row r="1275" spans="1:35" x14ac:dyDescent="0.2">
      <c r="A1275">
        <v>1277</v>
      </c>
      <c r="B1275" t="s">
        <v>2951</v>
      </c>
      <c r="C1275" t="s">
        <v>1462</v>
      </c>
      <c r="D1275" t="s">
        <v>41</v>
      </c>
      <c r="E1275" t="s">
        <v>42</v>
      </c>
      <c r="F1275" t="s">
        <v>34</v>
      </c>
      <c r="G1275" t="s">
        <v>2827</v>
      </c>
      <c r="J1275" t="s">
        <v>2952</v>
      </c>
      <c r="K1275" t="s">
        <v>38</v>
      </c>
      <c r="L1275" t="s">
        <v>38</v>
      </c>
      <c r="M1275" t="s">
        <v>38</v>
      </c>
      <c r="N1275" t="s">
        <v>38</v>
      </c>
      <c r="O1275" t="s">
        <v>38</v>
      </c>
      <c r="T1275" t="s">
        <v>38</v>
      </c>
      <c r="U1275">
        <v>0</v>
      </c>
      <c r="V1275">
        <v>1</v>
      </c>
      <c r="W1275">
        <v>0</v>
      </c>
      <c r="X1275">
        <v>0</v>
      </c>
      <c r="Y1275">
        <v>0</v>
      </c>
      <c r="AE1275">
        <f t="shared" si="57"/>
        <v>1</v>
      </c>
      <c r="AF1275">
        <f>VLOOKUP(D1275,especies!$A$2:$C$9,3,FALSE)</f>
        <v>2</v>
      </c>
      <c r="AG1275" t="str">
        <f t="shared" si="58"/>
        <v>2-DPC (Doméstico de pelo corto o DSH)</v>
      </c>
      <c r="AH1275">
        <f>VLOOKUP('Fichas clínicas'!AG1275,razas!$A$2:$D$66,3,FALSE)</f>
        <v>51</v>
      </c>
      <c r="AI1275" t="str">
        <f t="shared" si="59"/>
        <v>H</v>
      </c>
    </row>
    <row r="1276" spans="1:35" x14ac:dyDescent="0.2">
      <c r="A1276">
        <v>1278</v>
      </c>
      <c r="B1276" t="s">
        <v>1190</v>
      </c>
      <c r="C1276" t="s">
        <v>2953</v>
      </c>
      <c r="D1276" t="s">
        <v>41</v>
      </c>
      <c r="E1276" t="s">
        <v>42</v>
      </c>
      <c r="F1276" t="s">
        <v>47</v>
      </c>
      <c r="G1276" t="s">
        <v>81</v>
      </c>
      <c r="J1276" t="s">
        <v>2954</v>
      </c>
      <c r="K1276" t="s">
        <v>38</v>
      </c>
      <c r="L1276" t="s">
        <v>38</v>
      </c>
      <c r="M1276" t="s">
        <v>38</v>
      </c>
      <c r="N1276" t="s">
        <v>38</v>
      </c>
      <c r="O1276" t="s">
        <v>38</v>
      </c>
      <c r="T1276" t="s">
        <v>38</v>
      </c>
      <c r="U1276">
        <v>0</v>
      </c>
      <c r="W1276">
        <v>0</v>
      </c>
      <c r="X1276">
        <v>0</v>
      </c>
      <c r="Y1276">
        <v>0</v>
      </c>
      <c r="AE1276">
        <f t="shared" si="57"/>
        <v>1</v>
      </c>
      <c r="AF1276">
        <f>VLOOKUP(D1276,especies!$A$2:$C$9,3,FALSE)</f>
        <v>2</v>
      </c>
      <c r="AG1276" t="str">
        <f t="shared" si="58"/>
        <v>2-DPC (Doméstico de pelo corto o DSH)</v>
      </c>
      <c r="AH1276">
        <f>VLOOKUP('Fichas clínicas'!AG1276,razas!$A$2:$D$66,3,FALSE)</f>
        <v>51</v>
      </c>
      <c r="AI1276" t="str">
        <f t="shared" si="59"/>
        <v>M</v>
      </c>
    </row>
    <row r="1277" spans="1:35" x14ac:dyDescent="0.2">
      <c r="A1277">
        <v>1279</v>
      </c>
      <c r="B1277" t="s">
        <v>2955</v>
      </c>
      <c r="C1277" t="s">
        <v>2791</v>
      </c>
      <c r="D1277" t="s">
        <v>41</v>
      </c>
      <c r="E1277" t="s">
        <v>42</v>
      </c>
      <c r="F1277" t="s">
        <v>47</v>
      </c>
      <c r="G1277" t="s">
        <v>2827</v>
      </c>
      <c r="J1277" t="s">
        <v>2956</v>
      </c>
      <c r="K1277" t="s">
        <v>38</v>
      </c>
      <c r="L1277" t="s">
        <v>38</v>
      </c>
      <c r="M1277" t="s">
        <v>38</v>
      </c>
      <c r="N1277" t="s">
        <v>38</v>
      </c>
      <c r="O1277" t="s">
        <v>38</v>
      </c>
      <c r="Q1277">
        <v>0</v>
      </c>
      <c r="T1277" t="s">
        <v>38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f t="shared" si="57"/>
        <v>1</v>
      </c>
      <c r="AF1277">
        <f>VLOOKUP(D1277,especies!$A$2:$C$9,3,FALSE)</f>
        <v>2</v>
      </c>
      <c r="AG1277" t="str">
        <f t="shared" si="58"/>
        <v>2-DPC (Doméstico de pelo corto o DSH)</v>
      </c>
      <c r="AH1277">
        <f>VLOOKUP('Fichas clínicas'!AG1277,razas!$A$2:$D$66,3,FALSE)</f>
        <v>51</v>
      </c>
      <c r="AI1277" t="str">
        <f t="shared" si="59"/>
        <v>M</v>
      </c>
    </row>
    <row r="1278" spans="1:35" x14ac:dyDescent="0.2">
      <c r="A1278">
        <v>1280</v>
      </c>
      <c r="B1278" t="s">
        <v>2957</v>
      </c>
      <c r="C1278" t="s">
        <v>2958</v>
      </c>
      <c r="D1278" t="s">
        <v>2959</v>
      </c>
      <c r="E1278" t="s">
        <v>2960</v>
      </c>
      <c r="F1278" t="s">
        <v>34</v>
      </c>
      <c r="G1278" t="s">
        <v>2961</v>
      </c>
      <c r="J1278" t="s">
        <v>2962</v>
      </c>
      <c r="K1278" t="s">
        <v>38</v>
      </c>
      <c r="L1278" t="s">
        <v>38</v>
      </c>
      <c r="M1278" t="s">
        <v>38</v>
      </c>
      <c r="N1278" t="s">
        <v>38</v>
      </c>
      <c r="O1278" t="s">
        <v>38</v>
      </c>
      <c r="T1278" t="s">
        <v>38</v>
      </c>
      <c r="U1278">
        <v>0</v>
      </c>
      <c r="W1278">
        <v>0</v>
      </c>
      <c r="X1278">
        <v>0</v>
      </c>
      <c r="Y1278">
        <v>0</v>
      </c>
      <c r="AE1278">
        <f t="shared" si="57"/>
        <v>1</v>
      </c>
      <c r="AF1278">
        <f>VLOOKUP(D1278,especies!$A$2:$C$9,3,FALSE)</f>
        <v>7</v>
      </c>
      <c r="AG1278" t="str">
        <f t="shared" si="58"/>
        <v>7-Tortuga de oreja roja</v>
      </c>
      <c r="AH1278">
        <f>VLOOKUP('Fichas clínicas'!AG1278,razas!$A$2:$D$66,3,FALSE)</f>
        <v>64</v>
      </c>
      <c r="AI1278" t="str">
        <f t="shared" si="59"/>
        <v>H</v>
      </c>
    </row>
    <row r="1279" spans="1:35" x14ac:dyDescent="0.2">
      <c r="A1279">
        <v>1281</v>
      </c>
      <c r="B1279" t="s">
        <v>2963</v>
      </c>
      <c r="C1279" t="s">
        <v>2964</v>
      </c>
      <c r="D1279" t="s">
        <v>32</v>
      </c>
      <c r="E1279" t="s">
        <v>33</v>
      </c>
      <c r="F1279" t="s">
        <v>47</v>
      </c>
      <c r="G1279" t="s">
        <v>2672</v>
      </c>
      <c r="J1279" t="s">
        <v>2673</v>
      </c>
      <c r="K1279" t="s">
        <v>38</v>
      </c>
      <c r="L1279" t="s">
        <v>38</v>
      </c>
      <c r="M1279" t="s">
        <v>38</v>
      </c>
      <c r="N1279" t="s">
        <v>38</v>
      </c>
      <c r="O1279" t="s">
        <v>38</v>
      </c>
      <c r="T1279" t="s">
        <v>38</v>
      </c>
      <c r="U1279">
        <v>0</v>
      </c>
      <c r="W1279">
        <v>0</v>
      </c>
      <c r="X1279">
        <v>0</v>
      </c>
      <c r="Y1279">
        <v>0</v>
      </c>
      <c r="AE1279">
        <f t="shared" si="57"/>
        <v>1</v>
      </c>
      <c r="AF1279">
        <f>VLOOKUP(D1279,especies!$A$2:$C$9,3,FALSE)</f>
        <v>1</v>
      </c>
      <c r="AG1279" t="str">
        <f t="shared" si="58"/>
        <v>1-Mestizo</v>
      </c>
      <c r="AH1279">
        <f>VLOOKUP('Fichas clínicas'!AG1279,razas!$A$2:$D$66,3,FALSE)</f>
        <v>1</v>
      </c>
      <c r="AI1279" t="str">
        <f t="shared" si="59"/>
        <v>M</v>
      </c>
    </row>
    <row r="1280" spans="1:35" x14ac:dyDescent="0.2">
      <c r="A1280">
        <v>1282</v>
      </c>
      <c r="B1280" t="s">
        <v>2965</v>
      </c>
      <c r="C1280" t="s">
        <v>2966</v>
      </c>
      <c r="D1280" t="s">
        <v>32</v>
      </c>
      <c r="E1280" t="s">
        <v>33</v>
      </c>
      <c r="F1280" t="s">
        <v>47</v>
      </c>
      <c r="G1280" t="s">
        <v>2054</v>
      </c>
      <c r="I1280">
        <v>939000007188626</v>
      </c>
      <c r="J1280" t="s">
        <v>2967</v>
      </c>
      <c r="K1280" t="s">
        <v>38</v>
      </c>
      <c r="L1280" t="s">
        <v>38</v>
      </c>
      <c r="M1280" t="s">
        <v>38</v>
      </c>
      <c r="N1280" t="s">
        <v>38</v>
      </c>
      <c r="O1280" t="s">
        <v>38</v>
      </c>
      <c r="Q1280">
        <v>0</v>
      </c>
      <c r="T1280" t="s">
        <v>38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f t="shared" si="57"/>
        <v>1</v>
      </c>
      <c r="AF1280">
        <f>VLOOKUP(D1280,especies!$A$2:$C$9,3,FALSE)</f>
        <v>1</v>
      </c>
      <c r="AG1280" t="str">
        <f t="shared" si="58"/>
        <v>1-Mestizo</v>
      </c>
      <c r="AH1280">
        <f>VLOOKUP('Fichas clínicas'!AG1280,razas!$A$2:$D$66,3,FALSE)</f>
        <v>1</v>
      </c>
      <c r="AI1280" t="str">
        <f t="shared" si="59"/>
        <v>M</v>
      </c>
    </row>
    <row r="1281" spans="1:35" x14ac:dyDescent="0.2">
      <c r="A1281">
        <v>1283</v>
      </c>
      <c r="B1281" t="s">
        <v>2968</v>
      </c>
      <c r="C1281" t="s">
        <v>2969</v>
      </c>
      <c r="D1281" t="s">
        <v>32</v>
      </c>
      <c r="E1281" t="s">
        <v>33</v>
      </c>
      <c r="F1281" t="s">
        <v>47</v>
      </c>
      <c r="G1281" t="s">
        <v>2878</v>
      </c>
      <c r="J1281" t="s">
        <v>2970</v>
      </c>
      <c r="K1281" t="s">
        <v>38</v>
      </c>
      <c r="L1281" t="s">
        <v>38</v>
      </c>
      <c r="M1281" t="s">
        <v>38</v>
      </c>
      <c r="N1281" t="s">
        <v>38</v>
      </c>
      <c r="O1281" t="s">
        <v>38</v>
      </c>
      <c r="T1281" t="s">
        <v>38</v>
      </c>
      <c r="U1281">
        <v>0</v>
      </c>
      <c r="W1281">
        <v>0</v>
      </c>
      <c r="X1281">
        <v>0</v>
      </c>
      <c r="Y1281">
        <v>0</v>
      </c>
      <c r="AE1281">
        <f t="shared" si="57"/>
        <v>1</v>
      </c>
      <c r="AF1281">
        <f>VLOOKUP(D1281,especies!$A$2:$C$9,3,FALSE)</f>
        <v>1</v>
      </c>
      <c r="AG1281" t="str">
        <f t="shared" si="58"/>
        <v>1-Mestizo</v>
      </c>
      <c r="AH1281">
        <f>VLOOKUP('Fichas clínicas'!AG1281,razas!$A$2:$D$66,3,FALSE)</f>
        <v>1</v>
      </c>
      <c r="AI1281" t="str">
        <f t="shared" si="59"/>
        <v>M</v>
      </c>
    </row>
    <row r="1282" spans="1:35" x14ac:dyDescent="0.2">
      <c r="A1282">
        <v>1284</v>
      </c>
      <c r="B1282" t="s">
        <v>2971</v>
      </c>
      <c r="C1282" t="s">
        <v>2972</v>
      </c>
      <c r="D1282" t="s">
        <v>41</v>
      </c>
      <c r="E1282" t="s">
        <v>42</v>
      </c>
      <c r="F1282" t="s">
        <v>47</v>
      </c>
      <c r="G1282" t="s">
        <v>300</v>
      </c>
      <c r="J1282" t="s">
        <v>2973</v>
      </c>
      <c r="K1282" t="s">
        <v>38</v>
      </c>
      <c r="L1282" t="s">
        <v>38</v>
      </c>
      <c r="M1282" t="s">
        <v>38</v>
      </c>
      <c r="N1282" t="s">
        <v>38</v>
      </c>
      <c r="O1282" t="s">
        <v>38</v>
      </c>
      <c r="T1282" t="s">
        <v>38</v>
      </c>
      <c r="U1282">
        <v>0</v>
      </c>
      <c r="W1282">
        <v>0</v>
      </c>
      <c r="X1282">
        <v>0</v>
      </c>
      <c r="Y1282">
        <v>0</v>
      </c>
      <c r="AE1282">
        <f t="shared" si="57"/>
        <v>1</v>
      </c>
      <c r="AF1282">
        <f>VLOOKUP(D1282,especies!$A$2:$C$9,3,FALSE)</f>
        <v>2</v>
      </c>
      <c r="AG1282" t="str">
        <f t="shared" si="58"/>
        <v>2-DPC (Doméstico de pelo corto o DSH)</v>
      </c>
      <c r="AH1282">
        <f>VLOOKUP('Fichas clínicas'!AG1282,razas!$A$2:$D$66,3,FALSE)</f>
        <v>51</v>
      </c>
      <c r="AI1282" t="str">
        <f t="shared" si="59"/>
        <v>M</v>
      </c>
    </row>
    <row r="1283" spans="1:35" x14ac:dyDescent="0.2">
      <c r="A1283">
        <v>1285</v>
      </c>
      <c r="B1283" t="s">
        <v>549</v>
      </c>
      <c r="C1283" t="s">
        <v>2695</v>
      </c>
      <c r="D1283" t="s">
        <v>41</v>
      </c>
      <c r="E1283" t="s">
        <v>42</v>
      </c>
      <c r="F1283" t="s">
        <v>34</v>
      </c>
      <c r="G1283" t="s">
        <v>2974</v>
      </c>
      <c r="J1283" t="s">
        <v>2975</v>
      </c>
      <c r="K1283" t="s">
        <v>38</v>
      </c>
      <c r="L1283" t="s">
        <v>38</v>
      </c>
      <c r="M1283" t="s">
        <v>38</v>
      </c>
      <c r="N1283" t="s">
        <v>38</v>
      </c>
      <c r="O1283" t="s">
        <v>38</v>
      </c>
      <c r="T1283" t="s">
        <v>38</v>
      </c>
      <c r="U1283">
        <v>0</v>
      </c>
      <c r="W1283">
        <v>0</v>
      </c>
      <c r="X1283">
        <v>0</v>
      </c>
      <c r="Y1283">
        <v>0</v>
      </c>
      <c r="AE1283">
        <f t="shared" ref="AE1283:AE1346" si="60">SUBTOTAL(103,E1283)</f>
        <v>1</v>
      </c>
      <c r="AF1283">
        <f>VLOOKUP(D1283,especies!$A$2:$C$9,3,FALSE)</f>
        <v>2</v>
      </c>
      <c r="AG1283" t="str">
        <f t="shared" ref="AG1283:AG1346" si="61">AF1283&amp;"-"&amp;E1283</f>
        <v>2-DPC (Doméstico de pelo corto o DSH)</v>
      </c>
      <c r="AH1283">
        <f>VLOOKUP('Fichas clínicas'!AG1283,razas!$A$2:$D$66,3,FALSE)</f>
        <v>51</v>
      </c>
      <c r="AI1283" t="str">
        <f t="shared" ref="AI1283:AI1346" si="62">IF(F1283="Hembra","H","M")</f>
        <v>H</v>
      </c>
    </row>
    <row r="1284" spans="1:35" x14ac:dyDescent="0.2">
      <c r="A1284">
        <v>1286</v>
      </c>
      <c r="B1284" t="s">
        <v>2976</v>
      </c>
      <c r="C1284" t="s">
        <v>1468</v>
      </c>
      <c r="D1284" t="s">
        <v>32</v>
      </c>
      <c r="E1284" t="s">
        <v>150</v>
      </c>
      <c r="F1284" t="s">
        <v>34</v>
      </c>
      <c r="G1284" t="s">
        <v>2054</v>
      </c>
      <c r="I1284">
        <v>991001001550125</v>
      </c>
      <c r="J1284" t="s">
        <v>2977</v>
      </c>
      <c r="K1284" t="s">
        <v>38</v>
      </c>
      <c r="L1284" t="s">
        <v>38</v>
      </c>
      <c r="M1284" t="s">
        <v>38</v>
      </c>
      <c r="N1284" t="s">
        <v>38</v>
      </c>
      <c r="O1284" t="s">
        <v>38</v>
      </c>
      <c r="Q1284">
        <v>0</v>
      </c>
      <c r="T1284" t="s">
        <v>38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f t="shared" si="60"/>
        <v>1</v>
      </c>
      <c r="AF1284">
        <f>VLOOKUP(D1284,especies!$A$2:$C$9,3,FALSE)</f>
        <v>1</v>
      </c>
      <c r="AG1284" t="str">
        <f t="shared" si="61"/>
        <v>1-Poodle</v>
      </c>
      <c r="AH1284">
        <f>VLOOKUP('Fichas clínicas'!AG1284,razas!$A$2:$D$66,3,FALSE)</f>
        <v>6</v>
      </c>
      <c r="AI1284" t="str">
        <f t="shared" si="62"/>
        <v>H</v>
      </c>
    </row>
    <row r="1285" spans="1:35" x14ac:dyDescent="0.2">
      <c r="A1285">
        <v>1287</v>
      </c>
      <c r="B1285" t="s">
        <v>2978</v>
      </c>
      <c r="C1285" t="s">
        <v>1462</v>
      </c>
      <c r="D1285" t="s">
        <v>32</v>
      </c>
      <c r="E1285" t="s">
        <v>150</v>
      </c>
      <c r="F1285" t="s">
        <v>34</v>
      </c>
      <c r="G1285" t="s">
        <v>102</v>
      </c>
      <c r="J1285" t="s">
        <v>1977</v>
      </c>
      <c r="K1285" t="s">
        <v>38</v>
      </c>
      <c r="L1285" t="s">
        <v>38</v>
      </c>
      <c r="M1285" t="s">
        <v>38</v>
      </c>
      <c r="N1285" t="s">
        <v>38</v>
      </c>
      <c r="O1285" t="s">
        <v>38</v>
      </c>
      <c r="T1285" t="s">
        <v>38</v>
      </c>
      <c r="U1285">
        <v>0</v>
      </c>
      <c r="V1285">
        <v>1</v>
      </c>
      <c r="W1285">
        <v>0</v>
      </c>
      <c r="X1285">
        <v>0</v>
      </c>
      <c r="Y1285">
        <v>0</v>
      </c>
      <c r="AE1285">
        <f t="shared" si="60"/>
        <v>1</v>
      </c>
      <c r="AF1285">
        <f>VLOOKUP(D1285,especies!$A$2:$C$9,3,FALSE)</f>
        <v>1</v>
      </c>
      <c r="AG1285" t="str">
        <f t="shared" si="61"/>
        <v>1-Poodle</v>
      </c>
      <c r="AH1285">
        <f>VLOOKUP('Fichas clínicas'!AG1285,razas!$A$2:$D$66,3,FALSE)</f>
        <v>6</v>
      </c>
      <c r="AI1285" t="str">
        <f t="shared" si="62"/>
        <v>H</v>
      </c>
    </row>
    <row r="1286" spans="1:35" x14ac:dyDescent="0.2">
      <c r="A1286">
        <v>1288</v>
      </c>
      <c r="B1286" t="s">
        <v>197</v>
      </c>
      <c r="C1286" t="s">
        <v>2979</v>
      </c>
      <c r="D1286" t="s">
        <v>41</v>
      </c>
      <c r="E1286" t="s">
        <v>42</v>
      </c>
      <c r="F1286" t="s">
        <v>47</v>
      </c>
      <c r="G1286" t="s">
        <v>2763</v>
      </c>
      <c r="J1286" t="s">
        <v>2980</v>
      </c>
      <c r="K1286" t="s">
        <v>38</v>
      </c>
      <c r="L1286" t="s">
        <v>38</v>
      </c>
      <c r="M1286" t="s">
        <v>38</v>
      </c>
      <c r="N1286" t="s">
        <v>38</v>
      </c>
      <c r="O1286" t="s">
        <v>38</v>
      </c>
      <c r="Q1286">
        <v>0</v>
      </c>
      <c r="T1286" t="s">
        <v>38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f t="shared" si="60"/>
        <v>1</v>
      </c>
      <c r="AF1286">
        <f>VLOOKUP(D1286,especies!$A$2:$C$9,3,FALSE)</f>
        <v>2</v>
      </c>
      <c r="AG1286" t="str">
        <f t="shared" si="61"/>
        <v>2-DPC (Doméstico de pelo corto o DSH)</v>
      </c>
      <c r="AH1286">
        <f>VLOOKUP('Fichas clínicas'!AG1286,razas!$A$2:$D$66,3,FALSE)</f>
        <v>51</v>
      </c>
      <c r="AI1286" t="str">
        <f t="shared" si="62"/>
        <v>M</v>
      </c>
    </row>
    <row r="1287" spans="1:35" x14ac:dyDescent="0.2">
      <c r="A1287">
        <v>1289</v>
      </c>
      <c r="B1287" t="s">
        <v>2981</v>
      </c>
      <c r="C1287" t="s">
        <v>2982</v>
      </c>
      <c r="D1287" t="s">
        <v>41</v>
      </c>
      <c r="E1287" t="s">
        <v>42</v>
      </c>
      <c r="F1287" t="s">
        <v>47</v>
      </c>
      <c r="G1287" t="s">
        <v>2763</v>
      </c>
      <c r="J1287" t="s">
        <v>2983</v>
      </c>
      <c r="K1287" t="s">
        <v>38</v>
      </c>
      <c r="L1287" t="s">
        <v>38</v>
      </c>
      <c r="M1287" t="s">
        <v>38</v>
      </c>
      <c r="N1287" t="s">
        <v>38</v>
      </c>
      <c r="O1287" t="s">
        <v>38</v>
      </c>
      <c r="T1287" t="s">
        <v>38</v>
      </c>
      <c r="U1287">
        <v>0</v>
      </c>
      <c r="W1287">
        <v>0</v>
      </c>
      <c r="X1287">
        <v>0</v>
      </c>
      <c r="Y1287">
        <v>0</v>
      </c>
      <c r="AE1287">
        <f t="shared" si="60"/>
        <v>1</v>
      </c>
      <c r="AF1287">
        <f>VLOOKUP(D1287,especies!$A$2:$C$9,3,FALSE)</f>
        <v>2</v>
      </c>
      <c r="AG1287" t="str">
        <f t="shared" si="61"/>
        <v>2-DPC (Doméstico de pelo corto o DSH)</v>
      </c>
      <c r="AH1287">
        <f>VLOOKUP('Fichas clínicas'!AG1287,razas!$A$2:$D$66,3,FALSE)</f>
        <v>51</v>
      </c>
      <c r="AI1287" t="str">
        <f t="shared" si="62"/>
        <v>M</v>
      </c>
    </row>
    <row r="1288" spans="1:35" x14ac:dyDescent="0.2">
      <c r="A1288">
        <v>1290</v>
      </c>
      <c r="B1288" t="s">
        <v>2984</v>
      </c>
      <c r="C1288" t="s">
        <v>2972</v>
      </c>
      <c r="D1288" t="s">
        <v>41</v>
      </c>
      <c r="E1288" t="s">
        <v>93</v>
      </c>
      <c r="F1288" t="s">
        <v>47</v>
      </c>
      <c r="G1288" t="s">
        <v>300</v>
      </c>
      <c r="J1288" t="s">
        <v>2985</v>
      </c>
      <c r="K1288" t="s">
        <v>38</v>
      </c>
      <c r="L1288" t="s">
        <v>38</v>
      </c>
      <c r="M1288" t="s">
        <v>38</v>
      </c>
      <c r="N1288" t="s">
        <v>38</v>
      </c>
      <c r="O1288" t="s">
        <v>38</v>
      </c>
      <c r="T1288" t="s">
        <v>38</v>
      </c>
      <c r="U1288">
        <v>0</v>
      </c>
      <c r="V1288">
        <v>1</v>
      </c>
      <c r="W1288">
        <v>0</v>
      </c>
      <c r="X1288">
        <v>0</v>
      </c>
      <c r="Y1288">
        <v>0</v>
      </c>
      <c r="AE1288">
        <f t="shared" si="60"/>
        <v>1</v>
      </c>
      <c r="AF1288">
        <f>VLOOKUP(D1288,especies!$A$2:$C$9,3,FALSE)</f>
        <v>2</v>
      </c>
      <c r="AG1288" t="str">
        <f t="shared" si="61"/>
        <v>2-DPL (Doméstico de pelo Largo o DLH)</v>
      </c>
      <c r="AH1288">
        <f>VLOOKUP('Fichas clínicas'!AG1288,razas!$A$2:$D$66,3,FALSE)</f>
        <v>52</v>
      </c>
      <c r="AI1288" t="str">
        <f t="shared" si="62"/>
        <v>M</v>
      </c>
    </row>
    <row r="1289" spans="1:35" x14ac:dyDescent="0.2">
      <c r="A1289">
        <v>1291</v>
      </c>
      <c r="B1289" t="s">
        <v>2648</v>
      </c>
      <c r="C1289" t="s">
        <v>1573</v>
      </c>
      <c r="D1289" t="s">
        <v>41</v>
      </c>
      <c r="E1289" t="s">
        <v>42</v>
      </c>
      <c r="F1289" t="s">
        <v>34</v>
      </c>
      <c r="G1289" t="s">
        <v>2887</v>
      </c>
      <c r="J1289" t="s">
        <v>2986</v>
      </c>
      <c r="K1289" t="s">
        <v>38</v>
      </c>
      <c r="L1289" t="s">
        <v>38</v>
      </c>
      <c r="M1289" t="s">
        <v>38</v>
      </c>
      <c r="N1289" t="s">
        <v>38</v>
      </c>
      <c r="O1289" t="s">
        <v>38</v>
      </c>
      <c r="T1289" t="s">
        <v>38</v>
      </c>
      <c r="U1289">
        <v>0</v>
      </c>
      <c r="V1289">
        <v>1</v>
      </c>
      <c r="W1289">
        <v>0</v>
      </c>
      <c r="X1289">
        <v>0</v>
      </c>
      <c r="Y1289">
        <v>0</v>
      </c>
      <c r="AE1289">
        <f t="shared" si="60"/>
        <v>1</v>
      </c>
      <c r="AF1289">
        <f>VLOOKUP(D1289,especies!$A$2:$C$9,3,FALSE)</f>
        <v>2</v>
      </c>
      <c r="AG1289" t="str">
        <f t="shared" si="61"/>
        <v>2-DPC (Doméstico de pelo corto o DSH)</v>
      </c>
      <c r="AH1289">
        <f>VLOOKUP('Fichas clínicas'!AG1289,razas!$A$2:$D$66,3,FALSE)</f>
        <v>51</v>
      </c>
      <c r="AI1289" t="str">
        <f t="shared" si="62"/>
        <v>H</v>
      </c>
    </row>
    <row r="1290" spans="1:35" x14ac:dyDescent="0.2">
      <c r="A1290">
        <v>1292</v>
      </c>
      <c r="B1290" t="s">
        <v>2987</v>
      </c>
      <c r="C1290" t="s">
        <v>2988</v>
      </c>
      <c r="D1290" t="s">
        <v>32</v>
      </c>
      <c r="E1290" t="s">
        <v>33</v>
      </c>
      <c r="F1290" t="s">
        <v>34</v>
      </c>
      <c r="G1290" t="s">
        <v>300</v>
      </c>
      <c r="J1290" t="s">
        <v>110</v>
      </c>
      <c r="K1290" t="s">
        <v>38</v>
      </c>
      <c r="L1290" t="s">
        <v>38</v>
      </c>
      <c r="M1290" t="s">
        <v>38</v>
      </c>
      <c r="N1290" t="s">
        <v>38</v>
      </c>
      <c r="O1290" t="s">
        <v>38</v>
      </c>
      <c r="T1290" t="s">
        <v>38</v>
      </c>
      <c r="U1290">
        <v>0</v>
      </c>
      <c r="W1290">
        <v>0</v>
      </c>
      <c r="X1290">
        <v>0</v>
      </c>
      <c r="Y1290">
        <v>0</v>
      </c>
      <c r="AE1290">
        <f t="shared" si="60"/>
        <v>1</v>
      </c>
      <c r="AF1290">
        <f>VLOOKUP(D1290,especies!$A$2:$C$9,3,FALSE)</f>
        <v>1</v>
      </c>
      <c r="AG1290" t="str">
        <f t="shared" si="61"/>
        <v>1-Mestizo</v>
      </c>
      <c r="AH1290">
        <f>VLOOKUP('Fichas clínicas'!AG1290,razas!$A$2:$D$66,3,FALSE)</f>
        <v>1</v>
      </c>
      <c r="AI1290" t="str">
        <f t="shared" si="62"/>
        <v>H</v>
      </c>
    </row>
    <row r="1291" spans="1:35" x14ac:dyDescent="0.2">
      <c r="A1291">
        <v>1293</v>
      </c>
      <c r="B1291" t="s">
        <v>2989</v>
      </c>
      <c r="C1291" t="s">
        <v>2990</v>
      </c>
      <c r="D1291" t="s">
        <v>41</v>
      </c>
      <c r="E1291" t="s">
        <v>42</v>
      </c>
      <c r="F1291" t="s">
        <v>34</v>
      </c>
      <c r="G1291" t="s">
        <v>587</v>
      </c>
      <c r="J1291" t="s">
        <v>1738</v>
      </c>
      <c r="K1291" t="s">
        <v>38</v>
      </c>
      <c r="L1291" t="s">
        <v>38</v>
      </c>
      <c r="M1291" t="s">
        <v>38</v>
      </c>
      <c r="N1291" t="s">
        <v>38</v>
      </c>
      <c r="O1291" t="s">
        <v>38</v>
      </c>
      <c r="Q1291">
        <v>0</v>
      </c>
      <c r="T1291" t="s">
        <v>38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f t="shared" si="60"/>
        <v>1</v>
      </c>
      <c r="AF1291">
        <f>VLOOKUP(D1291,especies!$A$2:$C$9,3,FALSE)</f>
        <v>2</v>
      </c>
      <c r="AG1291" t="str">
        <f t="shared" si="61"/>
        <v>2-DPC (Doméstico de pelo corto o DSH)</v>
      </c>
      <c r="AH1291">
        <f>VLOOKUP('Fichas clínicas'!AG1291,razas!$A$2:$D$66,3,FALSE)</f>
        <v>51</v>
      </c>
      <c r="AI1291" t="str">
        <f t="shared" si="62"/>
        <v>H</v>
      </c>
    </row>
    <row r="1292" spans="1:35" x14ac:dyDescent="0.2">
      <c r="A1292">
        <v>1294</v>
      </c>
      <c r="B1292" t="s">
        <v>2989</v>
      </c>
      <c r="C1292" t="s">
        <v>2991</v>
      </c>
      <c r="D1292" t="s">
        <v>41</v>
      </c>
      <c r="E1292" t="s">
        <v>42</v>
      </c>
      <c r="F1292" t="s">
        <v>34</v>
      </c>
      <c r="G1292" t="s">
        <v>2992</v>
      </c>
      <c r="J1292" t="s">
        <v>512</v>
      </c>
      <c r="K1292" t="s">
        <v>38</v>
      </c>
      <c r="L1292" t="s">
        <v>38</v>
      </c>
      <c r="M1292" t="s">
        <v>38</v>
      </c>
      <c r="N1292" t="s">
        <v>38</v>
      </c>
      <c r="O1292" t="s">
        <v>38</v>
      </c>
      <c r="Q1292">
        <v>0</v>
      </c>
      <c r="T1292" t="s">
        <v>38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f t="shared" si="60"/>
        <v>1</v>
      </c>
      <c r="AF1292">
        <f>VLOOKUP(D1292,especies!$A$2:$C$9,3,FALSE)</f>
        <v>2</v>
      </c>
      <c r="AG1292" t="str">
        <f t="shared" si="61"/>
        <v>2-DPC (Doméstico de pelo corto o DSH)</v>
      </c>
      <c r="AH1292">
        <f>VLOOKUP('Fichas clínicas'!AG1292,razas!$A$2:$D$66,3,FALSE)</f>
        <v>51</v>
      </c>
      <c r="AI1292" t="str">
        <f t="shared" si="62"/>
        <v>H</v>
      </c>
    </row>
    <row r="1293" spans="1:35" x14ac:dyDescent="0.2">
      <c r="A1293">
        <v>1295</v>
      </c>
      <c r="B1293" t="s">
        <v>2989</v>
      </c>
      <c r="C1293" t="s">
        <v>2993</v>
      </c>
      <c r="D1293" t="s">
        <v>41</v>
      </c>
      <c r="E1293" t="s">
        <v>42</v>
      </c>
      <c r="F1293" t="s">
        <v>47</v>
      </c>
      <c r="G1293" t="s">
        <v>109</v>
      </c>
      <c r="J1293" t="s">
        <v>393</v>
      </c>
      <c r="K1293" t="s">
        <v>38</v>
      </c>
      <c r="L1293" t="s">
        <v>38</v>
      </c>
      <c r="M1293" t="s">
        <v>38</v>
      </c>
      <c r="N1293" t="s">
        <v>38</v>
      </c>
      <c r="O1293" t="s">
        <v>38</v>
      </c>
      <c r="T1293" t="s">
        <v>38</v>
      </c>
      <c r="U1293">
        <v>0</v>
      </c>
      <c r="W1293">
        <v>0</v>
      </c>
      <c r="X1293">
        <v>0</v>
      </c>
      <c r="Y1293">
        <v>0</v>
      </c>
      <c r="AE1293">
        <f t="shared" si="60"/>
        <v>1</v>
      </c>
      <c r="AF1293">
        <f>VLOOKUP(D1293,especies!$A$2:$C$9,3,FALSE)</f>
        <v>2</v>
      </c>
      <c r="AG1293" t="str">
        <f t="shared" si="61"/>
        <v>2-DPC (Doméstico de pelo corto o DSH)</v>
      </c>
      <c r="AH1293">
        <f>VLOOKUP('Fichas clínicas'!AG1293,razas!$A$2:$D$66,3,FALSE)</f>
        <v>51</v>
      </c>
      <c r="AI1293" t="str">
        <f t="shared" si="62"/>
        <v>M</v>
      </c>
    </row>
    <row r="1294" spans="1:35" x14ac:dyDescent="0.2">
      <c r="A1294">
        <v>1296</v>
      </c>
      <c r="B1294" t="s">
        <v>2994</v>
      </c>
      <c r="C1294" t="s">
        <v>2995</v>
      </c>
      <c r="D1294" t="s">
        <v>41</v>
      </c>
      <c r="E1294" t="s">
        <v>42</v>
      </c>
      <c r="F1294" t="s">
        <v>34</v>
      </c>
      <c r="G1294" t="s">
        <v>2996</v>
      </c>
      <c r="I1294">
        <v>999020190506698</v>
      </c>
      <c r="J1294" t="s">
        <v>2997</v>
      </c>
      <c r="K1294" t="s">
        <v>38</v>
      </c>
      <c r="L1294" t="s">
        <v>38</v>
      </c>
      <c r="M1294" t="s">
        <v>38</v>
      </c>
      <c r="N1294" t="s">
        <v>38</v>
      </c>
      <c r="O1294" t="s">
        <v>38</v>
      </c>
      <c r="Q1294">
        <v>0</v>
      </c>
      <c r="T1294" t="s">
        <v>38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f t="shared" si="60"/>
        <v>1</v>
      </c>
      <c r="AF1294">
        <f>VLOOKUP(D1294,especies!$A$2:$C$9,3,FALSE)</f>
        <v>2</v>
      </c>
      <c r="AG1294" t="str">
        <f t="shared" si="61"/>
        <v>2-DPC (Doméstico de pelo corto o DSH)</v>
      </c>
      <c r="AH1294">
        <f>VLOOKUP('Fichas clínicas'!AG1294,razas!$A$2:$D$66,3,FALSE)</f>
        <v>51</v>
      </c>
      <c r="AI1294" t="str">
        <f t="shared" si="62"/>
        <v>H</v>
      </c>
    </row>
    <row r="1295" spans="1:35" x14ac:dyDescent="0.2">
      <c r="A1295">
        <v>1297</v>
      </c>
      <c r="B1295" t="s">
        <v>2994</v>
      </c>
      <c r="C1295" t="s">
        <v>2998</v>
      </c>
      <c r="D1295" t="s">
        <v>41</v>
      </c>
      <c r="E1295" t="s">
        <v>42</v>
      </c>
      <c r="F1295" t="s">
        <v>47</v>
      </c>
      <c r="G1295" t="s">
        <v>2999</v>
      </c>
      <c r="H1295">
        <v>93900007188528</v>
      </c>
      <c r="J1295" t="s">
        <v>2997</v>
      </c>
      <c r="K1295" t="s">
        <v>38</v>
      </c>
      <c r="L1295" t="s">
        <v>38</v>
      </c>
      <c r="M1295" t="s">
        <v>38</v>
      </c>
      <c r="N1295" t="s">
        <v>38</v>
      </c>
      <c r="O1295" t="s">
        <v>38</v>
      </c>
      <c r="Q1295">
        <v>0</v>
      </c>
      <c r="T1295" t="s">
        <v>38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f t="shared" si="60"/>
        <v>1</v>
      </c>
      <c r="AF1295">
        <f>VLOOKUP(D1295,especies!$A$2:$C$9,3,FALSE)</f>
        <v>2</v>
      </c>
      <c r="AG1295" t="str">
        <f t="shared" si="61"/>
        <v>2-DPC (Doméstico de pelo corto o DSH)</v>
      </c>
      <c r="AH1295">
        <f>VLOOKUP('Fichas clínicas'!AG1295,razas!$A$2:$D$66,3,FALSE)</f>
        <v>51</v>
      </c>
      <c r="AI1295" t="str">
        <f t="shared" si="62"/>
        <v>M</v>
      </c>
    </row>
    <row r="1296" spans="1:35" x14ac:dyDescent="0.2">
      <c r="A1296">
        <v>1298</v>
      </c>
      <c r="B1296" t="s">
        <v>2039</v>
      </c>
      <c r="C1296" t="s">
        <v>299</v>
      </c>
      <c r="D1296" t="s">
        <v>32</v>
      </c>
      <c r="E1296" t="s">
        <v>33</v>
      </c>
      <c r="F1296" t="s">
        <v>34</v>
      </c>
      <c r="G1296" t="s">
        <v>165</v>
      </c>
      <c r="J1296" t="s">
        <v>3000</v>
      </c>
      <c r="K1296" t="s">
        <v>38</v>
      </c>
      <c r="L1296" t="s">
        <v>38</v>
      </c>
      <c r="M1296" t="s">
        <v>38</v>
      </c>
      <c r="N1296" t="s">
        <v>38</v>
      </c>
      <c r="O1296" t="s">
        <v>38</v>
      </c>
      <c r="T1296" t="s">
        <v>38</v>
      </c>
      <c r="U1296">
        <v>0</v>
      </c>
      <c r="V1296">
        <v>1</v>
      </c>
      <c r="W1296">
        <v>0</v>
      </c>
      <c r="X1296">
        <v>0</v>
      </c>
      <c r="Y1296">
        <v>0</v>
      </c>
      <c r="AE1296">
        <f t="shared" si="60"/>
        <v>1</v>
      </c>
      <c r="AF1296">
        <f>VLOOKUP(D1296,especies!$A$2:$C$9,3,FALSE)</f>
        <v>1</v>
      </c>
      <c r="AG1296" t="str">
        <f t="shared" si="61"/>
        <v>1-Mestizo</v>
      </c>
      <c r="AH1296">
        <f>VLOOKUP('Fichas clínicas'!AG1296,razas!$A$2:$D$66,3,FALSE)</f>
        <v>1</v>
      </c>
      <c r="AI1296" t="str">
        <f t="shared" si="62"/>
        <v>H</v>
      </c>
    </row>
    <row r="1297" spans="1:35" x14ac:dyDescent="0.2">
      <c r="A1297">
        <v>1299</v>
      </c>
      <c r="B1297" t="s">
        <v>3001</v>
      </c>
      <c r="C1297" t="s">
        <v>496</v>
      </c>
      <c r="D1297" t="s">
        <v>32</v>
      </c>
      <c r="E1297" t="s">
        <v>33</v>
      </c>
      <c r="F1297" t="s">
        <v>47</v>
      </c>
      <c r="G1297" t="s">
        <v>3002</v>
      </c>
      <c r="J1297" t="s">
        <v>2678</v>
      </c>
      <c r="K1297" t="s">
        <v>38</v>
      </c>
      <c r="L1297" t="s">
        <v>38</v>
      </c>
      <c r="M1297" t="s">
        <v>38</v>
      </c>
      <c r="N1297" t="s">
        <v>38</v>
      </c>
      <c r="O1297" t="s">
        <v>38</v>
      </c>
      <c r="Q1297">
        <v>0</v>
      </c>
      <c r="T1297" t="s">
        <v>38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f t="shared" si="60"/>
        <v>1</v>
      </c>
      <c r="AF1297">
        <f>VLOOKUP(D1297,especies!$A$2:$C$9,3,FALSE)</f>
        <v>1</v>
      </c>
      <c r="AG1297" t="str">
        <f t="shared" si="61"/>
        <v>1-Mestizo</v>
      </c>
      <c r="AH1297">
        <f>VLOOKUP('Fichas clínicas'!AG1297,razas!$A$2:$D$66,3,FALSE)</f>
        <v>1</v>
      </c>
      <c r="AI1297" t="str">
        <f t="shared" si="62"/>
        <v>M</v>
      </c>
    </row>
    <row r="1298" spans="1:35" x14ac:dyDescent="0.2">
      <c r="A1298">
        <v>1300</v>
      </c>
      <c r="B1298" t="s">
        <v>620</v>
      </c>
      <c r="C1298" t="s">
        <v>1462</v>
      </c>
      <c r="D1298" t="s">
        <v>32</v>
      </c>
      <c r="E1298" t="s">
        <v>33</v>
      </c>
      <c r="F1298" t="s">
        <v>34</v>
      </c>
      <c r="G1298" t="s">
        <v>300</v>
      </c>
      <c r="I1298">
        <v>900113001676295</v>
      </c>
      <c r="J1298" t="s">
        <v>3003</v>
      </c>
      <c r="K1298" t="s">
        <v>38</v>
      </c>
      <c r="L1298" t="s">
        <v>38</v>
      </c>
      <c r="M1298" t="s">
        <v>38</v>
      </c>
      <c r="N1298" t="s">
        <v>38</v>
      </c>
      <c r="O1298" t="s">
        <v>38</v>
      </c>
      <c r="Q1298">
        <v>0</v>
      </c>
      <c r="T1298" t="s">
        <v>38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f t="shared" si="60"/>
        <v>1</v>
      </c>
      <c r="AF1298">
        <f>VLOOKUP(D1298,especies!$A$2:$C$9,3,FALSE)</f>
        <v>1</v>
      </c>
      <c r="AG1298" t="str">
        <f t="shared" si="61"/>
        <v>1-Mestizo</v>
      </c>
      <c r="AH1298">
        <f>VLOOKUP('Fichas clínicas'!AG1298,razas!$A$2:$D$66,3,FALSE)</f>
        <v>1</v>
      </c>
      <c r="AI1298" t="str">
        <f t="shared" si="62"/>
        <v>H</v>
      </c>
    </row>
    <row r="1299" spans="1:35" x14ac:dyDescent="0.2">
      <c r="A1299">
        <v>1301</v>
      </c>
      <c r="B1299" t="s">
        <v>3004</v>
      </c>
      <c r="C1299" t="s">
        <v>1462</v>
      </c>
      <c r="D1299" t="s">
        <v>32</v>
      </c>
      <c r="E1299" t="s">
        <v>33</v>
      </c>
      <c r="F1299" t="s">
        <v>34</v>
      </c>
      <c r="G1299" t="s">
        <v>3005</v>
      </c>
      <c r="J1299" t="s">
        <v>3006</v>
      </c>
      <c r="K1299" t="s">
        <v>38</v>
      </c>
      <c r="L1299" t="s">
        <v>38</v>
      </c>
      <c r="M1299" t="s">
        <v>38</v>
      </c>
      <c r="N1299" t="s">
        <v>38</v>
      </c>
      <c r="O1299" t="s">
        <v>38</v>
      </c>
      <c r="T1299" t="s">
        <v>38</v>
      </c>
      <c r="U1299">
        <v>0</v>
      </c>
      <c r="W1299">
        <v>0</v>
      </c>
      <c r="X1299">
        <v>0</v>
      </c>
      <c r="Y1299">
        <v>0</v>
      </c>
      <c r="AE1299">
        <f t="shared" si="60"/>
        <v>1</v>
      </c>
      <c r="AF1299">
        <f>VLOOKUP(D1299,especies!$A$2:$C$9,3,FALSE)</f>
        <v>1</v>
      </c>
      <c r="AG1299" t="str">
        <f t="shared" si="61"/>
        <v>1-Mestizo</v>
      </c>
      <c r="AH1299">
        <f>VLOOKUP('Fichas clínicas'!AG1299,razas!$A$2:$D$66,3,FALSE)</f>
        <v>1</v>
      </c>
      <c r="AI1299" t="str">
        <f t="shared" si="62"/>
        <v>H</v>
      </c>
    </row>
    <row r="1300" spans="1:35" x14ac:dyDescent="0.2">
      <c r="A1300">
        <v>1302</v>
      </c>
      <c r="B1300" t="s">
        <v>3007</v>
      </c>
      <c r="C1300" t="s">
        <v>3008</v>
      </c>
      <c r="D1300" t="s">
        <v>32</v>
      </c>
      <c r="E1300" t="s">
        <v>33</v>
      </c>
      <c r="F1300" t="s">
        <v>47</v>
      </c>
      <c r="G1300" t="s">
        <v>300</v>
      </c>
      <c r="J1300" t="s">
        <v>3009</v>
      </c>
      <c r="K1300" t="s">
        <v>38</v>
      </c>
      <c r="L1300" t="s">
        <v>38</v>
      </c>
      <c r="M1300" t="s">
        <v>38</v>
      </c>
      <c r="N1300" t="s">
        <v>38</v>
      </c>
      <c r="O1300" t="s">
        <v>38</v>
      </c>
      <c r="T1300" t="s">
        <v>38</v>
      </c>
      <c r="U1300">
        <v>0</v>
      </c>
      <c r="W1300">
        <v>0</v>
      </c>
      <c r="X1300">
        <v>0</v>
      </c>
      <c r="Y1300">
        <v>0</v>
      </c>
      <c r="AE1300">
        <f t="shared" si="60"/>
        <v>1</v>
      </c>
      <c r="AF1300">
        <f>VLOOKUP(D1300,especies!$A$2:$C$9,3,FALSE)</f>
        <v>1</v>
      </c>
      <c r="AG1300" t="str">
        <f t="shared" si="61"/>
        <v>1-Mestizo</v>
      </c>
      <c r="AH1300">
        <f>VLOOKUP('Fichas clínicas'!AG1300,razas!$A$2:$D$66,3,FALSE)</f>
        <v>1</v>
      </c>
      <c r="AI1300" t="str">
        <f t="shared" si="62"/>
        <v>M</v>
      </c>
    </row>
    <row r="1301" spans="1:35" x14ac:dyDescent="0.2">
      <c r="A1301">
        <v>1303</v>
      </c>
      <c r="B1301" t="s">
        <v>3010</v>
      </c>
      <c r="C1301" t="s">
        <v>3011</v>
      </c>
      <c r="D1301" t="s">
        <v>32</v>
      </c>
      <c r="E1301" t="s">
        <v>309</v>
      </c>
      <c r="F1301" t="s">
        <v>47</v>
      </c>
      <c r="G1301" t="s">
        <v>3012</v>
      </c>
      <c r="J1301" t="s">
        <v>2274</v>
      </c>
      <c r="K1301" t="s">
        <v>38</v>
      </c>
      <c r="L1301" t="s">
        <v>38</v>
      </c>
      <c r="M1301" t="s">
        <v>38</v>
      </c>
      <c r="N1301" t="s">
        <v>38</v>
      </c>
      <c r="O1301" t="s">
        <v>38</v>
      </c>
      <c r="T1301" t="s">
        <v>38</v>
      </c>
      <c r="U1301">
        <v>0</v>
      </c>
      <c r="W1301">
        <v>0</v>
      </c>
      <c r="X1301">
        <v>0</v>
      </c>
      <c r="Y1301">
        <v>0</v>
      </c>
      <c r="AE1301">
        <f t="shared" si="60"/>
        <v>1</v>
      </c>
      <c r="AF1301">
        <f>VLOOKUP(D1301,especies!$A$2:$C$9,3,FALSE)</f>
        <v>1</v>
      </c>
      <c r="AG1301" t="str">
        <f t="shared" si="61"/>
        <v>1-Pug</v>
      </c>
      <c r="AH1301">
        <f>VLOOKUP('Fichas clínicas'!AG1301,razas!$A$2:$D$66,3,FALSE)</f>
        <v>11</v>
      </c>
      <c r="AI1301" t="str">
        <f t="shared" si="62"/>
        <v>M</v>
      </c>
    </row>
    <row r="1302" spans="1:35" x14ac:dyDescent="0.2">
      <c r="A1302">
        <v>1304</v>
      </c>
      <c r="B1302" t="s">
        <v>3013</v>
      </c>
      <c r="C1302" t="s">
        <v>3014</v>
      </c>
      <c r="D1302" t="s">
        <v>2280</v>
      </c>
      <c r="E1302" t="s">
        <v>2511</v>
      </c>
      <c r="F1302" t="s">
        <v>34</v>
      </c>
      <c r="G1302" t="s">
        <v>2054</v>
      </c>
      <c r="J1302" t="s">
        <v>3015</v>
      </c>
      <c r="K1302" t="s">
        <v>38</v>
      </c>
      <c r="L1302" t="s">
        <v>38</v>
      </c>
      <c r="M1302" t="s">
        <v>38</v>
      </c>
      <c r="N1302" t="s">
        <v>38</v>
      </c>
      <c r="O1302" t="s">
        <v>38</v>
      </c>
      <c r="T1302" t="s">
        <v>38</v>
      </c>
      <c r="U1302">
        <v>0</v>
      </c>
      <c r="W1302">
        <v>0</v>
      </c>
      <c r="X1302">
        <v>0</v>
      </c>
      <c r="Y1302">
        <v>0</v>
      </c>
      <c r="AE1302">
        <f t="shared" si="60"/>
        <v>1</v>
      </c>
      <c r="AF1302">
        <f>VLOOKUP(D1302,especies!$A$2:$C$9,3,FALSE)</f>
        <v>6</v>
      </c>
      <c r="AG1302" t="str">
        <f t="shared" si="61"/>
        <v>6-Cabeza de León</v>
      </c>
      <c r="AH1302">
        <f>VLOOKUP('Fichas clínicas'!AG1302,razas!$A$2:$D$66,3,FALSE)</f>
        <v>60</v>
      </c>
      <c r="AI1302" t="str">
        <f t="shared" si="62"/>
        <v>H</v>
      </c>
    </row>
    <row r="1303" spans="1:35" x14ac:dyDescent="0.2">
      <c r="A1303">
        <v>1305</v>
      </c>
      <c r="B1303" t="s">
        <v>1410</v>
      </c>
      <c r="C1303" t="s">
        <v>3016</v>
      </c>
      <c r="D1303" t="s">
        <v>41</v>
      </c>
      <c r="E1303" t="s">
        <v>42</v>
      </c>
      <c r="F1303" t="s">
        <v>47</v>
      </c>
      <c r="G1303" t="s">
        <v>3017</v>
      </c>
      <c r="J1303" t="s">
        <v>2178</v>
      </c>
      <c r="K1303" t="s">
        <v>38</v>
      </c>
      <c r="L1303" t="s">
        <v>38</v>
      </c>
      <c r="M1303" t="s">
        <v>38</v>
      </c>
      <c r="N1303" t="s">
        <v>38</v>
      </c>
      <c r="O1303" t="s">
        <v>38</v>
      </c>
      <c r="T1303" t="s">
        <v>38</v>
      </c>
      <c r="U1303">
        <v>0</v>
      </c>
      <c r="V1303">
        <v>1</v>
      </c>
      <c r="W1303">
        <v>0</v>
      </c>
      <c r="X1303">
        <v>0</v>
      </c>
      <c r="Y1303">
        <v>0</v>
      </c>
      <c r="AE1303">
        <f t="shared" si="60"/>
        <v>1</v>
      </c>
      <c r="AF1303">
        <f>VLOOKUP(D1303,especies!$A$2:$C$9,3,FALSE)</f>
        <v>2</v>
      </c>
      <c r="AG1303" t="str">
        <f t="shared" si="61"/>
        <v>2-DPC (Doméstico de pelo corto o DSH)</v>
      </c>
      <c r="AH1303">
        <f>VLOOKUP('Fichas clínicas'!AG1303,razas!$A$2:$D$66,3,FALSE)</f>
        <v>51</v>
      </c>
      <c r="AI1303" t="str">
        <f t="shared" si="62"/>
        <v>M</v>
      </c>
    </row>
    <row r="1304" spans="1:35" x14ac:dyDescent="0.2">
      <c r="A1304">
        <v>1306</v>
      </c>
      <c r="B1304" t="s">
        <v>3018</v>
      </c>
      <c r="C1304" t="s">
        <v>3019</v>
      </c>
      <c r="D1304" t="s">
        <v>2280</v>
      </c>
      <c r="E1304" t="s">
        <v>2511</v>
      </c>
      <c r="F1304" t="s">
        <v>47</v>
      </c>
      <c r="G1304" t="s">
        <v>2065</v>
      </c>
      <c r="J1304" t="s">
        <v>1745</v>
      </c>
      <c r="K1304" t="s">
        <v>38</v>
      </c>
      <c r="L1304" t="s">
        <v>38</v>
      </c>
      <c r="M1304" t="s">
        <v>38</v>
      </c>
      <c r="N1304" t="s">
        <v>38</v>
      </c>
      <c r="O1304" t="s">
        <v>38</v>
      </c>
      <c r="T1304" t="s">
        <v>38</v>
      </c>
      <c r="U1304">
        <v>0</v>
      </c>
      <c r="W1304">
        <v>0</v>
      </c>
      <c r="X1304">
        <v>0</v>
      </c>
      <c r="Y1304">
        <v>0</v>
      </c>
      <c r="AE1304">
        <f t="shared" si="60"/>
        <v>1</v>
      </c>
      <c r="AF1304">
        <f>VLOOKUP(D1304,especies!$A$2:$C$9,3,FALSE)</f>
        <v>6</v>
      </c>
      <c r="AG1304" t="str">
        <f t="shared" si="61"/>
        <v>6-Cabeza de León</v>
      </c>
      <c r="AH1304">
        <f>VLOOKUP('Fichas clínicas'!AG1304,razas!$A$2:$D$66,3,FALSE)</f>
        <v>60</v>
      </c>
      <c r="AI1304" t="str">
        <f t="shared" si="62"/>
        <v>M</v>
      </c>
    </row>
    <row r="1305" spans="1:35" x14ac:dyDescent="0.2">
      <c r="A1305">
        <v>1307</v>
      </c>
      <c r="B1305" t="s">
        <v>460</v>
      </c>
      <c r="C1305" t="s">
        <v>3020</v>
      </c>
      <c r="D1305" t="s">
        <v>41</v>
      </c>
      <c r="E1305" t="s">
        <v>42</v>
      </c>
      <c r="F1305" t="s">
        <v>47</v>
      </c>
      <c r="G1305" t="s">
        <v>300</v>
      </c>
      <c r="J1305" t="s">
        <v>2224</v>
      </c>
      <c r="K1305" t="s">
        <v>38</v>
      </c>
      <c r="L1305" t="s">
        <v>38</v>
      </c>
      <c r="M1305" t="s">
        <v>38</v>
      </c>
      <c r="N1305" t="s">
        <v>38</v>
      </c>
      <c r="O1305" t="s">
        <v>38</v>
      </c>
      <c r="Q1305">
        <v>0</v>
      </c>
      <c r="T1305" t="s">
        <v>38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f t="shared" si="60"/>
        <v>1</v>
      </c>
      <c r="AF1305">
        <f>VLOOKUP(D1305,especies!$A$2:$C$9,3,FALSE)</f>
        <v>2</v>
      </c>
      <c r="AG1305" t="str">
        <f t="shared" si="61"/>
        <v>2-DPC (Doméstico de pelo corto o DSH)</v>
      </c>
      <c r="AH1305">
        <f>VLOOKUP('Fichas clínicas'!AG1305,razas!$A$2:$D$66,3,FALSE)</f>
        <v>51</v>
      </c>
      <c r="AI1305" t="str">
        <f t="shared" si="62"/>
        <v>M</v>
      </c>
    </row>
    <row r="1306" spans="1:35" x14ac:dyDescent="0.2">
      <c r="A1306">
        <v>1308</v>
      </c>
      <c r="B1306" t="s">
        <v>475</v>
      </c>
      <c r="C1306" t="s">
        <v>3021</v>
      </c>
      <c r="D1306" t="s">
        <v>41</v>
      </c>
      <c r="E1306" t="s">
        <v>42</v>
      </c>
      <c r="F1306" t="s">
        <v>47</v>
      </c>
      <c r="G1306" t="s">
        <v>3022</v>
      </c>
      <c r="J1306" t="s">
        <v>3023</v>
      </c>
      <c r="K1306" t="s">
        <v>38</v>
      </c>
      <c r="L1306" t="s">
        <v>38</v>
      </c>
      <c r="M1306" t="s">
        <v>38</v>
      </c>
      <c r="N1306" t="s">
        <v>38</v>
      </c>
      <c r="O1306" t="s">
        <v>38</v>
      </c>
      <c r="T1306" t="s">
        <v>38</v>
      </c>
      <c r="U1306">
        <v>0</v>
      </c>
      <c r="W1306">
        <v>0</v>
      </c>
      <c r="X1306">
        <v>0</v>
      </c>
      <c r="Y1306">
        <v>0</v>
      </c>
      <c r="AE1306">
        <f t="shared" si="60"/>
        <v>1</v>
      </c>
      <c r="AF1306">
        <f>VLOOKUP(D1306,especies!$A$2:$C$9,3,FALSE)</f>
        <v>2</v>
      </c>
      <c r="AG1306" t="str">
        <f t="shared" si="61"/>
        <v>2-DPC (Doméstico de pelo corto o DSH)</v>
      </c>
      <c r="AH1306">
        <f>VLOOKUP('Fichas clínicas'!AG1306,razas!$A$2:$D$66,3,FALSE)</f>
        <v>51</v>
      </c>
      <c r="AI1306" t="str">
        <f t="shared" si="62"/>
        <v>M</v>
      </c>
    </row>
    <row r="1307" spans="1:35" x14ac:dyDescent="0.2">
      <c r="A1307">
        <v>1309</v>
      </c>
      <c r="B1307" t="s">
        <v>3024</v>
      </c>
      <c r="C1307" t="s">
        <v>1632</v>
      </c>
      <c r="D1307" t="s">
        <v>32</v>
      </c>
      <c r="E1307" t="s">
        <v>458</v>
      </c>
      <c r="F1307" t="s">
        <v>34</v>
      </c>
      <c r="G1307" t="s">
        <v>3025</v>
      </c>
      <c r="J1307" t="s">
        <v>145</v>
      </c>
      <c r="K1307" t="s">
        <v>38</v>
      </c>
      <c r="L1307" t="s">
        <v>38</v>
      </c>
      <c r="M1307" t="s">
        <v>38</v>
      </c>
      <c r="N1307" t="s">
        <v>38</v>
      </c>
      <c r="O1307" t="s">
        <v>38</v>
      </c>
      <c r="T1307" t="s">
        <v>38</v>
      </c>
      <c r="U1307">
        <v>0</v>
      </c>
      <c r="W1307">
        <v>0</v>
      </c>
      <c r="X1307">
        <v>0</v>
      </c>
      <c r="Y1307">
        <v>0</v>
      </c>
      <c r="AE1307">
        <f t="shared" si="60"/>
        <v>1</v>
      </c>
      <c r="AF1307">
        <f>VLOOKUP(D1307,especies!$A$2:$C$9,3,FALSE)</f>
        <v>1</v>
      </c>
      <c r="AG1307" t="str">
        <f t="shared" si="61"/>
        <v>1-Beagle</v>
      </c>
      <c r="AH1307">
        <f>VLOOKUP('Fichas clínicas'!AG1307,razas!$A$2:$D$66,3,FALSE)</f>
        <v>13</v>
      </c>
      <c r="AI1307" t="str">
        <f t="shared" si="62"/>
        <v>H</v>
      </c>
    </row>
    <row r="1308" spans="1:35" x14ac:dyDescent="0.2">
      <c r="A1308">
        <v>1310</v>
      </c>
      <c r="B1308" t="s">
        <v>2534</v>
      </c>
      <c r="C1308" t="s">
        <v>838</v>
      </c>
      <c r="D1308" t="s">
        <v>41</v>
      </c>
      <c r="E1308" t="s">
        <v>42</v>
      </c>
      <c r="F1308" t="s">
        <v>34</v>
      </c>
      <c r="G1308" t="s">
        <v>81</v>
      </c>
      <c r="J1308" t="s">
        <v>271</v>
      </c>
      <c r="K1308" t="s">
        <v>38</v>
      </c>
      <c r="L1308" t="s">
        <v>38</v>
      </c>
      <c r="M1308" t="s">
        <v>38</v>
      </c>
      <c r="N1308" t="s">
        <v>38</v>
      </c>
      <c r="O1308" t="s">
        <v>38</v>
      </c>
      <c r="T1308" t="s">
        <v>38</v>
      </c>
      <c r="U1308">
        <v>0</v>
      </c>
      <c r="W1308">
        <v>0</v>
      </c>
      <c r="X1308">
        <v>0</v>
      </c>
      <c r="Y1308">
        <v>0</v>
      </c>
      <c r="AE1308">
        <f t="shared" si="60"/>
        <v>1</v>
      </c>
      <c r="AF1308">
        <f>VLOOKUP(D1308,especies!$A$2:$C$9,3,FALSE)</f>
        <v>2</v>
      </c>
      <c r="AG1308" t="str">
        <f t="shared" si="61"/>
        <v>2-DPC (Doméstico de pelo corto o DSH)</v>
      </c>
      <c r="AH1308">
        <f>VLOOKUP('Fichas clínicas'!AG1308,razas!$A$2:$D$66,3,FALSE)</f>
        <v>51</v>
      </c>
      <c r="AI1308" t="str">
        <f t="shared" si="62"/>
        <v>H</v>
      </c>
    </row>
    <row r="1309" spans="1:35" x14ac:dyDescent="0.2">
      <c r="A1309">
        <v>1311</v>
      </c>
      <c r="B1309" t="s">
        <v>3026</v>
      </c>
      <c r="C1309" t="s">
        <v>1136</v>
      </c>
      <c r="D1309" t="s">
        <v>32</v>
      </c>
      <c r="E1309" t="s">
        <v>33</v>
      </c>
      <c r="F1309" t="s">
        <v>34</v>
      </c>
      <c r="G1309" t="s">
        <v>123</v>
      </c>
      <c r="J1309" t="s">
        <v>3027</v>
      </c>
      <c r="K1309" t="s">
        <v>38</v>
      </c>
      <c r="L1309" t="s">
        <v>38</v>
      </c>
      <c r="M1309" t="s">
        <v>38</v>
      </c>
      <c r="N1309" t="s">
        <v>38</v>
      </c>
      <c r="O1309" t="s">
        <v>38</v>
      </c>
      <c r="T1309" t="s">
        <v>38</v>
      </c>
      <c r="U1309">
        <v>0</v>
      </c>
      <c r="W1309">
        <v>0</v>
      </c>
      <c r="X1309">
        <v>0</v>
      </c>
      <c r="Y1309">
        <v>0</v>
      </c>
      <c r="AE1309">
        <f t="shared" si="60"/>
        <v>1</v>
      </c>
      <c r="AF1309">
        <f>VLOOKUP(D1309,especies!$A$2:$C$9,3,FALSE)</f>
        <v>1</v>
      </c>
      <c r="AG1309" t="str">
        <f t="shared" si="61"/>
        <v>1-Mestizo</v>
      </c>
      <c r="AH1309">
        <f>VLOOKUP('Fichas clínicas'!AG1309,razas!$A$2:$D$66,3,FALSE)</f>
        <v>1</v>
      </c>
      <c r="AI1309" t="str">
        <f t="shared" si="62"/>
        <v>H</v>
      </c>
    </row>
    <row r="1310" spans="1:35" x14ac:dyDescent="0.2">
      <c r="A1310">
        <v>1312</v>
      </c>
      <c r="B1310" t="s">
        <v>3028</v>
      </c>
      <c r="C1310" t="s">
        <v>3029</v>
      </c>
      <c r="D1310" t="s">
        <v>41</v>
      </c>
      <c r="E1310" t="s">
        <v>42</v>
      </c>
      <c r="F1310" t="s">
        <v>34</v>
      </c>
      <c r="G1310" t="s">
        <v>297</v>
      </c>
      <c r="J1310" t="s">
        <v>181</v>
      </c>
      <c r="K1310" t="s">
        <v>38</v>
      </c>
      <c r="L1310" t="s">
        <v>38</v>
      </c>
      <c r="M1310" t="s">
        <v>38</v>
      </c>
      <c r="N1310" t="s">
        <v>38</v>
      </c>
      <c r="O1310" t="s">
        <v>38</v>
      </c>
      <c r="T1310" t="s">
        <v>38</v>
      </c>
      <c r="U1310">
        <v>0</v>
      </c>
      <c r="V1310">
        <v>1</v>
      </c>
      <c r="W1310">
        <v>0</v>
      </c>
      <c r="X1310">
        <v>0</v>
      </c>
      <c r="Y1310">
        <v>0</v>
      </c>
      <c r="AE1310">
        <f t="shared" si="60"/>
        <v>1</v>
      </c>
      <c r="AF1310">
        <f>VLOOKUP(D1310,especies!$A$2:$C$9,3,FALSE)</f>
        <v>2</v>
      </c>
      <c r="AG1310" t="str">
        <f t="shared" si="61"/>
        <v>2-DPC (Doméstico de pelo corto o DSH)</v>
      </c>
      <c r="AH1310">
        <f>VLOOKUP('Fichas clínicas'!AG1310,razas!$A$2:$D$66,3,FALSE)</f>
        <v>51</v>
      </c>
      <c r="AI1310" t="str">
        <f t="shared" si="62"/>
        <v>H</v>
      </c>
    </row>
    <row r="1311" spans="1:35" x14ac:dyDescent="0.2">
      <c r="A1311">
        <v>1313</v>
      </c>
      <c r="B1311" t="s">
        <v>394</v>
      </c>
      <c r="C1311" t="s">
        <v>3030</v>
      </c>
      <c r="D1311" t="s">
        <v>41</v>
      </c>
      <c r="E1311" t="s">
        <v>42</v>
      </c>
      <c r="F1311" t="s">
        <v>34</v>
      </c>
      <c r="G1311" t="s">
        <v>43</v>
      </c>
      <c r="J1311" t="s">
        <v>2798</v>
      </c>
      <c r="K1311" t="s">
        <v>38</v>
      </c>
      <c r="L1311" t="s">
        <v>38</v>
      </c>
      <c r="M1311" t="s">
        <v>38</v>
      </c>
      <c r="N1311" t="s">
        <v>38</v>
      </c>
      <c r="O1311" t="s">
        <v>38</v>
      </c>
      <c r="T1311" t="s">
        <v>38</v>
      </c>
      <c r="U1311">
        <v>0</v>
      </c>
      <c r="V1311">
        <v>1</v>
      </c>
      <c r="W1311">
        <v>0</v>
      </c>
      <c r="X1311">
        <v>0</v>
      </c>
      <c r="Y1311">
        <v>0</v>
      </c>
      <c r="AE1311">
        <f t="shared" si="60"/>
        <v>1</v>
      </c>
      <c r="AF1311">
        <f>VLOOKUP(D1311,especies!$A$2:$C$9,3,FALSE)</f>
        <v>2</v>
      </c>
      <c r="AG1311" t="str">
        <f t="shared" si="61"/>
        <v>2-DPC (Doméstico de pelo corto o DSH)</v>
      </c>
      <c r="AH1311">
        <f>VLOOKUP('Fichas clínicas'!AG1311,razas!$A$2:$D$66,3,FALSE)</f>
        <v>51</v>
      </c>
      <c r="AI1311" t="str">
        <f t="shared" si="62"/>
        <v>H</v>
      </c>
    </row>
    <row r="1312" spans="1:35" x14ac:dyDescent="0.2">
      <c r="A1312">
        <v>1314</v>
      </c>
      <c r="B1312" t="s">
        <v>3031</v>
      </c>
      <c r="C1312" t="s">
        <v>2099</v>
      </c>
      <c r="D1312" t="s">
        <v>41</v>
      </c>
      <c r="E1312" t="s">
        <v>42</v>
      </c>
      <c r="F1312" t="s">
        <v>34</v>
      </c>
      <c r="G1312" t="s">
        <v>284</v>
      </c>
      <c r="J1312" t="s">
        <v>3032</v>
      </c>
      <c r="K1312" t="s">
        <v>38</v>
      </c>
      <c r="L1312" t="s">
        <v>38</v>
      </c>
      <c r="M1312" t="s">
        <v>38</v>
      </c>
      <c r="N1312" t="s">
        <v>38</v>
      </c>
      <c r="O1312" t="s">
        <v>38</v>
      </c>
      <c r="T1312" t="s">
        <v>38</v>
      </c>
      <c r="U1312">
        <v>0</v>
      </c>
      <c r="W1312">
        <v>0</v>
      </c>
      <c r="X1312">
        <v>0</v>
      </c>
      <c r="Y1312">
        <v>0</v>
      </c>
      <c r="AE1312">
        <f t="shared" si="60"/>
        <v>1</v>
      </c>
      <c r="AF1312">
        <f>VLOOKUP(D1312,especies!$A$2:$C$9,3,FALSE)</f>
        <v>2</v>
      </c>
      <c r="AG1312" t="str">
        <f t="shared" si="61"/>
        <v>2-DPC (Doméstico de pelo corto o DSH)</v>
      </c>
      <c r="AH1312">
        <f>VLOOKUP('Fichas clínicas'!AG1312,razas!$A$2:$D$66,3,FALSE)</f>
        <v>51</v>
      </c>
      <c r="AI1312" t="str">
        <f t="shared" si="62"/>
        <v>H</v>
      </c>
    </row>
    <row r="1313" spans="1:35" x14ac:dyDescent="0.2">
      <c r="A1313">
        <v>1315</v>
      </c>
      <c r="B1313" t="s">
        <v>3033</v>
      </c>
      <c r="C1313" t="s">
        <v>3034</v>
      </c>
      <c r="D1313" t="s">
        <v>41</v>
      </c>
      <c r="E1313" t="s">
        <v>42</v>
      </c>
      <c r="F1313" t="s">
        <v>34</v>
      </c>
      <c r="G1313" t="s">
        <v>3035</v>
      </c>
      <c r="J1313" t="s">
        <v>221</v>
      </c>
      <c r="K1313" t="s">
        <v>38</v>
      </c>
      <c r="L1313" t="s">
        <v>38</v>
      </c>
      <c r="M1313" t="s">
        <v>38</v>
      </c>
      <c r="N1313" t="s">
        <v>38</v>
      </c>
      <c r="O1313" t="s">
        <v>38</v>
      </c>
      <c r="T1313" t="s">
        <v>38</v>
      </c>
      <c r="U1313">
        <v>0</v>
      </c>
      <c r="V1313">
        <v>1</v>
      </c>
      <c r="W1313">
        <v>0</v>
      </c>
      <c r="X1313">
        <v>0</v>
      </c>
      <c r="Y1313">
        <v>0</v>
      </c>
      <c r="AE1313">
        <f t="shared" si="60"/>
        <v>1</v>
      </c>
      <c r="AF1313">
        <f>VLOOKUP(D1313,especies!$A$2:$C$9,3,FALSE)</f>
        <v>2</v>
      </c>
      <c r="AG1313" t="str">
        <f t="shared" si="61"/>
        <v>2-DPC (Doméstico de pelo corto o DSH)</v>
      </c>
      <c r="AH1313">
        <f>VLOOKUP('Fichas clínicas'!AG1313,razas!$A$2:$D$66,3,FALSE)</f>
        <v>51</v>
      </c>
      <c r="AI1313" t="str">
        <f t="shared" si="62"/>
        <v>H</v>
      </c>
    </row>
    <row r="1314" spans="1:35" x14ac:dyDescent="0.2">
      <c r="A1314">
        <v>1316</v>
      </c>
      <c r="B1314" t="s">
        <v>3036</v>
      </c>
      <c r="C1314" t="s">
        <v>3037</v>
      </c>
      <c r="D1314" t="s">
        <v>41</v>
      </c>
      <c r="E1314" t="s">
        <v>42</v>
      </c>
      <c r="F1314" t="s">
        <v>47</v>
      </c>
      <c r="G1314" t="s">
        <v>329</v>
      </c>
      <c r="J1314" t="s">
        <v>3038</v>
      </c>
      <c r="K1314" t="s">
        <v>38</v>
      </c>
      <c r="L1314" t="s">
        <v>38</v>
      </c>
      <c r="M1314" t="s">
        <v>38</v>
      </c>
      <c r="N1314" t="s">
        <v>38</v>
      </c>
      <c r="O1314" t="s">
        <v>38</v>
      </c>
      <c r="Q1314">
        <v>0</v>
      </c>
      <c r="T1314" t="s">
        <v>38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f t="shared" si="60"/>
        <v>1</v>
      </c>
      <c r="AF1314">
        <f>VLOOKUP(D1314,especies!$A$2:$C$9,3,FALSE)</f>
        <v>2</v>
      </c>
      <c r="AG1314" t="str">
        <f t="shared" si="61"/>
        <v>2-DPC (Doméstico de pelo corto o DSH)</v>
      </c>
      <c r="AH1314">
        <f>VLOOKUP('Fichas clínicas'!AG1314,razas!$A$2:$D$66,3,FALSE)</f>
        <v>51</v>
      </c>
      <c r="AI1314" t="str">
        <f t="shared" si="62"/>
        <v>M</v>
      </c>
    </row>
    <row r="1315" spans="1:35" x14ac:dyDescent="0.2">
      <c r="A1315">
        <v>1317</v>
      </c>
      <c r="B1315" t="s">
        <v>3039</v>
      </c>
      <c r="C1315" t="s">
        <v>3040</v>
      </c>
      <c r="D1315" t="s">
        <v>41</v>
      </c>
      <c r="E1315" t="s">
        <v>42</v>
      </c>
      <c r="F1315" t="s">
        <v>34</v>
      </c>
      <c r="G1315" t="s">
        <v>194</v>
      </c>
      <c r="J1315" t="s">
        <v>127</v>
      </c>
      <c r="K1315" t="s">
        <v>38</v>
      </c>
      <c r="L1315" t="s">
        <v>38</v>
      </c>
      <c r="M1315" t="s">
        <v>38</v>
      </c>
      <c r="N1315" t="s">
        <v>38</v>
      </c>
      <c r="O1315" t="s">
        <v>38</v>
      </c>
      <c r="T1315" t="s">
        <v>38</v>
      </c>
      <c r="U1315">
        <v>0</v>
      </c>
      <c r="W1315">
        <v>0</v>
      </c>
      <c r="X1315">
        <v>0</v>
      </c>
      <c r="Y1315">
        <v>0</v>
      </c>
      <c r="AE1315">
        <f t="shared" si="60"/>
        <v>1</v>
      </c>
      <c r="AF1315">
        <f>VLOOKUP(D1315,especies!$A$2:$C$9,3,FALSE)</f>
        <v>2</v>
      </c>
      <c r="AG1315" t="str">
        <f t="shared" si="61"/>
        <v>2-DPC (Doméstico de pelo corto o DSH)</v>
      </c>
      <c r="AH1315">
        <f>VLOOKUP('Fichas clínicas'!AG1315,razas!$A$2:$D$66,3,FALSE)</f>
        <v>51</v>
      </c>
      <c r="AI1315" t="str">
        <f t="shared" si="62"/>
        <v>H</v>
      </c>
    </row>
    <row r="1316" spans="1:35" x14ac:dyDescent="0.2">
      <c r="A1316">
        <v>1318</v>
      </c>
      <c r="B1316" t="s">
        <v>3041</v>
      </c>
      <c r="C1316" t="s">
        <v>299</v>
      </c>
      <c r="D1316" t="s">
        <v>32</v>
      </c>
      <c r="E1316" t="s">
        <v>33</v>
      </c>
      <c r="F1316" t="s">
        <v>34</v>
      </c>
      <c r="G1316" t="s">
        <v>740</v>
      </c>
      <c r="J1316" t="s">
        <v>2668</v>
      </c>
      <c r="K1316" t="s">
        <v>38</v>
      </c>
      <c r="L1316" t="s">
        <v>38</v>
      </c>
      <c r="M1316" t="s">
        <v>38</v>
      </c>
      <c r="N1316" t="s">
        <v>38</v>
      </c>
      <c r="O1316" t="s">
        <v>38</v>
      </c>
      <c r="Q1316">
        <v>1</v>
      </c>
      <c r="T1316" t="s">
        <v>38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f t="shared" si="60"/>
        <v>1</v>
      </c>
      <c r="AF1316">
        <f>VLOOKUP(D1316,especies!$A$2:$C$9,3,FALSE)</f>
        <v>1</v>
      </c>
      <c r="AG1316" t="str">
        <f t="shared" si="61"/>
        <v>1-Mestizo</v>
      </c>
      <c r="AH1316">
        <f>VLOOKUP('Fichas clínicas'!AG1316,razas!$A$2:$D$66,3,FALSE)</f>
        <v>1</v>
      </c>
      <c r="AI1316" t="str">
        <f t="shared" si="62"/>
        <v>H</v>
      </c>
    </row>
    <row r="1317" spans="1:35" x14ac:dyDescent="0.2">
      <c r="A1317">
        <v>1319</v>
      </c>
      <c r="B1317" t="s">
        <v>3042</v>
      </c>
      <c r="C1317" t="s">
        <v>3043</v>
      </c>
      <c r="D1317" t="s">
        <v>41</v>
      </c>
      <c r="E1317" t="s">
        <v>42</v>
      </c>
      <c r="F1317" t="s">
        <v>47</v>
      </c>
      <c r="G1317" t="s">
        <v>109</v>
      </c>
      <c r="J1317" t="s">
        <v>3044</v>
      </c>
      <c r="K1317" t="s">
        <v>38</v>
      </c>
      <c r="L1317" t="s">
        <v>38</v>
      </c>
      <c r="M1317" t="s">
        <v>38</v>
      </c>
      <c r="N1317" t="s">
        <v>38</v>
      </c>
      <c r="O1317" t="s">
        <v>38</v>
      </c>
      <c r="T1317" t="s">
        <v>38</v>
      </c>
      <c r="U1317">
        <v>0</v>
      </c>
      <c r="W1317">
        <v>0</v>
      </c>
      <c r="X1317">
        <v>0</v>
      </c>
      <c r="Y1317">
        <v>0</v>
      </c>
      <c r="AE1317">
        <f t="shared" si="60"/>
        <v>1</v>
      </c>
      <c r="AF1317">
        <f>VLOOKUP(D1317,especies!$A$2:$C$9,3,FALSE)</f>
        <v>2</v>
      </c>
      <c r="AG1317" t="str">
        <f t="shared" si="61"/>
        <v>2-DPC (Doméstico de pelo corto o DSH)</v>
      </c>
      <c r="AH1317">
        <f>VLOOKUP('Fichas clínicas'!AG1317,razas!$A$2:$D$66,3,FALSE)</f>
        <v>51</v>
      </c>
      <c r="AI1317" t="str">
        <f t="shared" si="62"/>
        <v>M</v>
      </c>
    </row>
    <row r="1318" spans="1:35" x14ac:dyDescent="0.2">
      <c r="A1318">
        <v>1320</v>
      </c>
      <c r="B1318" t="s">
        <v>868</v>
      </c>
      <c r="C1318" t="s">
        <v>3045</v>
      </c>
      <c r="D1318" t="s">
        <v>41</v>
      </c>
      <c r="E1318" t="s">
        <v>42</v>
      </c>
      <c r="F1318" t="s">
        <v>47</v>
      </c>
      <c r="G1318" t="s">
        <v>3046</v>
      </c>
      <c r="J1318" t="s">
        <v>3047</v>
      </c>
      <c r="K1318" t="s">
        <v>38</v>
      </c>
      <c r="L1318" t="s">
        <v>38</v>
      </c>
      <c r="M1318" t="s">
        <v>38</v>
      </c>
      <c r="N1318" t="s">
        <v>38</v>
      </c>
      <c r="O1318" t="s">
        <v>38</v>
      </c>
      <c r="Q1318">
        <v>0</v>
      </c>
      <c r="T1318" t="s">
        <v>38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f t="shared" si="60"/>
        <v>1</v>
      </c>
      <c r="AF1318">
        <f>VLOOKUP(D1318,especies!$A$2:$C$9,3,FALSE)</f>
        <v>2</v>
      </c>
      <c r="AG1318" t="str">
        <f t="shared" si="61"/>
        <v>2-DPC (Doméstico de pelo corto o DSH)</v>
      </c>
      <c r="AH1318">
        <f>VLOOKUP('Fichas clínicas'!AG1318,razas!$A$2:$D$66,3,FALSE)</f>
        <v>51</v>
      </c>
      <c r="AI1318" t="str">
        <f t="shared" si="62"/>
        <v>M</v>
      </c>
    </row>
    <row r="1319" spans="1:35" x14ac:dyDescent="0.2">
      <c r="A1319">
        <v>1321</v>
      </c>
      <c r="B1319" t="s">
        <v>3001</v>
      </c>
      <c r="C1319" t="s">
        <v>3048</v>
      </c>
      <c r="D1319" t="s">
        <v>32</v>
      </c>
      <c r="E1319" t="s">
        <v>150</v>
      </c>
      <c r="F1319" t="s">
        <v>47</v>
      </c>
      <c r="G1319" t="s">
        <v>102</v>
      </c>
      <c r="J1319" t="s">
        <v>87</v>
      </c>
      <c r="K1319" t="s">
        <v>38</v>
      </c>
      <c r="L1319" t="s">
        <v>38</v>
      </c>
      <c r="M1319" t="s">
        <v>38</v>
      </c>
      <c r="N1319" t="s">
        <v>38</v>
      </c>
      <c r="O1319" t="s">
        <v>38</v>
      </c>
      <c r="T1319" t="s">
        <v>38</v>
      </c>
      <c r="U1319">
        <v>0</v>
      </c>
      <c r="V1319">
        <v>1</v>
      </c>
      <c r="W1319">
        <v>0</v>
      </c>
      <c r="X1319">
        <v>0</v>
      </c>
      <c r="Y1319">
        <v>0</v>
      </c>
      <c r="AE1319">
        <f t="shared" si="60"/>
        <v>1</v>
      </c>
      <c r="AF1319">
        <f>VLOOKUP(D1319,especies!$A$2:$C$9,3,FALSE)</f>
        <v>1</v>
      </c>
      <c r="AG1319" t="str">
        <f t="shared" si="61"/>
        <v>1-Poodle</v>
      </c>
      <c r="AH1319">
        <f>VLOOKUP('Fichas clínicas'!AG1319,razas!$A$2:$D$66,3,FALSE)</f>
        <v>6</v>
      </c>
      <c r="AI1319" t="str">
        <f t="shared" si="62"/>
        <v>M</v>
      </c>
    </row>
    <row r="1320" spans="1:35" x14ac:dyDescent="0.2">
      <c r="A1320">
        <v>1322</v>
      </c>
      <c r="B1320" t="s">
        <v>2608</v>
      </c>
      <c r="C1320" t="s">
        <v>838</v>
      </c>
      <c r="D1320" t="s">
        <v>41</v>
      </c>
      <c r="E1320" t="s">
        <v>42</v>
      </c>
      <c r="F1320" t="s">
        <v>34</v>
      </c>
      <c r="G1320" t="s">
        <v>43</v>
      </c>
      <c r="J1320" t="s">
        <v>419</v>
      </c>
      <c r="K1320" t="s">
        <v>38</v>
      </c>
      <c r="L1320" t="s">
        <v>38</v>
      </c>
      <c r="M1320" t="s">
        <v>38</v>
      </c>
      <c r="N1320" t="s">
        <v>38</v>
      </c>
      <c r="O1320" t="s">
        <v>38</v>
      </c>
      <c r="T1320" t="s">
        <v>38</v>
      </c>
      <c r="U1320">
        <v>0</v>
      </c>
      <c r="W1320">
        <v>0</v>
      </c>
      <c r="X1320">
        <v>0</v>
      </c>
      <c r="Y1320">
        <v>0</v>
      </c>
      <c r="AE1320">
        <f t="shared" si="60"/>
        <v>1</v>
      </c>
      <c r="AF1320">
        <f>VLOOKUP(D1320,especies!$A$2:$C$9,3,FALSE)</f>
        <v>2</v>
      </c>
      <c r="AG1320" t="str">
        <f t="shared" si="61"/>
        <v>2-DPC (Doméstico de pelo corto o DSH)</v>
      </c>
      <c r="AH1320">
        <f>VLOOKUP('Fichas clínicas'!AG1320,razas!$A$2:$D$66,3,FALSE)</f>
        <v>51</v>
      </c>
      <c r="AI1320" t="str">
        <f t="shared" si="62"/>
        <v>H</v>
      </c>
    </row>
    <row r="1321" spans="1:35" x14ac:dyDescent="0.2">
      <c r="A1321">
        <v>1323</v>
      </c>
      <c r="B1321" t="s">
        <v>3049</v>
      </c>
      <c r="C1321" t="s">
        <v>2003</v>
      </c>
      <c r="D1321" t="s">
        <v>32</v>
      </c>
      <c r="E1321" t="s">
        <v>33</v>
      </c>
      <c r="F1321" t="s">
        <v>34</v>
      </c>
      <c r="G1321" t="s">
        <v>284</v>
      </c>
      <c r="J1321" t="s">
        <v>127</v>
      </c>
      <c r="K1321" t="s">
        <v>38</v>
      </c>
      <c r="L1321" t="s">
        <v>38</v>
      </c>
      <c r="M1321" t="s">
        <v>38</v>
      </c>
      <c r="N1321" t="s">
        <v>38</v>
      </c>
      <c r="O1321" t="s">
        <v>38</v>
      </c>
      <c r="T1321" t="s">
        <v>38</v>
      </c>
      <c r="U1321">
        <v>0</v>
      </c>
      <c r="W1321">
        <v>0</v>
      </c>
      <c r="X1321">
        <v>0</v>
      </c>
      <c r="Y1321">
        <v>0</v>
      </c>
      <c r="AE1321">
        <f t="shared" si="60"/>
        <v>1</v>
      </c>
      <c r="AF1321">
        <f>VLOOKUP(D1321,especies!$A$2:$C$9,3,FALSE)</f>
        <v>1</v>
      </c>
      <c r="AG1321" t="str">
        <f t="shared" si="61"/>
        <v>1-Mestizo</v>
      </c>
      <c r="AH1321">
        <f>VLOOKUP('Fichas clínicas'!AG1321,razas!$A$2:$D$66,3,FALSE)</f>
        <v>1</v>
      </c>
      <c r="AI1321" t="str">
        <f t="shared" si="62"/>
        <v>H</v>
      </c>
    </row>
    <row r="1322" spans="1:35" x14ac:dyDescent="0.2">
      <c r="A1322">
        <v>1324</v>
      </c>
      <c r="B1322" t="s">
        <v>3050</v>
      </c>
      <c r="C1322" t="s">
        <v>3051</v>
      </c>
      <c r="D1322" t="s">
        <v>1650</v>
      </c>
      <c r="E1322" t="s">
        <v>1651</v>
      </c>
      <c r="F1322" t="s">
        <v>34</v>
      </c>
      <c r="G1322" t="s">
        <v>3002</v>
      </c>
      <c r="J1322" t="s">
        <v>3052</v>
      </c>
      <c r="K1322" t="s">
        <v>38</v>
      </c>
      <c r="L1322" t="s">
        <v>38</v>
      </c>
      <c r="M1322" t="s">
        <v>38</v>
      </c>
      <c r="N1322" t="s">
        <v>38</v>
      </c>
      <c r="O1322" t="s">
        <v>38</v>
      </c>
      <c r="T1322" t="s">
        <v>38</v>
      </c>
      <c r="U1322">
        <v>0</v>
      </c>
      <c r="W1322">
        <v>0</v>
      </c>
      <c r="X1322">
        <v>0</v>
      </c>
      <c r="Y1322">
        <v>0</v>
      </c>
      <c r="AE1322">
        <f t="shared" si="60"/>
        <v>1</v>
      </c>
      <c r="AF1322">
        <f>VLOOKUP(D1322,especies!$A$2:$C$9,3,FALSE)</f>
        <v>4</v>
      </c>
      <c r="AG1322" t="str">
        <f t="shared" si="61"/>
        <v>4-Erizo de Tierra</v>
      </c>
      <c r="AH1322">
        <f>VLOOKUP('Fichas clínicas'!AG1322,razas!$A$2:$D$66,3,FALSE)</f>
        <v>56</v>
      </c>
      <c r="AI1322" t="str">
        <f t="shared" si="62"/>
        <v>H</v>
      </c>
    </row>
    <row r="1323" spans="1:35" x14ac:dyDescent="0.2">
      <c r="A1323">
        <v>1325</v>
      </c>
      <c r="B1323" t="s">
        <v>1867</v>
      </c>
      <c r="C1323" t="s">
        <v>2565</v>
      </c>
      <c r="D1323" t="s">
        <v>32</v>
      </c>
      <c r="E1323" t="s">
        <v>33</v>
      </c>
      <c r="F1323" t="s">
        <v>47</v>
      </c>
      <c r="G1323" t="s">
        <v>3053</v>
      </c>
      <c r="J1323" t="s">
        <v>2437</v>
      </c>
      <c r="K1323" t="s">
        <v>38</v>
      </c>
      <c r="L1323" t="s">
        <v>38</v>
      </c>
      <c r="M1323" t="s">
        <v>38</v>
      </c>
      <c r="N1323" t="s">
        <v>38</v>
      </c>
      <c r="O1323" t="s">
        <v>38</v>
      </c>
      <c r="Q1323">
        <v>0</v>
      </c>
      <c r="T1323" t="s">
        <v>38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f t="shared" si="60"/>
        <v>1</v>
      </c>
      <c r="AF1323">
        <f>VLOOKUP(D1323,especies!$A$2:$C$9,3,FALSE)</f>
        <v>1</v>
      </c>
      <c r="AG1323" t="str">
        <f t="shared" si="61"/>
        <v>1-Mestizo</v>
      </c>
      <c r="AH1323">
        <f>VLOOKUP('Fichas clínicas'!AG1323,razas!$A$2:$D$66,3,FALSE)</f>
        <v>1</v>
      </c>
      <c r="AI1323" t="str">
        <f t="shared" si="62"/>
        <v>M</v>
      </c>
    </row>
    <row r="1324" spans="1:35" x14ac:dyDescent="0.2">
      <c r="A1324">
        <v>1326</v>
      </c>
      <c r="B1324" t="s">
        <v>1867</v>
      </c>
      <c r="C1324" t="s">
        <v>2565</v>
      </c>
      <c r="D1324" t="s">
        <v>32</v>
      </c>
      <c r="E1324" t="s">
        <v>33</v>
      </c>
      <c r="F1324" t="s">
        <v>47</v>
      </c>
      <c r="G1324" t="s">
        <v>3053</v>
      </c>
      <c r="J1324" t="s">
        <v>1774</v>
      </c>
      <c r="K1324" t="s">
        <v>38</v>
      </c>
      <c r="L1324" t="s">
        <v>38</v>
      </c>
      <c r="M1324" t="s">
        <v>38</v>
      </c>
      <c r="N1324" t="s">
        <v>38</v>
      </c>
      <c r="O1324" t="s">
        <v>38</v>
      </c>
      <c r="T1324" t="s">
        <v>38</v>
      </c>
      <c r="U1324">
        <v>0</v>
      </c>
      <c r="V1324">
        <v>1</v>
      </c>
      <c r="W1324">
        <v>0</v>
      </c>
      <c r="X1324">
        <v>0</v>
      </c>
      <c r="Y1324">
        <v>0</v>
      </c>
      <c r="AE1324">
        <f t="shared" si="60"/>
        <v>1</v>
      </c>
      <c r="AF1324">
        <f>VLOOKUP(D1324,especies!$A$2:$C$9,3,FALSE)</f>
        <v>1</v>
      </c>
      <c r="AG1324" t="str">
        <f t="shared" si="61"/>
        <v>1-Mestizo</v>
      </c>
      <c r="AH1324">
        <f>VLOOKUP('Fichas clínicas'!AG1324,razas!$A$2:$D$66,3,FALSE)</f>
        <v>1</v>
      </c>
      <c r="AI1324" t="str">
        <f t="shared" si="62"/>
        <v>M</v>
      </c>
    </row>
    <row r="1325" spans="1:35" x14ac:dyDescent="0.2">
      <c r="A1325">
        <v>1327</v>
      </c>
      <c r="B1325" t="s">
        <v>3054</v>
      </c>
      <c r="C1325" t="s">
        <v>3055</v>
      </c>
      <c r="D1325" t="s">
        <v>242</v>
      </c>
      <c r="E1325" t="s">
        <v>242</v>
      </c>
      <c r="F1325" t="s">
        <v>47</v>
      </c>
      <c r="G1325" t="s">
        <v>3056</v>
      </c>
      <c r="J1325" t="s">
        <v>3057</v>
      </c>
      <c r="K1325" t="s">
        <v>38</v>
      </c>
      <c r="L1325" t="s">
        <v>38</v>
      </c>
      <c r="M1325" t="s">
        <v>38</v>
      </c>
      <c r="N1325" t="s">
        <v>38</v>
      </c>
      <c r="O1325" t="s">
        <v>38</v>
      </c>
      <c r="T1325" t="s">
        <v>38</v>
      </c>
      <c r="U1325">
        <v>0</v>
      </c>
      <c r="W1325">
        <v>0</v>
      </c>
      <c r="X1325">
        <v>0</v>
      </c>
      <c r="Y1325">
        <v>0</v>
      </c>
      <c r="AE1325">
        <f t="shared" si="60"/>
        <v>1</v>
      </c>
      <c r="AF1325">
        <f>VLOOKUP(D1325,especies!$A$2:$C$9,3,FALSE)</f>
        <v>3</v>
      </c>
      <c r="AG1325" t="str">
        <f t="shared" si="61"/>
        <v>3-Otra</v>
      </c>
      <c r="AH1325">
        <f>VLOOKUP('Fichas clínicas'!AG1325,razas!$A$2:$D$66,3,FALSE)</f>
        <v>55</v>
      </c>
      <c r="AI1325" t="str">
        <f t="shared" si="62"/>
        <v>M</v>
      </c>
    </row>
    <row r="1326" spans="1:35" x14ac:dyDescent="0.2">
      <c r="A1326">
        <v>1328</v>
      </c>
      <c r="B1326" t="s">
        <v>3054</v>
      </c>
      <c r="C1326" t="s">
        <v>3058</v>
      </c>
      <c r="D1326" t="s">
        <v>242</v>
      </c>
      <c r="E1326" t="s">
        <v>242</v>
      </c>
      <c r="F1326" t="s">
        <v>34</v>
      </c>
      <c r="G1326" t="s">
        <v>3059</v>
      </c>
      <c r="J1326" t="s">
        <v>3057</v>
      </c>
      <c r="K1326" t="s">
        <v>38</v>
      </c>
      <c r="L1326" t="s">
        <v>38</v>
      </c>
      <c r="M1326" t="s">
        <v>38</v>
      </c>
      <c r="N1326" t="s">
        <v>38</v>
      </c>
      <c r="O1326" t="s">
        <v>38</v>
      </c>
      <c r="T1326" t="s">
        <v>38</v>
      </c>
      <c r="U1326">
        <v>0</v>
      </c>
      <c r="W1326">
        <v>0</v>
      </c>
      <c r="X1326">
        <v>0</v>
      </c>
      <c r="Y1326">
        <v>0</v>
      </c>
      <c r="AE1326">
        <f t="shared" si="60"/>
        <v>1</v>
      </c>
      <c r="AF1326">
        <f>VLOOKUP(D1326,especies!$A$2:$C$9,3,FALSE)</f>
        <v>3</v>
      </c>
      <c r="AG1326" t="str">
        <f t="shared" si="61"/>
        <v>3-Otra</v>
      </c>
      <c r="AH1326">
        <f>VLOOKUP('Fichas clínicas'!AG1326,razas!$A$2:$D$66,3,FALSE)</f>
        <v>55</v>
      </c>
      <c r="AI1326" t="str">
        <f t="shared" si="62"/>
        <v>H</v>
      </c>
    </row>
    <row r="1327" spans="1:35" x14ac:dyDescent="0.2">
      <c r="A1327">
        <v>1329</v>
      </c>
      <c r="B1327" t="s">
        <v>2058</v>
      </c>
      <c r="C1327" t="s">
        <v>3060</v>
      </c>
      <c r="D1327" t="s">
        <v>32</v>
      </c>
      <c r="E1327" t="s">
        <v>438</v>
      </c>
      <c r="F1327" t="s">
        <v>47</v>
      </c>
      <c r="G1327" t="s">
        <v>2878</v>
      </c>
      <c r="J1327" t="s">
        <v>3061</v>
      </c>
      <c r="K1327" t="s">
        <v>38</v>
      </c>
      <c r="L1327" t="s">
        <v>38</v>
      </c>
      <c r="M1327" t="s">
        <v>38</v>
      </c>
      <c r="N1327" t="s">
        <v>38</v>
      </c>
      <c r="O1327" t="s">
        <v>38</v>
      </c>
      <c r="Q1327">
        <v>0</v>
      </c>
      <c r="T1327" t="s">
        <v>38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f t="shared" si="60"/>
        <v>1</v>
      </c>
      <c r="AF1327">
        <f>VLOOKUP(D1327,especies!$A$2:$C$9,3,FALSE)</f>
        <v>1</v>
      </c>
      <c r="AG1327" t="str">
        <f t="shared" si="61"/>
        <v>1-Ovejero Alemán</v>
      </c>
      <c r="AH1327">
        <f>VLOOKUP('Fichas clínicas'!AG1327,razas!$A$2:$D$66,3,FALSE)</f>
        <v>12</v>
      </c>
      <c r="AI1327" t="str">
        <f t="shared" si="62"/>
        <v>M</v>
      </c>
    </row>
    <row r="1328" spans="1:35" x14ac:dyDescent="0.2">
      <c r="A1328">
        <v>1330</v>
      </c>
      <c r="B1328" t="s">
        <v>895</v>
      </c>
      <c r="C1328" t="s">
        <v>3062</v>
      </c>
      <c r="D1328" t="s">
        <v>2280</v>
      </c>
      <c r="E1328" t="s">
        <v>2511</v>
      </c>
      <c r="F1328" t="s">
        <v>47</v>
      </c>
      <c r="G1328" t="s">
        <v>2851</v>
      </c>
      <c r="J1328" t="s">
        <v>3063</v>
      </c>
      <c r="K1328" t="s">
        <v>38</v>
      </c>
      <c r="L1328" t="s">
        <v>38</v>
      </c>
      <c r="M1328" t="s">
        <v>38</v>
      </c>
      <c r="N1328" t="s">
        <v>38</v>
      </c>
      <c r="O1328" t="s">
        <v>38</v>
      </c>
      <c r="T1328" t="s">
        <v>38</v>
      </c>
      <c r="U1328">
        <v>0</v>
      </c>
      <c r="W1328">
        <v>0</v>
      </c>
      <c r="X1328">
        <v>0</v>
      </c>
      <c r="Y1328">
        <v>0</v>
      </c>
      <c r="AE1328">
        <f t="shared" si="60"/>
        <v>1</v>
      </c>
      <c r="AF1328">
        <f>VLOOKUP(D1328,especies!$A$2:$C$9,3,FALSE)</f>
        <v>6</v>
      </c>
      <c r="AG1328" t="str">
        <f t="shared" si="61"/>
        <v>6-Cabeza de León</v>
      </c>
      <c r="AH1328">
        <f>VLOOKUP('Fichas clínicas'!AG1328,razas!$A$2:$D$66,3,FALSE)</f>
        <v>60</v>
      </c>
      <c r="AI1328" t="str">
        <f t="shared" si="62"/>
        <v>M</v>
      </c>
    </row>
    <row r="1329" spans="1:35" x14ac:dyDescent="0.2">
      <c r="A1329">
        <v>1331</v>
      </c>
      <c r="B1329" t="s">
        <v>3064</v>
      </c>
      <c r="C1329" t="s">
        <v>3065</v>
      </c>
      <c r="D1329" t="s">
        <v>32</v>
      </c>
      <c r="E1329" t="s">
        <v>33</v>
      </c>
      <c r="F1329" t="s">
        <v>34</v>
      </c>
      <c r="G1329" t="s">
        <v>81</v>
      </c>
      <c r="J1329" t="s">
        <v>1084</v>
      </c>
      <c r="K1329" t="s">
        <v>38</v>
      </c>
      <c r="L1329" t="s">
        <v>38</v>
      </c>
      <c r="M1329" t="s">
        <v>38</v>
      </c>
      <c r="N1329" t="s">
        <v>38</v>
      </c>
      <c r="O1329" t="s">
        <v>38</v>
      </c>
      <c r="T1329" t="s">
        <v>38</v>
      </c>
      <c r="U1329">
        <v>0</v>
      </c>
      <c r="W1329">
        <v>0</v>
      </c>
      <c r="X1329">
        <v>0</v>
      </c>
      <c r="Y1329">
        <v>0</v>
      </c>
      <c r="AE1329">
        <f t="shared" si="60"/>
        <v>1</v>
      </c>
      <c r="AF1329">
        <f>VLOOKUP(D1329,especies!$A$2:$C$9,3,FALSE)</f>
        <v>1</v>
      </c>
      <c r="AG1329" t="str">
        <f t="shared" si="61"/>
        <v>1-Mestizo</v>
      </c>
      <c r="AH1329">
        <f>VLOOKUP('Fichas clínicas'!AG1329,razas!$A$2:$D$66,3,FALSE)</f>
        <v>1</v>
      </c>
      <c r="AI1329" t="str">
        <f t="shared" si="62"/>
        <v>H</v>
      </c>
    </row>
    <row r="1330" spans="1:35" x14ac:dyDescent="0.2">
      <c r="A1330">
        <v>1332</v>
      </c>
      <c r="B1330" t="s">
        <v>3066</v>
      </c>
      <c r="C1330" t="s">
        <v>3067</v>
      </c>
      <c r="D1330" t="s">
        <v>41</v>
      </c>
      <c r="E1330" t="s">
        <v>42</v>
      </c>
      <c r="F1330" t="s">
        <v>34</v>
      </c>
      <c r="G1330" t="s">
        <v>2851</v>
      </c>
      <c r="J1330" t="s">
        <v>44</v>
      </c>
      <c r="K1330" t="s">
        <v>38</v>
      </c>
      <c r="L1330" t="s">
        <v>38</v>
      </c>
      <c r="M1330" t="s">
        <v>38</v>
      </c>
      <c r="N1330" t="s">
        <v>38</v>
      </c>
      <c r="O1330" t="s">
        <v>38</v>
      </c>
      <c r="T1330" t="s">
        <v>38</v>
      </c>
      <c r="U1330">
        <v>0</v>
      </c>
      <c r="W1330">
        <v>0</v>
      </c>
      <c r="X1330">
        <v>0</v>
      </c>
      <c r="Y1330">
        <v>0</v>
      </c>
      <c r="AE1330">
        <f t="shared" si="60"/>
        <v>1</v>
      </c>
      <c r="AF1330">
        <f>VLOOKUP(D1330,especies!$A$2:$C$9,3,FALSE)</f>
        <v>2</v>
      </c>
      <c r="AG1330" t="str">
        <f t="shared" si="61"/>
        <v>2-DPC (Doméstico de pelo corto o DSH)</v>
      </c>
      <c r="AH1330">
        <f>VLOOKUP('Fichas clínicas'!AG1330,razas!$A$2:$D$66,3,FALSE)</f>
        <v>51</v>
      </c>
      <c r="AI1330" t="str">
        <f t="shared" si="62"/>
        <v>H</v>
      </c>
    </row>
    <row r="1331" spans="1:35" x14ac:dyDescent="0.2">
      <c r="A1331">
        <v>1333</v>
      </c>
      <c r="B1331" t="s">
        <v>2602</v>
      </c>
      <c r="C1331" t="s">
        <v>3068</v>
      </c>
      <c r="D1331" t="s">
        <v>32</v>
      </c>
      <c r="E1331" t="s">
        <v>150</v>
      </c>
      <c r="F1331" t="s">
        <v>34</v>
      </c>
      <c r="G1331" t="s">
        <v>123</v>
      </c>
      <c r="J1331" t="s">
        <v>2422</v>
      </c>
      <c r="K1331" t="s">
        <v>38</v>
      </c>
      <c r="L1331" t="s">
        <v>38</v>
      </c>
      <c r="M1331" t="s">
        <v>38</v>
      </c>
      <c r="N1331" t="s">
        <v>38</v>
      </c>
      <c r="O1331" t="s">
        <v>38</v>
      </c>
      <c r="T1331" t="s">
        <v>38</v>
      </c>
      <c r="U1331">
        <v>0</v>
      </c>
      <c r="V1331">
        <v>1</v>
      </c>
      <c r="W1331">
        <v>0</v>
      </c>
      <c r="X1331">
        <v>0</v>
      </c>
      <c r="Y1331">
        <v>0</v>
      </c>
      <c r="AE1331">
        <f t="shared" si="60"/>
        <v>1</v>
      </c>
      <c r="AF1331">
        <f>VLOOKUP(D1331,especies!$A$2:$C$9,3,FALSE)</f>
        <v>1</v>
      </c>
      <c r="AG1331" t="str">
        <f t="shared" si="61"/>
        <v>1-Poodle</v>
      </c>
      <c r="AH1331">
        <f>VLOOKUP('Fichas clínicas'!AG1331,razas!$A$2:$D$66,3,FALSE)</f>
        <v>6</v>
      </c>
      <c r="AI1331" t="str">
        <f t="shared" si="62"/>
        <v>H</v>
      </c>
    </row>
    <row r="1332" spans="1:35" x14ac:dyDescent="0.2">
      <c r="A1332">
        <v>1334</v>
      </c>
      <c r="B1332" t="s">
        <v>3069</v>
      </c>
      <c r="C1332" t="s">
        <v>3070</v>
      </c>
      <c r="D1332" t="s">
        <v>32</v>
      </c>
      <c r="E1332" t="s">
        <v>33</v>
      </c>
      <c r="F1332" t="s">
        <v>47</v>
      </c>
      <c r="G1332" t="s">
        <v>2054</v>
      </c>
      <c r="J1332" t="s">
        <v>3071</v>
      </c>
      <c r="K1332" t="s">
        <v>38</v>
      </c>
      <c r="L1332" t="s">
        <v>38</v>
      </c>
      <c r="M1332" t="s">
        <v>38</v>
      </c>
      <c r="N1332" t="s">
        <v>38</v>
      </c>
      <c r="O1332" t="s">
        <v>38</v>
      </c>
      <c r="T1332" t="s">
        <v>38</v>
      </c>
      <c r="U1332">
        <v>0</v>
      </c>
      <c r="W1332">
        <v>0</v>
      </c>
      <c r="X1332">
        <v>0</v>
      </c>
      <c r="Y1332">
        <v>0</v>
      </c>
      <c r="AE1332">
        <f t="shared" si="60"/>
        <v>1</v>
      </c>
      <c r="AF1332">
        <f>VLOOKUP(D1332,especies!$A$2:$C$9,3,FALSE)</f>
        <v>1</v>
      </c>
      <c r="AG1332" t="str">
        <f t="shared" si="61"/>
        <v>1-Mestizo</v>
      </c>
      <c r="AH1332">
        <f>VLOOKUP('Fichas clínicas'!AG1332,razas!$A$2:$D$66,3,FALSE)</f>
        <v>1</v>
      </c>
      <c r="AI1332" t="str">
        <f t="shared" si="62"/>
        <v>M</v>
      </c>
    </row>
    <row r="1333" spans="1:35" x14ac:dyDescent="0.2">
      <c r="A1333">
        <v>1335</v>
      </c>
      <c r="B1333" t="s">
        <v>3072</v>
      </c>
      <c r="C1333" t="s">
        <v>43</v>
      </c>
      <c r="D1333" t="s">
        <v>41</v>
      </c>
      <c r="E1333" t="s">
        <v>42</v>
      </c>
      <c r="F1333" t="s">
        <v>47</v>
      </c>
      <c r="G1333" t="s">
        <v>81</v>
      </c>
      <c r="J1333" t="s">
        <v>695</v>
      </c>
      <c r="K1333" t="s">
        <v>38</v>
      </c>
      <c r="L1333" t="s">
        <v>38</v>
      </c>
      <c r="M1333" t="s">
        <v>38</v>
      </c>
      <c r="N1333" t="s">
        <v>38</v>
      </c>
      <c r="O1333" t="s">
        <v>38</v>
      </c>
      <c r="T1333" t="s">
        <v>38</v>
      </c>
      <c r="U1333">
        <v>0</v>
      </c>
      <c r="V1333">
        <v>1</v>
      </c>
      <c r="W1333">
        <v>0</v>
      </c>
      <c r="X1333">
        <v>0</v>
      </c>
      <c r="Y1333">
        <v>0</v>
      </c>
      <c r="AE1333">
        <f t="shared" si="60"/>
        <v>1</v>
      </c>
      <c r="AF1333">
        <f>VLOOKUP(D1333,especies!$A$2:$C$9,3,FALSE)</f>
        <v>2</v>
      </c>
      <c r="AG1333" t="str">
        <f t="shared" si="61"/>
        <v>2-DPC (Doméstico de pelo corto o DSH)</v>
      </c>
      <c r="AH1333">
        <f>VLOOKUP('Fichas clínicas'!AG1333,razas!$A$2:$D$66,3,FALSE)</f>
        <v>51</v>
      </c>
      <c r="AI1333" t="str">
        <f t="shared" si="62"/>
        <v>M</v>
      </c>
    </row>
    <row r="1334" spans="1:35" x14ac:dyDescent="0.2">
      <c r="A1334">
        <v>1336</v>
      </c>
      <c r="B1334" t="s">
        <v>554</v>
      </c>
      <c r="C1334" t="s">
        <v>3073</v>
      </c>
      <c r="D1334" t="s">
        <v>32</v>
      </c>
      <c r="E1334" t="s">
        <v>33</v>
      </c>
      <c r="F1334" t="s">
        <v>34</v>
      </c>
      <c r="G1334" t="s">
        <v>1547</v>
      </c>
      <c r="J1334" t="s">
        <v>3023</v>
      </c>
      <c r="K1334" t="s">
        <v>38</v>
      </c>
      <c r="L1334" t="s">
        <v>38</v>
      </c>
      <c r="M1334" t="s">
        <v>38</v>
      </c>
      <c r="N1334" t="s">
        <v>38</v>
      </c>
      <c r="O1334" t="s">
        <v>38</v>
      </c>
      <c r="T1334" t="s">
        <v>38</v>
      </c>
      <c r="U1334">
        <v>0</v>
      </c>
      <c r="W1334">
        <v>0</v>
      </c>
      <c r="X1334">
        <v>0</v>
      </c>
      <c r="Y1334">
        <v>0</v>
      </c>
      <c r="AE1334">
        <f t="shared" si="60"/>
        <v>1</v>
      </c>
      <c r="AF1334">
        <f>VLOOKUP(D1334,especies!$A$2:$C$9,3,FALSE)</f>
        <v>1</v>
      </c>
      <c r="AG1334" t="str">
        <f t="shared" si="61"/>
        <v>1-Mestizo</v>
      </c>
      <c r="AH1334">
        <f>VLOOKUP('Fichas clínicas'!AG1334,razas!$A$2:$D$66,3,FALSE)</f>
        <v>1</v>
      </c>
      <c r="AI1334" t="str">
        <f t="shared" si="62"/>
        <v>H</v>
      </c>
    </row>
    <row r="1335" spans="1:35" x14ac:dyDescent="0.2">
      <c r="A1335">
        <v>1337</v>
      </c>
      <c r="B1335" t="s">
        <v>622</v>
      </c>
      <c r="C1335" t="s">
        <v>1883</v>
      </c>
      <c r="D1335" t="s">
        <v>41</v>
      </c>
      <c r="E1335" t="s">
        <v>42</v>
      </c>
      <c r="F1335" t="s">
        <v>34</v>
      </c>
      <c r="G1335" t="s">
        <v>233</v>
      </c>
      <c r="H1335">
        <v>982000361767000</v>
      </c>
      <c r="J1335" t="s">
        <v>3074</v>
      </c>
      <c r="K1335" t="s">
        <v>38</v>
      </c>
      <c r="L1335" t="s">
        <v>38</v>
      </c>
      <c r="M1335" t="s">
        <v>38</v>
      </c>
      <c r="N1335" t="s">
        <v>38</v>
      </c>
      <c r="O1335" t="s">
        <v>38</v>
      </c>
      <c r="Q1335">
        <v>0</v>
      </c>
      <c r="T1335" t="s">
        <v>38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f t="shared" si="60"/>
        <v>1</v>
      </c>
      <c r="AF1335">
        <f>VLOOKUP(D1335,especies!$A$2:$C$9,3,FALSE)</f>
        <v>2</v>
      </c>
      <c r="AG1335" t="str">
        <f t="shared" si="61"/>
        <v>2-DPC (Doméstico de pelo corto o DSH)</v>
      </c>
      <c r="AH1335">
        <f>VLOOKUP('Fichas clínicas'!AG1335,razas!$A$2:$D$66,3,FALSE)</f>
        <v>51</v>
      </c>
      <c r="AI1335" t="str">
        <f t="shared" si="62"/>
        <v>H</v>
      </c>
    </row>
    <row r="1336" spans="1:35" x14ac:dyDescent="0.2">
      <c r="A1336">
        <v>1338</v>
      </c>
      <c r="B1336" t="s">
        <v>3075</v>
      </c>
      <c r="C1336" t="s">
        <v>2189</v>
      </c>
      <c r="D1336" t="s">
        <v>32</v>
      </c>
      <c r="E1336" t="s">
        <v>150</v>
      </c>
      <c r="F1336" t="s">
        <v>47</v>
      </c>
      <c r="G1336" t="s">
        <v>1547</v>
      </c>
      <c r="J1336" t="s">
        <v>3076</v>
      </c>
      <c r="K1336" t="s">
        <v>38</v>
      </c>
      <c r="L1336" t="s">
        <v>38</v>
      </c>
      <c r="M1336" t="s">
        <v>38</v>
      </c>
      <c r="N1336" t="s">
        <v>38</v>
      </c>
      <c r="O1336" t="s">
        <v>38</v>
      </c>
      <c r="T1336" t="s">
        <v>38</v>
      </c>
      <c r="U1336">
        <v>0</v>
      </c>
      <c r="W1336">
        <v>0</v>
      </c>
      <c r="X1336">
        <v>0</v>
      </c>
      <c r="Y1336">
        <v>0</v>
      </c>
      <c r="AE1336">
        <f t="shared" si="60"/>
        <v>1</v>
      </c>
      <c r="AF1336">
        <f>VLOOKUP(D1336,especies!$A$2:$C$9,3,FALSE)</f>
        <v>1</v>
      </c>
      <c r="AG1336" t="str">
        <f t="shared" si="61"/>
        <v>1-Poodle</v>
      </c>
      <c r="AH1336">
        <f>VLOOKUP('Fichas clínicas'!AG1336,razas!$A$2:$D$66,3,FALSE)</f>
        <v>6</v>
      </c>
      <c r="AI1336" t="str">
        <f t="shared" si="62"/>
        <v>M</v>
      </c>
    </row>
    <row r="1337" spans="1:35" x14ac:dyDescent="0.2">
      <c r="A1337">
        <v>1339</v>
      </c>
      <c r="B1337" t="s">
        <v>3077</v>
      </c>
      <c r="C1337" t="s">
        <v>3078</v>
      </c>
      <c r="D1337" t="s">
        <v>32</v>
      </c>
      <c r="E1337" t="s">
        <v>33</v>
      </c>
      <c r="F1337" t="s">
        <v>47</v>
      </c>
      <c r="G1337" t="s">
        <v>2267</v>
      </c>
      <c r="J1337" t="s">
        <v>3079</v>
      </c>
      <c r="K1337" t="s">
        <v>38</v>
      </c>
      <c r="L1337" t="s">
        <v>38</v>
      </c>
      <c r="M1337" t="s">
        <v>38</v>
      </c>
      <c r="N1337" t="s">
        <v>38</v>
      </c>
      <c r="O1337" t="s">
        <v>38</v>
      </c>
      <c r="T1337" t="s">
        <v>38</v>
      </c>
      <c r="U1337">
        <v>0</v>
      </c>
      <c r="W1337">
        <v>0</v>
      </c>
      <c r="X1337">
        <v>0</v>
      </c>
      <c r="Y1337">
        <v>0</v>
      </c>
      <c r="AE1337">
        <f t="shared" si="60"/>
        <v>1</v>
      </c>
      <c r="AF1337">
        <f>VLOOKUP(D1337,especies!$A$2:$C$9,3,FALSE)</f>
        <v>1</v>
      </c>
      <c r="AG1337" t="str">
        <f t="shared" si="61"/>
        <v>1-Mestizo</v>
      </c>
      <c r="AH1337">
        <f>VLOOKUP('Fichas clínicas'!AG1337,razas!$A$2:$D$66,3,FALSE)</f>
        <v>1</v>
      </c>
      <c r="AI1337" t="str">
        <f t="shared" si="62"/>
        <v>M</v>
      </c>
    </row>
    <row r="1338" spans="1:35" x14ac:dyDescent="0.2">
      <c r="A1338">
        <v>1340</v>
      </c>
      <c r="B1338" t="s">
        <v>3080</v>
      </c>
      <c r="C1338" t="s">
        <v>2462</v>
      </c>
      <c r="D1338" t="s">
        <v>32</v>
      </c>
      <c r="E1338" t="s">
        <v>33</v>
      </c>
      <c r="F1338" t="s">
        <v>34</v>
      </c>
      <c r="G1338" t="s">
        <v>694</v>
      </c>
      <c r="J1338" t="s">
        <v>923</v>
      </c>
      <c r="K1338" t="s">
        <v>38</v>
      </c>
      <c r="L1338" t="s">
        <v>38</v>
      </c>
      <c r="M1338" t="s">
        <v>38</v>
      </c>
      <c r="N1338" t="s">
        <v>38</v>
      </c>
      <c r="O1338" t="s">
        <v>38</v>
      </c>
      <c r="Q1338">
        <v>0</v>
      </c>
      <c r="T1338" t="s">
        <v>38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f t="shared" si="60"/>
        <v>1</v>
      </c>
      <c r="AF1338">
        <f>VLOOKUP(D1338,especies!$A$2:$C$9,3,FALSE)</f>
        <v>1</v>
      </c>
      <c r="AG1338" t="str">
        <f t="shared" si="61"/>
        <v>1-Mestizo</v>
      </c>
      <c r="AH1338">
        <f>VLOOKUP('Fichas clínicas'!AG1338,razas!$A$2:$D$66,3,FALSE)</f>
        <v>1</v>
      </c>
      <c r="AI1338" t="str">
        <f t="shared" si="62"/>
        <v>H</v>
      </c>
    </row>
    <row r="1339" spans="1:35" x14ac:dyDescent="0.2">
      <c r="A1339">
        <v>1341</v>
      </c>
      <c r="B1339" t="s">
        <v>3081</v>
      </c>
      <c r="C1339" t="s">
        <v>1345</v>
      </c>
      <c r="D1339" t="s">
        <v>3082</v>
      </c>
      <c r="E1339" t="s">
        <v>1616</v>
      </c>
      <c r="F1339" t="s">
        <v>47</v>
      </c>
      <c r="G1339" t="s">
        <v>258</v>
      </c>
      <c r="J1339" t="s">
        <v>1620</v>
      </c>
      <c r="K1339" t="s">
        <v>38</v>
      </c>
      <c r="L1339" t="s">
        <v>38</v>
      </c>
      <c r="M1339" t="s">
        <v>38</v>
      </c>
      <c r="N1339" t="s">
        <v>38</v>
      </c>
      <c r="O1339" t="s">
        <v>38</v>
      </c>
      <c r="T1339" t="s">
        <v>38</v>
      </c>
      <c r="U1339">
        <v>0</v>
      </c>
      <c r="W1339">
        <v>0</v>
      </c>
      <c r="X1339">
        <v>0</v>
      </c>
      <c r="Y1339">
        <v>0</v>
      </c>
      <c r="AE1339">
        <f t="shared" si="60"/>
        <v>1</v>
      </c>
      <c r="AF1339">
        <f>VLOOKUP(D1339,especies!$A$2:$C$9,3,FALSE)</f>
        <v>8</v>
      </c>
      <c r="AG1339" t="str">
        <f t="shared" si="61"/>
        <v>8-Americana</v>
      </c>
      <c r="AH1339">
        <f>VLOOKUP('Fichas clínicas'!AG1339,razas!$A$2:$D$66,3,FALSE)</f>
        <v>65</v>
      </c>
      <c r="AI1339" t="str">
        <f t="shared" si="62"/>
        <v>M</v>
      </c>
    </row>
    <row r="1340" spans="1:35" x14ac:dyDescent="0.2">
      <c r="A1340">
        <v>1342</v>
      </c>
      <c r="B1340" t="s">
        <v>3081</v>
      </c>
      <c r="C1340" t="s">
        <v>3083</v>
      </c>
      <c r="D1340" t="s">
        <v>3082</v>
      </c>
      <c r="E1340" t="s">
        <v>1616</v>
      </c>
      <c r="F1340" t="s">
        <v>34</v>
      </c>
      <c r="G1340" t="s">
        <v>2158</v>
      </c>
      <c r="J1340" t="s">
        <v>1620</v>
      </c>
      <c r="K1340" t="s">
        <v>38</v>
      </c>
      <c r="L1340" t="s">
        <v>38</v>
      </c>
      <c r="M1340" t="s">
        <v>38</v>
      </c>
      <c r="N1340" t="s">
        <v>38</v>
      </c>
      <c r="O1340" t="s">
        <v>38</v>
      </c>
      <c r="T1340" t="s">
        <v>38</v>
      </c>
      <c r="U1340">
        <v>0</v>
      </c>
      <c r="W1340">
        <v>0</v>
      </c>
      <c r="X1340">
        <v>0</v>
      </c>
      <c r="Y1340">
        <v>0</v>
      </c>
      <c r="AE1340">
        <f t="shared" si="60"/>
        <v>1</v>
      </c>
      <c r="AF1340">
        <f>VLOOKUP(D1340,especies!$A$2:$C$9,3,FALSE)</f>
        <v>8</v>
      </c>
      <c r="AG1340" t="str">
        <f t="shared" si="61"/>
        <v>8-Americana</v>
      </c>
      <c r="AH1340">
        <f>VLOOKUP('Fichas clínicas'!AG1340,razas!$A$2:$D$66,3,FALSE)</f>
        <v>65</v>
      </c>
      <c r="AI1340" t="str">
        <f t="shared" si="62"/>
        <v>H</v>
      </c>
    </row>
    <row r="1341" spans="1:35" x14ac:dyDescent="0.2">
      <c r="A1341">
        <v>1343</v>
      </c>
      <c r="B1341" t="s">
        <v>3084</v>
      </c>
      <c r="C1341" t="s">
        <v>2003</v>
      </c>
      <c r="D1341" t="s">
        <v>2280</v>
      </c>
      <c r="E1341" t="s">
        <v>2281</v>
      </c>
      <c r="F1341" t="s">
        <v>34</v>
      </c>
      <c r="G1341" t="s">
        <v>284</v>
      </c>
      <c r="J1341" t="s">
        <v>3085</v>
      </c>
      <c r="K1341" t="s">
        <v>38</v>
      </c>
      <c r="L1341" t="s">
        <v>38</v>
      </c>
      <c r="M1341" t="s">
        <v>38</v>
      </c>
      <c r="N1341" t="s">
        <v>38</v>
      </c>
      <c r="O1341" t="s">
        <v>38</v>
      </c>
      <c r="T1341" t="s">
        <v>38</v>
      </c>
      <c r="U1341">
        <v>0</v>
      </c>
      <c r="V1341">
        <v>1</v>
      </c>
      <c r="W1341">
        <v>0</v>
      </c>
      <c r="X1341">
        <v>0</v>
      </c>
      <c r="Y1341">
        <v>0</v>
      </c>
      <c r="AE1341">
        <f t="shared" si="60"/>
        <v>1</v>
      </c>
      <c r="AF1341">
        <f>VLOOKUP(D1341,especies!$A$2:$C$9,3,FALSE)</f>
        <v>6</v>
      </c>
      <c r="AG1341" t="str">
        <f t="shared" si="61"/>
        <v>6-Enana</v>
      </c>
      <c r="AH1341">
        <f>VLOOKUP('Fichas clínicas'!AG1341,razas!$A$2:$D$66,3,FALSE)</f>
        <v>59</v>
      </c>
      <c r="AI1341" t="str">
        <f t="shared" si="62"/>
        <v>H</v>
      </c>
    </row>
    <row r="1342" spans="1:35" x14ac:dyDescent="0.2">
      <c r="A1342">
        <v>1344</v>
      </c>
      <c r="B1342" t="s">
        <v>3086</v>
      </c>
      <c r="C1342" t="s">
        <v>1750</v>
      </c>
      <c r="D1342" t="s">
        <v>41</v>
      </c>
      <c r="E1342" t="s">
        <v>42</v>
      </c>
      <c r="F1342" t="s">
        <v>34</v>
      </c>
      <c r="G1342" t="s">
        <v>2940</v>
      </c>
      <c r="J1342" t="s">
        <v>3087</v>
      </c>
      <c r="K1342" t="s">
        <v>38</v>
      </c>
      <c r="L1342" t="s">
        <v>38</v>
      </c>
      <c r="M1342" t="s">
        <v>38</v>
      </c>
      <c r="N1342" t="s">
        <v>38</v>
      </c>
      <c r="O1342" t="s">
        <v>38</v>
      </c>
      <c r="T1342" t="s">
        <v>38</v>
      </c>
      <c r="U1342">
        <v>0</v>
      </c>
      <c r="V1342">
        <v>1</v>
      </c>
      <c r="W1342">
        <v>0</v>
      </c>
      <c r="X1342">
        <v>0</v>
      </c>
      <c r="Y1342">
        <v>0</v>
      </c>
      <c r="AE1342">
        <f t="shared" si="60"/>
        <v>1</v>
      </c>
      <c r="AF1342">
        <f>VLOOKUP(D1342,especies!$A$2:$C$9,3,FALSE)</f>
        <v>2</v>
      </c>
      <c r="AG1342" t="str">
        <f t="shared" si="61"/>
        <v>2-DPC (Doméstico de pelo corto o DSH)</v>
      </c>
      <c r="AH1342">
        <f>VLOOKUP('Fichas clínicas'!AG1342,razas!$A$2:$D$66,3,FALSE)</f>
        <v>51</v>
      </c>
      <c r="AI1342" t="str">
        <f t="shared" si="62"/>
        <v>H</v>
      </c>
    </row>
    <row r="1343" spans="1:35" x14ac:dyDescent="0.2">
      <c r="A1343">
        <v>1345</v>
      </c>
      <c r="B1343" t="s">
        <v>3088</v>
      </c>
      <c r="C1343" t="s">
        <v>3089</v>
      </c>
      <c r="D1343" t="s">
        <v>32</v>
      </c>
      <c r="E1343" t="s">
        <v>122</v>
      </c>
      <c r="F1343" t="s">
        <v>47</v>
      </c>
      <c r="G1343" t="s">
        <v>1547</v>
      </c>
      <c r="J1343" t="s">
        <v>3090</v>
      </c>
      <c r="K1343" t="s">
        <v>38</v>
      </c>
      <c r="L1343" t="s">
        <v>38</v>
      </c>
      <c r="M1343" t="s">
        <v>38</v>
      </c>
      <c r="N1343" t="s">
        <v>38</v>
      </c>
      <c r="O1343" t="s">
        <v>38</v>
      </c>
      <c r="T1343" t="s">
        <v>38</v>
      </c>
      <c r="U1343">
        <v>0</v>
      </c>
      <c r="W1343">
        <v>0</v>
      </c>
      <c r="X1343">
        <v>0</v>
      </c>
      <c r="Y1343">
        <v>0</v>
      </c>
      <c r="AE1343">
        <f t="shared" si="60"/>
        <v>1</v>
      </c>
      <c r="AF1343">
        <f>VLOOKUP(D1343,especies!$A$2:$C$9,3,FALSE)</f>
        <v>1</v>
      </c>
      <c r="AG1343" t="str">
        <f t="shared" si="61"/>
        <v>1-Caniche</v>
      </c>
      <c r="AH1343">
        <f>VLOOKUP('Fichas clínicas'!AG1343,razas!$A$2:$D$66,3,FALSE)</f>
        <v>4</v>
      </c>
      <c r="AI1343" t="str">
        <f t="shared" si="62"/>
        <v>M</v>
      </c>
    </row>
    <row r="1344" spans="1:35" x14ac:dyDescent="0.2">
      <c r="A1344">
        <v>1346</v>
      </c>
      <c r="B1344" t="s">
        <v>3091</v>
      </c>
      <c r="C1344" t="s">
        <v>2331</v>
      </c>
      <c r="D1344" t="s">
        <v>32</v>
      </c>
      <c r="E1344" t="s">
        <v>33</v>
      </c>
      <c r="F1344" t="s">
        <v>34</v>
      </c>
      <c r="G1344" t="s">
        <v>300</v>
      </c>
      <c r="I1344">
        <v>991001002938628</v>
      </c>
      <c r="J1344" t="s">
        <v>918</v>
      </c>
      <c r="K1344" t="s">
        <v>38</v>
      </c>
      <c r="L1344" t="s">
        <v>38</v>
      </c>
      <c r="M1344" t="s">
        <v>38</v>
      </c>
      <c r="N1344" t="s">
        <v>38</v>
      </c>
      <c r="O1344" t="s">
        <v>38</v>
      </c>
      <c r="Q1344">
        <v>0</v>
      </c>
      <c r="T1344" t="s">
        <v>38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f t="shared" si="60"/>
        <v>1</v>
      </c>
      <c r="AF1344">
        <f>VLOOKUP(D1344,especies!$A$2:$C$9,3,FALSE)</f>
        <v>1</v>
      </c>
      <c r="AG1344" t="str">
        <f t="shared" si="61"/>
        <v>1-Mestizo</v>
      </c>
      <c r="AH1344">
        <f>VLOOKUP('Fichas clínicas'!AG1344,razas!$A$2:$D$66,3,FALSE)</f>
        <v>1</v>
      </c>
      <c r="AI1344" t="str">
        <f t="shared" si="62"/>
        <v>H</v>
      </c>
    </row>
    <row r="1345" spans="1:35" x14ac:dyDescent="0.2">
      <c r="A1345">
        <v>1347</v>
      </c>
      <c r="B1345" t="s">
        <v>418</v>
      </c>
      <c r="C1345" t="s">
        <v>2880</v>
      </c>
      <c r="D1345" t="s">
        <v>32</v>
      </c>
      <c r="E1345" t="s">
        <v>206</v>
      </c>
      <c r="F1345" t="s">
        <v>47</v>
      </c>
      <c r="G1345" t="s">
        <v>587</v>
      </c>
      <c r="J1345" t="s">
        <v>3092</v>
      </c>
      <c r="K1345" t="s">
        <v>38</v>
      </c>
      <c r="L1345" t="s">
        <v>38</v>
      </c>
      <c r="M1345" t="s">
        <v>38</v>
      </c>
      <c r="N1345" t="s">
        <v>38</v>
      </c>
      <c r="O1345" t="s">
        <v>38</v>
      </c>
      <c r="T1345" t="s">
        <v>38</v>
      </c>
      <c r="U1345">
        <v>0</v>
      </c>
      <c r="V1345">
        <v>1</v>
      </c>
      <c r="W1345">
        <v>0</v>
      </c>
      <c r="X1345">
        <v>0</v>
      </c>
      <c r="Y1345">
        <v>0</v>
      </c>
      <c r="AE1345">
        <f t="shared" si="60"/>
        <v>1</v>
      </c>
      <c r="AF1345">
        <f>VLOOKUP(D1345,especies!$A$2:$C$9,3,FALSE)</f>
        <v>1</v>
      </c>
      <c r="AG1345" t="str">
        <f t="shared" si="61"/>
        <v>1-Chow-Chow</v>
      </c>
      <c r="AH1345">
        <f>VLOOKUP('Fichas clínicas'!AG1345,razas!$A$2:$D$66,3,FALSE)</f>
        <v>9</v>
      </c>
      <c r="AI1345" t="str">
        <f t="shared" si="62"/>
        <v>M</v>
      </c>
    </row>
    <row r="1346" spans="1:35" x14ac:dyDescent="0.2">
      <c r="A1346">
        <v>1348</v>
      </c>
      <c r="B1346" t="s">
        <v>3093</v>
      </c>
      <c r="C1346" t="s">
        <v>2897</v>
      </c>
      <c r="D1346" t="s">
        <v>32</v>
      </c>
      <c r="E1346" t="s">
        <v>33</v>
      </c>
      <c r="F1346" t="s">
        <v>34</v>
      </c>
      <c r="G1346" t="s">
        <v>1915</v>
      </c>
      <c r="J1346" t="s">
        <v>2524</v>
      </c>
      <c r="K1346" t="s">
        <v>38</v>
      </c>
      <c r="L1346" t="s">
        <v>38</v>
      </c>
      <c r="M1346" t="s">
        <v>38</v>
      </c>
      <c r="N1346" t="s">
        <v>38</v>
      </c>
      <c r="O1346" t="s">
        <v>38</v>
      </c>
      <c r="T1346" t="s">
        <v>38</v>
      </c>
      <c r="U1346">
        <v>0</v>
      </c>
      <c r="W1346">
        <v>0</v>
      </c>
      <c r="X1346">
        <v>0</v>
      </c>
      <c r="Y1346">
        <v>0</v>
      </c>
      <c r="AE1346">
        <f t="shared" si="60"/>
        <v>1</v>
      </c>
      <c r="AF1346">
        <f>VLOOKUP(D1346,especies!$A$2:$C$9,3,FALSE)</f>
        <v>1</v>
      </c>
      <c r="AG1346" t="str">
        <f t="shared" si="61"/>
        <v>1-Mestizo</v>
      </c>
      <c r="AH1346">
        <f>VLOOKUP('Fichas clínicas'!AG1346,razas!$A$2:$D$66,3,FALSE)</f>
        <v>1</v>
      </c>
      <c r="AI1346" t="str">
        <f t="shared" si="62"/>
        <v>H</v>
      </c>
    </row>
    <row r="1347" spans="1:35" x14ac:dyDescent="0.2">
      <c r="A1347">
        <v>1349</v>
      </c>
      <c r="B1347" t="s">
        <v>3094</v>
      </c>
      <c r="C1347" t="s">
        <v>1940</v>
      </c>
      <c r="D1347" t="s">
        <v>32</v>
      </c>
      <c r="E1347" t="s">
        <v>33</v>
      </c>
      <c r="F1347" t="s">
        <v>47</v>
      </c>
      <c r="G1347" t="s">
        <v>1676</v>
      </c>
      <c r="J1347" t="s">
        <v>3095</v>
      </c>
      <c r="K1347" t="s">
        <v>38</v>
      </c>
      <c r="L1347" t="s">
        <v>38</v>
      </c>
      <c r="M1347" t="s">
        <v>38</v>
      </c>
      <c r="N1347" t="s">
        <v>38</v>
      </c>
      <c r="O1347" t="s">
        <v>38</v>
      </c>
      <c r="T1347" t="s">
        <v>38</v>
      </c>
      <c r="U1347">
        <v>0</v>
      </c>
      <c r="W1347">
        <v>0</v>
      </c>
      <c r="X1347">
        <v>0</v>
      </c>
      <c r="Y1347">
        <v>0</v>
      </c>
      <c r="AE1347">
        <f t="shared" ref="AE1347:AE1410" si="63">SUBTOTAL(103,E1347)</f>
        <v>1</v>
      </c>
      <c r="AF1347">
        <f>VLOOKUP(D1347,especies!$A$2:$C$9,3,FALSE)</f>
        <v>1</v>
      </c>
      <c r="AG1347" t="str">
        <f t="shared" ref="AG1347:AG1410" si="64">AF1347&amp;"-"&amp;E1347</f>
        <v>1-Mestizo</v>
      </c>
      <c r="AH1347">
        <f>VLOOKUP('Fichas clínicas'!AG1347,razas!$A$2:$D$66,3,FALSE)</f>
        <v>1</v>
      </c>
      <c r="AI1347" t="str">
        <f t="shared" ref="AI1347:AI1410" si="65">IF(F1347="Hembra","H","M")</f>
        <v>M</v>
      </c>
    </row>
    <row r="1348" spans="1:35" x14ac:dyDescent="0.2">
      <c r="A1348">
        <v>1350</v>
      </c>
      <c r="B1348" t="s">
        <v>3096</v>
      </c>
      <c r="C1348" t="s">
        <v>3097</v>
      </c>
      <c r="D1348" t="s">
        <v>32</v>
      </c>
      <c r="E1348" t="s">
        <v>150</v>
      </c>
      <c r="F1348" t="s">
        <v>34</v>
      </c>
      <c r="G1348" t="s">
        <v>123</v>
      </c>
      <c r="J1348" t="s">
        <v>3098</v>
      </c>
      <c r="K1348" t="s">
        <v>38</v>
      </c>
      <c r="L1348" t="s">
        <v>38</v>
      </c>
      <c r="M1348" t="s">
        <v>38</v>
      </c>
      <c r="N1348" t="s">
        <v>38</v>
      </c>
      <c r="O1348" t="s">
        <v>38</v>
      </c>
      <c r="T1348" t="s">
        <v>38</v>
      </c>
      <c r="U1348">
        <v>0</v>
      </c>
      <c r="W1348">
        <v>0</v>
      </c>
      <c r="X1348">
        <v>0</v>
      </c>
      <c r="Y1348">
        <v>0</v>
      </c>
      <c r="AE1348">
        <f t="shared" si="63"/>
        <v>1</v>
      </c>
      <c r="AF1348">
        <f>VLOOKUP(D1348,especies!$A$2:$C$9,3,FALSE)</f>
        <v>1</v>
      </c>
      <c r="AG1348" t="str">
        <f t="shared" si="64"/>
        <v>1-Poodle</v>
      </c>
      <c r="AH1348">
        <f>VLOOKUP('Fichas clínicas'!AG1348,razas!$A$2:$D$66,3,FALSE)</f>
        <v>6</v>
      </c>
      <c r="AI1348" t="str">
        <f t="shared" si="65"/>
        <v>H</v>
      </c>
    </row>
    <row r="1349" spans="1:35" x14ac:dyDescent="0.2">
      <c r="A1349">
        <v>1351</v>
      </c>
      <c r="B1349" t="s">
        <v>3099</v>
      </c>
      <c r="C1349" t="s">
        <v>1467</v>
      </c>
      <c r="D1349" t="s">
        <v>41</v>
      </c>
      <c r="E1349" t="s">
        <v>42</v>
      </c>
      <c r="F1349" t="s">
        <v>34</v>
      </c>
      <c r="G1349" t="s">
        <v>81</v>
      </c>
      <c r="J1349" t="s">
        <v>3100</v>
      </c>
      <c r="K1349" t="s">
        <v>38</v>
      </c>
      <c r="L1349" t="s">
        <v>38</v>
      </c>
      <c r="M1349" t="s">
        <v>38</v>
      </c>
      <c r="N1349" t="s">
        <v>38</v>
      </c>
      <c r="O1349" t="s">
        <v>38</v>
      </c>
      <c r="T1349" t="s">
        <v>38</v>
      </c>
      <c r="U1349">
        <v>0</v>
      </c>
      <c r="W1349">
        <v>0</v>
      </c>
      <c r="X1349">
        <v>0</v>
      </c>
      <c r="Y1349">
        <v>0</v>
      </c>
      <c r="AE1349">
        <f t="shared" si="63"/>
        <v>1</v>
      </c>
      <c r="AF1349">
        <f>VLOOKUP(D1349,especies!$A$2:$C$9,3,FALSE)</f>
        <v>2</v>
      </c>
      <c r="AG1349" t="str">
        <f t="shared" si="64"/>
        <v>2-DPC (Doméstico de pelo corto o DSH)</v>
      </c>
      <c r="AH1349">
        <f>VLOOKUP('Fichas clínicas'!AG1349,razas!$A$2:$D$66,3,FALSE)</f>
        <v>51</v>
      </c>
      <c r="AI1349" t="str">
        <f t="shared" si="65"/>
        <v>H</v>
      </c>
    </row>
    <row r="1350" spans="1:35" x14ac:dyDescent="0.2">
      <c r="A1350">
        <v>1352</v>
      </c>
      <c r="B1350" t="s">
        <v>3101</v>
      </c>
      <c r="C1350" t="s">
        <v>2146</v>
      </c>
      <c r="D1350" t="s">
        <v>41</v>
      </c>
      <c r="E1350" t="s">
        <v>42</v>
      </c>
      <c r="F1350" t="s">
        <v>47</v>
      </c>
      <c r="G1350" t="s">
        <v>3102</v>
      </c>
      <c r="J1350" t="s">
        <v>2970</v>
      </c>
      <c r="K1350" t="s">
        <v>38</v>
      </c>
      <c r="L1350" t="s">
        <v>38</v>
      </c>
      <c r="M1350" t="s">
        <v>38</v>
      </c>
      <c r="N1350" t="s">
        <v>38</v>
      </c>
      <c r="O1350" t="s">
        <v>38</v>
      </c>
      <c r="Q1350">
        <v>0</v>
      </c>
      <c r="T1350" t="s">
        <v>38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f t="shared" si="63"/>
        <v>1</v>
      </c>
      <c r="AF1350">
        <f>VLOOKUP(D1350,especies!$A$2:$C$9,3,FALSE)</f>
        <v>2</v>
      </c>
      <c r="AG1350" t="str">
        <f t="shared" si="64"/>
        <v>2-DPC (Doméstico de pelo corto o DSH)</v>
      </c>
      <c r="AH1350">
        <f>VLOOKUP('Fichas clínicas'!AG1350,razas!$A$2:$D$66,3,FALSE)</f>
        <v>51</v>
      </c>
      <c r="AI1350" t="str">
        <f t="shared" si="65"/>
        <v>M</v>
      </c>
    </row>
    <row r="1351" spans="1:35" x14ac:dyDescent="0.2">
      <c r="A1351">
        <v>1353</v>
      </c>
      <c r="B1351" t="s">
        <v>3103</v>
      </c>
      <c r="C1351" t="s">
        <v>3104</v>
      </c>
      <c r="D1351" t="s">
        <v>32</v>
      </c>
      <c r="E1351" t="s">
        <v>1296</v>
      </c>
      <c r="F1351" t="s">
        <v>47</v>
      </c>
      <c r="G1351" t="s">
        <v>351</v>
      </c>
      <c r="I1351">
        <v>991001002932415</v>
      </c>
      <c r="J1351" t="s">
        <v>3095</v>
      </c>
      <c r="K1351" t="s">
        <v>38</v>
      </c>
      <c r="L1351" t="s">
        <v>38</v>
      </c>
      <c r="M1351" t="s">
        <v>38</v>
      </c>
      <c r="N1351" t="s">
        <v>38</v>
      </c>
      <c r="O1351" t="s">
        <v>38</v>
      </c>
      <c r="Q1351">
        <v>0</v>
      </c>
      <c r="T1351" t="s">
        <v>38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f t="shared" si="63"/>
        <v>1</v>
      </c>
      <c r="AF1351">
        <f>VLOOKUP(D1351,especies!$A$2:$C$9,3,FALSE)</f>
        <v>1</v>
      </c>
      <c r="AG1351" t="str">
        <f t="shared" si="64"/>
        <v>1-Labrador Retriever</v>
      </c>
      <c r="AH1351">
        <f>VLOOKUP('Fichas clínicas'!AG1351,razas!$A$2:$D$66,3,FALSE)</f>
        <v>28</v>
      </c>
      <c r="AI1351" t="str">
        <f t="shared" si="65"/>
        <v>M</v>
      </c>
    </row>
    <row r="1352" spans="1:35" x14ac:dyDescent="0.2">
      <c r="A1352">
        <v>1354</v>
      </c>
      <c r="B1352" t="s">
        <v>3103</v>
      </c>
      <c r="C1352" t="s">
        <v>2988</v>
      </c>
      <c r="D1352" t="s">
        <v>32</v>
      </c>
      <c r="E1352" t="s">
        <v>438</v>
      </c>
      <c r="F1352" t="s">
        <v>34</v>
      </c>
      <c r="G1352" t="s">
        <v>2878</v>
      </c>
      <c r="I1352">
        <v>991001002932418</v>
      </c>
      <c r="J1352" t="s">
        <v>3105</v>
      </c>
      <c r="K1352" t="s">
        <v>38</v>
      </c>
      <c r="L1352" t="s">
        <v>38</v>
      </c>
      <c r="M1352" t="s">
        <v>38</v>
      </c>
      <c r="N1352" t="s">
        <v>38</v>
      </c>
      <c r="O1352" t="s">
        <v>38</v>
      </c>
      <c r="Q1352">
        <v>0</v>
      </c>
      <c r="T1352" t="s">
        <v>38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f t="shared" si="63"/>
        <v>1</v>
      </c>
      <c r="AF1352">
        <f>VLOOKUP(D1352,especies!$A$2:$C$9,3,FALSE)</f>
        <v>1</v>
      </c>
      <c r="AG1352" t="str">
        <f t="shared" si="64"/>
        <v>1-Ovejero Alemán</v>
      </c>
      <c r="AH1352">
        <f>VLOOKUP('Fichas clínicas'!AG1352,razas!$A$2:$D$66,3,FALSE)</f>
        <v>12</v>
      </c>
      <c r="AI1352" t="str">
        <f t="shared" si="65"/>
        <v>H</v>
      </c>
    </row>
    <row r="1353" spans="1:35" x14ac:dyDescent="0.2">
      <c r="A1353">
        <v>1355</v>
      </c>
      <c r="B1353" t="s">
        <v>1015</v>
      </c>
      <c r="C1353" t="s">
        <v>627</v>
      </c>
      <c r="D1353" t="s">
        <v>41</v>
      </c>
      <c r="E1353" t="s">
        <v>42</v>
      </c>
      <c r="F1353" t="s">
        <v>34</v>
      </c>
      <c r="G1353" t="s">
        <v>2406</v>
      </c>
      <c r="J1353" t="s">
        <v>1599</v>
      </c>
      <c r="K1353" t="s">
        <v>38</v>
      </c>
      <c r="L1353" t="s">
        <v>38</v>
      </c>
      <c r="M1353" t="s">
        <v>38</v>
      </c>
      <c r="N1353" t="s">
        <v>38</v>
      </c>
      <c r="O1353" t="s">
        <v>38</v>
      </c>
      <c r="T1353" t="s">
        <v>38</v>
      </c>
      <c r="U1353">
        <v>0</v>
      </c>
      <c r="W1353">
        <v>0</v>
      </c>
      <c r="X1353">
        <v>0</v>
      </c>
      <c r="Y1353">
        <v>0</v>
      </c>
      <c r="AE1353">
        <f t="shared" si="63"/>
        <v>1</v>
      </c>
      <c r="AF1353">
        <f>VLOOKUP(D1353,especies!$A$2:$C$9,3,FALSE)</f>
        <v>2</v>
      </c>
      <c r="AG1353" t="str">
        <f t="shared" si="64"/>
        <v>2-DPC (Doméstico de pelo corto o DSH)</v>
      </c>
      <c r="AH1353">
        <f>VLOOKUP('Fichas clínicas'!AG1353,razas!$A$2:$D$66,3,FALSE)</f>
        <v>51</v>
      </c>
      <c r="AI1353" t="str">
        <f t="shared" si="65"/>
        <v>H</v>
      </c>
    </row>
    <row r="1354" spans="1:35" x14ac:dyDescent="0.2">
      <c r="A1354">
        <v>1356</v>
      </c>
      <c r="B1354" t="s">
        <v>3106</v>
      </c>
      <c r="C1354" t="s">
        <v>88</v>
      </c>
      <c r="D1354" t="s">
        <v>41</v>
      </c>
      <c r="E1354" t="s">
        <v>42</v>
      </c>
      <c r="F1354" t="s">
        <v>34</v>
      </c>
      <c r="G1354" t="s">
        <v>614</v>
      </c>
      <c r="J1354" t="s">
        <v>119</v>
      </c>
      <c r="K1354" t="s">
        <v>38</v>
      </c>
      <c r="L1354" t="s">
        <v>38</v>
      </c>
      <c r="M1354" t="s">
        <v>38</v>
      </c>
      <c r="N1354" t="s">
        <v>38</v>
      </c>
      <c r="O1354" t="s">
        <v>38</v>
      </c>
      <c r="T1354" t="s">
        <v>38</v>
      </c>
      <c r="U1354">
        <v>0</v>
      </c>
      <c r="W1354">
        <v>0</v>
      </c>
      <c r="X1354">
        <v>0</v>
      </c>
      <c r="Y1354">
        <v>0</v>
      </c>
      <c r="AE1354">
        <f t="shared" si="63"/>
        <v>1</v>
      </c>
      <c r="AF1354">
        <f>VLOOKUP(D1354,especies!$A$2:$C$9,3,FALSE)</f>
        <v>2</v>
      </c>
      <c r="AG1354" t="str">
        <f t="shared" si="64"/>
        <v>2-DPC (Doméstico de pelo corto o DSH)</v>
      </c>
      <c r="AH1354">
        <f>VLOOKUP('Fichas clínicas'!AG1354,razas!$A$2:$D$66,3,FALSE)</f>
        <v>51</v>
      </c>
      <c r="AI1354" t="str">
        <f t="shared" si="65"/>
        <v>H</v>
      </c>
    </row>
    <row r="1355" spans="1:35" x14ac:dyDescent="0.2">
      <c r="A1355">
        <v>1357</v>
      </c>
      <c r="B1355" t="s">
        <v>2676</v>
      </c>
      <c r="C1355" t="s">
        <v>88</v>
      </c>
      <c r="D1355" t="s">
        <v>41</v>
      </c>
      <c r="E1355" t="s">
        <v>42</v>
      </c>
      <c r="F1355" t="s">
        <v>34</v>
      </c>
      <c r="G1355" t="s">
        <v>2406</v>
      </c>
      <c r="J1355" t="s">
        <v>3107</v>
      </c>
      <c r="K1355" t="s">
        <v>38</v>
      </c>
      <c r="L1355" t="s">
        <v>38</v>
      </c>
      <c r="M1355" t="s">
        <v>38</v>
      </c>
      <c r="N1355" t="s">
        <v>38</v>
      </c>
      <c r="O1355" t="s">
        <v>38</v>
      </c>
      <c r="T1355" t="s">
        <v>38</v>
      </c>
      <c r="U1355">
        <v>0</v>
      </c>
      <c r="W1355">
        <v>0</v>
      </c>
      <c r="X1355">
        <v>0</v>
      </c>
      <c r="Y1355">
        <v>0</v>
      </c>
      <c r="AE1355">
        <f t="shared" si="63"/>
        <v>1</v>
      </c>
      <c r="AF1355">
        <f>VLOOKUP(D1355,especies!$A$2:$C$9,3,FALSE)</f>
        <v>2</v>
      </c>
      <c r="AG1355" t="str">
        <f t="shared" si="64"/>
        <v>2-DPC (Doméstico de pelo corto o DSH)</v>
      </c>
      <c r="AH1355">
        <f>VLOOKUP('Fichas clínicas'!AG1355,razas!$A$2:$D$66,3,FALSE)</f>
        <v>51</v>
      </c>
      <c r="AI1355" t="str">
        <f t="shared" si="65"/>
        <v>H</v>
      </c>
    </row>
    <row r="1356" spans="1:35" x14ac:dyDescent="0.2">
      <c r="A1356">
        <v>1358</v>
      </c>
      <c r="B1356" t="s">
        <v>3108</v>
      </c>
      <c r="C1356" t="s">
        <v>3109</v>
      </c>
      <c r="D1356" t="s">
        <v>41</v>
      </c>
      <c r="E1356" t="s">
        <v>42</v>
      </c>
      <c r="F1356" t="s">
        <v>47</v>
      </c>
      <c r="G1356" t="s">
        <v>2406</v>
      </c>
      <c r="J1356" t="s">
        <v>87</v>
      </c>
      <c r="K1356" t="s">
        <v>38</v>
      </c>
      <c r="L1356" t="s">
        <v>38</v>
      </c>
      <c r="M1356" t="s">
        <v>38</v>
      </c>
      <c r="N1356" t="s">
        <v>38</v>
      </c>
      <c r="O1356" t="s">
        <v>38</v>
      </c>
      <c r="T1356" t="s">
        <v>38</v>
      </c>
      <c r="U1356">
        <v>0</v>
      </c>
      <c r="W1356">
        <v>0</v>
      </c>
      <c r="X1356">
        <v>0</v>
      </c>
      <c r="Y1356">
        <v>0</v>
      </c>
      <c r="AE1356">
        <f t="shared" si="63"/>
        <v>1</v>
      </c>
      <c r="AF1356">
        <f>VLOOKUP(D1356,especies!$A$2:$C$9,3,FALSE)</f>
        <v>2</v>
      </c>
      <c r="AG1356" t="str">
        <f t="shared" si="64"/>
        <v>2-DPC (Doméstico de pelo corto o DSH)</v>
      </c>
      <c r="AH1356">
        <f>VLOOKUP('Fichas clínicas'!AG1356,razas!$A$2:$D$66,3,FALSE)</f>
        <v>51</v>
      </c>
      <c r="AI1356" t="str">
        <f t="shared" si="65"/>
        <v>M</v>
      </c>
    </row>
    <row r="1357" spans="1:35" x14ac:dyDescent="0.2">
      <c r="A1357">
        <v>1359</v>
      </c>
      <c r="B1357" t="s">
        <v>3110</v>
      </c>
      <c r="C1357" t="s">
        <v>3111</v>
      </c>
      <c r="D1357" t="s">
        <v>41</v>
      </c>
      <c r="E1357" t="s">
        <v>42</v>
      </c>
      <c r="F1357" t="s">
        <v>34</v>
      </c>
      <c r="G1357" t="s">
        <v>3017</v>
      </c>
      <c r="J1357" t="s">
        <v>2178</v>
      </c>
      <c r="K1357" t="s">
        <v>38</v>
      </c>
      <c r="L1357" t="s">
        <v>38</v>
      </c>
      <c r="M1357" t="s">
        <v>38</v>
      </c>
      <c r="N1357" t="s">
        <v>38</v>
      </c>
      <c r="O1357" t="s">
        <v>38</v>
      </c>
      <c r="T1357" t="s">
        <v>38</v>
      </c>
      <c r="U1357">
        <v>0</v>
      </c>
      <c r="W1357">
        <v>0</v>
      </c>
      <c r="X1357">
        <v>0</v>
      </c>
      <c r="Y1357">
        <v>0</v>
      </c>
      <c r="AE1357">
        <f t="shared" si="63"/>
        <v>1</v>
      </c>
      <c r="AF1357">
        <f>VLOOKUP(D1357,especies!$A$2:$C$9,3,FALSE)</f>
        <v>2</v>
      </c>
      <c r="AG1357" t="str">
        <f t="shared" si="64"/>
        <v>2-DPC (Doméstico de pelo corto o DSH)</v>
      </c>
      <c r="AH1357">
        <f>VLOOKUP('Fichas clínicas'!AG1357,razas!$A$2:$D$66,3,FALSE)</f>
        <v>51</v>
      </c>
      <c r="AI1357" t="str">
        <f t="shared" si="65"/>
        <v>H</v>
      </c>
    </row>
    <row r="1358" spans="1:35" x14ac:dyDescent="0.2">
      <c r="A1358">
        <v>1360</v>
      </c>
      <c r="B1358" t="s">
        <v>669</v>
      </c>
      <c r="C1358" t="s">
        <v>3112</v>
      </c>
      <c r="D1358" t="s">
        <v>32</v>
      </c>
      <c r="E1358" t="s">
        <v>33</v>
      </c>
      <c r="F1358" t="s">
        <v>34</v>
      </c>
      <c r="G1358" t="s">
        <v>2763</v>
      </c>
      <c r="J1358" t="s">
        <v>3113</v>
      </c>
      <c r="K1358" t="s">
        <v>38</v>
      </c>
      <c r="L1358" t="s">
        <v>38</v>
      </c>
      <c r="M1358" t="s">
        <v>38</v>
      </c>
      <c r="N1358" t="s">
        <v>38</v>
      </c>
      <c r="O1358" t="s">
        <v>38</v>
      </c>
      <c r="T1358" t="s">
        <v>38</v>
      </c>
      <c r="U1358">
        <v>0</v>
      </c>
      <c r="V1358">
        <v>1</v>
      </c>
      <c r="W1358">
        <v>0</v>
      </c>
      <c r="X1358">
        <v>0</v>
      </c>
      <c r="Y1358">
        <v>0</v>
      </c>
      <c r="AE1358">
        <f t="shared" si="63"/>
        <v>1</v>
      </c>
      <c r="AF1358">
        <f>VLOOKUP(D1358,especies!$A$2:$C$9,3,FALSE)</f>
        <v>1</v>
      </c>
      <c r="AG1358" t="str">
        <f t="shared" si="64"/>
        <v>1-Mestizo</v>
      </c>
      <c r="AH1358">
        <f>VLOOKUP('Fichas clínicas'!AG1358,razas!$A$2:$D$66,3,FALSE)</f>
        <v>1</v>
      </c>
      <c r="AI1358" t="str">
        <f t="shared" si="65"/>
        <v>H</v>
      </c>
    </row>
    <row r="1359" spans="1:35" x14ac:dyDescent="0.2">
      <c r="A1359">
        <v>1361</v>
      </c>
      <c r="B1359" t="s">
        <v>1373</v>
      </c>
      <c r="C1359" t="s">
        <v>2897</v>
      </c>
      <c r="D1359" t="s">
        <v>32</v>
      </c>
      <c r="E1359" t="s">
        <v>33</v>
      </c>
      <c r="F1359" t="s">
        <v>34</v>
      </c>
      <c r="G1359" t="s">
        <v>2763</v>
      </c>
      <c r="J1359" t="s">
        <v>3114</v>
      </c>
      <c r="K1359" t="s">
        <v>38</v>
      </c>
      <c r="L1359" t="s">
        <v>38</v>
      </c>
      <c r="M1359" t="s">
        <v>38</v>
      </c>
      <c r="N1359" t="s">
        <v>38</v>
      </c>
      <c r="O1359" t="s">
        <v>38</v>
      </c>
      <c r="T1359" t="s">
        <v>38</v>
      </c>
      <c r="U1359">
        <v>0</v>
      </c>
      <c r="W1359">
        <v>0</v>
      </c>
      <c r="X1359">
        <v>0</v>
      </c>
      <c r="Y1359">
        <v>0</v>
      </c>
      <c r="AE1359">
        <f t="shared" si="63"/>
        <v>1</v>
      </c>
      <c r="AF1359">
        <f>VLOOKUP(D1359,especies!$A$2:$C$9,3,FALSE)</f>
        <v>1</v>
      </c>
      <c r="AG1359" t="str">
        <f t="shared" si="64"/>
        <v>1-Mestizo</v>
      </c>
      <c r="AH1359">
        <f>VLOOKUP('Fichas clínicas'!AG1359,razas!$A$2:$D$66,3,FALSE)</f>
        <v>1</v>
      </c>
      <c r="AI1359" t="str">
        <f t="shared" si="65"/>
        <v>H</v>
      </c>
    </row>
    <row r="1360" spans="1:35" x14ac:dyDescent="0.2">
      <c r="A1360">
        <v>1362</v>
      </c>
      <c r="B1360" t="s">
        <v>669</v>
      </c>
      <c r="C1360" t="s">
        <v>3115</v>
      </c>
      <c r="D1360" t="s">
        <v>32</v>
      </c>
      <c r="E1360" t="s">
        <v>33</v>
      </c>
      <c r="F1360" t="s">
        <v>34</v>
      </c>
      <c r="G1360" t="s">
        <v>587</v>
      </c>
      <c r="J1360" t="s">
        <v>489</v>
      </c>
      <c r="K1360" t="s">
        <v>38</v>
      </c>
      <c r="L1360" t="s">
        <v>38</v>
      </c>
      <c r="M1360" t="s">
        <v>38</v>
      </c>
      <c r="N1360" t="s">
        <v>38</v>
      </c>
      <c r="O1360" t="s">
        <v>38</v>
      </c>
      <c r="T1360" t="s">
        <v>38</v>
      </c>
      <c r="U1360">
        <v>0</v>
      </c>
      <c r="V1360">
        <v>1</v>
      </c>
      <c r="W1360">
        <v>0</v>
      </c>
      <c r="X1360">
        <v>0</v>
      </c>
      <c r="Y1360">
        <v>0</v>
      </c>
      <c r="AE1360">
        <f t="shared" si="63"/>
        <v>1</v>
      </c>
      <c r="AF1360">
        <f>VLOOKUP(D1360,especies!$A$2:$C$9,3,FALSE)</f>
        <v>1</v>
      </c>
      <c r="AG1360" t="str">
        <f t="shared" si="64"/>
        <v>1-Mestizo</v>
      </c>
      <c r="AH1360">
        <f>VLOOKUP('Fichas clínicas'!AG1360,razas!$A$2:$D$66,3,FALSE)</f>
        <v>1</v>
      </c>
      <c r="AI1360" t="str">
        <f t="shared" si="65"/>
        <v>H</v>
      </c>
    </row>
    <row r="1361" spans="1:35" x14ac:dyDescent="0.2">
      <c r="A1361">
        <v>1363</v>
      </c>
      <c r="B1361" t="s">
        <v>669</v>
      </c>
      <c r="C1361" t="s">
        <v>2225</v>
      </c>
      <c r="D1361" t="s">
        <v>32</v>
      </c>
      <c r="E1361" t="s">
        <v>33</v>
      </c>
      <c r="F1361" t="s">
        <v>34</v>
      </c>
      <c r="G1361" t="s">
        <v>3116</v>
      </c>
      <c r="J1361" t="s">
        <v>3117</v>
      </c>
      <c r="K1361" t="s">
        <v>38</v>
      </c>
      <c r="L1361" t="s">
        <v>38</v>
      </c>
      <c r="M1361" t="s">
        <v>38</v>
      </c>
      <c r="N1361" t="s">
        <v>38</v>
      </c>
      <c r="O1361" t="s">
        <v>38</v>
      </c>
      <c r="T1361" t="s">
        <v>38</v>
      </c>
      <c r="U1361">
        <v>0</v>
      </c>
      <c r="V1361">
        <v>1</v>
      </c>
      <c r="W1361">
        <v>0</v>
      </c>
      <c r="X1361">
        <v>0</v>
      </c>
      <c r="Y1361">
        <v>0</v>
      </c>
      <c r="AE1361">
        <f t="shared" si="63"/>
        <v>1</v>
      </c>
      <c r="AF1361">
        <f>VLOOKUP(D1361,especies!$A$2:$C$9,3,FALSE)</f>
        <v>1</v>
      </c>
      <c r="AG1361" t="str">
        <f t="shared" si="64"/>
        <v>1-Mestizo</v>
      </c>
      <c r="AH1361">
        <f>VLOOKUP('Fichas clínicas'!AG1361,razas!$A$2:$D$66,3,FALSE)</f>
        <v>1</v>
      </c>
      <c r="AI1361" t="str">
        <f t="shared" si="65"/>
        <v>H</v>
      </c>
    </row>
    <row r="1362" spans="1:35" x14ac:dyDescent="0.2">
      <c r="A1362">
        <v>1364</v>
      </c>
      <c r="B1362" t="s">
        <v>3118</v>
      </c>
      <c r="C1362" t="s">
        <v>1969</v>
      </c>
      <c r="D1362" t="s">
        <v>32</v>
      </c>
      <c r="E1362" t="s">
        <v>33</v>
      </c>
      <c r="F1362" t="s">
        <v>34</v>
      </c>
      <c r="G1362" t="s">
        <v>3119</v>
      </c>
      <c r="J1362" t="s">
        <v>3120</v>
      </c>
      <c r="K1362" t="s">
        <v>38</v>
      </c>
      <c r="L1362" t="s">
        <v>38</v>
      </c>
      <c r="M1362" t="s">
        <v>38</v>
      </c>
      <c r="N1362" t="s">
        <v>38</v>
      </c>
      <c r="O1362" t="s">
        <v>38</v>
      </c>
      <c r="T1362" t="s">
        <v>38</v>
      </c>
      <c r="U1362">
        <v>0</v>
      </c>
      <c r="W1362">
        <v>0</v>
      </c>
      <c r="X1362">
        <v>0</v>
      </c>
      <c r="Y1362">
        <v>0</v>
      </c>
      <c r="AE1362">
        <f t="shared" si="63"/>
        <v>1</v>
      </c>
      <c r="AF1362">
        <f>VLOOKUP(D1362,especies!$A$2:$C$9,3,FALSE)</f>
        <v>1</v>
      </c>
      <c r="AG1362" t="str">
        <f t="shared" si="64"/>
        <v>1-Mestizo</v>
      </c>
      <c r="AH1362">
        <f>VLOOKUP('Fichas clínicas'!AG1362,razas!$A$2:$D$66,3,FALSE)</f>
        <v>1</v>
      </c>
      <c r="AI1362" t="str">
        <f t="shared" si="65"/>
        <v>H</v>
      </c>
    </row>
    <row r="1363" spans="1:35" x14ac:dyDescent="0.2">
      <c r="A1363">
        <v>1365</v>
      </c>
      <c r="B1363" t="s">
        <v>3121</v>
      </c>
      <c r="C1363" t="s">
        <v>3122</v>
      </c>
      <c r="D1363" t="s">
        <v>41</v>
      </c>
      <c r="E1363" t="s">
        <v>42</v>
      </c>
      <c r="F1363" t="s">
        <v>47</v>
      </c>
      <c r="G1363" t="s">
        <v>1639</v>
      </c>
      <c r="J1363" t="s">
        <v>1624</v>
      </c>
      <c r="K1363" t="s">
        <v>38</v>
      </c>
      <c r="L1363" t="s">
        <v>38</v>
      </c>
      <c r="M1363" t="s">
        <v>38</v>
      </c>
      <c r="N1363" t="s">
        <v>38</v>
      </c>
      <c r="O1363" t="s">
        <v>38</v>
      </c>
      <c r="T1363" t="s">
        <v>38</v>
      </c>
      <c r="U1363">
        <v>0</v>
      </c>
      <c r="W1363">
        <v>0</v>
      </c>
      <c r="X1363">
        <v>0</v>
      </c>
      <c r="Y1363">
        <v>0</v>
      </c>
      <c r="AE1363">
        <f t="shared" si="63"/>
        <v>1</v>
      </c>
      <c r="AF1363">
        <f>VLOOKUP(D1363,especies!$A$2:$C$9,3,FALSE)</f>
        <v>2</v>
      </c>
      <c r="AG1363" t="str">
        <f t="shared" si="64"/>
        <v>2-DPC (Doméstico de pelo corto o DSH)</v>
      </c>
      <c r="AH1363">
        <f>VLOOKUP('Fichas clínicas'!AG1363,razas!$A$2:$D$66,3,FALSE)</f>
        <v>51</v>
      </c>
      <c r="AI1363" t="str">
        <f t="shared" si="65"/>
        <v>M</v>
      </c>
    </row>
    <row r="1364" spans="1:35" x14ac:dyDescent="0.2">
      <c r="A1364">
        <v>1366</v>
      </c>
      <c r="B1364" t="s">
        <v>3123</v>
      </c>
      <c r="C1364" t="s">
        <v>378</v>
      </c>
      <c r="D1364" t="s">
        <v>32</v>
      </c>
      <c r="E1364" t="s">
        <v>150</v>
      </c>
      <c r="F1364" t="s">
        <v>34</v>
      </c>
      <c r="G1364" t="s">
        <v>1547</v>
      </c>
      <c r="J1364" t="s">
        <v>2863</v>
      </c>
      <c r="K1364" t="s">
        <v>38</v>
      </c>
      <c r="L1364" t="s">
        <v>38</v>
      </c>
      <c r="M1364" t="s">
        <v>38</v>
      </c>
      <c r="N1364" t="s">
        <v>38</v>
      </c>
      <c r="O1364" t="s">
        <v>38</v>
      </c>
      <c r="Q1364">
        <v>0</v>
      </c>
      <c r="T1364" t="s">
        <v>38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f t="shared" si="63"/>
        <v>1</v>
      </c>
      <c r="AF1364">
        <f>VLOOKUP(D1364,especies!$A$2:$C$9,3,FALSE)</f>
        <v>1</v>
      </c>
      <c r="AG1364" t="str">
        <f t="shared" si="64"/>
        <v>1-Poodle</v>
      </c>
      <c r="AH1364">
        <f>VLOOKUP('Fichas clínicas'!AG1364,razas!$A$2:$D$66,3,FALSE)</f>
        <v>6</v>
      </c>
      <c r="AI1364" t="str">
        <f t="shared" si="65"/>
        <v>H</v>
      </c>
    </row>
    <row r="1365" spans="1:35" x14ac:dyDescent="0.2">
      <c r="A1365">
        <v>1367</v>
      </c>
      <c r="B1365" t="s">
        <v>3124</v>
      </c>
      <c r="C1365" t="s">
        <v>332</v>
      </c>
      <c r="D1365" t="s">
        <v>32</v>
      </c>
      <c r="E1365" t="s">
        <v>33</v>
      </c>
      <c r="F1365" t="s">
        <v>47</v>
      </c>
      <c r="G1365" t="s">
        <v>3002</v>
      </c>
      <c r="J1365" t="s">
        <v>3125</v>
      </c>
      <c r="K1365" t="s">
        <v>38</v>
      </c>
      <c r="L1365" t="s">
        <v>38</v>
      </c>
      <c r="M1365" t="s">
        <v>38</v>
      </c>
      <c r="N1365" t="s">
        <v>38</v>
      </c>
      <c r="O1365" t="s">
        <v>38</v>
      </c>
      <c r="T1365" t="s">
        <v>38</v>
      </c>
      <c r="U1365">
        <v>0</v>
      </c>
      <c r="W1365">
        <v>0</v>
      </c>
      <c r="X1365">
        <v>0</v>
      </c>
      <c r="Y1365">
        <v>0</v>
      </c>
      <c r="AE1365">
        <f t="shared" si="63"/>
        <v>1</v>
      </c>
      <c r="AF1365">
        <f>VLOOKUP(D1365,especies!$A$2:$C$9,3,FALSE)</f>
        <v>1</v>
      </c>
      <c r="AG1365" t="str">
        <f t="shared" si="64"/>
        <v>1-Mestizo</v>
      </c>
      <c r="AH1365">
        <f>VLOOKUP('Fichas clínicas'!AG1365,razas!$A$2:$D$66,3,FALSE)</f>
        <v>1</v>
      </c>
      <c r="AI1365" t="str">
        <f t="shared" si="65"/>
        <v>M</v>
      </c>
    </row>
    <row r="1366" spans="1:35" x14ac:dyDescent="0.2">
      <c r="A1366">
        <v>1368</v>
      </c>
      <c r="B1366" t="s">
        <v>3126</v>
      </c>
      <c r="C1366" t="s">
        <v>3127</v>
      </c>
      <c r="D1366" t="s">
        <v>41</v>
      </c>
      <c r="E1366" t="s">
        <v>93</v>
      </c>
      <c r="F1366" t="s">
        <v>47</v>
      </c>
      <c r="G1366" t="s">
        <v>370</v>
      </c>
      <c r="J1366" t="s">
        <v>3047</v>
      </c>
      <c r="K1366" t="s">
        <v>38</v>
      </c>
      <c r="L1366" t="s">
        <v>38</v>
      </c>
      <c r="M1366" t="s">
        <v>38</v>
      </c>
      <c r="N1366" t="s">
        <v>38</v>
      </c>
      <c r="O1366" t="s">
        <v>38</v>
      </c>
      <c r="T1366" t="s">
        <v>38</v>
      </c>
      <c r="U1366">
        <v>0</v>
      </c>
      <c r="W1366">
        <v>0</v>
      </c>
      <c r="X1366">
        <v>0</v>
      </c>
      <c r="Y1366">
        <v>0</v>
      </c>
      <c r="AE1366">
        <f t="shared" si="63"/>
        <v>1</v>
      </c>
      <c r="AF1366">
        <f>VLOOKUP(D1366,especies!$A$2:$C$9,3,FALSE)</f>
        <v>2</v>
      </c>
      <c r="AG1366" t="str">
        <f t="shared" si="64"/>
        <v>2-DPL (Doméstico de pelo Largo o DLH)</v>
      </c>
      <c r="AH1366">
        <f>VLOOKUP('Fichas clínicas'!AG1366,razas!$A$2:$D$66,3,FALSE)</f>
        <v>52</v>
      </c>
      <c r="AI1366" t="str">
        <f t="shared" si="65"/>
        <v>M</v>
      </c>
    </row>
    <row r="1367" spans="1:35" x14ac:dyDescent="0.2">
      <c r="A1367">
        <v>1369</v>
      </c>
      <c r="B1367" t="s">
        <v>3128</v>
      </c>
      <c r="C1367" t="s">
        <v>389</v>
      </c>
      <c r="D1367" t="s">
        <v>41</v>
      </c>
      <c r="E1367" t="s">
        <v>42</v>
      </c>
      <c r="F1367" t="s">
        <v>34</v>
      </c>
      <c r="G1367" t="s">
        <v>3129</v>
      </c>
      <c r="J1367" t="s">
        <v>1248</v>
      </c>
      <c r="K1367" t="s">
        <v>38</v>
      </c>
      <c r="L1367" t="s">
        <v>38</v>
      </c>
      <c r="M1367" t="s">
        <v>38</v>
      </c>
      <c r="N1367" t="s">
        <v>38</v>
      </c>
      <c r="O1367" t="s">
        <v>38</v>
      </c>
      <c r="T1367" t="s">
        <v>38</v>
      </c>
      <c r="U1367">
        <v>0</v>
      </c>
      <c r="V1367">
        <v>1</v>
      </c>
      <c r="W1367">
        <v>0</v>
      </c>
      <c r="X1367">
        <v>0</v>
      </c>
      <c r="Y1367">
        <v>0</v>
      </c>
      <c r="AE1367">
        <f t="shared" si="63"/>
        <v>1</v>
      </c>
      <c r="AF1367">
        <f>VLOOKUP(D1367,especies!$A$2:$C$9,3,FALSE)</f>
        <v>2</v>
      </c>
      <c r="AG1367" t="str">
        <f t="shared" si="64"/>
        <v>2-DPC (Doméstico de pelo corto o DSH)</v>
      </c>
      <c r="AH1367">
        <f>VLOOKUP('Fichas clínicas'!AG1367,razas!$A$2:$D$66,3,FALSE)</f>
        <v>51</v>
      </c>
      <c r="AI1367" t="str">
        <f t="shared" si="65"/>
        <v>H</v>
      </c>
    </row>
    <row r="1368" spans="1:35" x14ac:dyDescent="0.2">
      <c r="A1368">
        <v>1370</v>
      </c>
      <c r="B1368" t="s">
        <v>3130</v>
      </c>
      <c r="C1368" t="s">
        <v>3131</v>
      </c>
      <c r="D1368" t="s">
        <v>1663</v>
      </c>
      <c r="E1368" t="s">
        <v>1664</v>
      </c>
      <c r="F1368" t="s">
        <v>47</v>
      </c>
      <c r="G1368" t="s">
        <v>2801</v>
      </c>
      <c r="J1368" t="s">
        <v>3132</v>
      </c>
      <c r="K1368" t="s">
        <v>38</v>
      </c>
      <c r="L1368" t="s">
        <v>38</v>
      </c>
      <c r="M1368" t="s">
        <v>38</v>
      </c>
      <c r="N1368" t="s">
        <v>38</v>
      </c>
      <c r="O1368" t="s">
        <v>38</v>
      </c>
      <c r="T1368" t="s">
        <v>38</v>
      </c>
      <c r="U1368">
        <v>0</v>
      </c>
      <c r="W1368">
        <v>0</v>
      </c>
      <c r="X1368">
        <v>0</v>
      </c>
      <c r="Y1368">
        <v>0</v>
      </c>
      <c r="AE1368">
        <f t="shared" si="63"/>
        <v>1</v>
      </c>
      <c r="AF1368">
        <f>VLOOKUP(D1368,especies!$A$2:$C$9,3,FALSE)</f>
        <v>5</v>
      </c>
      <c r="AG1368" t="str">
        <f t="shared" si="64"/>
        <v>5-Hamster Dorado</v>
      </c>
      <c r="AH1368">
        <f>VLOOKUP('Fichas clínicas'!AG1368,razas!$A$2:$D$66,3,FALSE)</f>
        <v>57</v>
      </c>
      <c r="AI1368" t="str">
        <f t="shared" si="65"/>
        <v>M</v>
      </c>
    </row>
    <row r="1369" spans="1:35" x14ac:dyDescent="0.2">
      <c r="A1369">
        <v>1371</v>
      </c>
      <c r="B1369" t="s">
        <v>3130</v>
      </c>
      <c r="C1369" t="s">
        <v>3133</v>
      </c>
      <c r="D1369" t="s">
        <v>1663</v>
      </c>
      <c r="E1369" t="s">
        <v>1664</v>
      </c>
      <c r="F1369" t="s">
        <v>47</v>
      </c>
      <c r="G1369" t="s">
        <v>2801</v>
      </c>
      <c r="J1369" t="s">
        <v>3132</v>
      </c>
      <c r="K1369" t="s">
        <v>38</v>
      </c>
      <c r="L1369" t="s">
        <v>38</v>
      </c>
      <c r="M1369" t="s">
        <v>38</v>
      </c>
      <c r="N1369" t="s">
        <v>38</v>
      </c>
      <c r="O1369" t="s">
        <v>38</v>
      </c>
      <c r="T1369" t="s">
        <v>38</v>
      </c>
      <c r="U1369">
        <v>0</v>
      </c>
      <c r="W1369">
        <v>0</v>
      </c>
      <c r="X1369">
        <v>0</v>
      </c>
      <c r="Y1369">
        <v>0</v>
      </c>
      <c r="AE1369">
        <f t="shared" si="63"/>
        <v>1</v>
      </c>
      <c r="AF1369">
        <f>VLOOKUP(D1369,especies!$A$2:$C$9,3,FALSE)</f>
        <v>5</v>
      </c>
      <c r="AG1369" t="str">
        <f t="shared" si="64"/>
        <v>5-Hamster Dorado</v>
      </c>
      <c r="AH1369">
        <f>VLOOKUP('Fichas clínicas'!AG1369,razas!$A$2:$D$66,3,FALSE)</f>
        <v>57</v>
      </c>
      <c r="AI1369" t="str">
        <f t="shared" si="65"/>
        <v>M</v>
      </c>
    </row>
    <row r="1370" spans="1:35" x14ac:dyDescent="0.2">
      <c r="A1370">
        <v>1372</v>
      </c>
      <c r="B1370" t="s">
        <v>3134</v>
      </c>
      <c r="C1370" t="s">
        <v>3135</v>
      </c>
      <c r="D1370" t="s">
        <v>32</v>
      </c>
      <c r="E1370" t="s">
        <v>33</v>
      </c>
      <c r="F1370" t="s">
        <v>47</v>
      </c>
      <c r="G1370" t="s">
        <v>2870</v>
      </c>
      <c r="J1370" t="s">
        <v>2970</v>
      </c>
      <c r="K1370" t="s">
        <v>38</v>
      </c>
      <c r="L1370" t="s">
        <v>38</v>
      </c>
      <c r="M1370" t="s">
        <v>38</v>
      </c>
      <c r="N1370" t="s">
        <v>38</v>
      </c>
      <c r="O1370" t="s">
        <v>38</v>
      </c>
      <c r="Q1370">
        <v>0</v>
      </c>
      <c r="T1370" t="s">
        <v>38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f t="shared" si="63"/>
        <v>1</v>
      </c>
      <c r="AF1370">
        <f>VLOOKUP(D1370,especies!$A$2:$C$9,3,FALSE)</f>
        <v>1</v>
      </c>
      <c r="AG1370" t="str">
        <f t="shared" si="64"/>
        <v>1-Mestizo</v>
      </c>
      <c r="AH1370">
        <f>VLOOKUP('Fichas clínicas'!AG1370,razas!$A$2:$D$66,3,FALSE)</f>
        <v>1</v>
      </c>
      <c r="AI1370" t="str">
        <f t="shared" si="65"/>
        <v>M</v>
      </c>
    </row>
    <row r="1371" spans="1:35" x14ac:dyDescent="0.2">
      <c r="A1371">
        <v>1373</v>
      </c>
      <c r="B1371" t="s">
        <v>3136</v>
      </c>
      <c r="C1371" t="s">
        <v>1002</v>
      </c>
      <c r="D1371" t="s">
        <v>32</v>
      </c>
      <c r="E1371" t="s">
        <v>3137</v>
      </c>
      <c r="F1371" t="s">
        <v>47</v>
      </c>
      <c r="G1371" t="s">
        <v>43</v>
      </c>
      <c r="H1371">
        <v>99100100288677</v>
      </c>
      <c r="J1371" t="s">
        <v>601</v>
      </c>
      <c r="K1371" t="s">
        <v>38</v>
      </c>
      <c r="L1371" t="s">
        <v>38</v>
      </c>
      <c r="M1371" t="s">
        <v>38</v>
      </c>
      <c r="N1371" t="s">
        <v>38</v>
      </c>
      <c r="O1371" t="s">
        <v>38</v>
      </c>
      <c r="Q1371">
        <v>0</v>
      </c>
      <c r="T1371" t="s">
        <v>38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f t="shared" si="63"/>
        <v>1</v>
      </c>
      <c r="AF1371">
        <f>VLOOKUP(D1371,especies!$A$2:$C$9,3,FALSE)</f>
        <v>1</v>
      </c>
      <c r="AG1371" t="str">
        <f t="shared" si="64"/>
        <v>1-Staffordshire Terrier Americano</v>
      </c>
      <c r="AH1371">
        <f>VLOOKUP('Fichas clínicas'!AG1371,razas!$A$2:$D$66,3,FALSE)</f>
        <v>43</v>
      </c>
      <c r="AI1371" t="str">
        <f t="shared" si="65"/>
        <v>M</v>
      </c>
    </row>
    <row r="1372" spans="1:35" x14ac:dyDescent="0.2">
      <c r="A1372">
        <v>1374</v>
      </c>
      <c r="B1372" t="s">
        <v>3138</v>
      </c>
      <c r="C1372" t="s">
        <v>3139</v>
      </c>
      <c r="D1372" t="s">
        <v>41</v>
      </c>
      <c r="E1372" t="s">
        <v>42</v>
      </c>
      <c r="F1372" t="s">
        <v>47</v>
      </c>
      <c r="G1372" t="s">
        <v>2436</v>
      </c>
      <c r="J1372" t="s">
        <v>2063</v>
      </c>
      <c r="K1372" t="s">
        <v>38</v>
      </c>
      <c r="L1372" t="s">
        <v>38</v>
      </c>
      <c r="M1372" t="s">
        <v>38</v>
      </c>
      <c r="N1372" t="s">
        <v>38</v>
      </c>
      <c r="O1372" t="s">
        <v>38</v>
      </c>
      <c r="Q1372">
        <v>0</v>
      </c>
      <c r="T1372" t="s">
        <v>38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f t="shared" si="63"/>
        <v>1</v>
      </c>
      <c r="AF1372">
        <f>VLOOKUP(D1372,especies!$A$2:$C$9,3,FALSE)</f>
        <v>2</v>
      </c>
      <c r="AG1372" t="str">
        <f t="shared" si="64"/>
        <v>2-DPC (Doméstico de pelo corto o DSH)</v>
      </c>
      <c r="AH1372">
        <f>VLOOKUP('Fichas clínicas'!AG1372,razas!$A$2:$D$66,3,FALSE)</f>
        <v>51</v>
      </c>
      <c r="AI1372" t="str">
        <f t="shared" si="65"/>
        <v>M</v>
      </c>
    </row>
    <row r="1373" spans="1:35" x14ac:dyDescent="0.2">
      <c r="A1373">
        <v>1375</v>
      </c>
      <c r="B1373" t="s">
        <v>3140</v>
      </c>
      <c r="C1373" t="s">
        <v>3141</v>
      </c>
      <c r="D1373" t="s">
        <v>32</v>
      </c>
      <c r="E1373" t="s">
        <v>33</v>
      </c>
      <c r="F1373" t="s">
        <v>47</v>
      </c>
      <c r="G1373" t="s">
        <v>300</v>
      </c>
      <c r="I1373">
        <v>991001002389570</v>
      </c>
      <c r="J1373" t="s">
        <v>519</v>
      </c>
      <c r="K1373" t="s">
        <v>38</v>
      </c>
      <c r="L1373" t="s">
        <v>38</v>
      </c>
      <c r="M1373" t="s">
        <v>38</v>
      </c>
      <c r="N1373" t="s">
        <v>38</v>
      </c>
      <c r="O1373" t="s">
        <v>38</v>
      </c>
      <c r="Q1373">
        <v>0</v>
      </c>
      <c r="T1373" t="s">
        <v>38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f t="shared" si="63"/>
        <v>1</v>
      </c>
      <c r="AF1373">
        <f>VLOOKUP(D1373,especies!$A$2:$C$9,3,FALSE)</f>
        <v>1</v>
      </c>
      <c r="AG1373" t="str">
        <f t="shared" si="64"/>
        <v>1-Mestizo</v>
      </c>
      <c r="AH1373">
        <f>VLOOKUP('Fichas clínicas'!AG1373,razas!$A$2:$D$66,3,FALSE)</f>
        <v>1</v>
      </c>
      <c r="AI1373" t="str">
        <f t="shared" si="65"/>
        <v>M</v>
      </c>
    </row>
    <row r="1374" spans="1:35" x14ac:dyDescent="0.2">
      <c r="A1374">
        <v>1376</v>
      </c>
      <c r="B1374" t="s">
        <v>3142</v>
      </c>
      <c r="C1374" t="s">
        <v>3143</v>
      </c>
      <c r="D1374" t="s">
        <v>32</v>
      </c>
      <c r="E1374" t="s">
        <v>33</v>
      </c>
      <c r="F1374" t="s">
        <v>34</v>
      </c>
      <c r="G1374" t="s">
        <v>2054</v>
      </c>
      <c r="J1374" t="s">
        <v>3144</v>
      </c>
      <c r="K1374" t="s">
        <v>38</v>
      </c>
      <c r="L1374" t="s">
        <v>38</v>
      </c>
      <c r="M1374" t="s">
        <v>38</v>
      </c>
      <c r="N1374" t="s">
        <v>38</v>
      </c>
      <c r="O1374" t="s">
        <v>38</v>
      </c>
      <c r="T1374" t="s">
        <v>38</v>
      </c>
      <c r="U1374">
        <v>0</v>
      </c>
      <c r="W1374">
        <v>0</v>
      </c>
      <c r="X1374">
        <v>0</v>
      </c>
      <c r="Y1374">
        <v>0</v>
      </c>
      <c r="AE1374">
        <f t="shared" si="63"/>
        <v>1</v>
      </c>
      <c r="AF1374">
        <f>VLOOKUP(D1374,especies!$A$2:$C$9,3,FALSE)</f>
        <v>1</v>
      </c>
      <c r="AG1374" t="str">
        <f t="shared" si="64"/>
        <v>1-Mestizo</v>
      </c>
      <c r="AH1374">
        <f>VLOOKUP('Fichas clínicas'!AG1374,razas!$A$2:$D$66,3,FALSE)</f>
        <v>1</v>
      </c>
      <c r="AI1374" t="str">
        <f t="shared" si="65"/>
        <v>H</v>
      </c>
    </row>
    <row r="1375" spans="1:35" x14ac:dyDescent="0.2">
      <c r="A1375">
        <v>1377</v>
      </c>
      <c r="B1375" t="s">
        <v>3110</v>
      </c>
      <c r="C1375" t="s">
        <v>3145</v>
      </c>
      <c r="D1375" t="s">
        <v>41</v>
      </c>
      <c r="E1375" t="s">
        <v>42</v>
      </c>
      <c r="F1375" t="s">
        <v>47</v>
      </c>
      <c r="G1375" t="s">
        <v>1073</v>
      </c>
      <c r="J1375" t="s">
        <v>2178</v>
      </c>
      <c r="K1375" t="s">
        <v>38</v>
      </c>
      <c r="L1375" t="s">
        <v>38</v>
      </c>
      <c r="M1375" t="s">
        <v>38</v>
      </c>
      <c r="N1375" t="s">
        <v>38</v>
      </c>
      <c r="O1375" t="s">
        <v>38</v>
      </c>
      <c r="Q1375">
        <v>0</v>
      </c>
      <c r="T1375" t="s">
        <v>38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f t="shared" si="63"/>
        <v>1</v>
      </c>
      <c r="AF1375">
        <f>VLOOKUP(D1375,especies!$A$2:$C$9,3,FALSE)</f>
        <v>2</v>
      </c>
      <c r="AG1375" t="str">
        <f t="shared" si="64"/>
        <v>2-DPC (Doméstico de pelo corto o DSH)</v>
      </c>
      <c r="AH1375">
        <f>VLOOKUP('Fichas clínicas'!AG1375,razas!$A$2:$D$66,3,FALSE)</f>
        <v>51</v>
      </c>
      <c r="AI1375" t="str">
        <f t="shared" si="65"/>
        <v>M</v>
      </c>
    </row>
    <row r="1376" spans="1:35" x14ac:dyDescent="0.2">
      <c r="A1376">
        <v>1378</v>
      </c>
      <c r="B1376" t="s">
        <v>3146</v>
      </c>
      <c r="C1376" t="s">
        <v>3147</v>
      </c>
      <c r="D1376" t="s">
        <v>41</v>
      </c>
      <c r="E1376" t="s">
        <v>42</v>
      </c>
      <c r="F1376" t="s">
        <v>34</v>
      </c>
      <c r="G1376" t="s">
        <v>3148</v>
      </c>
      <c r="J1376" t="s">
        <v>3149</v>
      </c>
      <c r="K1376" t="s">
        <v>38</v>
      </c>
      <c r="L1376" t="s">
        <v>38</v>
      </c>
      <c r="M1376" t="s">
        <v>38</v>
      </c>
      <c r="N1376" t="s">
        <v>38</v>
      </c>
      <c r="O1376" t="s">
        <v>38</v>
      </c>
      <c r="T1376" t="s">
        <v>38</v>
      </c>
      <c r="U1376">
        <v>0</v>
      </c>
      <c r="V1376">
        <v>1</v>
      </c>
      <c r="W1376">
        <v>0</v>
      </c>
      <c r="X1376">
        <v>0</v>
      </c>
      <c r="Y1376">
        <v>0</v>
      </c>
      <c r="AE1376">
        <f t="shared" si="63"/>
        <v>1</v>
      </c>
      <c r="AF1376">
        <f>VLOOKUP(D1376,especies!$A$2:$C$9,3,FALSE)</f>
        <v>2</v>
      </c>
      <c r="AG1376" t="str">
        <f t="shared" si="64"/>
        <v>2-DPC (Doméstico de pelo corto o DSH)</v>
      </c>
      <c r="AH1376">
        <f>VLOOKUP('Fichas clínicas'!AG1376,razas!$A$2:$D$66,3,FALSE)</f>
        <v>51</v>
      </c>
      <c r="AI1376" t="str">
        <f t="shared" si="65"/>
        <v>H</v>
      </c>
    </row>
    <row r="1377" spans="1:35" x14ac:dyDescent="0.2">
      <c r="A1377">
        <v>1379</v>
      </c>
      <c r="B1377" t="s">
        <v>3150</v>
      </c>
      <c r="C1377" t="s">
        <v>378</v>
      </c>
      <c r="D1377" t="s">
        <v>32</v>
      </c>
      <c r="E1377" t="s">
        <v>33</v>
      </c>
      <c r="F1377" t="s">
        <v>34</v>
      </c>
      <c r="G1377" t="s">
        <v>3116</v>
      </c>
      <c r="J1377" t="s">
        <v>1691</v>
      </c>
      <c r="K1377" t="s">
        <v>38</v>
      </c>
      <c r="L1377" t="s">
        <v>38</v>
      </c>
      <c r="M1377" t="s">
        <v>38</v>
      </c>
      <c r="N1377" t="s">
        <v>38</v>
      </c>
      <c r="O1377" t="s">
        <v>38</v>
      </c>
      <c r="T1377" t="s">
        <v>38</v>
      </c>
      <c r="U1377">
        <v>0</v>
      </c>
      <c r="W1377">
        <v>0</v>
      </c>
      <c r="X1377">
        <v>0</v>
      </c>
      <c r="Y1377">
        <v>0</v>
      </c>
      <c r="AE1377">
        <f t="shared" si="63"/>
        <v>1</v>
      </c>
      <c r="AF1377">
        <f>VLOOKUP(D1377,especies!$A$2:$C$9,3,FALSE)</f>
        <v>1</v>
      </c>
      <c r="AG1377" t="str">
        <f t="shared" si="64"/>
        <v>1-Mestizo</v>
      </c>
      <c r="AH1377">
        <f>VLOOKUP('Fichas clínicas'!AG1377,razas!$A$2:$D$66,3,FALSE)</f>
        <v>1</v>
      </c>
      <c r="AI1377" t="str">
        <f t="shared" si="65"/>
        <v>H</v>
      </c>
    </row>
    <row r="1378" spans="1:35" x14ac:dyDescent="0.2">
      <c r="A1378">
        <v>1380</v>
      </c>
      <c r="B1378" t="s">
        <v>3151</v>
      </c>
      <c r="C1378" t="s">
        <v>3152</v>
      </c>
      <c r="D1378" t="s">
        <v>1663</v>
      </c>
      <c r="E1378" t="s">
        <v>3153</v>
      </c>
      <c r="F1378" t="s">
        <v>34</v>
      </c>
      <c r="G1378" t="s">
        <v>2812</v>
      </c>
      <c r="J1378" t="s">
        <v>3154</v>
      </c>
      <c r="K1378" t="s">
        <v>38</v>
      </c>
      <c r="L1378" t="s">
        <v>38</v>
      </c>
      <c r="M1378" t="s">
        <v>38</v>
      </c>
      <c r="N1378" t="s">
        <v>38</v>
      </c>
      <c r="O1378" t="s">
        <v>38</v>
      </c>
      <c r="T1378" t="s">
        <v>38</v>
      </c>
      <c r="U1378">
        <v>0</v>
      </c>
      <c r="W1378">
        <v>0</v>
      </c>
      <c r="X1378">
        <v>0</v>
      </c>
      <c r="Y1378">
        <v>0</v>
      </c>
      <c r="AE1378">
        <f t="shared" si="63"/>
        <v>1</v>
      </c>
      <c r="AF1378">
        <f>VLOOKUP(D1378,especies!$A$2:$C$9,3,FALSE)</f>
        <v>5</v>
      </c>
      <c r="AG1378" t="str">
        <f t="shared" si="64"/>
        <v>5-Hamster Chino</v>
      </c>
      <c r="AH1378">
        <f>VLOOKUP('Fichas clínicas'!AG1378,razas!$A$2:$D$66,3,FALSE)</f>
        <v>58</v>
      </c>
      <c r="AI1378" t="str">
        <f t="shared" si="65"/>
        <v>H</v>
      </c>
    </row>
    <row r="1379" spans="1:35" x14ac:dyDescent="0.2">
      <c r="A1379">
        <v>1381</v>
      </c>
      <c r="B1379" t="s">
        <v>3155</v>
      </c>
      <c r="C1379" t="s">
        <v>3156</v>
      </c>
      <c r="D1379" t="s">
        <v>1650</v>
      </c>
      <c r="E1379" t="s">
        <v>1651</v>
      </c>
      <c r="F1379" t="s">
        <v>34</v>
      </c>
      <c r="G1379" t="s">
        <v>3002</v>
      </c>
      <c r="J1379" t="s">
        <v>3157</v>
      </c>
      <c r="K1379" t="s">
        <v>38</v>
      </c>
      <c r="L1379" t="s">
        <v>38</v>
      </c>
      <c r="M1379" t="s">
        <v>38</v>
      </c>
      <c r="N1379" t="s">
        <v>38</v>
      </c>
      <c r="O1379" t="s">
        <v>38</v>
      </c>
      <c r="T1379" t="s">
        <v>38</v>
      </c>
      <c r="U1379">
        <v>0</v>
      </c>
      <c r="W1379">
        <v>0</v>
      </c>
      <c r="X1379">
        <v>0</v>
      </c>
      <c r="Y1379">
        <v>0</v>
      </c>
      <c r="AE1379">
        <f t="shared" si="63"/>
        <v>1</v>
      </c>
      <c r="AF1379">
        <f>VLOOKUP(D1379,especies!$A$2:$C$9,3,FALSE)</f>
        <v>4</v>
      </c>
      <c r="AG1379" t="str">
        <f t="shared" si="64"/>
        <v>4-Erizo de Tierra</v>
      </c>
      <c r="AH1379">
        <f>VLOOKUP('Fichas clínicas'!AG1379,razas!$A$2:$D$66,3,FALSE)</f>
        <v>56</v>
      </c>
      <c r="AI1379" t="str">
        <f t="shared" si="65"/>
        <v>H</v>
      </c>
    </row>
    <row r="1380" spans="1:35" x14ac:dyDescent="0.2">
      <c r="A1380">
        <v>1382</v>
      </c>
      <c r="B1380" t="s">
        <v>3158</v>
      </c>
      <c r="C1380" t="s">
        <v>3159</v>
      </c>
      <c r="D1380" t="s">
        <v>2959</v>
      </c>
      <c r="E1380" t="s">
        <v>2960</v>
      </c>
      <c r="F1380" t="s">
        <v>34</v>
      </c>
      <c r="G1380" t="s">
        <v>3160</v>
      </c>
      <c r="J1380" t="s">
        <v>3161</v>
      </c>
      <c r="K1380" t="s">
        <v>38</v>
      </c>
      <c r="L1380" t="s">
        <v>38</v>
      </c>
      <c r="M1380" t="s">
        <v>38</v>
      </c>
      <c r="N1380" t="s">
        <v>38</v>
      </c>
      <c r="O1380" t="s">
        <v>38</v>
      </c>
      <c r="T1380" t="s">
        <v>38</v>
      </c>
      <c r="U1380">
        <v>0</v>
      </c>
      <c r="W1380">
        <v>0</v>
      </c>
      <c r="X1380">
        <v>0</v>
      </c>
      <c r="Y1380">
        <v>0</v>
      </c>
      <c r="AE1380">
        <f t="shared" si="63"/>
        <v>1</v>
      </c>
      <c r="AF1380">
        <f>VLOOKUP(D1380,especies!$A$2:$C$9,3,FALSE)</f>
        <v>7</v>
      </c>
      <c r="AG1380" t="str">
        <f t="shared" si="64"/>
        <v>7-Tortuga de oreja roja</v>
      </c>
      <c r="AH1380">
        <f>VLOOKUP('Fichas clínicas'!AG1380,razas!$A$2:$D$66,3,FALSE)</f>
        <v>64</v>
      </c>
      <c r="AI1380" t="str">
        <f t="shared" si="65"/>
        <v>H</v>
      </c>
    </row>
    <row r="1381" spans="1:35" x14ac:dyDescent="0.2">
      <c r="A1381">
        <v>1383</v>
      </c>
      <c r="B1381" t="s">
        <v>3162</v>
      </c>
      <c r="C1381" t="s">
        <v>2331</v>
      </c>
      <c r="D1381" t="s">
        <v>32</v>
      </c>
      <c r="E1381" t="s">
        <v>33</v>
      </c>
      <c r="F1381" t="s">
        <v>34</v>
      </c>
      <c r="G1381" t="s">
        <v>3163</v>
      </c>
      <c r="I1381">
        <v>900215000318794</v>
      </c>
      <c r="J1381" t="s">
        <v>645</v>
      </c>
      <c r="K1381" t="s">
        <v>38</v>
      </c>
      <c r="L1381" t="s">
        <v>38</v>
      </c>
      <c r="M1381" t="s">
        <v>38</v>
      </c>
      <c r="N1381" t="s">
        <v>38</v>
      </c>
      <c r="O1381" t="s">
        <v>38</v>
      </c>
      <c r="Q1381">
        <v>0</v>
      </c>
      <c r="T1381" t="s">
        <v>38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f t="shared" si="63"/>
        <v>1</v>
      </c>
      <c r="AF1381">
        <f>VLOOKUP(D1381,especies!$A$2:$C$9,3,FALSE)</f>
        <v>1</v>
      </c>
      <c r="AG1381" t="str">
        <f t="shared" si="64"/>
        <v>1-Mestizo</v>
      </c>
      <c r="AH1381">
        <f>VLOOKUP('Fichas clínicas'!AG1381,razas!$A$2:$D$66,3,FALSE)</f>
        <v>1</v>
      </c>
      <c r="AI1381" t="str">
        <f t="shared" si="65"/>
        <v>H</v>
      </c>
    </row>
    <row r="1382" spans="1:35" x14ac:dyDescent="0.2">
      <c r="A1382">
        <v>1384</v>
      </c>
      <c r="B1382" t="s">
        <v>3164</v>
      </c>
      <c r="C1382" t="s">
        <v>3165</v>
      </c>
      <c r="D1382" t="s">
        <v>32</v>
      </c>
      <c r="E1382" t="s">
        <v>33</v>
      </c>
      <c r="F1382" t="s">
        <v>34</v>
      </c>
      <c r="G1382" t="s">
        <v>3022</v>
      </c>
      <c r="J1382" t="s">
        <v>3166</v>
      </c>
      <c r="K1382" t="s">
        <v>38</v>
      </c>
      <c r="L1382" t="s">
        <v>38</v>
      </c>
      <c r="M1382" t="s">
        <v>38</v>
      </c>
      <c r="N1382" t="s">
        <v>38</v>
      </c>
      <c r="O1382" t="s">
        <v>38</v>
      </c>
      <c r="T1382" t="s">
        <v>38</v>
      </c>
      <c r="U1382">
        <v>0</v>
      </c>
      <c r="V1382">
        <v>1</v>
      </c>
      <c r="W1382">
        <v>0</v>
      </c>
      <c r="X1382">
        <v>0</v>
      </c>
      <c r="Y1382">
        <v>0</v>
      </c>
      <c r="AE1382">
        <f t="shared" si="63"/>
        <v>1</v>
      </c>
      <c r="AF1382">
        <f>VLOOKUP(D1382,especies!$A$2:$C$9,3,FALSE)</f>
        <v>1</v>
      </c>
      <c r="AG1382" t="str">
        <f t="shared" si="64"/>
        <v>1-Mestizo</v>
      </c>
      <c r="AH1382">
        <f>VLOOKUP('Fichas clínicas'!AG1382,razas!$A$2:$D$66,3,FALSE)</f>
        <v>1</v>
      </c>
      <c r="AI1382" t="str">
        <f t="shared" si="65"/>
        <v>H</v>
      </c>
    </row>
    <row r="1383" spans="1:35" x14ac:dyDescent="0.2">
      <c r="A1383">
        <v>1385</v>
      </c>
      <c r="B1383" t="s">
        <v>3167</v>
      </c>
      <c r="C1383" t="s">
        <v>3168</v>
      </c>
      <c r="D1383" t="s">
        <v>32</v>
      </c>
      <c r="E1383" t="s">
        <v>33</v>
      </c>
      <c r="F1383" t="s">
        <v>34</v>
      </c>
      <c r="G1383" t="s">
        <v>2054</v>
      </c>
      <c r="J1383" t="s">
        <v>3169</v>
      </c>
      <c r="K1383" t="s">
        <v>38</v>
      </c>
      <c r="L1383" t="s">
        <v>38</v>
      </c>
      <c r="M1383" t="s">
        <v>38</v>
      </c>
      <c r="N1383" t="s">
        <v>38</v>
      </c>
      <c r="O1383" t="s">
        <v>38</v>
      </c>
      <c r="Q1383">
        <v>0</v>
      </c>
      <c r="T1383" t="s">
        <v>38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f t="shared" si="63"/>
        <v>1</v>
      </c>
      <c r="AF1383">
        <f>VLOOKUP(D1383,especies!$A$2:$C$9,3,FALSE)</f>
        <v>1</v>
      </c>
      <c r="AG1383" t="str">
        <f t="shared" si="64"/>
        <v>1-Mestizo</v>
      </c>
      <c r="AH1383">
        <f>VLOOKUP('Fichas clínicas'!AG1383,razas!$A$2:$D$66,3,FALSE)</f>
        <v>1</v>
      </c>
      <c r="AI1383" t="str">
        <f t="shared" si="65"/>
        <v>H</v>
      </c>
    </row>
    <row r="1384" spans="1:35" x14ac:dyDescent="0.2">
      <c r="A1384">
        <v>1386</v>
      </c>
      <c r="B1384" t="s">
        <v>3170</v>
      </c>
      <c r="C1384" t="s">
        <v>3171</v>
      </c>
      <c r="D1384" t="s">
        <v>41</v>
      </c>
      <c r="E1384" t="s">
        <v>42</v>
      </c>
      <c r="F1384" t="s">
        <v>34</v>
      </c>
      <c r="G1384" t="s">
        <v>3172</v>
      </c>
      <c r="J1384" t="s">
        <v>2387</v>
      </c>
      <c r="K1384" t="s">
        <v>38</v>
      </c>
      <c r="L1384" t="s">
        <v>38</v>
      </c>
      <c r="M1384" t="s">
        <v>38</v>
      </c>
      <c r="N1384" t="s">
        <v>38</v>
      </c>
      <c r="O1384" t="s">
        <v>38</v>
      </c>
      <c r="T1384" t="s">
        <v>38</v>
      </c>
      <c r="U1384">
        <v>0</v>
      </c>
      <c r="W1384">
        <v>0</v>
      </c>
      <c r="X1384">
        <v>0</v>
      </c>
      <c r="Y1384">
        <v>0</v>
      </c>
      <c r="AE1384">
        <f t="shared" si="63"/>
        <v>1</v>
      </c>
      <c r="AF1384">
        <f>VLOOKUP(D1384,especies!$A$2:$C$9,3,FALSE)</f>
        <v>2</v>
      </c>
      <c r="AG1384" t="str">
        <f t="shared" si="64"/>
        <v>2-DPC (Doméstico de pelo corto o DSH)</v>
      </c>
      <c r="AH1384">
        <f>VLOOKUP('Fichas clínicas'!AG1384,razas!$A$2:$D$66,3,FALSE)</f>
        <v>51</v>
      </c>
      <c r="AI1384" t="str">
        <f t="shared" si="65"/>
        <v>H</v>
      </c>
    </row>
    <row r="1385" spans="1:35" x14ac:dyDescent="0.2">
      <c r="A1385">
        <v>1387</v>
      </c>
      <c r="B1385" t="s">
        <v>3170</v>
      </c>
      <c r="C1385" t="s">
        <v>3173</v>
      </c>
      <c r="D1385" t="s">
        <v>41</v>
      </c>
      <c r="E1385" t="s">
        <v>93</v>
      </c>
      <c r="F1385" t="s">
        <v>34</v>
      </c>
      <c r="G1385" t="s">
        <v>1710</v>
      </c>
      <c r="J1385" t="s">
        <v>2387</v>
      </c>
      <c r="K1385" t="s">
        <v>38</v>
      </c>
      <c r="L1385" t="s">
        <v>38</v>
      </c>
      <c r="M1385" t="s">
        <v>38</v>
      </c>
      <c r="N1385" t="s">
        <v>38</v>
      </c>
      <c r="O1385" t="s">
        <v>38</v>
      </c>
      <c r="T1385" t="s">
        <v>38</v>
      </c>
      <c r="U1385">
        <v>0</v>
      </c>
      <c r="W1385">
        <v>0</v>
      </c>
      <c r="X1385">
        <v>0</v>
      </c>
      <c r="Y1385">
        <v>0</v>
      </c>
      <c r="AE1385">
        <f t="shared" si="63"/>
        <v>1</v>
      </c>
      <c r="AF1385">
        <f>VLOOKUP(D1385,especies!$A$2:$C$9,3,FALSE)</f>
        <v>2</v>
      </c>
      <c r="AG1385" t="str">
        <f t="shared" si="64"/>
        <v>2-DPL (Doméstico de pelo Largo o DLH)</v>
      </c>
      <c r="AH1385">
        <f>VLOOKUP('Fichas clínicas'!AG1385,razas!$A$2:$D$66,3,FALSE)</f>
        <v>52</v>
      </c>
      <c r="AI1385" t="str">
        <f t="shared" si="65"/>
        <v>H</v>
      </c>
    </row>
    <row r="1386" spans="1:35" x14ac:dyDescent="0.2">
      <c r="A1386">
        <v>1388</v>
      </c>
      <c r="B1386" t="s">
        <v>3174</v>
      </c>
      <c r="C1386" t="s">
        <v>613</v>
      </c>
      <c r="D1386" t="s">
        <v>32</v>
      </c>
      <c r="E1386" t="s">
        <v>33</v>
      </c>
      <c r="F1386" t="s">
        <v>34</v>
      </c>
      <c r="G1386" t="s">
        <v>740</v>
      </c>
      <c r="J1386" t="s">
        <v>1201</v>
      </c>
      <c r="K1386" t="s">
        <v>38</v>
      </c>
      <c r="L1386" t="s">
        <v>38</v>
      </c>
      <c r="M1386" t="s">
        <v>38</v>
      </c>
      <c r="N1386" t="s">
        <v>38</v>
      </c>
      <c r="O1386" t="s">
        <v>38</v>
      </c>
      <c r="T1386" t="s">
        <v>38</v>
      </c>
      <c r="U1386">
        <v>0</v>
      </c>
      <c r="W1386">
        <v>0</v>
      </c>
      <c r="X1386">
        <v>0</v>
      </c>
      <c r="Y1386">
        <v>0</v>
      </c>
      <c r="AE1386">
        <f t="shared" si="63"/>
        <v>1</v>
      </c>
      <c r="AF1386">
        <f>VLOOKUP(D1386,especies!$A$2:$C$9,3,FALSE)</f>
        <v>1</v>
      </c>
      <c r="AG1386" t="str">
        <f t="shared" si="64"/>
        <v>1-Mestizo</v>
      </c>
      <c r="AH1386">
        <f>VLOOKUP('Fichas clínicas'!AG1386,razas!$A$2:$D$66,3,FALSE)</f>
        <v>1</v>
      </c>
      <c r="AI1386" t="str">
        <f t="shared" si="65"/>
        <v>H</v>
      </c>
    </row>
    <row r="1387" spans="1:35" x14ac:dyDescent="0.2">
      <c r="A1387">
        <v>1389</v>
      </c>
      <c r="B1387" t="s">
        <v>1254</v>
      </c>
      <c r="C1387" t="s">
        <v>1584</v>
      </c>
      <c r="D1387" t="s">
        <v>32</v>
      </c>
      <c r="E1387" t="s">
        <v>33</v>
      </c>
      <c r="F1387" t="s">
        <v>47</v>
      </c>
      <c r="G1387" t="s">
        <v>3175</v>
      </c>
      <c r="J1387" t="s">
        <v>3176</v>
      </c>
      <c r="K1387" t="s">
        <v>38</v>
      </c>
      <c r="L1387" t="s">
        <v>38</v>
      </c>
      <c r="M1387" t="s">
        <v>38</v>
      </c>
      <c r="N1387" t="s">
        <v>38</v>
      </c>
      <c r="O1387" t="s">
        <v>38</v>
      </c>
      <c r="T1387" t="s">
        <v>38</v>
      </c>
      <c r="U1387">
        <v>0</v>
      </c>
      <c r="W1387">
        <v>0</v>
      </c>
      <c r="X1387">
        <v>0</v>
      </c>
      <c r="Y1387">
        <v>0</v>
      </c>
      <c r="AE1387">
        <f t="shared" si="63"/>
        <v>1</v>
      </c>
      <c r="AF1387">
        <f>VLOOKUP(D1387,especies!$A$2:$C$9,3,FALSE)</f>
        <v>1</v>
      </c>
      <c r="AG1387" t="str">
        <f t="shared" si="64"/>
        <v>1-Mestizo</v>
      </c>
      <c r="AH1387">
        <f>VLOOKUP('Fichas clínicas'!AG1387,razas!$A$2:$D$66,3,FALSE)</f>
        <v>1</v>
      </c>
      <c r="AI1387" t="str">
        <f t="shared" si="65"/>
        <v>M</v>
      </c>
    </row>
    <row r="1388" spans="1:35" x14ac:dyDescent="0.2">
      <c r="A1388">
        <v>1390</v>
      </c>
      <c r="B1388" t="s">
        <v>460</v>
      </c>
      <c r="C1388" t="s">
        <v>3177</v>
      </c>
      <c r="D1388" t="s">
        <v>32</v>
      </c>
      <c r="E1388" t="s">
        <v>33</v>
      </c>
      <c r="F1388" t="s">
        <v>47</v>
      </c>
      <c r="G1388" t="s">
        <v>2436</v>
      </c>
      <c r="J1388" t="s">
        <v>1434</v>
      </c>
      <c r="K1388" t="s">
        <v>38</v>
      </c>
      <c r="L1388" t="s">
        <v>38</v>
      </c>
      <c r="M1388" t="s">
        <v>38</v>
      </c>
      <c r="N1388" t="s">
        <v>38</v>
      </c>
      <c r="O1388" t="s">
        <v>38</v>
      </c>
      <c r="T1388" t="s">
        <v>38</v>
      </c>
      <c r="U1388">
        <v>0</v>
      </c>
      <c r="W1388">
        <v>0</v>
      </c>
      <c r="X1388">
        <v>0</v>
      </c>
      <c r="Y1388">
        <v>0</v>
      </c>
      <c r="AE1388">
        <f t="shared" si="63"/>
        <v>1</v>
      </c>
      <c r="AF1388">
        <f>VLOOKUP(D1388,especies!$A$2:$C$9,3,FALSE)</f>
        <v>1</v>
      </c>
      <c r="AG1388" t="str">
        <f t="shared" si="64"/>
        <v>1-Mestizo</v>
      </c>
      <c r="AH1388">
        <f>VLOOKUP('Fichas clínicas'!AG1388,razas!$A$2:$D$66,3,FALSE)</f>
        <v>1</v>
      </c>
      <c r="AI1388" t="str">
        <f t="shared" si="65"/>
        <v>M</v>
      </c>
    </row>
    <row r="1389" spans="1:35" x14ac:dyDescent="0.2">
      <c r="A1389">
        <v>1391</v>
      </c>
      <c r="B1389" t="s">
        <v>3178</v>
      </c>
      <c r="C1389" t="s">
        <v>2189</v>
      </c>
      <c r="D1389" t="s">
        <v>32</v>
      </c>
      <c r="E1389" t="s">
        <v>150</v>
      </c>
      <c r="F1389" t="s">
        <v>47</v>
      </c>
      <c r="G1389" t="s">
        <v>102</v>
      </c>
      <c r="J1389" t="s">
        <v>3179</v>
      </c>
      <c r="K1389" t="s">
        <v>38</v>
      </c>
      <c r="L1389" t="s">
        <v>38</v>
      </c>
      <c r="M1389" t="s">
        <v>38</v>
      </c>
      <c r="N1389" t="s">
        <v>38</v>
      </c>
      <c r="O1389" t="s">
        <v>38</v>
      </c>
      <c r="Q1389">
        <v>0</v>
      </c>
      <c r="T1389" t="s">
        <v>38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f t="shared" si="63"/>
        <v>1</v>
      </c>
      <c r="AF1389">
        <f>VLOOKUP(D1389,especies!$A$2:$C$9,3,FALSE)</f>
        <v>1</v>
      </c>
      <c r="AG1389" t="str">
        <f t="shared" si="64"/>
        <v>1-Poodle</v>
      </c>
      <c r="AH1389">
        <f>VLOOKUP('Fichas clínicas'!AG1389,razas!$A$2:$D$66,3,FALSE)</f>
        <v>6</v>
      </c>
      <c r="AI1389" t="str">
        <f t="shared" si="65"/>
        <v>M</v>
      </c>
    </row>
    <row r="1390" spans="1:35" x14ac:dyDescent="0.2">
      <c r="A1390">
        <v>1392</v>
      </c>
      <c r="B1390" t="s">
        <v>3180</v>
      </c>
      <c r="C1390" t="s">
        <v>3181</v>
      </c>
      <c r="D1390" t="s">
        <v>41</v>
      </c>
      <c r="E1390" t="s">
        <v>42</v>
      </c>
      <c r="F1390" t="s">
        <v>47</v>
      </c>
      <c r="G1390" t="s">
        <v>43</v>
      </c>
      <c r="J1390" t="s">
        <v>1434</v>
      </c>
      <c r="K1390" t="s">
        <v>38</v>
      </c>
      <c r="L1390" t="s">
        <v>38</v>
      </c>
      <c r="M1390" t="s">
        <v>38</v>
      </c>
      <c r="N1390" t="s">
        <v>38</v>
      </c>
      <c r="O1390" t="s">
        <v>38</v>
      </c>
      <c r="T1390" t="s">
        <v>38</v>
      </c>
      <c r="U1390">
        <v>0</v>
      </c>
      <c r="W1390">
        <v>0</v>
      </c>
      <c r="X1390">
        <v>0</v>
      </c>
      <c r="Y1390">
        <v>0</v>
      </c>
      <c r="AE1390">
        <f t="shared" si="63"/>
        <v>1</v>
      </c>
      <c r="AF1390">
        <f>VLOOKUP(D1390,especies!$A$2:$C$9,3,FALSE)</f>
        <v>2</v>
      </c>
      <c r="AG1390" t="str">
        <f t="shared" si="64"/>
        <v>2-DPC (Doméstico de pelo corto o DSH)</v>
      </c>
      <c r="AH1390">
        <f>VLOOKUP('Fichas clínicas'!AG1390,razas!$A$2:$D$66,3,FALSE)</f>
        <v>51</v>
      </c>
      <c r="AI1390" t="str">
        <f t="shared" si="65"/>
        <v>M</v>
      </c>
    </row>
    <row r="1391" spans="1:35" x14ac:dyDescent="0.2">
      <c r="A1391">
        <v>1393</v>
      </c>
      <c r="B1391" t="s">
        <v>2733</v>
      </c>
      <c r="C1391" t="s">
        <v>646</v>
      </c>
      <c r="D1391" t="s">
        <v>32</v>
      </c>
      <c r="E1391" t="s">
        <v>638</v>
      </c>
      <c r="F1391" t="s">
        <v>47</v>
      </c>
      <c r="G1391" t="s">
        <v>165</v>
      </c>
      <c r="J1391" t="s">
        <v>288</v>
      </c>
      <c r="K1391" t="s">
        <v>38</v>
      </c>
      <c r="L1391" t="s">
        <v>38</v>
      </c>
      <c r="M1391" t="s">
        <v>38</v>
      </c>
      <c r="N1391" t="s">
        <v>38</v>
      </c>
      <c r="O1391" t="s">
        <v>38</v>
      </c>
      <c r="T1391" t="s">
        <v>38</v>
      </c>
      <c r="U1391">
        <v>0</v>
      </c>
      <c r="W1391">
        <v>0</v>
      </c>
      <c r="X1391">
        <v>0</v>
      </c>
      <c r="Y1391">
        <v>0</v>
      </c>
      <c r="AE1391">
        <f t="shared" si="63"/>
        <v>1</v>
      </c>
      <c r="AF1391">
        <f>VLOOKUP(D1391,especies!$A$2:$C$9,3,FALSE)</f>
        <v>1</v>
      </c>
      <c r="AG1391" t="str">
        <f t="shared" si="64"/>
        <v>1-Malamute de Alaska</v>
      </c>
      <c r="AH1391">
        <f>VLOOKUP('Fichas clínicas'!AG1391,razas!$A$2:$D$66,3,FALSE)</f>
        <v>17</v>
      </c>
      <c r="AI1391" t="str">
        <f t="shared" si="65"/>
        <v>M</v>
      </c>
    </row>
    <row r="1392" spans="1:35" x14ac:dyDescent="0.2">
      <c r="A1392">
        <v>1394</v>
      </c>
      <c r="B1392" t="s">
        <v>3182</v>
      </c>
      <c r="C1392" t="s">
        <v>347</v>
      </c>
      <c r="D1392" t="s">
        <v>32</v>
      </c>
      <c r="E1392" t="s">
        <v>2200</v>
      </c>
      <c r="F1392" t="s">
        <v>34</v>
      </c>
      <c r="G1392" t="s">
        <v>123</v>
      </c>
      <c r="J1392" t="s">
        <v>3183</v>
      </c>
      <c r="K1392" t="s">
        <v>38</v>
      </c>
      <c r="L1392" t="s">
        <v>38</v>
      </c>
      <c r="M1392" t="s">
        <v>38</v>
      </c>
      <c r="N1392" t="s">
        <v>38</v>
      </c>
      <c r="O1392" t="s">
        <v>38</v>
      </c>
      <c r="T1392" t="s">
        <v>38</v>
      </c>
      <c r="U1392">
        <v>0</v>
      </c>
      <c r="V1392">
        <v>1</v>
      </c>
      <c r="W1392">
        <v>0</v>
      </c>
      <c r="X1392">
        <v>0</v>
      </c>
      <c r="Y1392">
        <v>0</v>
      </c>
      <c r="AE1392">
        <f t="shared" si="63"/>
        <v>1</v>
      </c>
      <c r="AF1392">
        <f>VLOOKUP(D1392,especies!$A$2:$C$9,3,FALSE)</f>
        <v>1</v>
      </c>
      <c r="AG1392" t="str">
        <f t="shared" si="64"/>
        <v>1-Bichón Maltes</v>
      </c>
      <c r="AH1392">
        <f>VLOOKUP('Fichas clínicas'!AG1392,razas!$A$2:$D$66,3,FALSE)</f>
        <v>37</v>
      </c>
      <c r="AI1392" t="str">
        <f t="shared" si="65"/>
        <v>H</v>
      </c>
    </row>
    <row r="1393" spans="1:35" x14ac:dyDescent="0.2">
      <c r="A1393">
        <v>1395</v>
      </c>
      <c r="B1393" t="s">
        <v>3184</v>
      </c>
      <c r="C1393" t="s">
        <v>3185</v>
      </c>
      <c r="D1393" t="s">
        <v>41</v>
      </c>
      <c r="E1393" t="s">
        <v>42</v>
      </c>
      <c r="F1393" t="s">
        <v>34</v>
      </c>
      <c r="G1393" t="s">
        <v>3163</v>
      </c>
      <c r="J1393" t="s">
        <v>3186</v>
      </c>
      <c r="K1393" t="s">
        <v>38</v>
      </c>
      <c r="L1393" t="s">
        <v>38</v>
      </c>
      <c r="M1393" t="s">
        <v>38</v>
      </c>
      <c r="N1393" t="s">
        <v>38</v>
      </c>
      <c r="O1393" t="s">
        <v>38</v>
      </c>
      <c r="T1393" t="s">
        <v>38</v>
      </c>
      <c r="U1393">
        <v>0</v>
      </c>
      <c r="V1393">
        <v>1</v>
      </c>
      <c r="W1393">
        <v>0</v>
      </c>
      <c r="X1393">
        <v>0</v>
      </c>
      <c r="Y1393">
        <v>0</v>
      </c>
      <c r="AE1393">
        <f t="shared" si="63"/>
        <v>1</v>
      </c>
      <c r="AF1393">
        <f>VLOOKUP(D1393,especies!$A$2:$C$9,3,FALSE)</f>
        <v>2</v>
      </c>
      <c r="AG1393" t="str">
        <f t="shared" si="64"/>
        <v>2-DPC (Doméstico de pelo corto o DSH)</v>
      </c>
      <c r="AH1393">
        <f>VLOOKUP('Fichas clínicas'!AG1393,razas!$A$2:$D$66,3,FALSE)</f>
        <v>51</v>
      </c>
      <c r="AI1393" t="str">
        <f t="shared" si="65"/>
        <v>H</v>
      </c>
    </row>
    <row r="1394" spans="1:35" x14ac:dyDescent="0.2">
      <c r="A1394">
        <v>1396</v>
      </c>
      <c r="B1394" t="s">
        <v>2479</v>
      </c>
      <c r="C1394" t="s">
        <v>3187</v>
      </c>
      <c r="D1394" t="s">
        <v>32</v>
      </c>
      <c r="E1394" t="s">
        <v>150</v>
      </c>
      <c r="F1394" t="s">
        <v>47</v>
      </c>
      <c r="G1394" t="s">
        <v>351</v>
      </c>
      <c r="I1394">
        <v>992001000304795</v>
      </c>
      <c r="J1394" t="s">
        <v>493</v>
      </c>
      <c r="K1394" t="s">
        <v>38</v>
      </c>
      <c r="L1394" t="s">
        <v>38</v>
      </c>
      <c r="M1394" t="s">
        <v>38</v>
      </c>
      <c r="N1394" t="s">
        <v>38</v>
      </c>
      <c r="O1394" t="s">
        <v>38</v>
      </c>
      <c r="Q1394">
        <v>0</v>
      </c>
      <c r="T1394" t="s">
        <v>38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f t="shared" si="63"/>
        <v>1</v>
      </c>
      <c r="AF1394">
        <f>VLOOKUP(D1394,especies!$A$2:$C$9,3,FALSE)</f>
        <v>1</v>
      </c>
      <c r="AG1394" t="str">
        <f t="shared" si="64"/>
        <v>1-Poodle</v>
      </c>
      <c r="AH1394">
        <f>VLOOKUP('Fichas clínicas'!AG1394,razas!$A$2:$D$66,3,FALSE)</f>
        <v>6</v>
      </c>
      <c r="AI1394" t="str">
        <f t="shared" si="65"/>
        <v>M</v>
      </c>
    </row>
    <row r="1395" spans="1:35" x14ac:dyDescent="0.2">
      <c r="A1395">
        <v>1397</v>
      </c>
      <c r="B1395" t="s">
        <v>2641</v>
      </c>
      <c r="C1395" t="s">
        <v>1632</v>
      </c>
      <c r="D1395" t="s">
        <v>41</v>
      </c>
      <c r="E1395" t="s">
        <v>42</v>
      </c>
      <c r="F1395" t="s">
        <v>34</v>
      </c>
      <c r="G1395" t="s">
        <v>3188</v>
      </c>
      <c r="J1395" t="s">
        <v>330</v>
      </c>
      <c r="K1395" t="s">
        <v>38</v>
      </c>
      <c r="L1395" t="s">
        <v>38</v>
      </c>
      <c r="M1395" t="s">
        <v>38</v>
      </c>
      <c r="N1395" t="s">
        <v>38</v>
      </c>
      <c r="O1395" t="s">
        <v>38</v>
      </c>
      <c r="T1395" t="s">
        <v>38</v>
      </c>
      <c r="U1395">
        <v>0</v>
      </c>
      <c r="V1395">
        <v>1</v>
      </c>
      <c r="W1395">
        <v>0</v>
      </c>
      <c r="X1395">
        <v>0</v>
      </c>
      <c r="Y1395">
        <v>0</v>
      </c>
      <c r="AE1395">
        <f t="shared" si="63"/>
        <v>1</v>
      </c>
      <c r="AF1395">
        <f>VLOOKUP(D1395,especies!$A$2:$C$9,3,FALSE)</f>
        <v>2</v>
      </c>
      <c r="AG1395" t="str">
        <f t="shared" si="64"/>
        <v>2-DPC (Doméstico de pelo corto o DSH)</v>
      </c>
      <c r="AH1395">
        <f>VLOOKUP('Fichas clínicas'!AG1395,razas!$A$2:$D$66,3,FALSE)</f>
        <v>51</v>
      </c>
      <c r="AI1395" t="str">
        <f t="shared" si="65"/>
        <v>H</v>
      </c>
    </row>
    <row r="1396" spans="1:35" x14ac:dyDescent="0.2">
      <c r="A1396">
        <v>1398</v>
      </c>
      <c r="B1396" t="s">
        <v>3189</v>
      </c>
      <c r="C1396" t="s">
        <v>3190</v>
      </c>
      <c r="D1396" t="s">
        <v>41</v>
      </c>
      <c r="E1396" t="s">
        <v>42</v>
      </c>
      <c r="F1396" t="s">
        <v>47</v>
      </c>
      <c r="G1396" t="s">
        <v>2827</v>
      </c>
      <c r="J1396" t="s">
        <v>841</v>
      </c>
      <c r="K1396" t="s">
        <v>38</v>
      </c>
      <c r="L1396" t="s">
        <v>38</v>
      </c>
      <c r="M1396" t="s">
        <v>38</v>
      </c>
      <c r="N1396" t="s">
        <v>38</v>
      </c>
      <c r="O1396" t="s">
        <v>38</v>
      </c>
      <c r="T1396" t="s">
        <v>38</v>
      </c>
      <c r="U1396">
        <v>0</v>
      </c>
      <c r="W1396">
        <v>0</v>
      </c>
      <c r="X1396">
        <v>0</v>
      </c>
      <c r="Y1396">
        <v>0</v>
      </c>
      <c r="AE1396">
        <f t="shared" si="63"/>
        <v>1</v>
      </c>
      <c r="AF1396">
        <f>VLOOKUP(D1396,especies!$A$2:$C$9,3,FALSE)</f>
        <v>2</v>
      </c>
      <c r="AG1396" t="str">
        <f t="shared" si="64"/>
        <v>2-DPC (Doméstico de pelo corto o DSH)</v>
      </c>
      <c r="AH1396">
        <f>VLOOKUP('Fichas clínicas'!AG1396,razas!$A$2:$D$66,3,FALSE)</f>
        <v>51</v>
      </c>
      <c r="AI1396" t="str">
        <f t="shared" si="65"/>
        <v>M</v>
      </c>
    </row>
    <row r="1397" spans="1:35" x14ac:dyDescent="0.2">
      <c r="A1397">
        <v>1399</v>
      </c>
      <c r="B1397" t="s">
        <v>263</v>
      </c>
      <c r="C1397" t="s">
        <v>1632</v>
      </c>
      <c r="D1397" t="s">
        <v>32</v>
      </c>
      <c r="E1397" t="s">
        <v>33</v>
      </c>
      <c r="F1397" t="s">
        <v>34</v>
      </c>
      <c r="G1397" t="s">
        <v>2878</v>
      </c>
      <c r="J1397" t="s">
        <v>3191</v>
      </c>
      <c r="K1397" t="s">
        <v>38</v>
      </c>
      <c r="L1397" t="s">
        <v>38</v>
      </c>
      <c r="M1397" t="s">
        <v>38</v>
      </c>
      <c r="N1397" t="s">
        <v>38</v>
      </c>
      <c r="O1397" t="s">
        <v>38</v>
      </c>
      <c r="T1397" t="s">
        <v>38</v>
      </c>
      <c r="U1397">
        <v>0</v>
      </c>
      <c r="V1397">
        <v>1</v>
      </c>
      <c r="W1397">
        <v>0</v>
      </c>
      <c r="X1397">
        <v>0</v>
      </c>
      <c r="Y1397">
        <v>0</v>
      </c>
      <c r="AE1397">
        <f t="shared" si="63"/>
        <v>1</v>
      </c>
      <c r="AF1397">
        <f>VLOOKUP(D1397,especies!$A$2:$C$9,3,FALSE)</f>
        <v>1</v>
      </c>
      <c r="AG1397" t="str">
        <f t="shared" si="64"/>
        <v>1-Mestizo</v>
      </c>
      <c r="AH1397">
        <f>VLOOKUP('Fichas clínicas'!AG1397,razas!$A$2:$D$66,3,FALSE)</f>
        <v>1</v>
      </c>
      <c r="AI1397" t="str">
        <f t="shared" si="65"/>
        <v>H</v>
      </c>
    </row>
    <row r="1398" spans="1:35" x14ac:dyDescent="0.2">
      <c r="A1398">
        <v>1400</v>
      </c>
      <c r="B1398" t="s">
        <v>2740</v>
      </c>
      <c r="C1398" t="s">
        <v>1049</v>
      </c>
      <c r="D1398" t="s">
        <v>41</v>
      </c>
      <c r="E1398" t="s">
        <v>42</v>
      </c>
      <c r="F1398" t="s">
        <v>47</v>
      </c>
      <c r="G1398" t="s">
        <v>123</v>
      </c>
      <c r="I1398">
        <v>900113001676290</v>
      </c>
      <c r="J1398" t="s">
        <v>130</v>
      </c>
      <c r="K1398" t="s">
        <v>38</v>
      </c>
      <c r="L1398" t="s">
        <v>38</v>
      </c>
      <c r="M1398" t="s">
        <v>38</v>
      </c>
      <c r="N1398" t="s">
        <v>38</v>
      </c>
      <c r="O1398" t="s">
        <v>38</v>
      </c>
      <c r="Q1398">
        <v>0</v>
      </c>
      <c r="T1398" t="s">
        <v>38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f t="shared" si="63"/>
        <v>1</v>
      </c>
      <c r="AF1398">
        <f>VLOOKUP(D1398,especies!$A$2:$C$9,3,FALSE)</f>
        <v>2</v>
      </c>
      <c r="AG1398" t="str">
        <f t="shared" si="64"/>
        <v>2-DPC (Doméstico de pelo corto o DSH)</v>
      </c>
      <c r="AH1398">
        <f>VLOOKUP('Fichas clínicas'!AG1398,razas!$A$2:$D$66,3,FALSE)</f>
        <v>51</v>
      </c>
      <c r="AI1398" t="str">
        <f t="shared" si="65"/>
        <v>M</v>
      </c>
    </row>
    <row r="1399" spans="1:35" x14ac:dyDescent="0.2">
      <c r="A1399">
        <v>1401</v>
      </c>
      <c r="B1399" t="s">
        <v>3192</v>
      </c>
      <c r="C1399" t="s">
        <v>3193</v>
      </c>
      <c r="D1399" t="s">
        <v>41</v>
      </c>
      <c r="E1399" t="s">
        <v>93</v>
      </c>
      <c r="F1399" t="s">
        <v>47</v>
      </c>
      <c r="G1399" t="s">
        <v>1708</v>
      </c>
      <c r="J1399" t="s">
        <v>103</v>
      </c>
      <c r="K1399" t="s">
        <v>38</v>
      </c>
      <c r="L1399" t="s">
        <v>38</v>
      </c>
      <c r="M1399" t="s">
        <v>38</v>
      </c>
      <c r="N1399" t="s">
        <v>38</v>
      </c>
      <c r="O1399" t="s">
        <v>38</v>
      </c>
      <c r="T1399" t="s">
        <v>38</v>
      </c>
      <c r="U1399">
        <v>0</v>
      </c>
      <c r="V1399">
        <v>1</v>
      </c>
      <c r="W1399">
        <v>0</v>
      </c>
      <c r="X1399">
        <v>0</v>
      </c>
      <c r="Y1399">
        <v>0</v>
      </c>
      <c r="AE1399">
        <f t="shared" si="63"/>
        <v>1</v>
      </c>
      <c r="AF1399">
        <f>VLOOKUP(D1399,especies!$A$2:$C$9,3,FALSE)</f>
        <v>2</v>
      </c>
      <c r="AG1399" t="str">
        <f t="shared" si="64"/>
        <v>2-DPL (Doméstico de pelo Largo o DLH)</v>
      </c>
      <c r="AH1399">
        <f>VLOOKUP('Fichas clínicas'!AG1399,razas!$A$2:$D$66,3,FALSE)</f>
        <v>52</v>
      </c>
      <c r="AI1399" t="str">
        <f t="shared" si="65"/>
        <v>M</v>
      </c>
    </row>
    <row r="1400" spans="1:35" x14ac:dyDescent="0.2">
      <c r="A1400">
        <v>1402</v>
      </c>
      <c r="B1400" t="s">
        <v>2602</v>
      </c>
      <c r="C1400" t="s">
        <v>1117</v>
      </c>
      <c r="D1400" t="s">
        <v>41</v>
      </c>
      <c r="E1400" t="s">
        <v>42</v>
      </c>
      <c r="F1400" t="s">
        <v>47</v>
      </c>
      <c r="G1400" t="s">
        <v>277</v>
      </c>
      <c r="I1400">
        <v>985120031797431</v>
      </c>
      <c r="J1400" t="s">
        <v>1412</v>
      </c>
      <c r="K1400" t="s">
        <v>38</v>
      </c>
      <c r="L1400" t="s">
        <v>38</v>
      </c>
      <c r="M1400" t="s">
        <v>38</v>
      </c>
      <c r="N1400" t="s">
        <v>38</v>
      </c>
      <c r="O1400" t="s">
        <v>38</v>
      </c>
      <c r="Q1400">
        <v>0</v>
      </c>
      <c r="T1400" t="s">
        <v>38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f t="shared" si="63"/>
        <v>1</v>
      </c>
      <c r="AF1400">
        <f>VLOOKUP(D1400,especies!$A$2:$C$9,3,FALSE)</f>
        <v>2</v>
      </c>
      <c r="AG1400" t="str">
        <f t="shared" si="64"/>
        <v>2-DPC (Doméstico de pelo corto o DSH)</v>
      </c>
      <c r="AH1400">
        <f>VLOOKUP('Fichas clínicas'!AG1400,razas!$A$2:$D$66,3,FALSE)</f>
        <v>51</v>
      </c>
      <c r="AI1400" t="str">
        <f t="shared" si="65"/>
        <v>M</v>
      </c>
    </row>
    <row r="1401" spans="1:35" x14ac:dyDescent="0.2">
      <c r="A1401">
        <v>1403</v>
      </c>
      <c r="B1401" t="s">
        <v>91</v>
      </c>
      <c r="C1401" t="s">
        <v>3194</v>
      </c>
      <c r="D1401" t="s">
        <v>41</v>
      </c>
      <c r="E1401" t="s">
        <v>42</v>
      </c>
      <c r="F1401" t="s">
        <v>47</v>
      </c>
      <c r="G1401" t="s">
        <v>3195</v>
      </c>
      <c r="J1401" t="s">
        <v>3196</v>
      </c>
      <c r="K1401" t="s">
        <v>38</v>
      </c>
      <c r="L1401" t="s">
        <v>38</v>
      </c>
      <c r="M1401" t="s">
        <v>38</v>
      </c>
      <c r="N1401" t="s">
        <v>38</v>
      </c>
      <c r="O1401" t="s">
        <v>38</v>
      </c>
      <c r="T1401" t="s">
        <v>38</v>
      </c>
      <c r="U1401">
        <v>0</v>
      </c>
      <c r="V1401">
        <v>1</v>
      </c>
      <c r="W1401">
        <v>0</v>
      </c>
      <c r="X1401">
        <v>0</v>
      </c>
      <c r="Y1401">
        <v>0</v>
      </c>
      <c r="AE1401">
        <f t="shared" si="63"/>
        <v>1</v>
      </c>
      <c r="AF1401">
        <f>VLOOKUP(D1401,especies!$A$2:$C$9,3,FALSE)</f>
        <v>2</v>
      </c>
      <c r="AG1401" t="str">
        <f t="shared" si="64"/>
        <v>2-DPC (Doméstico de pelo corto o DSH)</v>
      </c>
      <c r="AH1401">
        <f>VLOOKUP('Fichas clínicas'!AG1401,razas!$A$2:$D$66,3,FALSE)</f>
        <v>51</v>
      </c>
      <c r="AI1401" t="str">
        <f t="shared" si="65"/>
        <v>M</v>
      </c>
    </row>
    <row r="1402" spans="1:35" x14ac:dyDescent="0.2">
      <c r="A1402">
        <v>1404</v>
      </c>
      <c r="B1402" t="s">
        <v>3197</v>
      </c>
      <c r="C1402" t="s">
        <v>2239</v>
      </c>
      <c r="D1402" t="s">
        <v>32</v>
      </c>
      <c r="E1402" t="s">
        <v>33</v>
      </c>
      <c r="F1402" t="s">
        <v>34</v>
      </c>
      <c r="G1402" t="s">
        <v>3116</v>
      </c>
      <c r="J1402" t="s">
        <v>3198</v>
      </c>
      <c r="K1402" t="s">
        <v>38</v>
      </c>
      <c r="L1402" t="s">
        <v>38</v>
      </c>
      <c r="M1402" t="s">
        <v>38</v>
      </c>
      <c r="N1402" t="s">
        <v>38</v>
      </c>
      <c r="O1402" t="s">
        <v>38</v>
      </c>
      <c r="T1402" t="s">
        <v>38</v>
      </c>
      <c r="U1402">
        <v>0</v>
      </c>
      <c r="V1402">
        <v>1</v>
      </c>
      <c r="W1402">
        <v>0</v>
      </c>
      <c r="X1402">
        <v>0</v>
      </c>
      <c r="Y1402">
        <v>0</v>
      </c>
      <c r="AE1402">
        <f t="shared" si="63"/>
        <v>1</v>
      </c>
      <c r="AF1402">
        <f>VLOOKUP(D1402,especies!$A$2:$C$9,3,FALSE)</f>
        <v>1</v>
      </c>
      <c r="AG1402" t="str">
        <f t="shared" si="64"/>
        <v>1-Mestizo</v>
      </c>
      <c r="AH1402">
        <f>VLOOKUP('Fichas clínicas'!AG1402,razas!$A$2:$D$66,3,FALSE)</f>
        <v>1</v>
      </c>
      <c r="AI1402" t="str">
        <f t="shared" si="65"/>
        <v>H</v>
      </c>
    </row>
    <row r="1403" spans="1:35" x14ac:dyDescent="0.2">
      <c r="A1403">
        <v>1405</v>
      </c>
      <c r="B1403" t="s">
        <v>231</v>
      </c>
      <c r="C1403" t="s">
        <v>3199</v>
      </c>
      <c r="D1403" t="s">
        <v>41</v>
      </c>
      <c r="E1403" t="s">
        <v>42</v>
      </c>
      <c r="F1403" t="s">
        <v>47</v>
      </c>
      <c r="G1403" t="s">
        <v>3200</v>
      </c>
      <c r="J1403" t="s">
        <v>2970</v>
      </c>
      <c r="K1403" t="s">
        <v>38</v>
      </c>
      <c r="L1403" t="s">
        <v>38</v>
      </c>
      <c r="M1403" t="s">
        <v>38</v>
      </c>
      <c r="N1403" t="s">
        <v>38</v>
      </c>
      <c r="O1403" t="s">
        <v>38</v>
      </c>
      <c r="T1403" t="s">
        <v>38</v>
      </c>
      <c r="U1403">
        <v>0</v>
      </c>
      <c r="W1403">
        <v>0</v>
      </c>
      <c r="X1403">
        <v>0</v>
      </c>
      <c r="Y1403">
        <v>0</v>
      </c>
      <c r="AE1403">
        <f t="shared" si="63"/>
        <v>1</v>
      </c>
      <c r="AF1403">
        <f>VLOOKUP(D1403,especies!$A$2:$C$9,3,FALSE)</f>
        <v>2</v>
      </c>
      <c r="AG1403" t="str">
        <f t="shared" si="64"/>
        <v>2-DPC (Doméstico de pelo corto o DSH)</v>
      </c>
      <c r="AH1403">
        <f>VLOOKUP('Fichas clínicas'!AG1403,razas!$A$2:$D$66,3,FALSE)</f>
        <v>51</v>
      </c>
      <c r="AI1403" t="str">
        <f t="shared" si="65"/>
        <v>M</v>
      </c>
    </row>
    <row r="1404" spans="1:35" x14ac:dyDescent="0.2">
      <c r="A1404">
        <v>1406</v>
      </c>
      <c r="B1404" t="s">
        <v>1807</v>
      </c>
      <c r="C1404" t="s">
        <v>3201</v>
      </c>
      <c r="D1404" t="s">
        <v>32</v>
      </c>
      <c r="E1404" t="s">
        <v>150</v>
      </c>
      <c r="F1404" t="s">
        <v>47</v>
      </c>
      <c r="G1404" t="s">
        <v>102</v>
      </c>
      <c r="J1404" t="s">
        <v>3202</v>
      </c>
      <c r="K1404" t="s">
        <v>38</v>
      </c>
      <c r="L1404" t="s">
        <v>38</v>
      </c>
      <c r="M1404" t="s">
        <v>38</v>
      </c>
      <c r="N1404" t="s">
        <v>38</v>
      </c>
      <c r="O1404" t="s">
        <v>38</v>
      </c>
      <c r="T1404" t="s">
        <v>38</v>
      </c>
      <c r="U1404">
        <v>0</v>
      </c>
      <c r="V1404">
        <v>1</v>
      </c>
      <c r="W1404">
        <v>0</v>
      </c>
      <c r="X1404">
        <v>0</v>
      </c>
      <c r="Y1404">
        <v>0</v>
      </c>
      <c r="AE1404">
        <f t="shared" si="63"/>
        <v>1</v>
      </c>
      <c r="AF1404">
        <f>VLOOKUP(D1404,especies!$A$2:$C$9,3,FALSE)</f>
        <v>1</v>
      </c>
      <c r="AG1404" t="str">
        <f t="shared" si="64"/>
        <v>1-Poodle</v>
      </c>
      <c r="AH1404">
        <f>VLOOKUP('Fichas clínicas'!AG1404,razas!$A$2:$D$66,3,FALSE)</f>
        <v>6</v>
      </c>
      <c r="AI1404" t="str">
        <f t="shared" si="65"/>
        <v>M</v>
      </c>
    </row>
    <row r="1405" spans="1:35" x14ac:dyDescent="0.2">
      <c r="A1405">
        <v>1407</v>
      </c>
      <c r="B1405" t="s">
        <v>1807</v>
      </c>
      <c r="C1405" t="s">
        <v>2644</v>
      </c>
      <c r="D1405" t="s">
        <v>32</v>
      </c>
      <c r="E1405" t="s">
        <v>33</v>
      </c>
      <c r="F1405" t="s">
        <v>47</v>
      </c>
      <c r="G1405" t="s">
        <v>1054</v>
      </c>
      <c r="J1405" t="s">
        <v>3203</v>
      </c>
      <c r="K1405" t="s">
        <v>38</v>
      </c>
      <c r="L1405" t="s">
        <v>38</v>
      </c>
      <c r="M1405" t="s">
        <v>38</v>
      </c>
      <c r="N1405" t="s">
        <v>38</v>
      </c>
      <c r="O1405" t="s">
        <v>38</v>
      </c>
      <c r="T1405" t="s">
        <v>38</v>
      </c>
      <c r="U1405">
        <v>0</v>
      </c>
      <c r="V1405">
        <v>1</v>
      </c>
      <c r="W1405">
        <v>0</v>
      </c>
      <c r="X1405">
        <v>0</v>
      </c>
      <c r="Y1405">
        <v>0</v>
      </c>
      <c r="AE1405">
        <f t="shared" si="63"/>
        <v>1</v>
      </c>
      <c r="AF1405">
        <f>VLOOKUP(D1405,especies!$A$2:$C$9,3,FALSE)</f>
        <v>1</v>
      </c>
      <c r="AG1405" t="str">
        <f t="shared" si="64"/>
        <v>1-Mestizo</v>
      </c>
      <c r="AH1405">
        <f>VLOOKUP('Fichas clínicas'!AG1405,razas!$A$2:$D$66,3,FALSE)</f>
        <v>1</v>
      </c>
      <c r="AI1405" t="str">
        <f t="shared" si="65"/>
        <v>M</v>
      </c>
    </row>
    <row r="1406" spans="1:35" x14ac:dyDescent="0.2">
      <c r="A1406">
        <v>1408</v>
      </c>
      <c r="B1406" t="s">
        <v>3204</v>
      </c>
      <c r="C1406" t="s">
        <v>3205</v>
      </c>
      <c r="D1406" t="s">
        <v>32</v>
      </c>
      <c r="E1406" t="s">
        <v>33</v>
      </c>
      <c r="F1406" t="s">
        <v>47</v>
      </c>
      <c r="G1406" t="s">
        <v>2878</v>
      </c>
      <c r="J1406" t="s">
        <v>3206</v>
      </c>
      <c r="K1406" t="s">
        <v>38</v>
      </c>
      <c r="L1406" t="s">
        <v>38</v>
      </c>
      <c r="M1406" t="s">
        <v>38</v>
      </c>
      <c r="N1406" t="s">
        <v>38</v>
      </c>
      <c r="O1406" t="s">
        <v>38</v>
      </c>
      <c r="Q1406">
        <v>0</v>
      </c>
      <c r="T1406" t="s">
        <v>38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f t="shared" si="63"/>
        <v>1</v>
      </c>
      <c r="AF1406">
        <f>VLOOKUP(D1406,especies!$A$2:$C$9,3,FALSE)</f>
        <v>1</v>
      </c>
      <c r="AG1406" t="str">
        <f t="shared" si="64"/>
        <v>1-Mestizo</v>
      </c>
      <c r="AH1406">
        <f>VLOOKUP('Fichas clínicas'!AG1406,razas!$A$2:$D$66,3,FALSE)</f>
        <v>1</v>
      </c>
      <c r="AI1406" t="str">
        <f t="shared" si="65"/>
        <v>M</v>
      </c>
    </row>
    <row r="1407" spans="1:35" x14ac:dyDescent="0.2">
      <c r="A1407">
        <v>1409</v>
      </c>
      <c r="B1407" t="s">
        <v>3207</v>
      </c>
      <c r="C1407" t="s">
        <v>2599</v>
      </c>
      <c r="D1407" t="s">
        <v>32</v>
      </c>
      <c r="E1407" t="s">
        <v>1296</v>
      </c>
      <c r="F1407" t="s">
        <v>34</v>
      </c>
      <c r="G1407" t="s">
        <v>300</v>
      </c>
      <c r="J1407" t="s">
        <v>3208</v>
      </c>
      <c r="K1407" t="s">
        <v>38</v>
      </c>
      <c r="L1407" t="s">
        <v>38</v>
      </c>
      <c r="M1407" t="s">
        <v>38</v>
      </c>
      <c r="N1407" t="s">
        <v>38</v>
      </c>
      <c r="O1407" t="s">
        <v>38</v>
      </c>
      <c r="T1407" t="s">
        <v>38</v>
      </c>
      <c r="U1407">
        <v>0</v>
      </c>
      <c r="V1407">
        <v>1</v>
      </c>
      <c r="W1407">
        <v>0</v>
      </c>
      <c r="X1407">
        <v>0</v>
      </c>
      <c r="Y1407">
        <v>0</v>
      </c>
      <c r="AE1407">
        <f t="shared" si="63"/>
        <v>1</v>
      </c>
      <c r="AF1407">
        <f>VLOOKUP(D1407,especies!$A$2:$C$9,3,FALSE)</f>
        <v>1</v>
      </c>
      <c r="AG1407" t="str">
        <f t="shared" si="64"/>
        <v>1-Labrador Retriever</v>
      </c>
      <c r="AH1407">
        <f>VLOOKUP('Fichas clínicas'!AG1407,razas!$A$2:$D$66,3,FALSE)</f>
        <v>28</v>
      </c>
      <c r="AI1407" t="str">
        <f t="shared" si="65"/>
        <v>H</v>
      </c>
    </row>
    <row r="1408" spans="1:35" x14ac:dyDescent="0.2">
      <c r="A1408">
        <v>1410</v>
      </c>
      <c r="B1408" t="s">
        <v>475</v>
      </c>
      <c r="C1408" t="s">
        <v>3209</v>
      </c>
      <c r="D1408" t="s">
        <v>41</v>
      </c>
      <c r="E1408" t="s">
        <v>42</v>
      </c>
      <c r="F1408" t="s">
        <v>34</v>
      </c>
      <c r="G1408" t="s">
        <v>258</v>
      </c>
      <c r="J1408" t="s">
        <v>3210</v>
      </c>
      <c r="K1408" t="s">
        <v>38</v>
      </c>
      <c r="L1408" t="s">
        <v>38</v>
      </c>
      <c r="M1408" t="s">
        <v>38</v>
      </c>
      <c r="N1408" t="s">
        <v>38</v>
      </c>
      <c r="O1408" t="s">
        <v>38</v>
      </c>
      <c r="T1408" t="s">
        <v>38</v>
      </c>
      <c r="U1408">
        <v>0</v>
      </c>
      <c r="W1408">
        <v>0</v>
      </c>
      <c r="X1408">
        <v>0</v>
      </c>
      <c r="Y1408">
        <v>0</v>
      </c>
      <c r="AE1408">
        <f t="shared" si="63"/>
        <v>1</v>
      </c>
      <c r="AF1408">
        <f>VLOOKUP(D1408,especies!$A$2:$C$9,3,FALSE)</f>
        <v>2</v>
      </c>
      <c r="AG1408" t="str">
        <f t="shared" si="64"/>
        <v>2-DPC (Doméstico de pelo corto o DSH)</v>
      </c>
      <c r="AH1408">
        <f>VLOOKUP('Fichas clínicas'!AG1408,razas!$A$2:$D$66,3,FALSE)</f>
        <v>51</v>
      </c>
      <c r="AI1408" t="str">
        <f t="shared" si="65"/>
        <v>H</v>
      </c>
    </row>
    <row r="1409" spans="1:35" x14ac:dyDescent="0.2">
      <c r="A1409">
        <v>1411</v>
      </c>
      <c r="B1409" t="s">
        <v>3211</v>
      </c>
      <c r="C1409" t="s">
        <v>3212</v>
      </c>
      <c r="D1409" t="s">
        <v>32</v>
      </c>
      <c r="E1409" t="s">
        <v>33</v>
      </c>
      <c r="F1409" t="s">
        <v>47</v>
      </c>
      <c r="G1409" t="s">
        <v>1402</v>
      </c>
      <c r="J1409" t="s">
        <v>3213</v>
      </c>
      <c r="K1409" t="s">
        <v>38</v>
      </c>
      <c r="L1409" t="s">
        <v>38</v>
      </c>
      <c r="M1409" t="s">
        <v>38</v>
      </c>
      <c r="N1409" t="s">
        <v>38</v>
      </c>
      <c r="O1409" t="s">
        <v>38</v>
      </c>
      <c r="Q1409">
        <v>0</v>
      </c>
      <c r="T1409" t="s">
        <v>38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f t="shared" si="63"/>
        <v>1</v>
      </c>
      <c r="AF1409">
        <f>VLOOKUP(D1409,especies!$A$2:$C$9,3,FALSE)</f>
        <v>1</v>
      </c>
      <c r="AG1409" t="str">
        <f t="shared" si="64"/>
        <v>1-Mestizo</v>
      </c>
      <c r="AH1409">
        <f>VLOOKUP('Fichas clínicas'!AG1409,razas!$A$2:$D$66,3,FALSE)</f>
        <v>1</v>
      </c>
      <c r="AI1409" t="str">
        <f t="shared" si="65"/>
        <v>M</v>
      </c>
    </row>
    <row r="1410" spans="1:35" x14ac:dyDescent="0.2">
      <c r="A1410">
        <v>1412</v>
      </c>
      <c r="B1410" t="s">
        <v>3211</v>
      </c>
      <c r="C1410" t="s">
        <v>3214</v>
      </c>
      <c r="D1410" t="s">
        <v>32</v>
      </c>
      <c r="E1410" t="s">
        <v>33</v>
      </c>
      <c r="F1410" t="s">
        <v>47</v>
      </c>
      <c r="G1410" t="s">
        <v>1402</v>
      </c>
      <c r="J1410" t="s">
        <v>3213</v>
      </c>
      <c r="K1410" t="s">
        <v>38</v>
      </c>
      <c r="L1410" t="s">
        <v>38</v>
      </c>
      <c r="M1410" t="s">
        <v>38</v>
      </c>
      <c r="N1410" t="s">
        <v>38</v>
      </c>
      <c r="O1410" t="s">
        <v>38</v>
      </c>
      <c r="Q1410">
        <v>0</v>
      </c>
      <c r="T1410" t="s">
        <v>38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f t="shared" si="63"/>
        <v>1</v>
      </c>
      <c r="AF1410">
        <f>VLOOKUP(D1410,especies!$A$2:$C$9,3,FALSE)</f>
        <v>1</v>
      </c>
      <c r="AG1410" t="str">
        <f t="shared" si="64"/>
        <v>1-Mestizo</v>
      </c>
      <c r="AH1410">
        <f>VLOOKUP('Fichas clínicas'!AG1410,razas!$A$2:$D$66,3,FALSE)</f>
        <v>1</v>
      </c>
      <c r="AI1410" t="str">
        <f t="shared" si="65"/>
        <v>M</v>
      </c>
    </row>
    <row r="1411" spans="1:35" x14ac:dyDescent="0.2">
      <c r="A1411">
        <v>1413</v>
      </c>
      <c r="B1411" t="s">
        <v>3215</v>
      </c>
      <c r="C1411" t="s">
        <v>3216</v>
      </c>
      <c r="D1411" t="s">
        <v>41</v>
      </c>
      <c r="E1411" t="s">
        <v>42</v>
      </c>
      <c r="F1411" t="s">
        <v>34</v>
      </c>
      <c r="G1411" t="s">
        <v>1547</v>
      </c>
      <c r="J1411" t="s">
        <v>3217</v>
      </c>
      <c r="K1411" t="s">
        <v>38</v>
      </c>
      <c r="L1411" t="s">
        <v>38</v>
      </c>
      <c r="M1411" t="s">
        <v>38</v>
      </c>
      <c r="N1411" t="s">
        <v>38</v>
      </c>
      <c r="O1411" t="s">
        <v>38</v>
      </c>
      <c r="Q1411">
        <v>0</v>
      </c>
      <c r="T1411" t="s">
        <v>38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f t="shared" ref="AE1411:AE1474" si="66">SUBTOTAL(103,E1411)</f>
        <v>1</v>
      </c>
      <c r="AF1411">
        <f>VLOOKUP(D1411,especies!$A$2:$C$9,3,FALSE)</f>
        <v>2</v>
      </c>
      <c r="AG1411" t="str">
        <f t="shared" ref="AG1411:AG1474" si="67">AF1411&amp;"-"&amp;E1411</f>
        <v>2-DPC (Doméstico de pelo corto o DSH)</v>
      </c>
      <c r="AH1411">
        <f>VLOOKUP('Fichas clínicas'!AG1411,razas!$A$2:$D$66,3,FALSE)</f>
        <v>51</v>
      </c>
      <c r="AI1411" t="str">
        <f t="shared" ref="AI1411:AI1474" si="68">IF(F1411="Hembra","H","M")</f>
        <v>H</v>
      </c>
    </row>
    <row r="1412" spans="1:35" x14ac:dyDescent="0.2">
      <c r="A1412">
        <v>1414</v>
      </c>
      <c r="B1412" t="s">
        <v>3218</v>
      </c>
      <c r="C1412" t="s">
        <v>2695</v>
      </c>
      <c r="D1412" t="s">
        <v>41</v>
      </c>
      <c r="E1412" t="s">
        <v>42</v>
      </c>
      <c r="F1412" t="s">
        <v>34</v>
      </c>
      <c r="G1412" t="s">
        <v>3219</v>
      </c>
      <c r="J1412" t="s">
        <v>2937</v>
      </c>
      <c r="K1412" t="s">
        <v>38</v>
      </c>
      <c r="L1412" t="s">
        <v>38</v>
      </c>
      <c r="M1412" t="s">
        <v>38</v>
      </c>
      <c r="N1412" t="s">
        <v>38</v>
      </c>
      <c r="O1412" t="s">
        <v>38</v>
      </c>
      <c r="Q1412">
        <v>0</v>
      </c>
      <c r="T1412" t="s">
        <v>38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f t="shared" si="66"/>
        <v>1</v>
      </c>
      <c r="AF1412">
        <f>VLOOKUP(D1412,especies!$A$2:$C$9,3,FALSE)</f>
        <v>2</v>
      </c>
      <c r="AG1412" t="str">
        <f t="shared" si="67"/>
        <v>2-DPC (Doméstico de pelo corto o DSH)</v>
      </c>
      <c r="AH1412">
        <f>VLOOKUP('Fichas clínicas'!AG1412,razas!$A$2:$D$66,3,FALSE)</f>
        <v>51</v>
      </c>
      <c r="AI1412" t="str">
        <f t="shared" si="68"/>
        <v>H</v>
      </c>
    </row>
    <row r="1413" spans="1:35" x14ac:dyDescent="0.2">
      <c r="A1413">
        <v>1415</v>
      </c>
      <c r="B1413" t="s">
        <v>3084</v>
      </c>
      <c r="C1413" t="s">
        <v>3220</v>
      </c>
      <c r="D1413" t="s">
        <v>1650</v>
      </c>
      <c r="E1413" t="s">
        <v>1651</v>
      </c>
      <c r="F1413" t="s">
        <v>34</v>
      </c>
      <c r="G1413" t="s">
        <v>3002</v>
      </c>
      <c r="J1413" t="s">
        <v>3221</v>
      </c>
      <c r="K1413" t="s">
        <v>38</v>
      </c>
      <c r="L1413" t="s">
        <v>38</v>
      </c>
      <c r="M1413" t="s">
        <v>38</v>
      </c>
      <c r="N1413" t="s">
        <v>38</v>
      </c>
      <c r="O1413" t="s">
        <v>38</v>
      </c>
      <c r="T1413" t="s">
        <v>38</v>
      </c>
      <c r="U1413">
        <v>0</v>
      </c>
      <c r="W1413">
        <v>0</v>
      </c>
      <c r="X1413">
        <v>0</v>
      </c>
      <c r="Y1413">
        <v>0</v>
      </c>
      <c r="AE1413">
        <f t="shared" si="66"/>
        <v>1</v>
      </c>
      <c r="AF1413">
        <f>VLOOKUP(D1413,especies!$A$2:$C$9,3,FALSE)</f>
        <v>4</v>
      </c>
      <c r="AG1413" t="str">
        <f t="shared" si="67"/>
        <v>4-Erizo de Tierra</v>
      </c>
      <c r="AH1413">
        <f>VLOOKUP('Fichas clínicas'!AG1413,razas!$A$2:$D$66,3,FALSE)</f>
        <v>56</v>
      </c>
      <c r="AI1413" t="str">
        <f t="shared" si="68"/>
        <v>H</v>
      </c>
    </row>
    <row r="1414" spans="1:35" x14ac:dyDescent="0.2">
      <c r="A1414">
        <v>1416</v>
      </c>
      <c r="B1414" t="s">
        <v>3222</v>
      </c>
      <c r="C1414" t="s">
        <v>2361</v>
      </c>
      <c r="D1414" t="s">
        <v>242</v>
      </c>
      <c r="E1414" t="s">
        <v>242</v>
      </c>
      <c r="F1414" t="s">
        <v>47</v>
      </c>
      <c r="G1414" t="s">
        <v>3223</v>
      </c>
      <c r="J1414" t="s">
        <v>2937</v>
      </c>
      <c r="K1414" t="s">
        <v>38</v>
      </c>
      <c r="L1414" t="s">
        <v>38</v>
      </c>
      <c r="M1414" t="s">
        <v>38</v>
      </c>
      <c r="N1414" t="s">
        <v>38</v>
      </c>
      <c r="O1414" t="s">
        <v>38</v>
      </c>
      <c r="T1414" t="s">
        <v>38</v>
      </c>
      <c r="U1414">
        <v>0</v>
      </c>
      <c r="W1414">
        <v>0</v>
      </c>
      <c r="X1414">
        <v>0</v>
      </c>
      <c r="Y1414">
        <v>0</v>
      </c>
      <c r="AE1414">
        <f t="shared" si="66"/>
        <v>1</v>
      </c>
      <c r="AF1414">
        <f>VLOOKUP(D1414,especies!$A$2:$C$9,3,FALSE)</f>
        <v>3</v>
      </c>
      <c r="AG1414" t="str">
        <f t="shared" si="67"/>
        <v>3-Otra</v>
      </c>
      <c r="AH1414">
        <f>VLOOKUP('Fichas clínicas'!AG1414,razas!$A$2:$D$66,3,FALSE)</f>
        <v>55</v>
      </c>
      <c r="AI1414" t="str">
        <f t="shared" si="68"/>
        <v>M</v>
      </c>
    </row>
    <row r="1415" spans="1:35" x14ac:dyDescent="0.2">
      <c r="A1415">
        <v>1417</v>
      </c>
      <c r="B1415" t="s">
        <v>3130</v>
      </c>
      <c r="C1415" t="s">
        <v>3224</v>
      </c>
      <c r="D1415" t="s">
        <v>41</v>
      </c>
      <c r="E1415" t="s">
        <v>42</v>
      </c>
      <c r="F1415" t="s">
        <v>34</v>
      </c>
      <c r="G1415" t="s">
        <v>3012</v>
      </c>
      <c r="J1415" t="s">
        <v>2569</v>
      </c>
      <c r="K1415" t="s">
        <v>38</v>
      </c>
      <c r="L1415" t="s">
        <v>38</v>
      </c>
      <c r="M1415" t="s">
        <v>38</v>
      </c>
      <c r="N1415" t="s">
        <v>38</v>
      </c>
      <c r="O1415" t="s">
        <v>38</v>
      </c>
      <c r="Q1415">
        <v>0</v>
      </c>
      <c r="T1415" t="s">
        <v>38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f t="shared" si="66"/>
        <v>1</v>
      </c>
      <c r="AF1415">
        <f>VLOOKUP(D1415,especies!$A$2:$C$9,3,FALSE)</f>
        <v>2</v>
      </c>
      <c r="AG1415" t="str">
        <f t="shared" si="67"/>
        <v>2-DPC (Doméstico de pelo corto o DSH)</v>
      </c>
      <c r="AH1415">
        <f>VLOOKUP('Fichas clínicas'!AG1415,razas!$A$2:$D$66,3,FALSE)</f>
        <v>51</v>
      </c>
      <c r="AI1415" t="str">
        <f t="shared" si="68"/>
        <v>H</v>
      </c>
    </row>
    <row r="1416" spans="1:35" x14ac:dyDescent="0.2">
      <c r="A1416">
        <v>1418</v>
      </c>
      <c r="B1416" t="s">
        <v>3225</v>
      </c>
      <c r="C1416" t="s">
        <v>3226</v>
      </c>
      <c r="D1416" t="s">
        <v>32</v>
      </c>
      <c r="E1416" t="s">
        <v>33</v>
      </c>
      <c r="F1416" t="s">
        <v>47</v>
      </c>
      <c r="G1416" t="s">
        <v>1915</v>
      </c>
      <c r="J1416" t="s">
        <v>3227</v>
      </c>
      <c r="K1416" t="s">
        <v>38</v>
      </c>
      <c r="L1416" t="s">
        <v>38</v>
      </c>
      <c r="M1416" t="s">
        <v>38</v>
      </c>
      <c r="N1416" t="s">
        <v>38</v>
      </c>
      <c r="O1416" t="s">
        <v>38</v>
      </c>
      <c r="T1416" t="s">
        <v>38</v>
      </c>
      <c r="U1416">
        <v>0</v>
      </c>
      <c r="W1416">
        <v>0</v>
      </c>
      <c r="X1416">
        <v>0</v>
      </c>
      <c r="Y1416">
        <v>0</v>
      </c>
      <c r="AE1416">
        <f t="shared" si="66"/>
        <v>1</v>
      </c>
      <c r="AF1416">
        <f>VLOOKUP(D1416,especies!$A$2:$C$9,3,FALSE)</f>
        <v>1</v>
      </c>
      <c r="AG1416" t="str">
        <f t="shared" si="67"/>
        <v>1-Mestizo</v>
      </c>
      <c r="AH1416">
        <f>VLOOKUP('Fichas clínicas'!AG1416,razas!$A$2:$D$66,3,FALSE)</f>
        <v>1</v>
      </c>
      <c r="AI1416" t="str">
        <f t="shared" si="68"/>
        <v>M</v>
      </c>
    </row>
    <row r="1417" spans="1:35" x14ac:dyDescent="0.2">
      <c r="A1417">
        <v>1419</v>
      </c>
      <c r="B1417" t="s">
        <v>3228</v>
      </c>
      <c r="C1417" t="s">
        <v>3229</v>
      </c>
      <c r="D1417" t="s">
        <v>32</v>
      </c>
      <c r="E1417" t="s">
        <v>33</v>
      </c>
      <c r="F1417" t="s">
        <v>47</v>
      </c>
      <c r="G1417" t="s">
        <v>64</v>
      </c>
      <c r="J1417" t="s">
        <v>3230</v>
      </c>
      <c r="K1417" t="s">
        <v>38</v>
      </c>
      <c r="L1417" t="s">
        <v>38</v>
      </c>
      <c r="M1417" t="s">
        <v>38</v>
      </c>
      <c r="N1417" t="s">
        <v>38</v>
      </c>
      <c r="O1417" t="s">
        <v>38</v>
      </c>
      <c r="T1417" t="s">
        <v>38</v>
      </c>
      <c r="U1417">
        <v>0</v>
      </c>
      <c r="W1417">
        <v>0</v>
      </c>
      <c r="X1417">
        <v>0</v>
      </c>
      <c r="Y1417">
        <v>0</v>
      </c>
      <c r="AE1417">
        <f t="shared" si="66"/>
        <v>1</v>
      </c>
      <c r="AF1417">
        <f>VLOOKUP(D1417,especies!$A$2:$C$9,3,FALSE)</f>
        <v>1</v>
      </c>
      <c r="AG1417" t="str">
        <f t="shared" si="67"/>
        <v>1-Mestizo</v>
      </c>
      <c r="AH1417">
        <f>VLOOKUP('Fichas clínicas'!AG1417,razas!$A$2:$D$66,3,FALSE)</f>
        <v>1</v>
      </c>
      <c r="AI1417" t="str">
        <f t="shared" si="68"/>
        <v>M</v>
      </c>
    </row>
    <row r="1418" spans="1:35" x14ac:dyDescent="0.2">
      <c r="A1418">
        <v>1420</v>
      </c>
      <c r="B1418" t="s">
        <v>292</v>
      </c>
      <c r="C1418" t="s">
        <v>3231</v>
      </c>
      <c r="D1418" t="s">
        <v>41</v>
      </c>
      <c r="E1418" t="s">
        <v>42</v>
      </c>
      <c r="F1418" t="s">
        <v>34</v>
      </c>
      <c r="G1418" t="s">
        <v>3232</v>
      </c>
      <c r="J1418" t="s">
        <v>2903</v>
      </c>
      <c r="K1418" t="s">
        <v>38</v>
      </c>
      <c r="L1418" t="s">
        <v>38</v>
      </c>
      <c r="M1418" t="s">
        <v>38</v>
      </c>
      <c r="N1418" t="s">
        <v>38</v>
      </c>
      <c r="O1418" t="s">
        <v>38</v>
      </c>
      <c r="T1418" t="s">
        <v>38</v>
      </c>
      <c r="U1418">
        <v>0</v>
      </c>
      <c r="W1418">
        <v>0</v>
      </c>
      <c r="X1418">
        <v>0</v>
      </c>
      <c r="Y1418">
        <v>0</v>
      </c>
      <c r="AE1418">
        <f t="shared" si="66"/>
        <v>1</v>
      </c>
      <c r="AF1418">
        <f>VLOOKUP(D1418,especies!$A$2:$C$9,3,FALSE)</f>
        <v>2</v>
      </c>
      <c r="AG1418" t="str">
        <f t="shared" si="67"/>
        <v>2-DPC (Doméstico de pelo corto o DSH)</v>
      </c>
      <c r="AH1418">
        <f>VLOOKUP('Fichas clínicas'!AG1418,razas!$A$2:$D$66,3,FALSE)</f>
        <v>51</v>
      </c>
      <c r="AI1418" t="str">
        <f t="shared" si="68"/>
        <v>H</v>
      </c>
    </row>
    <row r="1419" spans="1:35" x14ac:dyDescent="0.2">
      <c r="A1419">
        <v>1421</v>
      </c>
      <c r="B1419" t="s">
        <v>1898</v>
      </c>
      <c r="C1419" t="s">
        <v>3233</v>
      </c>
      <c r="D1419" t="s">
        <v>41</v>
      </c>
      <c r="E1419" t="s">
        <v>42</v>
      </c>
      <c r="F1419" t="s">
        <v>34</v>
      </c>
      <c r="G1419" t="s">
        <v>2827</v>
      </c>
      <c r="J1419" t="s">
        <v>3234</v>
      </c>
      <c r="K1419" t="s">
        <v>38</v>
      </c>
      <c r="L1419" t="s">
        <v>38</v>
      </c>
      <c r="M1419" t="s">
        <v>38</v>
      </c>
      <c r="N1419" t="s">
        <v>38</v>
      </c>
      <c r="O1419" t="s">
        <v>38</v>
      </c>
      <c r="T1419" t="s">
        <v>38</v>
      </c>
      <c r="U1419">
        <v>0</v>
      </c>
      <c r="W1419">
        <v>0</v>
      </c>
      <c r="X1419">
        <v>0</v>
      </c>
      <c r="Y1419">
        <v>0</v>
      </c>
      <c r="AE1419">
        <f t="shared" si="66"/>
        <v>1</v>
      </c>
      <c r="AF1419">
        <f>VLOOKUP(D1419,especies!$A$2:$C$9,3,FALSE)</f>
        <v>2</v>
      </c>
      <c r="AG1419" t="str">
        <f t="shared" si="67"/>
        <v>2-DPC (Doméstico de pelo corto o DSH)</v>
      </c>
      <c r="AH1419">
        <f>VLOOKUP('Fichas clínicas'!AG1419,razas!$A$2:$D$66,3,FALSE)</f>
        <v>51</v>
      </c>
      <c r="AI1419" t="str">
        <f t="shared" si="68"/>
        <v>H</v>
      </c>
    </row>
    <row r="1420" spans="1:35" x14ac:dyDescent="0.2">
      <c r="A1420">
        <v>1422</v>
      </c>
      <c r="B1420" t="s">
        <v>3235</v>
      </c>
      <c r="C1420" t="s">
        <v>3236</v>
      </c>
      <c r="D1420" t="s">
        <v>32</v>
      </c>
      <c r="E1420" t="s">
        <v>1963</v>
      </c>
      <c r="F1420" t="s">
        <v>47</v>
      </c>
      <c r="G1420" t="s">
        <v>1547</v>
      </c>
      <c r="H1420">
        <v>953010003136474</v>
      </c>
      <c r="J1420" t="s">
        <v>3237</v>
      </c>
      <c r="K1420" t="s">
        <v>38</v>
      </c>
      <c r="L1420" t="s">
        <v>38</v>
      </c>
      <c r="M1420" t="s">
        <v>38</v>
      </c>
      <c r="N1420" t="s">
        <v>38</v>
      </c>
      <c r="O1420" t="s">
        <v>38</v>
      </c>
      <c r="Q1420">
        <v>0</v>
      </c>
      <c r="T1420" t="s">
        <v>38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f t="shared" si="66"/>
        <v>1</v>
      </c>
      <c r="AF1420">
        <f>VLOOKUP(D1420,especies!$A$2:$C$9,3,FALSE)</f>
        <v>1</v>
      </c>
      <c r="AG1420" t="str">
        <f t="shared" si="67"/>
        <v>1-Pastor de los Pirineos de pelo largo</v>
      </c>
      <c r="AH1420">
        <f>VLOOKUP('Fichas clínicas'!AG1420,razas!$A$2:$D$66,3,FALSE)</f>
        <v>34</v>
      </c>
      <c r="AI1420" t="str">
        <f t="shared" si="68"/>
        <v>M</v>
      </c>
    </row>
    <row r="1421" spans="1:35" x14ac:dyDescent="0.2">
      <c r="A1421">
        <v>1423</v>
      </c>
      <c r="B1421" t="s">
        <v>3081</v>
      </c>
      <c r="C1421" t="s">
        <v>3238</v>
      </c>
      <c r="D1421" t="s">
        <v>3082</v>
      </c>
      <c r="E1421" t="s">
        <v>1616</v>
      </c>
      <c r="F1421" t="s">
        <v>34</v>
      </c>
      <c r="G1421" t="s">
        <v>740</v>
      </c>
      <c r="J1421" t="s">
        <v>3239</v>
      </c>
      <c r="K1421" t="s">
        <v>38</v>
      </c>
      <c r="L1421" t="s">
        <v>38</v>
      </c>
      <c r="M1421" t="s">
        <v>38</v>
      </c>
      <c r="N1421" t="s">
        <v>38</v>
      </c>
      <c r="O1421" t="s">
        <v>38</v>
      </c>
      <c r="Q1421">
        <v>0</v>
      </c>
      <c r="T1421" t="s">
        <v>38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f t="shared" si="66"/>
        <v>1</v>
      </c>
      <c r="AF1421">
        <f>VLOOKUP(D1421,especies!$A$2:$C$9,3,FALSE)</f>
        <v>8</v>
      </c>
      <c r="AG1421" t="str">
        <f t="shared" si="67"/>
        <v>8-Americana</v>
      </c>
      <c r="AH1421">
        <f>VLOOKUP('Fichas clínicas'!AG1421,razas!$A$2:$D$66,3,FALSE)</f>
        <v>65</v>
      </c>
      <c r="AI1421" t="str">
        <f t="shared" si="68"/>
        <v>H</v>
      </c>
    </row>
    <row r="1422" spans="1:35" x14ac:dyDescent="0.2">
      <c r="A1422">
        <v>1424</v>
      </c>
      <c r="B1422" t="s">
        <v>3240</v>
      </c>
      <c r="C1422" t="s">
        <v>3241</v>
      </c>
      <c r="D1422" t="s">
        <v>32</v>
      </c>
      <c r="E1422" t="s">
        <v>33</v>
      </c>
      <c r="F1422" t="s">
        <v>47</v>
      </c>
      <c r="G1422" t="s">
        <v>165</v>
      </c>
      <c r="J1422" t="s">
        <v>288</v>
      </c>
      <c r="K1422" t="s">
        <v>38</v>
      </c>
      <c r="L1422" t="s">
        <v>38</v>
      </c>
      <c r="M1422" t="s">
        <v>38</v>
      </c>
      <c r="N1422" t="s">
        <v>38</v>
      </c>
      <c r="O1422" t="s">
        <v>38</v>
      </c>
      <c r="T1422" t="s">
        <v>38</v>
      </c>
      <c r="U1422">
        <v>0</v>
      </c>
      <c r="V1422">
        <v>1</v>
      </c>
      <c r="W1422">
        <v>0</v>
      </c>
      <c r="X1422">
        <v>0</v>
      </c>
      <c r="Y1422">
        <v>0</v>
      </c>
      <c r="AE1422">
        <f t="shared" si="66"/>
        <v>1</v>
      </c>
      <c r="AF1422">
        <f>VLOOKUP(D1422,especies!$A$2:$C$9,3,FALSE)</f>
        <v>1</v>
      </c>
      <c r="AG1422" t="str">
        <f t="shared" si="67"/>
        <v>1-Mestizo</v>
      </c>
      <c r="AH1422">
        <f>VLOOKUP('Fichas clínicas'!AG1422,razas!$A$2:$D$66,3,FALSE)</f>
        <v>1</v>
      </c>
      <c r="AI1422" t="str">
        <f t="shared" si="68"/>
        <v>M</v>
      </c>
    </row>
    <row r="1423" spans="1:35" x14ac:dyDescent="0.2">
      <c r="A1423">
        <v>1425</v>
      </c>
      <c r="B1423" t="s">
        <v>179</v>
      </c>
      <c r="C1423" t="s">
        <v>3242</v>
      </c>
      <c r="D1423" t="s">
        <v>41</v>
      </c>
      <c r="E1423" t="s">
        <v>42</v>
      </c>
      <c r="F1423" t="s">
        <v>34</v>
      </c>
      <c r="G1423" t="s">
        <v>3243</v>
      </c>
      <c r="I1423">
        <v>900223000239945</v>
      </c>
      <c r="J1423" t="s">
        <v>1983</v>
      </c>
      <c r="K1423" t="s">
        <v>38</v>
      </c>
      <c r="L1423" t="s">
        <v>38</v>
      </c>
      <c r="M1423" t="s">
        <v>38</v>
      </c>
      <c r="N1423" t="s">
        <v>38</v>
      </c>
      <c r="O1423" t="s">
        <v>38</v>
      </c>
      <c r="Q1423">
        <v>0</v>
      </c>
      <c r="T1423" t="s">
        <v>38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f t="shared" si="66"/>
        <v>1</v>
      </c>
      <c r="AF1423">
        <f>VLOOKUP(D1423,especies!$A$2:$C$9,3,FALSE)</f>
        <v>2</v>
      </c>
      <c r="AG1423" t="str">
        <f t="shared" si="67"/>
        <v>2-DPC (Doméstico de pelo corto o DSH)</v>
      </c>
      <c r="AH1423">
        <f>VLOOKUP('Fichas clínicas'!AG1423,razas!$A$2:$D$66,3,FALSE)</f>
        <v>51</v>
      </c>
      <c r="AI1423" t="str">
        <f t="shared" si="68"/>
        <v>H</v>
      </c>
    </row>
    <row r="1424" spans="1:35" x14ac:dyDescent="0.2">
      <c r="A1424">
        <v>1426</v>
      </c>
      <c r="B1424" t="s">
        <v>3244</v>
      </c>
      <c r="C1424" t="s">
        <v>2948</v>
      </c>
      <c r="D1424" t="s">
        <v>41</v>
      </c>
      <c r="E1424" t="s">
        <v>93</v>
      </c>
      <c r="F1424" t="s">
        <v>34</v>
      </c>
      <c r="G1424" t="s">
        <v>2851</v>
      </c>
      <c r="J1424" t="s">
        <v>1516</v>
      </c>
      <c r="K1424" t="s">
        <v>38</v>
      </c>
      <c r="L1424" t="s">
        <v>38</v>
      </c>
      <c r="M1424" t="s">
        <v>38</v>
      </c>
      <c r="N1424" t="s">
        <v>38</v>
      </c>
      <c r="O1424" t="s">
        <v>38</v>
      </c>
      <c r="T1424" t="s">
        <v>38</v>
      </c>
      <c r="U1424">
        <v>0</v>
      </c>
      <c r="V1424">
        <v>1</v>
      </c>
      <c r="W1424">
        <v>0</v>
      </c>
      <c r="X1424">
        <v>0</v>
      </c>
      <c r="Y1424">
        <v>0</v>
      </c>
      <c r="AE1424">
        <f t="shared" si="66"/>
        <v>1</v>
      </c>
      <c r="AF1424">
        <f>VLOOKUP(D1424,especies!$A$2:$C$9,3,FALSE)</f>
        <v>2</v>
      </c>
      <c r="AG1424" t="str">
        <f t="shared" si="67"/>
        <v>2-DPL (Doméstico de pelo Largo o DLH)</v>
      </c>
      <c r="AH1424">
        <f>VLOOKUP('Fichas clínicas'!AG1424,razas!$A$2:$D$66,3,FALSE)</f>
        <v>52</v>
      </c>
      <c r="AI1424" t="str">
        <f t="shared" si="68"/>
        <v>H</v>
      </c>
    </row>
    <row r="1425" spans="1:35" x14ac:dyDescent="0.2">
      <c r="A1425">
        <v>1427</v>
      </c>
      <c r="B1425" t="s">
        <v>3184</v>
      </c>
      <c r="C1425" t="s">
        <v>3245</v>
      </c>
      <c r="D1425" t="s">
        <v>41</v>
      </c>
      <c r="E1425" t="s">
        <v>42</v>
      </c>
      <c r="F1425" t="s">
        <v>34</v>
      </c>
      <c r="G1425" t="s">
        <v>3246</v>
      </c>
      <c r="J1425" t="s">
        <v>3247</v>
      </c>
      <c r="K1425" t="s">
        <v>38</v>
      </c>
      <c r="L1425" t="s">
        <v>38</v>
      </c>
      <c r="M1425" t="s">
        <v>38</v>
      </c>
      <c r="N1425" t="s">
        <v>38</v>
      </c>
      <c r="O1425" t="s">
        <v>38</v>
      </c>
      <c r="T1425" t="s">
        <v>38</v>
      </c>
      <c r="U1425">
        <v>0</v>
      </c>
      <c r="V1425">
        <v>1</v>
      </c>
      <c r="W1425">
        <v>0</v>
      </c>
      <c r="X1425">
        <v>0</v>
      </c>
      <c r="Y1425">
        <v>0</v>
      </c>
      <c r="AE1425">
        <f t="shared" si="66"/>
        <v>1</v>
      </c>
      <c r="AF1425">
        <f>VLOOKUP(D1425,especies!$A$2:$C$9,3,FALSE)</f>
        <v>2</v>
      </c>
      <c r="AG1425" t="str">
        <f t="shared" si="67"/>
        <v>2-DPC (Doméstico de pelo corto o DSH)</v>
      </c>
      <c r="AH1425">
        <f>VLOOKUP('Fichas clínicas'!AG1425,razas!$A$2:$D$66,3,FALSE)</f>
        <v>51</v>
      </c>
      <c r="AI1425" t="str">
        <f t="shared" si="68"/>
        <v>H</v>
      </c>
    </row>
    <row r="1426" spans="1:35" x14ac:dyDescent="0.2">
      <c r="A1426">
        <v>1428</v>
      </c>
      <c r="B1426" t="s">
        <v>3248</v>
      </c>
      <c r="C1426" t="s">
        <v>3249</v>
      </c>
      <c r="D1426" t="s">
        <v>41</v>
      </c>
      <c r="E1426" t="s">
        <v>93</v>
      </c>
      <c r="F1426" t="s">
        <v>47</v>
      </c>
      <c r="G1426" t="s">
        <v>2943</v>
      </c>
      <c r="J1426" t="s">
        <v>1522</v>
      </c>
      <c r="K1426" t="s">
        <v>38</v>
      </c>
      <c r="L1426" t="s">
        <v>38</v>
      </c>
      <c r="M1426" t="s">
        <v>38</v>
      </c>
      <c r="N1426" t="s">
        <v>38</v>
      </c>
      <c r="O1426" t="s">
        <v>38</v>
      </c>
      <c r="T1426" t="s">
        <v>38</v>
      </c>
      <c r="U1426">
        <v>0</v>
      </c>
      <c r="V1426">
        <v>1</v>
      </c>
      <c r="W1426">
        <v>0</v>
      </c>
      <c r="X1426">
        <v>0</v>
      </c>
      <c r="Y1426">
        <v>0</v>
      </c>
      <c r="AE1426">
        <f t="shared" si="66"/>
        <v>1</v>
      </c>
      <c r="AF1426">
        <f>VLOOKUP(D1426,especies!$A$2:$C$9,3,FALSE)</f>
        <v>2</v>
      </c>
      <c r="AG1426" t="str">
        <f t="shared" si="67"/>
        <v>2-DPL (Doméstico de pelo Largo o DLH)</v>
      </c>
      <c r="AH1426">
        <f>VLOOKUP('Fichas clínicas'!AG1426,razas!$A$2:$D$66,3,FALSE)</f>
        <v>52</v>
      </c>
      <c r="AI1426" t="str">
        <f t="shared" si="68"/>
        <v>M</v>
      </c>
    </row>
    <row r="1427" spans="1:35" x14ac:dyDescent="0.2">
      <c r="A1427">
        <v>1429</v>
      </c>
      <c r="B1427" t="s">
        <v>509</v>
      </c>
      <c r="C1427" t="s">
        <v>2331</v>
      </c>
      <c r="D1427" t="s">
        <v>32</v>
      </c>
      <c r="E1427" t="s">
        <v>812</v>
      </c>
      <c r="F1427" t="s">
        <v>34</v>
      </c>
      <c r="G1427" t="s">
        <v>3116</v>
      </c>
      <c r="J1427" t="s">
        <v>3250</v>
      </c>
      <c r="K1427" t="s">
        <v>38</v>
      </c>
      <c r="L1427" t="s">
        <v>38</v>
      </c>
      <c r="M1427" t="s">
        <v>38</v>
      </c>
      <c r="N1427" t="s">
        <v>38</v>
      </c>
      <c r="O1427" t="s">
        <v>38</v>
      </c>
      <c r="Q1427">
        <v>0</v>
      </c>
      <c r="T1427" t="s">
        <v>38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f t="shared" si="66"/>
        <v>1</v>
      </c>
      <c r="AF1427">
        <f>VLOOKUP(D1427,especies!$A$2:$C$9,3,FALSE)</f>
        <v>1</v>
      </c>
      <c r="AG1427" t="str">
        <f t="shared" si="67"/>
        <v>1-Fox Terrier de Pelo Duro</v>
      </c>
      <c r="AH1427">
        <f>VLOOKUP('Fichas clínicas'!AG1427,razas!$A$2:$D$66,3,FALSE)</f>
        <v>18</v>
      </c>
      <c r="AI1427" t="str">
        <f t="shared" si="68"/>
        <v>H</v>
      </c>
    </row>
    <row r="1428" spans="1:35" x14ac:dyDescent="0.2">
      <c r="A1428">
        <v>1430</v>
      </c>
      <c r="B1428" t="s">
        <v>2036</v>
      </c>
      <c r="C1428" t="s">
        <v>3251</v>
      </c>
      <c r="D1428" t="s">
        <v>41</v>
      </c>
      <c r="E1428" t="s">
        <v>42</v>
      </c>
      <c r="F1428" t="s">
        <v>47</v>
      </c>
      <c r="G1428" t="s">
        <v>297</v>
      </c>
      <c r="J1428" t="s">
        <v>2224</v>
      </c>
      <c r="K1428" t="s">
        <v>38</v>
      </c>
      <c r="L1428" t="s">
        <v>38</v>
      </c>
      <c r="M1428" t="s">
        <v>38</v>
      </c>
      <c r="N1428" t="s">
        <v>38</v>
      </c>
      <c r="O1428" t="s">
        <v>38</v>
      </c>
      <c r="T1428" t="s">
        <v>38</v>
      </c>
      <c r="U1428">
        <v>0</v>
      </c>
      <c r="W1428">
        <v>0</v>
      </c>
      <c r="X1428">
        <v>0</v>
      </c>
      <c r="Y1428">
        <v>0</v>
      </c>
      <c r="AE1428">
        <f t="shared" si="66"/>
        <v>1</v>
      </c>
      <c r="AF1428">
        <f>VLOOKUP(D1428,especies!$A$2:$C$9,3,FALSE)</f>
        <v>2</v>
      </c>
      <c r="AG1428" t="str">
        <f t="shared" si="67"/>
        <v>2-DPC (Doméstico de pelo corto o DSH)</v>
      </c>
      <c r="AH1428">
        <f>VLOOKUP('Fichas clínicas'!AG1428,razas!$A$2:$D$66,3,FALSE)</f>
        <v>51</v>
      </c>
      <c r="AI1428" t="str">
        <f t="shared" si="68"/>
        <v>M</v>
      </c>
    </row>
    <row r="1429" spans="1:35" x14ac:dyDescent="0.2">
      <c r="A1429">
        <v>1431</v>
      </c>
      <c r="B1429" t="s">
        <v>3252</v>
      </c>
      <c r="C1429" t="s">
        <v>3253</v>
      </c>
      <c r="D1429" t="s">
        <v>41</v>
      </c>
      <c r="E1429" t="s">
        <v>42</v>
      </c>
      <c r="F1429" t="s">
        <v>47</v>
      </c>
      <c r="G1429" t="s">
        <v>297</v>
      </c>
      <c r="J1429" t="s">
        <v>1624</v>
      </c>
      <c r="K1429" t="s">
        <v>38</v>
      </c>
      <c r="L1429" t="s">
        <v>38</v>
      </c>
      <c r="M1429" t="s">
        <v>38</v>
      </c>
      <c r="N1429" t="s">
        <v>38</v>
      </c>
      <c r="O1429" t="s">
        <v>38</v>
      </c>
      <c r="T1429" t="s">
        <v>38</v>
      </c>
      <c r="U1429">
        <v>0</v>
      </c>
      <c r="V1429">
        <v>1</v>
      </c>
      <c r="W1429">
        <v>0</v>
      </c>
      <c r="X1429">
        <v>0</v>
      </c>
      <c r="Y1429">
        <v>0</v>
      </c>
      <c r="AE1429">
        <f t="shared" si="66"/>
        <v>1</v>
      </c>
      <c r="AF1429">
        <f>VLOOKUP(D1429,especies!$A$2:$C$9,3,FALSE)</f>
        <v>2</v>
      </c>
      <c r="AG1429" t="str">
        <f t="shared" si="67"/>
        <v>2-DPC (Doméstico de pelo corto o DSH)</v>
      </c>
      <c r="AH1429">
        <f>VLOOKUP('Fichas clínicas'!AG1429,razas!$A$2:$D$66,3,FALSE)</f>
        <v>51</v>
      </c>
      <c r="AI1429" t="str">
        <f t="shared" si="68"/>
        <v>M</v>
      </c>
    </row>
    <row r="1430" spans="1:35" x14ac:dyDescent="0.2">
      <c r="A1430">
        <v>1432</v>
      </c>
      <c r="B1430" t="s">
        <v>3254</v>
      </c>
      <c r="C1430" t="s">
        <v>315</v>
      </c>
      <c r="D1430" t="s">
        <v>41</v>
      </c>
      <c r="E1430" t="s">
        <v>42</v>
      </c>
      <c r="F1430" t="s">
        <v>34</v>
      </c>
      <c r="G1430" t="s">
        <v>3255</v>
      </c>
      <c r="J1430" t="s">
        <v>127</v>
      </c>
      <c r="K1430" t="s">
        <v>38</v>
      </c>
      <c r="L1430" t="s">
        <v>38</v>
      </c>
      <c r="M1430" t="s">
        <v>38</v>
      </c>
      <c r="N1430" t="s">
        <v>38</v>
      </c>
      <c r="O1430" t="s">
        <v>38</v>
      </c>
      <c r="Q1430">
        <v>1</v>
      </c>
      <c r="T1430" t="s">
        <v>38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f t="shared" si="66"/>
        <v>1</v>
      </c>
      <c r="AF1430">
        <f>VLOOKUP(D1430,especies!$A$2:$C$9,3,FALSE)</f>
        <v>2</v>
      </c>
      <c r="AG1430" t="str">
        <f t="shared" si="67"/>
        <v>2-DPC (Doméstico de pelo corto o DSH)</v>
      </c>
      <c r="AH1430">
        <f>VLOOKUP('Fichas clínicas'!AG1430,razas!$A$2:$D$66,3,FALSE)</f>
        <v>51</v>
      </c>
      <c r="AI1430" t="str">
        <f t="shared" si="68"/>
        <v>H</v>
      </c>
    </row>
    <row r="1431" spans="1:35" x14ac:dyDescent="0.2">
      <c r="A1431">
        <v>1433</v>
      </c>
      <c r="B1431" t="s">
        <v>3256</v>
      </c>
      <c r="C1431" t="s">
        <v>3257</v>
      </c>
      <c r="D1431" t="s">
        <v>41</v>
      </c>
      <c r="E1431" t="s">
        <v>42</v>
      </c>
      <c r="F1431" t="s">
        <v>47</v>
      </c>
      <c r="G1431" t="s">
        <v>2812</v>
      </c>
      <c r="J1431" t="s">
        <v>259</v>
      </c>
      <c r="K1431" t="s">
        <v>38</v>
      </c>
      <c r="L1431" t="s">
        <v>38</v>
      </c>
      <c r="M1431" t="s">
        <v>38</v>
      </c>
      <c r="N1431" t="s">
        <v>38</v>
      </c>
      <c r="O1431" t="s">
        <v>38</v>
      </c>
      <c r="Q1431">
        <v>0</v>
      </c>
      <c r="T1431" t="s">
        <v>38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f t="shared" si="66"/>
        <v>1</v>
      </c>
      <c r="AF1431">
        <f>VLOOKUP(D1431,especies!$A$2:$C$9,3,FALSE)</f>
        <v>2</v>
      </c>
      <c r="AG1431" t="str">
        <f t="shared" si="67"/>
        <v>2-DPC (Doméstico de pelo corto o DSH)</v>
      </c>
      <c r="AH1431">
        <f>VLOOKUP('Fichas clínicas'!AG1431,razas!$A$2:$D$66,3,FALSE)</f>
        <v>51</v>
      </c>
      <c r="AI1431" t="str">
        <f t="shared" si="68"/>
        <v>M</v>
      </c>
    </row>
    <row r="1432" spans="1:35" x14ac:dyDescent="0.2">
      <c r="A1432">
        <v>1434</v>
      </c>
      <c r="B1432" t="s">
        <v>3258</v>
      </c>
      <c r="C1432" t="s">
        <v>582</v>
      </c>
      <c r="D1432" t="s">
        <v>32</v>
      </c>
      <c r="E1432" t="s">
        <v>638</v>
      </c>
      <c r="F1432" t="s">
        <v>47</v>
      </c>
      <c r="G1432" t="s">
        <v>258</v>
      </c>
      <c r="J1432" t="s">
        <v>3259</v>
      </c>
      <c r="K1432" t="s">
        <v>38</v>
      </c>
      <c r="L1432" t="s">
        <v>38</v>
      </c>
      <c r="M1432" t="s">
        <v>38</v>
      </c>
      <c r="N1432" t="s">
        <v>38</v>
      </c>
      <c r="O1432" t="s">
        <v>38</v>
      </c>
      <c r="T1432" t="s">
        <v>38</v>
      </c>
      <c r="U1432">
        <v>0</v>
      </c>
      <c r="W1432">
        <v>0</v>
      </c>
      <c r="X1432">
        <v>0</v>
      </c>
      <c r="Y1432">
        <v>0</v>
      </c>
      <c r="AE1432">
        <f t="shared" si="66"/>
        <v>1</v>
      </c>
      <c r="AF1432">
        <f>VLOOKUP(D1432,especies!$A$2:$C$9,3,FALSE)</f>
        <v>1</v>
      </c>
      <c r="AG1432" t="str">
        <f t="shared" si="67"/>
        <v>1-Malamute de Alaska</v>
      </c>
      <c r="AH1432">
        <f>VLOOKUP('Fichas clínicas'!AG1432,razas!$A$2:$D$66,3,FALSE)</f>
        <v>17</v>
      </c>
      <c r="AI1432" t="str">
        <f t="shared" si="68"/>
        <v>M</v>
      </c>
    </row>
    <row r="1433" spans="1:35" x14ac:dyDescent="0.2">
      <c r="A1433">
        <v>1435</v>
      </c>
      <c r="B1433" t="s">
        <v>3260</v>
      </c>
      <c r="C1433" t="s">
        <v>2374</v>
      </c>
      <c r="D1433" t="s">
        <v>41</v>
      </c>
      <c r="E1433" t="s">
        <v>42</v>
      </c>
      <c r="F1433" t="s">
        <v>47</v>
      </c>
      <c r="G1433" t="s">
        <v>300</v>
      </c>
      <c r="J1433" t="s">
        <v>3261</v>
      </c>
      <c r="K1433" t="s">
        <v>38</v>
      </c>
      <c r="L1433" t="s">
        <v>38</v>
      </c>
      <c r="M1433" t="s">
        <v>38</v>
      </c>
      <c r="N1433" t="s">
        <v>38</v>
      </c>
      <c r="O1433" t="s">
        <v>38</v>
      </c>
      <c r="T1433" t="s">
        <v>38</v>
      </c>
      <c r="U1433">
        <v>0</v>
      </c>
      <c r="V1433">
        <v>1</v>
      </c>
      <c r="W1433">
        <v>0</v>
      </c>
      <c r="X1433">
        <v>0</v>
      </c>
      <c r="Y1433">
        <v>0</v>
      </c>
      <c r="AE1433">
        <f t="shared" si="66"/>
        <v>1</v>
      </c>
      <c r="AF1433">
        <f>VLOOKUP(D1433,especies!$A$2:$C$9,3,FALSE)</f>
        <v>2</v>
      </c>
      <c r="AG1433" t="str">
        <f t="shared" si="67"/>
        <v>2-DPC (Doméstico de pelo corto o DSH)</v>
      </c>
      <c r="AH1433">
        <f>VLOOKUP('Fichas clínicas'!AG1433,razas!$A$2:$D$66,3,FALSE)</f>
        <v>51</v>
      </c>
      <c r="AI1433" t="str">
        <f t="shared" si="68"/>
        <v>M</v>
      </c>
    </row>
    <row r="1434" spans="1:35" x14ac:dyDescent="0.2">
      <c r="A1434">
        <v>1436</v>
      </c>
      <c r="B1434" t="s">
        <v>642</v>
      </c>
      <c r="C1434" t="s">
        <v>3262</v>
      </c>
      <c r="D1434" t="s">
        <v>41</v>
      </c>
      <c r="E1434" t="s">
        <v>93</v>
      </c>
      <c r="F1434" t="s">
        <v>47</v>
      </c>
      <c r="G1434" t="s">
        <v>3263</v>
      </c>
      <c r="J1434" t="s">
        <v>1810</v>
      </c>
      <c r="K1434" t="s">
        <v>38</v>
      </c>
      <c r="L1434" t="s">
        <v>38</v>
      </c>
      <c r="M1434" t="s">
        <v>38</v>
      </c>
      <c r="N1434" t="s">
        <v>38</v>
      </c>
      <c r="O1434" t="s">
        <v>38</v>
      </c>
      <c r="T1434" t="s">
        <v>38</v>
      </c>
      <c r="U1434">
        <v>0</v>
      </c>
      <c r="V1434">
        <v>1</v>
      </c>
      <c r="W1434">
        <v>0</v>
      </c>
      <c r="X1434">
        <v>0</v>
      </c>
      <c r="Y1434">
        <v>0</v>
      </c>
      <c r="AE1434">
        <f t="shared" si="66"/>
        <v>1</v>
      </c>
      <c r="AF1434">
        <f>VLOOKUP(D1434,especies!$A$2:$C$9,3,FALSE)</f>
        <v>2</v>
      </c>
      <c r="AG1434" t="str">
        <f t="shared" si="67"/>
        <v>2-DPL (Doméstico de pelo Largo o DLH)</v>
      </c>
      <c r="AH1434">
        <f>VLOOKUP('Fichas clínicas'!AG1434,razas!$A$2:$D$66,3,FALSE)</f>
        <v>52</v>
      </c>
      <c r="AI1434" t="str">
        <f t="shared" si="68"/>
        <v>M</v>
      </c>
    </row>
    <row r="1435" spans="1:35" x14ac:dyDescent="0.2">
      <c r="A1435">
        <v>1437</v>
      </c>
      <c r="B1435" t="s">
        <v>642</v>
      </c>
      <c r="C1435" t="s">
        <v>3264</v>
      </c>
      <c r="D1435" t="s">
        <v>41</v>
      </c>
      <c r="E1435" t="s">
        <v>42</v>
      </c>
      <c r="F1435" t="s">
        <v>47</v>
      </c>
      <c r="G1435" t="s">
        <v>1598</v>
      </c>
      <c r="J1435" t="s">
        <v>3265</v>
      </c>
      <c r="K1435" t="s">
        <v>38</v>
      </c>
      <c r="L1435" t="s">
        <v>38</v>
      </c>
      <c r="M1435" t="s">
        <v>38</v>
      </c>
      <c r="N1435" t="s">
        <v>38</v>
      </c>
      <c r="O1435" t="s">
        <v>38</v>
      </c>
      <c r="T1435" t="s">
        <v>38</v>
      </c>
      <c r="U1435">
        <v>0</v>
      </c>
      <c r="V1435">
        <v>1</v>
      </c>
      <c r="W1435">
        <v>0</v>
      </c>
      <c r="X1435">
        <v>0</v>
      </c>
      <c r="Y1435">
        <v>0</v>
      </c>
      <c r="AE1435">
        <f t="shared" si="66"/>
        <v>1</v>
      </c>
      <c r="AF1435">
        <f>VLOOKUP(D1435,especies!$A$2:$C$9,3,FALSE)</f>
        <v>2</v>
      </c>
      <c r="AG1435" t="str">
        <f t="shared" si="67"/>
        <v>2-DPC (Doméstico de pelo corto o DSH)</v>
      </c>
      <c r="AH1435">
        <f>VLOOKUP('Fichas clínicas'!AG1435,razas!$A$2:$D$66,3,FALSE)</f>
        <v>51</v>
      </c>
      <c r="AI1435" t="str">
        <f t="shared" si="68"/>
        <v>M</v>
      </c>
    </row>
    <row r="1436" spans="1:35" x14ac:dyDescent="0.2">
      <c r="A1436">
        <v>1438</v>
      </c>
      <c r="B1436" t="s">
        <v>3266</v>
      </c>
      <c r="C1436" t="s">
        <v>3267</v>
      </c>
      <c r="D1436" t="s">
        <v>41</v>
      </c>
      <c r="E1436" t="s">
        <v>42</v>
      </c>
      <c r="F1436" t="s">
        <v>47</v>
      </c>
      <c r="G1436" t="s">
        <v>1054</v>
      </c>
      <c r="J1436" t="s">
        <v>2224</v>
      </c>
      <c r="K1436" t="s">
        <v>38</v>
      </c>
      <c r="L1436" t="s">
        <v>38</v>
      </c>
      <c r="M1436" t="s">
        <v>38</v>
      </c>
      <c r="N1436" t="s">
        <v>38</v>
      </c>
      <c r="O1436" t="s">
        <v>38</v>
      </c>
      <c r="T1436" t="s">
        <v>38</v>
      </c>
      <c r="U1436">
        <v>0</v>
      </c>
      <c r="W1436">
        <v>0</v>
      </c>
      <c r="X1436">
        <v>0</v>
      </c>
      <c r="Y1436">
        <v>0</v>
      </c>
      <c r="AE1436">
        <f t="shared" si="66"/>
        <v>1</v>
      </c>
      <c r="AF1436">
        <f>VLOOKUP(D1436,especies!$A$2:$C$9,3,FALSE)</f>
        <v>2</v>
      </c>
      <c r="AG1436" t="str">
        <f t="shared" si="67"/>
        <v>2-DPC (Doméstico de pelo corto o DSH)</v>
      </c>
      <c r="AH1436">
        <f>VLOOKUP('Fichas clínicas'!AG1436,razas!$A$2:$D$66,3,FALSE)</f>
        <v>51</v>
      </c>
      <c r="AI1436" t="str">
        <f t="shared" si="68"/>
        <v>M</v>
      </c>
    </row>
    <row r="1437" spans="1:35" x14ac:dyDescent="0.2">
      <c r="A1437">
        <v>1439</v>
      </c>
      <c r="B1437" t="s">
        <v>3268</v>
      </c>
      <c r="C1437" t="s">
        <v>3269</v>
      </c>
      <c r="D1437" t="s">
        <v>32</v>
      </c>
      <c r="E1437" t="s">
        <v>150</v>
      </c>
      <c r="F1437" t="s">
        <v>34</v>
      </c>
      <c r="G1437" t="s">
        <v>1547</v>
      </c>
      <c r="J1437" t="s">
        <v>3270</v>
      </c>
      <c r="K1437" t="s">
        <v>38</v>
      </c>
      <c r="L1437" t="s">
        <v>38</v>
      </c>
      <c r="M1437" t="s">
        <v>38</v>
      </c>
      <c r="N1437" t="s">
        <v>38</v>
      </c>
      <c r="O1437" t="s">
        <v>38</v>
      </c>
      <c r="T1437" t="s">
        <v>38</v>
      </c>
      <c r="U1437">
        <v>0</v>
      </c>
      <c r="V1437">
        <v>1</v>
      </c>
      <c r="W1437">
        <v>0</v>
      </c>
      <c r="X1437">
        <v>0</v>
      </c>
      <c r="Y1437">
        <v>0</v>
      </c>
      <c r="AE1437">
        <f t="shared" si="66"/>
        <v>1</v>
      </c>
      <c r="AF1437">
        <f>VLOOKUP(D1437,especies!$A$2:$C$9,3,FALSE)</f>
        <v>1</v>
      </c>
      <c r="AG1437" t="str">
        <f t="shared" si="67"/>
        <v>1-Poodle</v>
      </c>
      <c r="AH1437">
        <f>VLOOKUP('Fichas clínicas'!AG1437,razas!$A$2:$D$66,3,FALSE)</f>
        <v>6</v>
      </c>
      <c r="AI1437" t="str">
        <f t="shared" si="68"/>
        <v>H</v>
      </c>
    </row>
    <row r="1438" spans="1:35" x14ac:dyDescent="0.2">
      <c r="A1438">
        <v>1440</v>
      </c>
      <c r="B1438" t="s">
        <v>3271</v>
      </c>
      <c r="C1438" t="s">
        <v>1619</v>
      </c>
      <c r="D1438" t="s">
        <v>32</v>
      </c>
      <c r="E1438" t="s">
        <v>3272</v>
      </c>
      <c r="F1438" t="s">
        <v>34</v>
      </c>
      <c r="G1438" t="s">
        <v>3116</v>
      </c>
      <c r="I1438">
        <v>999020190506681</v>
      </c>
      <c r="J1438" t="s">
        <v>2274</v>
      </c>
      <c r="K1438" t="s">
        <v>38</v>
      </c>
      <c r="L1438" t="s">
        <v>38</v>
      </c>
      <c r="M1438" t="s">
        <v>38</v>
      </c>
      <c r="N1438" t="s">
        <v>38</v>
      </c>
      <c r="O1438" t="s">
        <v>38</v>
      </c>
      <c r="Q1438">
        <v>0</v>
      </c>
      <c r="T1438" t="s">
        <v>38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f t="shared" si="66"/>
        <v>1</v>
      </c>
      <c r="AF1438">
        <f>VLOOKUP(D1438,especies!$A$2:$C$9,3,FALSE)</f>
        <v>1</v>
      </c>
      <c r="AG1438" t="str">
        <f t="shared" si="67"/>
        <v>1-Bulldog</v>
      </c>
      <c r="AH1438">
        <f>VLOOKUP('Fichas clínicas'!AG1438,razas!$A$2:$D$66,3,FALSE)</f>
        <v>44</v>
      </c>
      <c r="AI1438" t="str">
        <f t="shared" si="68"/>
        <v>H</v>
      </c>
    </row>
    <row r="1439" spans="1:35" x14ac:dyDescent="0.2">
      <c r="A1439">
        <v>1441</v>
      </c>
      <c r="B1439" t="s">
        <v>3273</v>
      </c>
      <c r="C1439" t="s">
        <v>1523</v>
      </c>
      <c r="D1439" t="s">
        <v>41</v>
      </c>
      <c r="E1439" t="s">
        <v>42</v>
      </c>
      <c r="F1439" t="s">
        <v>34</v>
      </c>
      <c r="G1439" t="s">
        <v>3274</v>
      </c>
      <c r="J1439" t="s">
        <v>1810</v>
      </c>
      <c r="K1439" t="s">
        <v>38</v>
      </c>
      <c r="L1439" t="s">
        <v>38</v>
      </c>
      <c r="M1439" t="s">
        <v>38</v>
      </c>
      <c r="N1439" t="s">
        <v>38</v>
      </c>
      <c r="O1439" t="s">
        <v>38</v>
      </c>
      <c r="Q1439">
        <v>0</v>
      </c>
      <c r="T1439" t="s">
        <v>38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f t="shared" si="66"/>
        <v>1</v>
      </c>
      <c r="AF1439">
        <f>VLOOKUP(D1439,especies!$A$2:$C$9,3,FALSE)</f>
        <v>2</v>
      </c>
      <c r="AG1439" t="str">
        <f t="shared" si="67"/>
        <v>2-DPC (Doméstico de pelo corto o DSH)</v>
      </c>
      <c r="AH1439">
        <f>VLOOKUP('Fichas clínicas'!AG1439,razas!$A$2:$D$66,3,FALSE)</f>
        <v>51</v>
      </c>
      <c r="AI1439" t="str">
        <f t="shared" si="68"/>
        <v>H</v>
      </c>
    </row>
    <row r="1440" spans="1:35" x14ac:dyDescent="0.2">
      <c r="A1440">
        <v>1442</v>
      </c>
      <c r="B1440" t="s">
        <v>3273</v>
      </c>
      <c r="C1440" t="s">
        <v>3275</v>
      </c>
      <c r="D1440" t="s">
        <v>32</v>
      </c>
      <c r="E1440" t="s">
        <v>150</v>
      </c>
      <c r="F1440" t="s">
        <v>47</v>
      </c>
      <c r="G1440" t="s">
        <v>467</v>
      </c>
      <c r="J1440" t="s">
        <v>271</v>
      </c>
      <c r="K1440" t="s">
        <v>38</v>
      </c>
      <c r="L1440" t="s">
        <v>38</v>
      </c>
      <c r="M1440" t="s">
        <v>38</v>
      </c>
      <c r="N1440" t="s">
        <v>38</v>
      </c>
      <c r="O1440" t="s">
        <v>38</v>
      </c>
      <c r="T1440" t="s">
        <v>38</v>
      </c>
      <c r="U1440">
        <v>0</v>
      </c>
      <c r="W1440">
        <v>0</v>
      </c>
      <c r="X1440">
        <v>0</v>
      </c>
      <c r="Y1440">
        <v>0</v>
      </c>
      <c r="AE1440">
        <f t="shared" si="66"/>
        <v>1</v>
      </c>
      <c r="AF1440">
        <f>VLOOKUP(D1440,especies!$A$2:$C$9,3,FALSE)</f>
        <v>1</v>
      </c>
      <c r="AG1440" t="str">
        <f t="shared" si="67"/>
        <v>1-Poodle</v>
      </c>
      <c r="AH1440">
        <f>VLOOKUP('Fichas clínicas'!AG1440,razas!$A$2:$D$66,3,FALSE)</f>
        <v>6</v>
      </c>
      <c r="AI1440" t="str">
        <f t="shared" si="68"/>
        <v>M</v>
      </c>
    </row>
    <row r="1441" spans="1:35" x14ac:dyDescent="0.2">
      <c r="A1441">
        <v>1443</v>
      </c>
      <c r="B1441" t="s">
        <v>3276</v>
      </c>
      <c r="C1441" t="s">
        <v>3277</v>
      </c>
      <c r="D1441" t="s">
        <v>41</v>
      </c>
      <c r="E1441" t="s">
        <v>93</v>
      </c>
      <c r="F1441" t="s">
        <v>34</v>
      </c>
      <c r="G1441" t="s">
        <v>3195</v>
      </c>
      <c r="J1441" t="s">
        <v>737</v>
      </c>
      <c r="K1441" t="s">
        <v>38</v>
      </c>
      <c r="L1441" t="s">
        <v>38</v>
      </c>
      <c r="M1441" t="s">
        <v>38</v>
      </c>
      <c r="N1441" t="s">
        <v>38</v>
      </c>
      <c r="O1441" t="s">
        <v>38</v>
      </c>
      <c r="T1441" t="s">
        <v>38</v>
      </c>
      <c r="U1441">
        <v>0</v>
      </c>
      <c r="V1441">
        <v>1</v>
      </c>
      <c r="W1441">
        <v>0</v>
      </c>
      <c r="X1441">
        <v>0</v>
      </c>
      <c r="Y1441">
        <v>0</v>
      </c>
      <c r="AE1441">
        <f t="shared" si="66"/>
        <v>1</v>
      </c>
      <c r="AF1441">
        <f>VLOOKUP(D1441,especies!$A$2:$C$9,3,FALSE)</f>
        <v>2</v>
      </c>
      <c r="AG1441" t="str">
        <f t="shared" si="67"/>
        <v>2-DPL (Doméstico de pelo Largo o DLH)</v>
      </c>
      <c r="AH1441">
        <f>VLOOKUP('Fichas clínicas'!AG1441,razas!$A$2:$D$66,3,FALSE)</f>
        <v>52</v>
      </c>
      <c r="AI1441" t="str">
        <f t="shared" si="68"/>
        <v>H</v>
      </c>
    </row>
    <row r="1442" spans="1:35" x14ac:dyDescent="0.2">
      <c r="A1442">
        <v>1444</v>
      </c>
      <c r="B1442" t="s">
        <v>3278</v>
      </c>
      <c r="C1442" t="s">
        <v>3279</v>
      </c>
      <c r="D1442" t="s">
        <v>41</v>
      </c>
      <c r="E1442" t="s">
        <v>42</v>
      </c>
      <c r="F1442" t="s">
        <v>47</v>
      </c>
      <c r="G1442" t="s">
        <v>1073</v>
      </c>
      <c r="J1442" t="s">
        <v>1745</v>
      </c>
      <c r="K1442" t="s">
        <v>38</v>
      </c>
      <c r="L1442" t="s">
        <v>38</v>
      </c>
      <c r="M1442" t="s">
        <v>38</v>
      </c>
      <c r="N1442" t="s">
        <v>38</v>
      </c>
      <c r="O1442" t="s">
        <v>38</v>
      </c>
      <c r="T1442" t="s">
        <v>38</v>
      </c>
      <c r="U1442">
        <v>0</v>
      </c>
      <c r="W1442">
        <v>0</v>
      </c>
      <c r="X1442">
        <v>0</v>
      </c>
      <c r="Y1442">
        <v>0</v>
      </c>
      <c r="AE1442">
        <f t="shared" si="66"/>
        <v>1</v>
      </c>
      <c r="AF1442">
        <f>VLOOKUP(D1442,especies!$A$2:$C$9,3,FALSE)</f>
        <v>2</v>
      </c>
      <c r="AG1442" t="str">
        <f t="shared" si="67"/>
        <v>2-DPC (Doméstico de pelo corto o DSH)</v>
      </c>
      <c r="AH1442">
        <f>VLOOKUP('Fichas clínicas'!AG1442,razas!$A$2:$D$66,3,FALSE)</f>
        <v>51</v>
      </c>
      <c r="AI1442" t="str">
        <f t="shared" si="68"/>
        <v>M</v>
      </c>
    </row>
    <row r="1443" spans="1:35" x14ac:dyDescent="0.2">
      <c r="A1443">
        <v>1445</v>
      </c>
      <c r="B1443" t="s">
        <v>3280</v>
      </c>
      <c r="C1443" t="s">
        <v>3281</v>
      </c>
      <c r="D1443" t="s">
        <v>32</v>
      </c>
      <c r="E1443" t="s">
        <v>150</v>
      </c>
      <c r="F1443" t="s">
        <v>47</v>
      </c>
      <c r="G1443" t="s">
        <v>116</v>
      </c>
      <c r="J1443" t="s">
        <v>82</v>
      </c>
      <c r="K1443" t="s">
        <v>38</v>
      </c>
      <c r="L1443" t="s">
        <v>38</v>
      </c>
      <c r="M1443" t="s">
        <v>38</v>
      </c>
      <c r="N1443" t="s">
        <v>38</v>
      </c>
      <c r="O1443" t="s">
        <v>38</v>
      </c>
      <c r="T1443" t="s">
        <v>38</v>
      </c>
      <c r="U1443">
        <v>0</v>
      </c>
      <c r="W1443">
        <v>0</v>
      </c>
      <c r="X1443">
        <v>0</v>
      </c>
      <c r="Y1443">
        <v>0</v>
      </c>
      <c r="AE1443">
        <f t="shared" si="66"/>
        <v>1</v>
      </c>
      <c r="AF1443">
        <f>VLOOKUP(D1443,especies!$A$2:$C$9,3,FALSE)</f>
        <v>1</v>
      </c>
      <c r="AG1443" t="str">
        <f t="shared" si="67"/>
        <v>1-Poodle</v>
      </c>
      <c r="AH1443">
        <f>VLOOKUP('Fichas clínicas'!AG1443,razas!$A$2:$D$66,3,FALSE)</f>
        <v>6</v>
      </c>
      <c r="AI1443" t="str">
        <f t="shared" si="68"/>
        <v>M</v>
      </c>
    </row>
    <row r="1444" spans="1:35" x14ac:dyDescent="0.2">
      <c r="A1444">
        <v>1446</v>
      </c>
      <c r="B1444" t="s">
        <v>2571</v>
      </c>
      <c r="C1444" t="s">
        <v>236</v>
      </c>
      <c r="D1444" t="s">
        <v>32</v>
      </c>
      <c r="E1444" t="s">
        <v>33</v>
      </c>
      <c r="F1444" t="s">
        <v>34</v>
      </c>
      <c r="G1444" t="s">
        <v>740</v>
      </c>
      <c r="J1444" t="s">
        <v>371</v>
      </c>
      <c r="K1444" t="s">
        <v>38</v>
      </c>
      <c r="L1444" t="s">
        <v>38</v>
      </c>
      <c r="M1444" t="s">
        <v>38</v>
      </c>
      <c r="N1444" t="s">
        <v>38</v>
      </c>
      <c r="O1444" t="s">
        <v>38</v>
      </c>
      <c r="T1444" t="s">
        <v>38</v>
      </c>
      <c r="U1444">
        <v>0</v>
      </c>
      <c r="W1444">
        <v>0</v>
      </c>
      <c r="X1444">
        <v>0</v>
      </c>
      <c r="Y1444">
        <v>0</v>
      </c>
      <c r="AE1444">
        <f t="shared" si="66"/>
        <v>1</v>
      </c>
      <c r="AF1444">
        <f>VLOOKUP(D1444,especies!$A$2:$C$9,3,FALSE)</f>
        <v>1</v>
      </c>
      <c r="AG1444" t="str">
        <f t="shared" si="67"/>
        <v>1-Mestizo</v>
      </c>
      <c r="AH1444">
        <f>VLOOKUP('Fichas clínicas'!AG1444,razas!$A$2:$D$66,3,FALSE)</f>
        <v>1</v>
      </c>
      <c r="AI1444" t="str">
        <f t="shared" si="68"/>
        <v>H</v>
      </c>
    </row>
    <row r="1445" spans="1:35" x14ac:dyDescent="0.2">
      <c r="A1445">
        <v>1447</v>
      </c>
      <c r="B1445" t="s">
        <v>2841</v>
      </c>
      <c r="C1445" t="s">
        <v>3282</v>
      </c>
      <c r="D1445" t="s">
        <v>41</v>
      </c>
      <c r="E1445" t="s">
        <v>42</v>
      </c>
      <c r="F1445" t="s">
        <v>34</v>
      </c>
      <c r="G1445" t="s">
        <v>77</v>
      </c>
      <c r="J1445" t="s">
        <v>2422</v>
      </c>
      <c r="K1445" t="s">
        <v>38</v>
      </c>
      <c r="L1445" t="s">
        <v>38</v>
      </c>
      <c r="M1445" t="s">
        <v>38</v>
      </c>
      <c r="N1445" t="s">
        <v>38</v>
      </c>
      <c r="O1445" t="s">
        <v>38</v>
      </c>
      <c r="T1445" t="s">
        <v>38</v>
      </c>
      <c r="U1445">
        <v>0</v>
      </c>
      <c r="V1445">
        <v>1</v>
      </c>
      <c r="W1445">
        <v>0</v>
      </c>
      <c r="X1445">
        <v>0</v>
      </c>
      <c r="Y1445">
        <v>0</v>
      </c>
      <c r="AE1445">
        <f t="shared" si="66"/>
        <v>1</v>
      </c>
      <c r="AF1445">
        <f>VLOOKUP(D1445,especies!$A$2:$C$9,3,FALSE)</f>
        <v>2</v>
      </c>
      <c r="AG1445" t="str">
        <f t="shared" si="67"/>
        <v>2-DPC (Doméstico de pelo corto o DSH)</v>
      </c>
      <c r="AH1445">
        <f>VLOOKUP('Fichas clínicas'!AG1445,razas!$A$2:$D$66,3,FALSE)</f>
        <v>51</v>
      </c>
      <c r="AI1445" t="str">
        <f t="shared" si="68"/>
        <v>H</v>
      </c>
    </row>
    <row r="1446" spans="1:35" x14ac:dyDescent="0.2">
      <c r="A1446">
        <v>1448</v>
      </c>
      <c r="B1446" t="s">
        <v>3283</v>
      </c>
      <c r="C1446" t="s">
        <v>3284</v>
      </c>
      <c r="D1446" t="s">
        <v>32</v>
      </c>
      <c r="E1446" t="s">
        <v>33</v>
      </c>
      <c r="F1446" t="s">
        <v>47</v>
      </c>
      <c r="G1446" t="s">
        <v>1547</v>
      </c>
      <c r="J1446" t="s">
        <v>3230</v>
      </c>
      <c r="K1446" t="s">
        <v>38</v>
      </c>
      <c r="L1446" t="s">
        <v>38</v>
      </c>
      <c r="M1446" t="s">
        <v>38</v>
      </c>
      <c r="N1446" t="s">
        <v>38</v>
      </c>
      <c r="O1446" t="s">
        <v>38</v>
      </c>
      <c r="Q1446">
        <v>0</v>
      </c>
      <c r="T1446" t="s">
        <v>38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f t="shared" si="66"/>
        <v>1</v>
      </c>
      <c r="AF1446">
        <f>VLOOKUP(D1446,especies!$A$2:$C$9,3,FALSE)</f>
        <v>1</v>
      </c>
      <c r="AG1446" t="str">
        <f t="shared" si="67"/>
        <v>1-Mestizo</v>
      </c>
      <c r="AH1446">
        <f>VLOOKUP('Fichas clínicas'!AG1446,razas!$A$2:$D$66,3,FALSE)</f>
        <v>1</v>
      </c>
      <c r="AI1446" t="str">
        <f t="shared" si="68"/>
        <v>M</v>
      </c>
    </row>
    <row r="1447" spans="1:35" x14ac:dyDescent="0.2">
      <c r="A1447">
        <v>1449</v>
      </c>
      <c r="B1447" t="s">
        <v>3285</v>
      </c>
      <c r="C1447" t="s">
        <v>3286</v>
      </c>
      <c r="D1447" t="s">
        <v>32</v>
      </c>
      <c r="E1447" t="s">
        <v>33</v>
      </c>
      <c r="F1447" t="s">
        <v>34</v>
      </c>
      <c r="G1447" t="s">
        <v>277</v>
      </c>
      <c r="J1447" t="s">
        <v>710</v>
      </c>
      <c r="K1447" t="s">
        <v>38</v>
      </c>
      <c r="L1447" t="s">
        <v>38</v>
      </c>
      <c r="M1447" t="s">
        <v>38</v>
      </c>
      <c r="N1447" t="s">
        <v>38</v>
      </c>
      <c r="O1447" t="s">
        <v>38</v>
      </c>
      <c r="T1447" t="s">
        <v>38</v>
      </c>
      <c r="U1447">
        <v>0</v>
      </c>
      <c r="V1447">
        <v>1</v>
      </c>
      <c r="W1447">
        <v>0</v>
      </c>
      <c r="X1447">
        <v>0</v>
      </c>
      <c r="Y1447">
        <v>0</v>
      </c>
      <c r="AE1447">
        <f t="shared" si="66"/>
        <v>1</v>
      </c>
      <c r="AF1447">
        <f>VLOOKUP(D1447,especies!$A$2:$C$9,3,FALSE)</f>
        <v>1</v>
      </c>
      <c r="AG1447" t="str">
        <f t="shared" si="67"/>
        <v>1-Mestizo</v>
      </c>
      <c r="AH1447">
        <f>VLOOKUP('Fichas clínicas'!AG1447,razas!$A$2:$D$66,3,FALSE)</f>
        <v>1</v>
      </c>
      <c r="AI1447" t="str">
        <f t="shared" si="68"/>
        <v>H</v>
      </c>
    </row>
    <row r="1448" spans="1:35" x14ac:dyDescent="0.2">
      <c r="A1448">
        <v>1450</v>
      </c>
      <c r="B1448" t="s">
        <v>3287</v>
      </c>
      <c r="C1448" t="s">
        <v>3288</v>
      </c>
      <c r="D1448" t="s">
        <v>41</v>
      </c>
      <c r="E1448" t="s">
        <v>42</v>
      </c>
      <c r="F1448" t="s">
        <v>47</v>
      </c>
      <c r="G1448" t="s">
        <v>2812</v>
      </c>
      <c r="J1448" t="s">
        <v>3289</v>
      </c>
      <c r="K1448" t="s">
        <v>38</v>
      </c>
      <c r="L1448" t="s">
        <v>38</v>
      </c>
      <c r="M1448" t="s">
        <v>38</v>
      </c>
      <c r="N1448" t="s">
        <v>38</v>
      </c>
      <c r="O1448" t="s">
        <v>38</v>
      </c>
      <c r="T1448" t="s">
        <v>38</v>
      </c>
      <c r="U1448">
        <v>0</v>
      </c>
      <c r="V1448">
        <v>1</v>
      </c>
      <c r="W1448">
        <v>0</v>
      </c>
      <c r="X1448">
        <v>0</v>
      </c>
      <c r="Y1448">
        <v>0</v>
      </c>
      <c r="AE1448">
        <f t="shared" si="66"/>
        <v>1</v>
      </c>
      <c r="AF1448">
        <f>VLOOKUP(D1448,especies!$A$2:$C$9,3,FALSE)</f>
        <v>2</v>
      </c>
      <c r="AG1448" t="str">
        <f t="shared" si="67"/>
        <v>2-DPC (Doméstico de pelo corto o DSH)</v>
      </c>
      <c r="AH1448">
        <f>VLOOKUP('Fichas clínicas'!AG1448,razas!$A$2:$D$66,3,FALSE)</f>
        <v>51</v>
      </c>
      <c r="AI1448" t="str">
        <f t="shared" si="68"/>
        <v>M</v>
      </c>
    </row>
    <row r="1449" spans="1:35" x14ac:dyDescent="0.2">
      <c r="A1449">
        <v>1451</v>
      </c>
      <c r="B1449" t="s">
        <v>3290</v>
      </c>
      <c r="C1449" t="s">
        <v>3291</v>
      </c>
      <c r="D1449" t="s">
        <v>41</v>
      </c>
      <c r="E1449" t="s">
        <v>93</v>
      </c>
      <c r="F1449" t="s">
        <v>47</v>
      </c>
      <c r="G1449" t="s">
        <v>2870</v>
      </c>
      <c r="J1449" t="s">
        <v>3292</v>
      </c>
      <c r="K1449" t="s">
        <v>38</v>
      </c>
      <c r="L1449" t="s">
        <v>38</v>
      </c>
      <c r="M1449" t="s">
        <v>38</v>
      </c>
      <c r="N1449" t="s">
        <v>38</v>
      </c>
      <c r="O1449" t="s">
        <v>38</v>
      </c>
      <c r="Q1449">
        <v>0</v>
      </c>
      <c r="T1449" t="s">
        <v>38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f t="shared" si="66"/>
        <v>1</v>
      </c>
      <c r="AF1449">
        <f>VLOOKUP(D1449,especies!$A$2:$C$9,3,FALSE)</f>
        <v>2</v>
      </c>
      <c r="AG1449" t="str">
        <f t="shared" si="67"/>
        <v>2-DPL (Doméstico de pelo Largo o DLH)</v>
      </c>
      <c r="AH1449">
        <f>VLOOKUP('Fichas clínicas'!AG1449,razas!$A$2:$D$66,3,FALSE)</f>
        <v>52</v>
      </c>
      <c r="AI1449" t="str">
        <f t="shared" si="68"/>
        <v>M</v>
      </c>
    </row>
    <row r="1450" spans="1:35" x14ac:dyDescent="0.2">
      <c r="A1450">
        <v>1452</v>
      </c>
      <c r="B1450" t="s">
        <v>3293</v>
      </c>
      <c r="C1450" t="s">
        <v>3294</v>
      </c>
      <c r="D1450" t="s">
        <v>41</v>
      </c>
      <c r="E1450" t="s">
        <v>42</v>
      </c>
      <c r="F1450" t="s">
        <v>47</v>
      </c>
      <c r="G1450" t="s">
        <v>2763</v>
      </c>
      <c r="J1450" t="s">
        <v>3295</v>
      </c>
      <c r="K1450" t="s">
        <v>38</v>
      </c>
      <c r="L1450" t="s">
        <v>38</v>
      </c>
      <c r="M1450" t="s">
        <v>38</v>
      </c>
      <c r="N1450" t="s">
        <v>38</v>
      </c>
      <c r="O1450" t="s">
        <v>38</v>
      </c>
      <c r="T1450" t="s">
        <v>38</v>
      </c>
      <c r="U1450">
        <v>0</v>
      </c>
      <c r="W1450">
        <v>0</v>
      </c>
      <c r="X1450">
        <v>0</v>
      </c>
      <c r="Y1450">
        <v>0</v>
      </c>
      <c r="AE1450">
        <f t="shared" si="66"/>
        <v>1</v>
      </c>
      <c r="AF1450">
        <f>VLOOKUP(D1450,especies!$A$2:$C$9,3,FALSE)</f>
        <v>2</v>
      </c>
      <c r="AG1450" t="str">
        <f t="shared" si="67"/>
        <v>2-DPC (Doméstico de pelo corto o DSH)</v>
      </c>
      <c r="AH1450">
        <f>VLOOKUP('Fichas clínicas'!AG1450,razas!$A$2:$D$66,3,FALSE)</f>
        <v>51</v>
      </c>
      <c r="AI1450" t="str">
        <f t="shared" si="68"/>
        <v>M</v>
      </c>
    </row>
    <row r="1451" spans="1:35" x14ac:dyDescent="0.2">
      <c r="A1451">
        <v>1453</v>
      </c>
      <c r="B1451" t="s">
        <v>3296</v>
      </c>
      <c r="C1451" t="s">
        <v>3297</v>
      </c>
      <c r="D1451" t="s">
        <v>32</v>
      </c>
      <c r="E1451" t="s">
        <v>33</v>
      </c>
      <c r="F1451" t="s">
        <v>34</v>
      </c>
      <c r="G1451" t="s">
        <v>43</v>
      </c>
      <c r="J1451" t="s">
        <v>858</v>
      </c>
      <c r="K1451" t="s">
        <v>38</v>
      </c>
      <c r="L1451" t="s">
        <v>38</v>
      </c>
      <c r="M1451" t="s">
        <v>38</v>
      </c>
      <c r="N1451" t="s">
        <v>38</v>
      </c>
      <c r="O1451" t="s">
        <v>38</v>
      </c>
      <c r="T1451" t="s">
        <v>38</v>
      </c>
      <c r="U1451">
        <v>0</v>
      </c>
      <c r="V1451">
        <v>1</v>
      </c>
      <c r="W1451">
        <v>0</v>
      </c>
      <c r="X1451">
        <v>0</v>
      </c>
      <c r="Y1451">
        <v>0</v>
      </c>
      <c r="AE1451">
        <f t="shared" si="66"/>
        <v>1</v>
      </c>
      <c r="AF1451">
        <f>VLOOKUP(D1451,especies!$A$2:$C$9,3,FALSE)</f>
        <v>1</v>
      </c>
      <c r="AG1451" t="str">
        <f t="shared" si="67"/>
        <v>1-Mestizo</v>
      </c>
      <c r="AH1451">
        <f>VLOOKUP('Fichas clínicas'!AG1451,razas!$A$2:$D$66,3,FALSE)</f>
        <v>1</v>
      </c>
      <c r="AI1451" t="str">
        <f t="shared" si="68"/>
        <v>H</v>
      </c>
    </row>
    <row r="1452" spans="1:35" x14ac:dyDescent="0.2">
      <c r="A1452">
        <v>1454</v>
      </c>
      <c r="B1452" t="s">
        <v>2989</v>
      </c>
      <c r="C1452" t="s">
        <v>3298</v>
      </c>
      <c r="D1452" t="s">
        <v>41</v>
      </c>
      <c r="E1452" t="s">
        <v>42</v>
      </c>
      <c r="F1452" t="s">
        <v>34</v>
      </c>
      <c r="G1452" t="s">
        <v>3299</v>
      </c>
      <c r="J1452" t="s">
        <v>512</v>
      </c>
      <c r="K1452" t="s">
        <v>38</v>
      </c>
      <c r="L1452" t="s">
        <v>38</v>
      </c>
      <c r="M1452" t="s">
        <v>38</v>
      </c>
      <c r="N1452" t="s">
        <v>38</v>
      </c>
      <c r="O1452" t="s">
        <v>38</v>
      </c>
      <c r="T1452" t="s">
        <v>38</v>
      </c>
      <c r="U1452">
        <v>0</v>
      </c>
      <c r="V1452">
        <v>1</v>
      </c>
      <c r="W1452">
        <v>0</v>
      </c>
      <c r="X1452">
        <v>0</v>
      </c>
      <c r="Y1452">
        <v>0</v>
      </c>
      <c r="AE1452">
        <f t="shared" si="66"/>
        <v>1</v>
      </c>
      <c r="AF1452">
        <f>VLOOKUP(D1452,especies!$A$2:$C$9,3,FALSE)</f>
        <v>2</v>
      </c>
      <c r="AG1452" t="str">
        <f t="shared" si="67"/>
        <v>2-DPC (Doméstico de pelo corto o DSH)</v>
      </c>
      <c r="AH1452">
        <f>VLOOKUP('Fichas clínicas'!AG1452,razas!$A$2:$D$66,3,FALSE)</f>
        <v>51</v>
      </c>
      <c r="AI1452" t="str">
        <f t="shared" si="68"/>
        <v>H</v>
      </c>
    </row>
    <row r="1453" spans="1:35" x14ac:dyDescent="0.2">
      <c r="A1453">
        <v>1455</v>
      </c>
      <c r="B1453" t="s">
        <v>2989</v>
      </c>
      <c r="C1453" t="s">
        <v>3300</v>
      </c>
      <c r="D1453" t="s">
        <v>41</v>
      </c>
      <c r="E1453" t="s">
        <v>42</v>
      </c>
      <c r="F1453" t="s">
        <v>34</v>
      </c>
      <c r="G1453" t="s">
        <v>258</v>
      </c>
      <c r="J1453" t="s">
        <v>3301</v>
      </c>
      <c r="K1453" t="s">
        <v>38</v>
      </c>
      <c r="L1453" t="s">
        <v>38</v>
      </c>
      <c r="M1453" t="s">
        <v>38</v>
      </c>
      <c r="N1453" t="s">
        <v>38</v>
      </c>
      <c r="O1453" t="s">
        <v>38</v>
      </c>
      <c r="T1453" t="s">
        <v>38</v>
      </c>
      <c r="U1453">
        <v>0</v>
      </c>
      <c r="V1453">
        <v>1</v>
      </c>
      <c r="W1453">
        <v>0</v>
      </c>
      <c r="X1453">
        <v>0</v>
      </c>
      <c r="Y1453">
        <v>0</v>
      </c>
      <c r="AE1453">
        <f t="shared" si="66"/>
        <v>1</v>
      </c>
      <c r="AF1453">
        <f>VLOOKUP(D1453,especies!$A$2:$C$9,3,FALSE)</f>
        <v>2</v>
      </c>
      <c r="AG1453" t="str">
        <f t="shared" si="67"/>
        <v>2-DPC (Doméstico de pelo corto o DSH)</v>
      </c>
      <c r="AH1453">
        <f>VLOOKUP('Fichas clínicas'!AG1453,razas!$A$2:$D$66,3,FALSE)</f>
        <v>51</v>
      </c>
      <c r="AI1453" t="str">
        <f t="shared" si="68"/>
        <v>H</v>
      </c>
    </row>
    <row r="1454" spans="1:35" x14ac:dyDescent="0.2">
      <c r="A1454">
        <v>1456</v>
      </c>
      <c r="B1454" t="s">
        <v>2989</v>
      </c>
      <c r="C1454" t="s">
        <v>3302</v>
      </c>
      <c r="D1454" t="s">
        <v>41</v>
      </c>
      <c r="E1454" t="s">
        <v>42</v>
      </c>
      <c r="F1454" t="s">
        <v>34</v>
      </c>
      <c r="G1454" t="s">
        <v>258</v>
      </c>
      <c r="J1454" t="s">
        <v>3301</v>
      </c>
      <c r="K1454" t="s">
        <v>38</v>
      </c>
      <c r="L1454" t="s">
        <v>38</v>
      </c>
      <c r="M1454" t="s">
        <v>38</v>
      </c>
      <c r="N1454" t="s">
        <v>38</v>
      </c>
      <c r="O1454" t="s">
        <v>38</v>
      </c>
      <c r="T1454" t="s">
        <v>38</v>
      </c>
      <c r="U1454">
        <v>0</v>
      </c>
      <c r="V1454">
        <v>1</v>
      </c>
      <c r="W1454">
        <v>0</v>
      </c>
      <c r="X1454">
        <v>0</v>
      </c>
      <c r="Y1454">
        <v>0</v>
      </c>
      <c r="AE1454">
        <f t="shared" si="66"/>
        <v>1</v>
      </c>
      <c r="AF1454">
        <f>VLOOKUP(D1454,especies!$A$2:$C$9,3,FALSE)</f>
        <v>2</v>
      </c>
      <c r="AG1454" t="str">
        <f t="shared" si="67"/>
        <v>2-DPC (Doméstico de pelo corto o DSH)</v>
      </c>
      <c r="AH1454">
        <f>VLOOKUP('Fichas clínicas'!AG1454,razas!$A$2:$D$66,3,FALSE)</f>
        <v>51</v>
      </c>
      <c r="AI1454" t="str">
        <f t="shared" si="68"/>
        <v>H</v>
      </c>
    </row>
    <row r="1455" spans="1:35" x14ac:dyDescent="0.2">
      <c r="A1455">
        <v>1457</v>
      </c>
      <c r="B1455" t="s">
        <v>973</v>
      </c>
      <c r="C1455" t="s">
        <v>2331</v>
      </c>
      <c r="D1455" t="s">
        <v>41</v>
      </c>
      <c r="E1455" t="s">
        <v>42</v>
      </c>
      <c r="F1455" t="s">
        <v>34</v>
      </c>
      <c r="G1455" t="s">
        <v>3303</v>
      </c>
      <c r="J1455" t="s">
        <v>2224</v>
      </c>
      <c r="K1455" t="s">
        <v>38</v>
      </c>
      <c r="L1455" t="s">
        <v>38</v>
      </c>
      <c r="M1455" t="s">
        <v>38</v>
      </c>
      <c r="N1455" t="s">
        <v>38</v>
      </c>
      <c r="O1455" t="s">
        <v>38</v>
      </c>
      <c r="T1455" t="s">
        <v>38</v>
      </c>
      <c r="U1455">
        <v>0</v>
      </c>
      <c r="W1455">
        <v>0</v>
      </c>
      <c r="X1455">
        <v>0</v>
      </c>
      <c r="Y1455">
        <v>0</v>
      </c>
      <c r="AE1455">
        <f t="shared" si="66"/>
        <v>1</v>
      </c>
      <c r="AF1455">
        <f>VLOOKUP(D1455,especies!$A$2:$C$9,3,FALSE)</f>
        <v>2</v>
      </c>
      <c r="AG1455" t="str">
        <f t="shared" si="67"/>
        <v>2-DPC (Doméstico de pelo corto o DSH)</v>
      </c>
      <c r="AH1455">
        <f>VLOOKUP('Fichas clínicas'!AG1455,razas!$A$2:$D$66,3,FALSE)</f>
        <v>51</v>
      </c>
      <c r="AI1455" t="str">
        <f t="shared" si="68"/>
        <v>H</v>
      </c>
    </row>
    <row r="1456" spans="1:35" x14ac:dyDescent="0.2">
      <c r="A1456">
        <v>1458</v>
      </c>
      <c r="B1456" t="s">
        <v>3304</v>
      </c>
      <c r="C1456" t="s">
        <v>3305</v>
      </c>
      <c r="D1456" t="s">
        <v>41</v>
      </c>
      <c r="E1456" t="s">
        <v>42</v>
      </c>
      <c r="F1456" t="s">
        <v>34</v>
      </c>
      <c r="G1456" t="s">
        <v>3306</v>
      </c>
      <c r="J1456" t="s">
        <v>393</v>
      </c>
      <c r="K1456" t="s">
        <v>38</v>
      </c>
      <c r="L1456" t="s">
        <v>38</v>
      </c>
      <c r="M1456" t="s">
        <v>38</v>
      </c>
      <c r="N1456" t="s">
        <v>38</v>
      </c>
      <c r="O1456" t="s">
        <v>38</v>
      </c>
      <c r="T1456" t="s">
        <v>38</v>
      </c>
      <c r="U1456">
        <v>0</v>
      </c>
      <c r="W1456">
        <v>0</v>
      </c>
      <c r="X1456">
        <v>0</v>
      </c>
      <c r="Y1456">
        <v>0</v>
      </c>
      <c r="AE1456">
        <f t="shared" si="66"/>
        <v>1</v>
      </c>
      <c r="AF1456">
        <f>VLOOKUP(D1456,especies!$A$2:$C$9,3,FALSE)</f>
        <v>2</v>
      </c>
      <c r="AG1456" t="str">
        <f t="shared" si="67"/>
        <v>2-DPC (Doméstico de pelo corto o DSH)</v>
      </c>
      <c r="AH1456">
        <f>VLOOKUP('Fichas clínicas'!AG1456,razas!$A$2:$D$66,3,FALSE)</f>
        <v>51</v>
      </c>
      <c r="AI1456" t="str">
        <f t="shared" si="68"/>
        <v>H</v>
      </c>
    </row>
    <row r="1457" spans="1:35" x14ac:dyDescent="0.2">
      <c r="A1457">
        <v>1459</v>
      </c>
      <c r="B1457" t="s">
        <v>2337</v>
      </c>
      <c r="C1457" t="s">
        <v>1309</v>
      </c>
      <c r="D1457" t="s">
        <v>32</v>
      </c>
      <c r="E1457" t="s">
        <v>33</v>
      </c>
      <c r="F1457" t="s">
        <v>34</v>
      </c>
      <c r="G1457" t="s">
        <v>2878</v>
      </c>
      <c r="J1457" t="s">
        <v>3307</v>
      </c>
      <c r="K1457" t="s">
        <v>38</v>
      </c>
      <c r="L1457" t="s">
        <v>38</v>
      </c>
      <c r="M1457" t="s">
        <v>38</v>
      </c>
      <c r="N1457" t="s">
        <v>38</v>
      </c>
      <c r="O1457" t="s">
        <v>38</v>
      </c>
      <c r="T1457" t="s">
        <v>38</v>
      </c>
      <c r="U1457">
        <v>0</v>
      </c>
      <c r="W1457">
        <v>0</v>
      </c>
      <c r="X1457">
        <v>0</v>
      </c>
      <c r="Y1457">
        <v>0</v>
      </c>
      <c r="AE1457">
        <f t="shared" si="66"/>
        <v>1</v>
      </c>
      <c r="AF1457">
        <f>VLOOKUP(D1457,especies!$A$2:$C$9,3,FALSE)</f>
        <v>1</v>
      </c>
      <c r="AG1457" t="str">
        <f t="shared" si="67"/>
        <v>1-Mestizo</v>
      </c>
      <c r="AH1457">
        <f>VLOOKUP('Fichas clínicas'!AG1457,razas!$A$2:$D$66,3,FALSE)</f>
        <v>1</v>
      </c>
      <c r="AI1457" t="str">
        <f t="shared" si="68"/>
        <v>H</v>
      </c>
    </row>
    <row r="1458" spans="1:35" x14ac:dyDescent="0.2">
      <c r="A1458">
        <v>1460</v>
      </c>
      <c r="B1458" t="s">
        <v>2337</v>
      </c>
      <c r="C1458" t="s">
        <v>1632</v>
      </c>
      <c r="D1458" t="s">
        <v>32</v>
      </c>
      <c r="E1458" t="s">
        <v>33</v>
      </c>
      <c r="F1458" t="s">
        <v>34</v>
      </c>
      <c r="G1458" t="s">
        <v>2054</v>
      </c>
      <c r="J1458" t="s">
        <v>3307</v>
      </c>
      <c r="K1458" t="s">
        <v>38</v>
      </c>
      <c r="L1458" t="s">
        <v>38</v>
      </c>
      <c r="M1458" t="s">
        <v>38</v>
      </c>
      <c r="N1458" t="s">
        <v>38</v>
      </c>
      <c r="O1458" t="s">
        <v>38</v>
      </c>
      <c r="T1458" t="s">
        <v>38</v>
      </c>
      <c r="U1458">
        <v>0</v>
      </c>
      <c r="W1458">
        <v>0</v>
      </c>
      <c r="X1458">
        <v>0</v>
      </c>
      <c r="Y1458">
        <v>0</v>
      </c>
      <c r="AE1458">
        <f t="shared" si="66"/>
        <v>1</v>
      </c>
      <c r="AF1458">
        <f>VLOOKUP(D1458,especies!$A$2:$C$9,3,FALSE)</f>
        <v>1</v>
      </c>
      <c r="AG1458" t="str">
        <f t="shared" si="67"/>
        <v>1-Mestizo</v>
      </c>
      <c r="AH1458">
        <f>VLOOKUP('Fichas clínicas'!AG1458,razas!$A$2:$D$66,3,FALSE)</f>
        <v>1</v>
      </c>
      <c r="AI1458" t="str">
        <f t="shared" si="68"/>
        <v>H</v>
      </c>
    </row>
    <row r="1459" spans="1:35" x14ac:dyDescent="0.2">
      <c r="A1459">
        <v>1461</v>
      </c>
      <c r="B1459" t="s">
        <v>3308</v>
      </c>
      <c r="C1459" t="s">
        <v>3309</v>
      </c>
      <c r="D1459" t="s">
        <v>32</v>
      </c>
      <c r="E1459" t="s">
        <v>150</v>
      </c>
      <c r="F1459" t="s">
        <v>34</v>
      </c>
      <c r="G1459" t="s">
        <v>102</v>
      </c>
      <c r="J1459" t="s">
        <v>2051</v>
      </c>
      <c r="K1459" t="s">
        <v>38</v>
      </c>
      <c r="L1459" t="s">
        <v>38</v>
      </c>
      <c r="M1459" t="s">
        <v>38</v>
      </c>
      <c r="N1459" t="s">
        <v>38</v>
      </c>
      <c r="O1459" t="s">
        <v>38</v>
      </c>
      <c r="T1459" t="s">
        <v>38</v>
      </c>
      <c r="U1459">
        <v>0</v>
      </c>
      <c r="V1459">
        <v>1</v>
      </c>
      <c r="W1459">
        <v>0</v>
      </c>
      <c r="X1459">
        <v>0</v>
      </c>
      <c r="Y1459">
        <v>0</v>
      </c>
      <c r="AE1459">
        <f t="shared" si="66"/>
        <v>1</v>
      </c>
      <c r="AF1459">
        <f>VLOOKUP(D1459,especies!$A$2:$C$9,3,FALSE)</f>
        <v>1</v>
      </c>
      <c r="AG1459" t="str">
        <f t="shared" si="67"/>
        <v>1-Poodle</v>
      </c>
      <c r="AH1459">
        <f>VLOOKUP('Fichas clínicas'!AG1459,razas!$A$2:$D$66,3,FALSE)</f>
        <v>6</v>
      </c>
      <c r="AI1459" t="str">
        <f t="shared" si="68"/>
        <v>H</v>
      </c>
    </row>
    <row r="1460" spans="1:35" x14ac:dyDescent="0.2">
      <c r="A1460">
        <v>1462</v>
      </c>
      <c r="B1460" t="s">
        <v>3310</v>
      </c>
      <c r="C1460" t="s">
        <v>2144</v>
      </c>
      <c r="D1460" t="s">
        <v>32</v>
      </c>
      <c r="E1460" t="s">
        <v>33</v>
      </c>
      <c r="F1460" t="s">
        <v>47</v>
      </c>
      <c r="G1460" t="s">
        <v>300</v>
      </c>
      <c r="J1460" t="s">
        <v>3311</v>
      </c>
      <c r="K1460" t="s">
        <v>38</v>
      </c>
      <c r="L1460" t="s">
        <v>38</v>
      </c>
      <c r="M1460" t="s">
        <v>38</v>
      </c>
      <c r="N1460" t="s">
        <v>38</v>
      </c>
      <c r="O1460" t="s">
        <v>38</v>
      </c>
      <c r="T1460" t="s">
        <v>38</v>
      </c>
      <c r="U1460">
        <v>0</v>
      </c>
      <c r="W1460">
        <v>0</v>
      </c>
      <c r="X1460">
        <v>0</v>
      </c>
      <c r="Y1460">
        <v>0</v>
      </c>
      <c r="AE1460">
        <f t="shared" si="66"/>
        <v>1</v>
      </c>
      <c r="AF1460">
        <f>VLOOKUP(D1460,especies!$A$2:$C$9,3,FALSE)</f>
        <v>1</v>
      </c>
      <c r="AG1460" t="str">
        <f t="shared" si="67"/>
        <v>1-Mestizo</v>
      </c>
      <c r="AH1460">
        <f>VLOOKUP('Fichas clínicas'!AG1460,razas!$A$2:$D$66,3,FALSE)</f>
        <v>1</v>
      </c>
      <c r="AI1460" t="str">
        <f t="shared" si="68"/>
        <v>M</v>
      </c>
    </row>
    <row r="1461" spans="1:35" x14ac:dyDescent="0.2">
      <c r="A1461">
        <v>1463</v>
      </c>
      <c r="B1461" t="s">
        <v>578</v>
      </c>
      <c r="C1461" t="s">
        <v>3312</v>
      </c>
      <c r="D1461" t="s">
        <v>41</v>
      </c>
      <c r="E1461" t="s">
        <v>42</v>
      </c>
      <c r="F1461" t="s">
        <v>34</v>
      </c>
      <c r="G1461" t="s">
        <v>3163</v>
      </c>
      <c r="J1461" t="s">
        <v>348</v>
      </c>
      <c r="K1461" t="s">
        <v>38</v>
      </c>
      <c r="L1461" t="s">
        <v>38</v>
      </c>
      <c r="M1461" t="s">
        <v>38</v>
      </c>
      <c r="N1461" t="s">
        <v>38</v>
      </c>
      <c r="O1461" t="s">
        <v>38</v>
      </c>
      <c r="T1461" t="s">
        <v>38</v>
      </c>
      <c r="U1461">
        <v>0</v>
      </c>
      <c r="V1461">
        <v>1</v>
      </c>
      <c r="W1461">
        <v>0</v>
      </c>
      <c r="X1461">
        <v>0</v>
      </c>
      <c r="Y1461">
        <v>0</v>
      </c>
      <c r="AE1461">
        <f t="shared" si="66"/>
        <v>1</v>
      </c>
      <c r="AF1461">
        <f>VLOOKUP(D1461,especies!$A$2:$C$9,3,FALSE)</f>
        <v>2</v>
      </c>
      <c r="AG1461" t="str">
        <f t="shared" si="67"/>
        <v>2-DPC (Doméstico de pelo corto o DSH)</v>
      </c>
      <c r="AH1461">
        <f>VLOOKUP('Fichas clínicas'!AG1461,razas!$A$2:$D$66,3,FALSE)</f>
        <v>51</v>
      </c>
      <c r="AI1461" t="str">
        <f t="shared" si="68"/>
        <v>H</v>
      </c>
    </row>
    <row r="1462" spans="1:35" x14ac:dyDescent="0.2">
      <c r="A1462">
        <v>1464</v>
      </c>
      <c r="B1462" t="s">
        <v>3313</v>
      </c>
      <c r="C1462" t="s">
        <v>3314</v>
      </c>
      <c r="D1462" t="s">
        <v>41</v>
      </c>
      <c r="E1462" t="s">
        <v>42</v>
      </c>
      <c r="F1462" t="s">
        <v>47</v>
      </c>
      <c r="G1462" t="s">
        <v>3243</v>
      </c>
      <c r="J1462" t="s">
        <v>3261</v>
      </c>
      <c r="K1462" t="s">
        <v>38</v>
      </c>
      <c r="L1462" t="s">
        <v>38</v>
      </c>
      <c r="M1462" t="s">
        <v>38</v>
      </c>
      <c r="N1462" t="s">
        <v>38</v>
      </c>
      <c r="O1462" t="s">
        <v>38</v>
      </c>
      <c r="T1462" t="s">
        <v>38</v>
      </c>
      <c r="U1462">
        <v>0</v>
      </c>
      <c r="W1462">
        <v>0</v>
      </c>
      <c r="X1462">
        <v>0</v>
      </c>
      <c r="Y1462">
        <v>0</v>
      </c>
      <c r="AE1462">
        <f t="shared" si="66"/>
        <v>1</v>
      </c>
      <c r="AF1462">
        <f>VLOOKUP(D1462,especies!$A$2:$C$9,3,FALSE)</f>
        <v>2</v>
      </c>
      <c r="AG1462" t="str">
        <f t="shared" si="67"/>
        <v>2-DPC (Doméstico de pelo corto o DSH)</v>
      </c>
      <c r="AH1462">
        <f>VLOOKUP('Fichas clínicas'!AG1462,razas!$A$2:$D$66,3,FALSE)</f>
        <v>51</v>
      </c>
      <c r="AI1462" t="str">
        <f t="shared" si="68"/>
        <v>M</v>
      </c>
    </row>
    <row r="1463" spans="1:35" x14ac:dyDescent="0.2">
      <c r="A1463">
        <v>1465</v>
      </c>
      <c r="B1463" t="s">
        <v>1481</v>
      </c>
      <c r="C1463" t="s">
        <v>3315</v>
      </c>
      <c r="D1463" t="s">
        <v>41</v>
      </c>
      <c r="E1463" t="s">
        <v>42</v>
      </c>
      <c r="F1463" t="s">
        <v>47</v>
      </c>
      <c r="G1463" t="s">
        <v>1054</v>
      </c>
      <c r="J1463" t="s">
        <v>338</v>
      </c>
      <c r="K1463" t="s">
        <v>38</v>
      </c>
      <c r="L1463" t="s">
        <v>38</v>
      </c>
      <c r="M1463" t="s">
        <v>38</v>
      </c>
      <c r="N1463" t="s">
        <v>38</v>
      </c>
      <c r="O1463" t="s">
        <v>38</v>
      </c>
      <c r="T1463" t="s">
        <v>38</v>
      </c>
      <c r="U1463">
        <v>0</v>
      </c>
      <c r="V1463">
        <v>1</v>
      </c>
      <c r="W1463">
        <v>0</v>
      </c>
      <c r="X1463">
        <v>0</v>
      </c>
      <c r="Y1463">
        <v>0</v>
      </c>
      <c r="AE1463">
        <f t="shared" si="66"/>
        <v>1</v>
      </c>
      <c r="AF1463">
        <f>VLOOKUP(D1463,especies!$A$2:$C$9,3,FALSE)</f>
        <v>2</v>
      </c>
      <c r="AG1463" t="str">
        <f t="shared" si="67"/>
        <v>2-DPC (Doméstico de pelo corto o DSH)</v>
      </c>
      <c r="AH1463">
        <f>VLOOKUP('Fichas clínicas'!AG1463,razas!$A$2:$D$66,3,FALSE)</f>
        <v>51</v>
      </c>
      <c r="AI1463" t="str">
        <f t="shared" si="68"/>
        <v>M</v>
      </c>
    </row>
    <row r="1464" spans="1:35" x14ac:dyDescent="0.2">
      <c r="A1464">
        <v>1466</v>
      </c>
      <c r="B1464" t="s">
        <v>3316</v>
      </c>
      <c r="C1464" t="s">
        <v>3317</v>
      </c>
      <c r="D1464" t="s">
        <v>41</v>
      </c>
      <c r="E1464" t="s">
        <v>42</v>
      </c>
      <c r="F1464" t="s">
        <v>47</v>
      </c>
      <c r="G1464" t="s">
        <v>2812</v>
      </c>
      <c r="J1464" t="s">
        <v>3318</v>
      </c>
      <c r="K1464" t="s">
        <v>38</v>
      </c>
      <c r="L1464" t="s">
        <v>38</v>
      </c>
      <c r="M1464" t="s">
        <v>38</v>
      </c>
      <c r="N1464" t="s">
        <v>38</v>
      </c>
      <c r="O1464" t="s">
        <v>38</v>
      </c>
      <c r="T1464" t="s">
        <v>38</v>
      </c>
      <c r="U1464">
        <v>0</v>
      </c>
      <c r="W1464">
        <v>0</v>
      </c>
      <c r="X1464">
        <v>0</v>
      </c>
      <c r="Y1464">
        <v>0</v>
      </c>
      <c r="AE1464">
        <f t="shared" si="66"/>
        <v>1</v>
      </c>
      <c r="AF1464">
        <f>VLOOKUP(D1464,especies!$A$2:$C$9,3,FALSE)</f>
        <v>2</v>
      </c>
      <c r="AG1464" t="str">
        <f t="shared" si="67"/>
        <v>2-DPC (Doméstico de pelo corto o DSH)</v>
      </c>
      <c r="AH1464">
        <f>VLOOKUP('Fichas clínicas'!AG1464,razas!$A$2:$D$66,3,FALSE)</f>
        <v>51</v>
      </c>
      <c r="AI1464" t="str">
        <f t="shared" si="68"/>
        <v>M</v>
      </c>
    </row>
    <row r="1465" spans="1:35" x14ac:dyDescent="0.2">
      <c r="A1465">
        <v>1467</v>
      </c>
      <c r="B1465" t="s">
        <v>3319</v>
      </c>
      <c r="C1465" t="s">
        <v>3320</v>
      </c>
      <c r="D1465" t="s">
        <v>41</v>
      </c>
      <c r="E1465" t="s">
        <v>42</v>
      </c>
      <c r="F1465" t="s">
        <v>34</v>
      </c>
      <c r="G1465" t="s">
        <v>825</v>
      </c>
      <c r="I1465">
        <v>9910012751475</v>
      </c>
      <c r="J1465" t="s">
        <v>2224</v>
      </c>
      <c r="K1465" t="s">
        <v>38</v>
      </c>
      <c r="L1465" t="s">
        <v>38</v>
      </c>
      <c r="M1465" t="s">
        <v>38</v>
      </c>
      <c r="N1465" t="s">
        <v>38</v>
      </c>
      <c r="O1465" t="s">
        <v>38</v>
      </c>
      <c r="Q1465">
        <v>0</v>
      </c>
      <c r="T1465" t="s">
        <v>38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f t="shared" si="66"/>
        <v>1</v>
      </c>
      <c r="AF1465">
        <f>VLOOKUP(D1465,especies!$A$2:$C$9,3,FALSE)</f>
        <v>2</v>
      </c>
      <c r="AG1465" t="str">
        <f t="shared" si="67"/>
        <v>2-DPC (Doméstico de pelo corto o DSH)</v>
      </c>
      <c r="AH1465">
        <f>VLOOKUP('Fichas clínicas'!AG1465,razas!$A$2:$D$66,3,FALSE)</f>
        <v>51</v>
      </c>
      <c r="AI1465" t="str">
        <f t="shared" si="68"/>
        <v>H</v>
      </c>
    </row>
    <row r="1466" spans="1:35" x14ac:dyDescent="0.2">
      <c r="A1466">
        <v>1468</v>
      </c>
      <c r="B1466" t="s">
        <v>3321</v>
      </c>
      <c r="C1466" t="s">
        <v>3322</v>
      </c>
      <c r="D1466" t="s">
        <v>32</v>
      </c>
      <c r="E1466" t="s">
        <v>122</v>
      </c>
      <c r="F1466" t="s">
        <v>47</v>
      </c>
      <c r="G1466" t="s">
        <v>1547</v>
      </c>
      <c r="J1466" t="s">
        <v>3323</v>
      </c>
      <c r="K1466" t="s">
        <v>38</v>
      </c>
      <c r="L1466" t="s">
        <v>38</v>
      </c>
      <c r="M1466" t="s">
        <v>38</v>
      </c>
      <c r="N1466" t="s">
        <v>38</v>
      </c>
      <c r="O1466" t="s">
        <v>38</v>
      </c>
      <c r="T1466" t="s">
        <v>38</v>
      </c>
      <c r="U1466">
        <v>0</v>
      </c>
      <c r="W1466">
        <v>0</v>
      </c>
      <c r="X1466">
        <v>0</v>
      </c>
      <c r="Y1466">
        <v>0</v>
      </c>
      <c r="AE1466">
        <f t="shared" si="66"/>
        <v>1</v>
      </c>
      <c r="AF1466">
        <f>VLOOKUP(D1466,especies!$A$2:$C$9,3,FALSE)</f>
        <v>1</v>
      </c>
      <c r="AG1466" t="str">
        <f t="shared" si="67"/>
        <v>1-Caniche</v>
      </c>
      <c r="AH1466">
        <f>VLOOKUP('Fichas clínicas'!AG1466,razas!$A$2:$D$66,3,FALSE)</f>
        <v>4</v>
      </c>
      <c r="AI1466" t="str">
        <f t="shared" si="68"/>
        <v>M</v>
      </c>
    </row>
    <row r="1467" spans="1:35" x14ac:dyDescent="0.2">
      <c r="A1467">
        <v>1469</v>
      </c>
      <c r="B1467" t="s">
        <v>1481</v>
      </c>
      <c r="C1467" t="s">
        <v>942</v>
      </c>
      <c r="D1467" t="s">
        <v>41</v>
      </c>
      <c r="E1467" t="s">
        <v>42</v>
      </c>
      <c r="F1467" t="s">
        <v>47</v>
      </c>
      <c r="G1467" t="s">
        <v>277</v>
      </c>
      <c r="J1467" t="s">
        <v>393</v>
      </c>
      <c r="K1467" t="s">
        <v>38</v>
      </c>
      <c r="L1467" t="s">
        <v>38</v>
      </c>
      <c r="M1467" t="s">
        <v>38</v>
      </c>
      <c r="N1467" t="s">
        <v>38</v>
      </c>
      <c r="O1467" t="s">
        <v>38</v>
      </c>
      <c r="T1467" t="s">
        <v>38</v>
      </c>
      <c r="U1467">
        <v>0</v>
      </c>
      <c r="W1467">
        <v>0</v>
      </c>
      <c r="X1467">
        <v>0</v>
      </c>
      <c r="Y1467">
        <v>0</v>
      </c>
      <c r="AE1467">
        <f t="shared" si="66"/>
        <v>1</v>
      </c>
      <c r="AF1467">
        <f>VLOOKUP(D1467,especies!$A$2:$C$9,3,FALSE)</f>
        <v>2</v>
      </c>
      <c r="AG1467" t="str">
        <f t="shared" si="67"/>
        <v>2-DPC (Doméstico de pelo corto o DSH)</v>
      </c>
      <c r="AH1467">
        <f>VLOOKUP('Fichas clínicas'!AG1467,razas!$A$2:$D$66,3,FALSE)</f>
        <v>51</v>
      </c>
      <c r="AI1467" t="str">
        <f t="shared" si="68"/>
        <v>M</v>
      </c>
    </row>
    <row r="1468" spans="1:35" x14ac:dyDescent="0.2">
      <c r="A1468">
        <v>1470</v>
      </c>
      <c r="B1468" t="s">
        <v>1481</v>
      </c>
      <c r="C1468" t="s">
        <v>3324</v>
      </c>
      <c r="D1468" t="s">
        <v>41</v>
      </c>
      <c r="E1468" t="s">
        <v>42</v>
      </c>
      <c r="F1468" t="s">
        <v>34</v>
      </c>
      <c r="G1468" t="s">
        <v>297</v>
      </c>
      <c r="J1468" t="s">
        <v>737</v>
      </c>
      <c r="K1468" t="s">
        <v>38</v>
      </c>
      <c r="L1468" t="s">
        <v>38</v>
      </c>
      <c r="M1468" t="s">
        <v>38</v>
      </c>
      <c r="N1468" t="s">
        <v>38</v>
      </c>
      <c r="O1468" t="s">
        <v>38</v>
      </c>
      <c r="T1468" t="s">
        <v>38</v>
      </c>
      <c r="U1468">
        <v>0</v>
      </c>
      <c r="V1468">
        <v>1</v>
      </c>
      <c r="W1468">
        <v>0</v>
      </c>
      <c r="X1468">
        <v>0</v>
      </c>
      <c r="Y1468">
        <v>0</v>
      </c>
      <c r="AE1468">
        <f t="shared" si="66"/>
        <v>1</v>
      </c>
      <c r="AF1468">
        <f>VLOOKUP(D1468,especies!$A$2:$C$9,3,FALSE)</f>
        <v>2</v>
      </c>
      <c r="AG1468" t="str">
        <f t="shared" si="67"/>
        <v>2-DPC (Doméstico de pelo corto o DSH)</v>
      </c>
      <c r="AH1468">
        <f>VLOOKUP('Fichas clínicas'!AG1468,razas!$A$2:$D$66,3,FALSE)</f>
        <v>51</v>
      </c>
      <c r="AI1468" t="str">
        <f t="shared" si="68"/>
        <v>H</v>
      </c>
    </row>
    <row r="1469" spans="1:35" x14ac:dyDescent="0.2">
      <c r="A1469">
        <v>1471</v>
      </c>
      <c r="B1469" t="s">
        <v>3325</v>
      </c>
      <c r="C1469" t="s">
        <v>3326</v>
      </c>
      <c r="D1469" t="s">
        <v>41</v>
      </c>
      <c r="E1469" t="s">
        <v>42</v>
      </c>
      <c r="F1469" t="s">
        <v>34</v>
      </c>
      <c r="G1469" t="s">
        <v>2851</v>
      </c>
      <c r="J1469" t="s">
        <v>3327</v>
      </c>
      <c r="K1469" t="s">
        <v>38</v>
      </c>
      <c r="L1469" t="s">
        <v>38</v>
      </c>
      <c r="M1469" t="s">
        <v>38</v>
      </c>
      <c r="N1469" t="s">
        <v>38</v>
      </c>
      <c r="O1469" t="s">
        <v>38</v>
      </c>
      <c r="T1469" t="s">
        <v>38</v>
      </c>
      <c r="U1469">
        <v>0</v>
      </c>
      <c r="W1469">
        <v>0</v>
      </c>
      <c r="X1469">
        <v>0</v>
      </c>
      <c r="Y1469">
        <v>0</v>
      </c>
      <c r="AE1469">
        <f t="shared" si="66"/>
        <v>1</v>
      </c>
      <c r="AF1469">
        <f>VLOOKUP(D1469,especies!$A$2:$C$9,3,FALSE)</f>
        <v>2</v>
      </c>
      <c r="AG1469" t="str">
        <f t="shared" si="67"/>
        <v>2-DPC (Doméstico de pelo corto o DSH)</v>
      </c>
      <c r="AH1469">
        <f>VLOOKUP('Fichas clínicas'!AG1469,razas!$A$2:$D$66,3,FALSE)</f>
        <v>51</v>
      </c>
      <c r="AI1469" t="str">
        <f t="shared" si="68"/>
        <v>H</v>
      </c>
    </row>
    <row r="1470" spans="1:35" x14ac:dyDescent="0.2">
      <c r="A1470">
        <v>1472</v>
      </c>
      <c r="B1470" t="s">
        <v>3328</v>
      </c>
      <c r="C1470" t="s">
        <v>2001</v>
      </c>
      <c r="D1470" t="s">
        <v>41</v>
      </c>
      <c r="E1470" t="s">
        <v>42</v>
      </c>
      <c r="F1470" t="s">
        <v>34</v>
      </c>
      <c r="G1470" t="s">
        <v>2801</v>
      </c>
      <c r="J1470" t="s">
        <v>3329</v>
      </c>
      <c r="K1470" t="s">
        <v>38</v>
      </c>
      <c r="L1470" t="s">
        <v>38</v>
      </c>
      <c r="M1470" t="s">
        <v>38</v>
      </c>
      <c r="N1470" t="s">
        <v>38</v>
      </c>
      <c r="O1470" t="s">
        <v>38</v>
      </c>
      <c r="T1470" t="s">
        <v>38</v>
      </c>
      <c r="U1470">
        <v>0</v>
      </c>
      <c r="W1470">
        <v>0</v>
      </c>
      <c r="X1470">
        <v>0</v>
      </c>
      <c r="Y1470">
        <v>0</v>
      </c>
      <c r="AE1470">
        <f t="shared" si="66"/>
        <v>1</v>
      </c>
      <c r="AF1470">
        <f>VLOOKUP(D1470,especies!$A$2:$C$9,3,FALSE)</f>
        <v>2</v>
      </c>
      <c r="AG1470" t="str">
        <f t="shared" si="67"/>
        <v>2-DPC (Doméstico de pelo corto o DSH)</v>
      </c>
      <c r="AH1470">
        <f>VLOOKUP('Fichas clínicas'!AG1470,razas!$A$2:$D$66,3,FALSE)</f>
        <v>51</v>
      </c>
      <c r="AI1470" t="str">
        <f t="shared" si="68"/>
        <v>H</v>
      </c>
    </row>
    <row r="1471" spans="1:35" x14ac:dyDescent="0.2">
      <c r="A1471">
        <v>1473</v>
      </c>
      <c r="B1471" t="s">
        <v>3330</v>
      </c>
      <c r="C1471" t="s">
        <v>3331</v>
      </c>
      <c r="D1471" t="s">
        <v>41</v>
      </c>
      <c r="E1471" t="s">
        <v>42</v>
      </c>
      <c r="F1471" t="s">
        <v>34</v>
      </c>
      <c r="G1471" t="s">
        <v>3332</v>
      </c>
      <c r="J1471" t="s">
        <v>338</v>
      </c>
      <c r="K1471" t="s">
        <v>38</v>
      </c>
      <c r="L1471" t="s">
        <v>38</v>
      </c>
      <c r="M1471" t="s">
        <v>38</v>
      </c>
      <c r="N1471" t="s">
        <v>38</v>
      </c>
      <c r="O1471" t="s">
        <v>38</v>
      </c>
      <c r="Q1471">
        <v>0</v>
      </c>
      <c r="T1471" t="s">
        <v>38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f t="shared" si="66"/>
        <v>1</v>
      </c>
      <c r="AF1471">
        <f>VLOOKUP(D1471,especies!$A$2:$C$9,3,FALSE)</f>
        <v>2</v>
      </c>
      <c r="AG1471" t="str">
        <f t="shared" si="67"/>
        <v>2-DPC (Doméstico de pelo corto o DSH)</v>
      </c>
      <c r="AH1471">
        <f>VLOOKUP('Fichas clínicas'!AG1471,razas!$A$2:$D$66,3,FALSE)</f>
        <v>51</v>
      </c>
      <c r="AI1471" t="str">
        <f t="shared" si="68"/>
        <v>H</v>
      </c>
    </row>
    <row r="1472" spans="1:35" x14ac:dyDescent="0.2">
      <c r="A1472">
        <v>1474</v>
      </c>
      <c r="B1472" t="s">
        <v>3333</v>
      </c>
      <c r="C1472" t="s">
        <v>1539</v>
      </c>
      <c r="D1472" t="s">
        <v>41</v>
      </c>
      <c r="E1472" t="s">
        <v>42</v>
      </c>
      <c r="F1472" t="s">
        <v>47</v>
      </c>
      <c r="G1472" t="s">
        <v>2812</v>
      </c>
      <c r="J1472" t="s">
        <v>3334</v>
      </c>
      <c r="K1472" t="s">
        <v>38</v>
      </c>
      <c r="L1472" t="s">
        <v>38</v>
      </c>
      <c r="M1472" t="s">
        <v>38</v>
      </c>
      <c r="N1472" t="s">
        <v>38</v>
      </c>
      <c r="O1472" t="s">
        <v>38</v>
      </c>
      <c r="T1472" t="s">
        <v>38</v>
      </c>
      <c r="U1472">
        <v>0</v>
      </c>
      <c r="W1472">
        <v>0</v>
      </c>
      <c r="X1472">
        <v>0</v>
      </c>
      <c r="Y1472">
        <v>0</v>
      </c>
      <c r="AE1472">
        <f t="shared" si="66"/>
        <v>1</v>
      </c>
      <c r="AF1472">
        <f>VLOOKUP(D1472,especies!$A$2:$C$9,3,FALSE)</f>
        <v>2</v>
      </c>
      <c r="AG1472" t="str">
        <f t="shared" si="67"/>
        <v>2-DPC (Doméstico de pelo corto o DSH)</v>
      </c>
      <c r="AH1472">
        <f>VLOOKUP('Fichas clínicas'!AG1472,razas!$A$2:$D$66,3,FALSE)</f>
        <v>51</v>
      </c>
      <c r="AI1472" t="str">
        <f t="shared" si="68"/>
        <v>M</v>
      </c>
    </row>
    <row r="1473" spans="1:35" x14ac:dyDescent="0.2">
      <c r="A1473">
        <v>1475</v>
      </c>
      <c r="B1473" t="s">
        <v>3335</v>
      </c>
      <c r="C1473" t="s">
        <v>3336</v>
      </c>
      <c r="D1473" t="s">
        <v>41</v>
      </c>
      <c r="E1473" t="s">
        <v>93</v>
      </c>
      <c r="F1473" t="s">
        <v>47</v>
      </c>
      <c r="G1473" t="s">
        <v>3337</v>
      </c>
      <c r="J1473" t="s">
        <v>408</v>
      </c>
      <c r="K1473" t="s">
        <v>38</v>
      </c>
      <c r="L1473" t="s">
        <v>38</v>
      </c>
      <c r="M1473" t="s">
        <v>38</v>
      </c>
      <c r="N1473" t="s">
        <v>38</v>
      </c>
      <c r="O1473" t="s">
        <v>38</v>
      </c>
      <c r="T1473" t="s">
        <v>38</v>
      </c>
      <c r="U1473">
        <v>0</v>
      </c>
      <c r="W1473">
        <v>0</v>
      </c>
      <c r="X1473">
        <v>0</v>
      </c>
      <c r="Y1473">
        <v>0</v>
      </c>
      <c r="AE1473">
        <f t="shared" si="66"/>
        <v>1</v>
      </c>
      <c r="AF1473">
        <f>VLOOKUP(D1473,especies!$A$2:$C$9,3,FALSE)</f>
        <v>2</v>
      </c>
      <c r="AG1473" t="str">
        <f t="shared" si="67"/>
        <v>2-DPL (Doméstico de pelo Largo o DLH)</v>
      </c>
      <c r="AH1473">
        <f>VLOOKUP('Fichas clínicas'!AG1473,razas!$A$2:$D$66,3,FALSE)</f>
        <v>52</v>
      </c>
      <c r="AI1473" t="str">
        <f t="shared" si="68"/>
        <v>M</v>
      </c>
    </row>
    <row r="1474" spans="1:35" x14ac:dyDescent="0.2">
      <c r="A1474">
        <v>1476</v>
      </c>
      <c r="B1474" t="s">
        <v>3338</v>
      </c>
      <c r="C1474" t="s">
        <v>3339</v>
      </c>
      <c r="D1474" t="s">
        <v>41</v>
      </c>
      <c r="E1474" t="s">
        <v>42</v>
      </c>
      <c r="F1474" t="s">
        <v>47</v>
      </c>
      <c r="G1474" t="s">
        <v>2870</v>
      </c>
      <c r="J1474" t="s">
        <v>2038</v>
      </c>
      <c r="K1474" t="s">
        <v>38</v>
      </c>
      <c r="L1474" t="s">
        <v>38</v>
      </c>
      <c r="M1474" t="s">
        <v>38</v>
      </c>
      <c r="N1474" t="s">
        <v>38</v>
      </c>
      <c r="O1474" t="s">
        <v>38</v>
      </c>
      <c r="T1474" t="s">
        <v>38</v>
      </c>
      <c r="U1474">
        <v>0</v>
      </c>
      <c r="W1474">
        <v>0</v>
      </c>
      <c r="X1474">
        <v>0</v>
      </c>
      <c r="Y1474">
        <v>0</v>
      </c>
      <c r="AE1474">
        <f t="shared" si="66"/>
        <v>1</v>
      </c>
      <c r="AF1474">
        <f>VLOOKUP(D1474,especies!$A$2:$C$9,3,FALSE)</f>
        <v>2</v>
      </c>
      <c r="AG1474" t="str">
        <f t="shared" si="67"/>
        <v>2-DPC (Doméstico de pelo corto o DSH)</v>
      </c>
      <c r="AH1474">
        <f>VLOOKUP('Fichas clínicas'!AG1474,razas!$A$2:$D$66,3,FALSE)</f>
        <v>51</v>
      </c>
      <c r="AI1474" t="str">
        <f t="shared" si="68"/>
        <v>M</v>
      </c>
    </row>
    <row r="1475" spans="1:35" x14ac:dyDescent="0.2">
      <c r="A1475">
        <v>1477</v>
      </c>
      <c r="B1475" t="s">
        <v>3340</v>
      </c>
      <c r="C1475" t="s">
        <v>3341</v>
      </c>
      <c r="D1475" t="s">
        <v>32</v>
      </c>
      <c r="E1475" t="s">
        <v>33</v>
      </c>
      <c r="F1475" t="s">
        <v>47</v>
      </c>
      <c r="G1475" t="s">
        <v>2912</v>
      </c>
      <c r="J1475" t="s">
        <v>3342</v>
      </c>
      <c r="K1475" t="s">
        <v>38</v>
      </c>
      <c r="L1475" t="s">
        <v>38</v>
      </c>
      <c r="M1475" t="s">
        <v>38</v>
      </c>
      <c r="N1475" t="s">
        <v>38</v>
      </c>
      <c r="O1475" t="s">
        <v>38</v>
      </c>
      <c r="Q1475">
        <v>0</v>
      </c>
      <c r="T1475" t="s">
        <v>38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f t="shared" ref="AE1475:AE1538" si="69">SUBTOTAL(103,E1475)</f>
        <v>1</v>
      </c>
      <c r="AF1475">
        <f>VLOOKUP(D1475,especies!$A$2:$C$9,3,FALSE)</f>
        <v>1</v>
      </c>
      <c r="AG1475" t="str">
        <f t="shared" ref="AG1475:AG1538" si="70">AF1475&amp;"-"&amp;E1475</f>
        <v>1-Mestizo</v>
      </c>
      <c r="AH1475">
        <f>VLOOKUP('Fichas clínicas'!AG1475,razas!$A$2:$D$66,3,FALSE)</f>
        <v>1</v>
      </c>
      <c r="AI1475" t="str">
        <f t="shared" ref="AI1475:AI1538" si="71">IF(F1475="Hembra","H","M")</f>
        <v>M</v>
      </c>
    </row>
    <row r="1476" spans="1:35" x14ac:dyDescent="0.2">
      <c r="A1476">
        <v>1478</v>
      </c>
      <c r="B1476" t="s">
        <v>3343</v>
      </c>
      <c r="C1476" t="s">
        <v>496</v>
      </c>
      <c r="D1476" t="s">
        <v>41</v>
      </c>
      <c r="E1476" t="s">
        <v>42</v>
      </c>
      <c r="F1476" t="s">
        <v>47</v>
      </c>
      <c r="G1476" t="s">
        <v>3046</v>
      </c>
      <c r="J1476" t="s">
        <v>963</v>
      </c>
      <c r="K1476" t="s">
        <v>38</v>
      </c>
      <c r="L1476" t="s">
        <v>38</v>
      </c>
      <c r="M1476" t="s">
        <v>38</v>
      </c>
      <c r="N1476" t="s">
        <v>38</v>
      </c>
      <c r="O1476" t="s">
        <v>38</v>
      </c>
      <c r="T1476" t="s">
        <v>38</v>
      </c>
      <c r="U1476">
        <v>0</v>
      </c>
      <c r="W1476">
        <v>0</v>
      </c>
      <c r="X1476">
        <v>0</v>
      </c>
      <c r="Y1476">
        <v>0</v>
      </c>
      <c r="AE1476">
        <f t="shared" si="69"/>
        <v>1</v>
      </c>
      <c r="AF1476">
        <f>VLOOKUP(D1476,especies!$A$2:$C$9,3,FALSE)</f>
        <v>2</v>
      </c>
      <c r="AG1476" t="str">
        <f t="shared" si="70"/>
        <v>2-DPC (Doméstico de pelo corto o DSH)</v>
      </c>
      <c r="AH1476">
        <f>VLOOKUP('Fichas clínicas'!AG1476,razas!$A$2:$D$66,3,FALSE)</f>
        <v>51</v>
      </c>
      <c r="AI1476" t="str">
        <f t="shared" si="71"/>
        <v>M</v>
      </c>
    </row>
    <row r="1477" spans="1:35" x14ac:dyDescent="0.2">
      <c r="A1477">
        <v>1479</v>
      </c>
      <c r="B1477" t="s">
        <v>3344</v>
      </c>
      <c r="C1477" t="s">
        <v>3345</v>
      </c>
      <c r="D1477" t="s">
        <v>41</v>
      </c>
      <c r="E1477" t="s">
        <v>42</v>
      </c>
      <c r="F1477" t="s">
        <v>47</v>
      </c>
      <c r="G1477" t="s">
        <v>3346</v>
      </c>
      <c r="J1477" t="s">
        <v>3347</v>
      </c>
      <c r="K1477" t="s">
        <v>38</v>
      </c>
      <c r="L1477" t="s">
        <v>38</v>
      </c>
      <c r="M1477" t="s">
        <v>38</v>
      </c>
      <c r="N1477" t="s">
        <v>38</v>
      </c>
      <c r="O1477" t="s">
        <v>38</v>
      </c>
      <c r="T1477" t="s">
        <v>38</v>
      </c>
      <c r="U1477">
        <v>0</v>
      </c>
      <c r="W1477">
        <v>0</v>
      </c>
      <c r="X1477">
        <v>0</v>
      </c>
      <c r="Y1477">
        <v>0</v>
      </c>
      <c r="AE1477">
        <f t="shared" si="69"/>
        <v>1</v>
      </c>
      <c r="AF1477">
        <f>VLOOKUP(D1477,especies!$A$2:$C$9,3,FALSE)</f>
        <v>2</v>
      </c>
      <c r="AG1477" t="str">
        <f t="shared" si="70"/>
        <v>2-DPC (Doméstico de pelo corto o DSH)</v>
      </c>
      <c r="AH1477">
        <f>VLOOKUP('Fichas clínicas'!AG1477,razas!$A$2:$D$66,3,FALSE)</f>
        <v>51</v>
      </c>
      <c r="AI1477" t="str">
        <f t="shared" si="71"/>
        <v>M</v>
      </c>
    </row>
    <row r="1478" spans="1:35" x14ac:dyDescent="0.2">
      <c r="A1478">
        <v>1480</v>
      </c>
      <c r="B1478" t="s">
        <v>3348</v>
      </c>
      <c r="C1478" t="s">
        <v>3341</v>
      </c>
      <c r="D1478" t="s">
        <v>41</v>
      </c>
      <c r="E1478" t="s">
        <v>42</v>
      </c>
      <c r="F1478" t="s">
        <v>47</v>
      </c>
      <c r="G1478" t="s">
        <v>2763</v>
      </c>
      <c r="J1478" t="s">
        <v>393</v>
      </c>
      <c r="K1478" t="s">
        <v>38</v>
      </c>
      <c r="L1478" t="s">
        <v>38</v>
      </c>
      <c r="M1478" t="s">
        <v>38</v>
      </c>
      <c r="N1478" t="s">
        <v>38</v>
      </c>
      <c r="O1478" t="s">
        <v>38</v>
      </c>
      <c r="T1478" t="s">
        <v>38</v>
      </c>
      <c r="U1478">
        <v>0</v>
      </c>
      <c r="W1478">
        <v>0</v>
      </c>
      <c r="X1478">
        <v>0</v>
      </c>
      <c r="Y1478">
        <v>0</v>
      </c>
      <c r="AE1478">
        <f t="shared" si="69"/>
        <v>1</v>
      </c>
      <c r="AF1478">
        <f>VLOOKUP(D1478,especies!$A$2:$C$9,3,FALSE)</f>
        <v>2</v>
      </c>
      <c r="AG1478" t="str">
        <f t="shared" si="70"/>
        <v>2-DPC (Doméstico de pelo corto o DSH)</v>
      </c>
      <c r="AH1478">
        <f>VLOOKUP('Fichas clínicas'!AG1478,razas!$A$2:$D$66,3,FALSE)</f>
        <v>51</v>
      </c>
      <c r="AI1478" t="str">
        <f t="shared" si="71"/>
        <v>M</v>
      </c>
    </row>
    <row r="1479" spans="1:35" x14ac:dyDescent="0.2">
      <c r="A1479">
        <v>1481</v>
      </c>
      <c r="B1479" t="s">
        <v>3349</v>
      </c>
      <c r="C1479" t="s">
        <v>2664</v>
      </c>
      <c r="D1479" t="s">
        <v>41</v>
      </c>
      <c r="E1479" t="s">
        <v>93</v>
      </c>
      <c r="F1479" t="s">
        <v>47</v>
      </c>
      <c r="G1479" t="s">
        <v>1054</v>
      </c>
      <c r="J1479" t="s">
        <v>2063</v>
      </c>
      <c r="K1479" t="s">
        <v>38</v>
      </c>
      <c r="L1479" t="s">
        <v>38</v>
      </c>
      <c r="M1479" t="s">
        <v>38</v>
      </c>
      <c r="N1479" t="s">
        <v>38</v>
      </c>
      <c r="O1479" t="s">
        <v>38</v>
      </c>
      <c r="T1479" t="s">
        <v>38</v>
      </c>
      <c r="U1479">
        <v>0</v>
      </c>
      <c r="W1479">
        <v>0</v>
      </c>
      <c r="X1479">
        <v>0</v>
      </c>
      <c r="Y1479">
        <v>0</v>
      </c>
      <c r="AE1479">
        <f t="shared" si="69"/>
        <v>1</v>
      </c>
      <c r="AF1479">
        <f>VLOOKUP(D1479,especies!$A$2:$C$9,3,FALSE)</f>
        <v>2</v>
      </c>
      <c r="AG1479" t="str">
        <f t="shared" si="70"/>
        <v>2-DPL (Doméstico de pelo Largo o DLH)</v>
      </c>
      <c r="AH1479">
        <f>VLOOKUP('Fichas clínicas'!AG1479,razas!$A$2:$D$66,3,FALSE)</f>
        <v>52</v>
      </c>
      <c r="AI1479" t="str">
        <f t="shared" si="71"/>
        <v>M</v>
      </c>
    </row>
    <row r="1480" spans="1:35" x14ac:dyDescent="0.2">
      <c r="A1480">
        <v>1482</v>
      </c>
      <c r="B1480" t="s">
        <v>3350</v>
      </c>
      <c r="C1480" t="s">
        <v>3351</v>
      </c>
      <c r="D1480" t="s">
        <v>41</v>
      </c>
      <c r="E1480" t="s">
        <v>42</v>
      </c>
      <c r="F1480" t="s">
        <v>47</v>
      </c>
      <c r="G1480" t="s">
        <v>1007</v>
      </c>
      <c r="J1480" t="s">
        <v>2746</v>
      </c>
      <c r="K1480" t="s">
        <v>38</v>
      </c>
      <c r="L1480" t="s">
        <v>38</v>
      </c>
      <c r="M1480" t="s">
        <v>38</v>
      </c>
      <c r="N1480" t="s">
        <v>38</v>
      </c>
      <c r="O1480" t="s">
        <v>38</v>
      </c>
      <c r="T1480" t="s">
        <v>38</v>
      </c>
      <c r="U1480">
        <v>0</v>
      </c>
      <c r="W1480">
        <v>0</v>
      </c>
      <c r="X1480">
        <v>0</v>
      </c>
      <c r="Y1480">
        <v>0</v>
      </c>
      <c r="AE1480">
        <f t="shared" si="69"/>
        <v>1</v>
      </c>
      <c r="AF1480">
        <f>VLOOKUP(D1480,especies!$A$2:$C$9,3,FALSE)</f>
        <v>2</v>
      </c>
      <c r="AG1480" t="str">
        <f t="shared" si="70"/>
        <v>2-DPC (Doméstico de pelo corto o DSH)</v>
      </c>
      <c r="AH1480">
        <f>VLOOKUP('Fichas clínicas'!AG1480,razas!$A$2:$D$66,3,FALSE)</f>
        <v>51</v>
      </c>
      <c r="AI1480" t="str">
        <f t="shared" si="71"/>
        <v>M</v>
      </c>
    </row>
    <row r="1481" spans="1:35" x14ac:dyDescent="0.2">
      <c r="A1481">
        <v>1483</v>
      </c>
      <c r="B1481" t="s">
        <v>3352</v>
      </c>
      <c r="C1481" t="s">
        <v>3353</v>
      </c>
      <c r="D1481" t="s">
        <v>41</v>
      </c>
      <c r="E1481" t="s">
        <v>42</v>
      </c>
      <c r="F1481" t="s">
        <v>47</v>
      </c>
      <c r="G1481" t="s">
        <v>1769</v>
      </c>
      <c r="J1481" t="s">
        <v>2063</v>
      </c>
      <c r="K1481" t="s">
        <v>38</v>
      </c>
      <c r="L1481" t="s">
        <v>38</v>
      </c>
      <c r="M1481" t="s">
        <v>38</v>
      </c>
      <c r="N1481" t="s">
        <v>38</v>
      </c>
      <c r="O1481" t="s">
        <v>38</v>
      </c>
      <c r="Q1481">
        <v>0</v>
      </c>
      <c r="T1481" t="s">
        <v>38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f t="shared" si="69"/>
        <v>1</v>
      </c>
      <c r="AF1481">
        <f>VLOOKUP(D1481,especies!$A$2:$C$9,3,FALSE)</f>
        <v>2</v>
      </c>
      <c r="AG1481" t="str">
        <f t="shared" si="70"/>
        <v>2-DPC (Doméstico de pelo corto o DSH)</v>
      </c>
      <c r="AH1481">
        <f>VLOOKUP('Fichas clínicas'!AG1481,razas!$A$2:$D$66,3,FALSE)</f>
        <v>51</v>
      </c>
      <c r="AI1481" t="str">
        <f t="shared" si="71"/>
        <v>M</v>
      </c>
    </row>
    <row r="1482" spans="1:35" x14ac:dyDescent="0.2">
      <c r="A1482">
        <v>1484</v>
      </c>
      <c r="B1482" t="s">
        <v>1297</v>
      </c>
      <c r="C1482" t="s">
        <v>236</v>
      </c>
      <c r="D1482" t="s">
        <v>41</v>
      </c>
      <c r="E1482" t="s">
        <v>42</v>
      </c>
      <c r="F1482" t="s">
        <v>34</v>
      </c>
      <c r="G1482" t="s">
        <v>284</v>
      </c>
      <c r="J1482" t="s">
        <v>601</v>
      </c>
      <c r="K1482" t="s">
        <v>38</v>
      </c>
      <c r="L1482" t="s">
        <v>38</v>
      </c>
      <c r="M1482" t="s">
        <v>38</v>
      </c>
      <c r="N1482" t="s">
        <v>38</v>
      </c>
      <c r="O1482" t="s">
        <v>38</v>
      </c>
      <c r="T1482" t="s">
        <v>38</v>
      </c>
      <c r="U1482">
        <v>0</v>
      </c>
      <c r="V1482">
        <v>1</v>
      </c>
      <c r="W1482">
        <v>0</v>
      </c>
      <c r="X1482">
        <v>0</v>
      </c>
      <c r="Y1482">
        <v>0</v>
      </c>
      <c r="AE1482">
        <f t="shared" si="69"/>
        <v>1</v>
      </c>
      <c r="AF1482">
        <f>VLOOKUP(D1482,especies!$A$2:$C$9,3,FALSE)</f>
        <v>2</v>
      </c>
      <c r="AG1482" t="str">
        <f t="shared" si="70"/>
        <v>2-DPC (Doméstico de pelo corto o DSH)</v>
      </c>
      <c r="AH1482">
        <f>VLOOKUP('Fichas clínicas'!AG1482,razas!$A$2:$D$66,3,FALSE)</f>
        <v>51</v>
      </c>
      <c r="AI1482" t="str">
        <f t="shared" si="71"/>
        <v>H</v>
      </c>
    </row>
    <row r="1483" spans="1:35" x14ac:dyDescent="0.2">
      <c r="A1483">
        <v>1485</v>
      </c>
      <c r="B1483" t="s">
        <v>3354</v>
      </c>
      <c r="C1483" t="s">
        <v>3355</v>
      </c>
      <c r="D1483" t="s">
        <v>32</v>
      </c>
      <c r="E1483" t="s">
        <v>33</v>
      </c>
      <c r="F1483" t="s">
        <v>34</v>
      </c>
      <c r="G1483" t="s">
        <v>77</v>
      </c>
      <c r="J1483" t="s">
        <v>976</v>
      </c>
      <c r="K1483" t="s">
        <v>38</v>
      </c>
      <c r="L1483" t="s">
        <v>38</v>
      </c>
      <c r="M1483" t="s">
        <v>38</v>
      </c>
      <c r="N1483" t="s">
        <v>38</v>
      </c>
      <c r="O1483" t="s">
        <v>38</v>
      </c>
      <c r="T1483" t="s">
        <v>38</v>
      </c>
      <c r="U1483">
        <v>0</v>
      </c>
      <c r="W1483">
        <v>0</v>
      </c>
      <c r="X1483">
        <v>0</v>
      </c>
      <c r="Y1483">
        <v>0</v>
      </c>
      <c r="AE1483">
        <f t="shared" si="69"/>
        <v>1</v>
      </c>
      <c r="AF1483">
        <f>VLOOKUP(D1483,especies!$A$2:$C$9,3,FALSE)</f>
        <v>1</v>
      </c>
      <c r="AG1483" t="str">
        <f t="shared" si="70"/>
        <v>1-Mestizo</v>
      </c>
      <c r="AH1483">
        <f>VLOOKUP('Fichas clínicas'!AG1483,razas!$A$2:$D$66,3,FALSE)</f>
        <v>1</v>
      </c>
      <c r="AI1483" t="str">
        <f t="shared" si="71"/>
        <v>H</v>
      </c>
    </row>
    <row r="1484" spans="1:35" x14ac:dyDescent="0.2">
      <c r="A1484">
        <v>1486</v>
      </c>
      <c r="B1484" t="s">
        <v>3356</v>
      </c>
      <c r="C1484" t="s">
        <v>3357</v>
      </c>
      <c r="D1484" t="s">
        <v>41</v>
      </c>
      <c r="E1484" t="s">
        <v>42</v>
      </c>
      <c r="F1484" t="s">
        <v>47</v>
      </c>
      <c r="G1484" t="s">
        <v>587</v>
      </c>
      <c r="J1484" t="s">
        <v>1624</v>
      </c>
      <c r="K1484" t="s">
        <v>38</v>
      </c>
      <c r="L1484" t="s">
        <v>38</v>
      </c>
      <c r="M1484" t="s">
        <v>38</v>
      </c>
      <c r="N1484" t="s">
        <v>38</v>
      </c>
      <c r="O1484" t="s">
        <v>38</v>
      </c>
      <c r="T1484" t="s">
        <v>38</v>
      </c>
      <c r="U1484">
        <v>0</v>
      </c>
      <c r="W1484">
        <v>0</v>
      </c>
      <c r="X1484">
        <v>0</v>
      </c>
      <c r="Y1484">
        <v>0</v>
      </c>
      <c r="AE1484">
        <f t="shared" si="69"/>
        <v>1</v>
      </c>
      <c r="AF1484">
        <f>VLOOKUP(D1484,especies!$A$2:$C$9,3,FALSE)</f>
        <v>2</v>
      </c>
      <c r="AG1484" t="str">
        <f t="shared" si="70"/>
        <v>2-DPC (Doméstico de pelo corto o DSH)</v>
      </c>
      <c r="AH1484">
        <f>VLOOKUP('Fichas clínicas'!AG1484,razas!$A$2:$D$66,3,FALSE)</f>
        <v>51</v>
      </c>
      <c r="AI1484" t="str">
        <f t="shared" si="71"/>
        <v>M</v>
      </c>
    </row>
    <row r="1485" spans="1:35" x14ac:dyDescent="0.2">
      <c r="A1485">
        <v>1487</v>
      </c>
      <c r="B1485" t="s">
        <v>3358</v>
      </c>
      <c r="C1485" t="s">
        <v>3351</v>
      </c>
      <c r="D1485" t="s">
        <v>41</v>
      </c>
      <c r="E1485" t="s">
        <v>42</v>
      </c>
      <c r="F1485" t="s">
        <v>47</v>
      </c>
      <c r="G1485" t="s">
        <v>3337</v>
      </c>
      <c r="I1485">
        <v>900113001838266</v>
      </c>
      <c r="J1485" t="s">
        <v>2569</v>
      </c>
      <c r="K1485" t="s">
        <v>38</v>
      </c>
      <c r="L1485" t="s">
        <v>38</v>
      </c>
      <c r="M1485" t="s">
        <v>38</v>
      </c>
      <c r="N1485" t="s">
        <v>38</v>
      </c>
      <c r="O1485" t="s">
        <v>38</v>
      </c>
      <c r="Q1485">
        <v>0</v>
      </c>
      <c r="T1485" t="s">
        <v>38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f t="shared" si="69"/>
        <v>1</v>
      </c>
      <c r="AF1485">
        <f>VLOOKUP(D1485,especies!$A$2:$C$9,3,FALSE)</f>
        <v>2</v>
      </c>
      <c r="AG1485" t="str">
        <f t="shared" si="70"/>
        <v>2-DPC (Doméstico de pelo corto o DSH)</v>
      </c>
      <c r="AH1485">
        <f>VLOOKUP('Fichas clínicas'!AG1485,razas!$A$2:$D$66,3,FALSE)</f>
        <v>51</v>
      </c>
      <c r="AI1485" t="str">
        <f t="shared" si="71"/>
        <v>M</v>
      </c>
    </row>
    <row r="1486" spans="1:35" x14ac:dyDescent="0.2">
      <c r="A1486">
        <v>1488</v>
      </c>
      <c r="B1486" t="s">
        <v>3359</v>
      </c>
      <c r="C1486" t="s">
        <v>3360</v>
      </c>
      <c r="D1486" t="s">
        <v>41</v>
      </c>
      <c r="E1486" t="s">
        <v>42</v>
      </c>
      <c r="F1486" t="s">
        <v>47</v>
      </c>
      <c r="G1486" t="s">
        <v>2870</v>
      </c>
      <c r="J1486" t="s">
        <v>967</v>
      </c>
      <c r="K1486" t="s">
        <v>38</v>
      </c>
      <c r="L1486" t="s">
        <v>38</v>
      </c>
      <c r="M1486" t="s">
        <v>38</v>
      </c>
      <c r="N1486" t="s">
        <v>38</v>
      </c>
      <c r="O1486" t="s">
        <v>38</v>
      </c>
      <c r="Q1486">
        <v>0</v>
      </c>
      <c r="T1486" t="s">
        <v>38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f t="shared" si="69"/>
        <v>1</v>
      </c>
      <c r="AF1486">
        <f>VLOOKUP(D1486,especies!$A$2:$C$9,3,FALSE)</f>
        <v>2</v>
      </c>
      <c r="AG1486" t="str">
        <f t="shared" si="70"/>
        <v>2-DPC (Doméstico de pelo corto o DSH)</v>
      </c>
      <c r="AH1486">
        <f>VLOOKUP('Fichas clínicas'!AG1486,razas!$A$2:$D$66,3,FALSE)</f>
        <v>51</v>
      </c>
      <c r="AI1486" t="str">
        <f t="shared" si="71"/>
        <v>M</v>
      </c>
    </row>
    <row r="1487" spans="1:35" x14ac:dyDescent="0.2">
      <c r="A1487">
        <v>1489</v>
      </c>
      <c r="B1487" t="s">
        <v>3361</v>
      </c>
      <c r="C1487" t="s">
        <v>3362</v>
      </c>
      <c r="D1487" t="s">
        <v>32</v>
      </c>
      <c r="E1487" t="s">
        <v>33</v>
      </c>
      <c r="F1487" t="s">
        <v>47</v>
      </c>
      <c r="G1487" t="s">
        <v>1547</v>
      </c>
      <c r="J1487" t="s">
        <v>3363</v>
      </c>
      <c r="K1487" t="s">
        <v>38</v>
      </c>
      <c r="L1487" t="s">
        <v>38</v>
      </c>
      <c r="M1487" t="s">
        <v>38</v>
      </c>
      <c r="N1487" t="s">
        <v>38</v>
      </c>
      <c r="O1487" t="s">
        <v>38</v>
      </c>
      <c r="Q1487">
        <v>0</v>
      </c>
      <c r="T1487" t="s">
        <v>38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f t="shared" si="69"/>
        <v>1</v>
      </c>
      <c r="AF1487">
        <f>VLOOKUP(D1487,especies!$A$2:$C$9,3,FALSE)</f>
        <v>1</v>
      </c>
      <c r="AG1487" t="str">
        <f t="shared" si="70"/>
        <v>1-Mestizo</v>
      </c>
      <c r="AH1487">
        <f>VLOOKUP('Fichas clínicas'!AG1487,razas!$A$2:$D$66,3,FALSE)</f>
        <v>1</v>
      </c>
      <c r="AI1487" t="str">
        <f t="shared" si="71"/>
        <v>M</v>
      </c>
    </row>
    <row r="1488" spans="1:35" x14ac:dyDescent="0.2">
      <c r="A1488">
        <v>1490</v>
      </c>
      <c r="B1488" t="s">
        <v>2616</v>
      </c>
      <c r="C1488" t="s">
        <v>236</v>
      </c>
      <c r="D1488" t="s">
        <v>32</v>
      </c>
      <c r="E1488" t="s">
        <v>206</v>
      </c>
      <c r="F1488" t="s">
        <v>34</v>
      </c>
      <c r="G1488" t="s">
        <v>165</v>
      </c>
      <c r="J1488" t="s">
        <v>207</v>
      </c>
      <c r="K1488" t="s">
        <v>38</v>
      </c>
      <c r="L1488" t="s">
        <v>38</v>
      </c>
      <c r="M1488" t="s">
        <v>38</v>
      </c>
      <c r="N1488" t="s">
        <v>38</v>
      </c>
      <c r="O1488" t="s">
        <v>38</v>
      </c>
      <c r="T1488" t="s">
        <v>38</v>
      </c>
      <c r="U1488">
        <v>0</v>
      </c>
      <c r="W1488">
        <v>0</v>
      </c>
      <c r="X1488">
        <v>0</v>
      </c>
      <c r="Y1488">
        <v>0</v>
      </c>
      <c r="AE1488">
        <f t="shared" si="69"/>
        <v>1</v>
      </c>
      <c r="AF1488">
        <f>VLOOKUP(D1488,especies!$A$2:$C$9,3,FALSE)</f>
        <v>1</v>
      </c>
      <c r="AG1488" t="str">
        <f t="shared" si="70"/>
        <v>1-Chow-Chow</v>
      </c>
      <c r="AH1488">
        <f>VLOOKUP('Fichas clínicas'!AG1488,razas!$A$2:$D$66,3,FALSE)</f>
        <v>9</v>
      </c>
      <c r="AI1488" t="str">
        <f t="shared" si="71"/>
        <v>H</v>
      </c>
    </row>
    <row r="1489" spans="1:35" x14ac:dyDescent="0.2">
      <c r="A1489">
        <v>1491</v>
      </c>
      <c r="B1489" t="s">
        <v>1483</v>
      </c>
      <c r="C1489" t="s">
        <v>315</v>
      </c>
      <c r="D1489" t="s">
        <v>41</v>
      </c>
      <c r="E1489" t="s">
        <v>42</v>
      </c>
      <c r="F1489" t="s">
        <v>34</v>
      </c>
      <c r="G1489" t="s">
        <v>3364</v>
      </c>
      <c r="J1489" t="s">
        <v>44</v>
      </c>
      <c r="K1489" t="s">
        <v>38</v>
      </c>
      <c r="L1489" t="s">
        <v>38</v>
      </c>
      <c r="M1489" t="s">
        <v>38</v>
      </c>
      <c r="N1489" t="s">
        <v>38</v>
      </c>
      <c r="O1489" t="s">
        <v>38</v>
      </c>
      <c r="T1489" t="s">
        <v>38</v>
      </c>
      <c r="U1489">
        <v>0</v>
      </c>
      <c r="W1489">
        <v>0</v>
      </c>
      <c r="X1489">
        <v>0</v>
      </c>
      <c r="Y1489">
        <v>0</v>
      </c>
      <c r="AE1489">
        <f t="shared" si="69"/>
        <v>1</v>
      </c>
      <c r="AF1489">
        <f>VLOOKUP(D1489,especies!$A$2:$C$9,3,FALSE)</f>
        <v>2</v>
      </c>
      <c r="AG1489" t="str">
        <f t="shared" si="70"/>
        <v>2-DPC (Doméstico de pelo corto o DSH)</v>
      </c>
      <c r="AH1489">
        <f>VLOOKUP('Fichas clínicas'!AG1489,razas!$A$2:$D$66,3,FALSE)</f>
        <v>51</v>
      </c>
      <c r="AI1489" t="str">
        <f t="shared" si="71"/>
        <v>H</v>
      </c>
    </row>
    <row r="1490" spans="1:35" x14ac:dyDescent="0.2">
      <c r="A1490">
        <v>1492</v>
      </c>
      <c r="B1490" t="s">
        <v>3365</v>
      </c>
      <c r="C1490" t="s">
        <v>751</v>
      </c>
      <c r="D1490" t="s">
        <v>32</v>
      </c>
      <c r="E1490" t="s">
        <v>33</v>
      </c>
      <c r="F1490" t="s">
        <v>34</v>
      </c>
      <c r="G1490" t="s">
        <v>306</v>
      </c>
      <c r="J1490" t="s">
        <v>419</v>
      </c>
      <c r="K1490" t="s">
        <v>38</v>
      </c>
      <c r="L1490" t="s">
        <v>38</v>
      </c>
      <c r="M1490" t="s">
        <v>38</v>
      </c>
      <c r="N1490" t="s">
        <v>38</v>
      </c>
      <c r="O1490" t="s">
        <v>38</v>
      </c>
      <c r="T1490" t="s">
        <v>38</v>
      </c>
      <c r="U1490">
        <v>0</v>
      </c>
      <c r="W1490">
        <v>0</v>
      </c>
      <c r="X1490">
        <v>0</v>
      </c>
      <c r="Y1490">
        <v>0</v>
      </c>
      <c r="AE1490">
        <f t="shared" si="69"/>
        <v>1</v>
      </c>
      <c r="AF1490">
        <f>VLOOKUP(D1490,especies!$A$2:$C$9,3,FALSE)</f>
        <v>1</v>
      </c>
      <c r="AG1490" t="str">
        <f t="shared" si="70"/>
        <v>1-Mestizo</v>
      </c>
      <c r="AH1490">
        <f>VLOOKUP('Fichas clínicas'!AG1490,razas!$A$2:$D$66,3,FALSE)</f>
        <v>1</v>
      </c>
      <c r="AI1490" t="str">
        <f t="shared" si="71"/>
        <v>H</v>
      </c>
    </row>
    <row r="1491" spans="1:35" x14ac:dyDescent="0.2">
      <c r="A1491">
        <v>1493</v>
      </c>
      <c r="B1491" t="s">
        <v>2625</v>
      </c>
      <c r="C1491" t="s">
        <v>3366</v>
      </c>
      <c r="D1491" t="s">
        <v>32</v>
      </c>
      <c r="E1491" t="s">
        <v>33</v>
      </c>
      <c r="F1491" t="s">
        <v>34</v>
      </c>
      <c r="G1491" t="s">
        <v>3367</v>
      </c>
      <c r="J1491" t="s">
        <v>310</v>
      </c>
      <c r="K1491" t="s">
        <v>38</v>
      </c>
      <c r="L1491" t="s">
        <v>38</v>
      </c>
      <c r="M1491" t="s">
        <v>38</v>
      </c>
      <c r="N1491" t="s">
        <v>38</v>
      </c>
      <c r="O1491" t="s">
        <v>38</v>
      </c>
      <c r="T1491" t="s">
        <v>38</v>
      </c>
      <c r="U1491">
        <v>0</v>
      </c>
      <c r="V1491">
        <v>1</v>
      </c>
      <c r="W1491">
        <v>0</v>
      </c>
      <c r="X1491">
        <v>0</v>
      </c>
      <c r="Y1491">
        <v>0</v>
      </c>
      <c r="AE1491">
        <f t="shared" si="69"/>
        <v>1</v>
      </c>
      <c r="AF1491">
        <f>VLOOKUP(D1491,especies!$A$2:$C$9,3,FALSE)</f>
        <v>1</v>
      </c>
      <c r="AG1491" t="str">
        <f t="shared" si="70"/>
        <v>1-Mestizo</v>
      </c>
      <c r="AH1491">
        <f>VLOOKUP('Fichas clínicas'!AG1491,razas!$A$2:$D$66,3,FALSE)</f>
        <v>1</v>
      </c>
      <c r="AI1491" t="str">
        <f t="shared" si="71"/>
        <v>H</v>
      </c>
    </row>
    <row r="1492" spans="1:35" x14ac:dyDescent="0.2">
      <c r="A1492">
        <v>1494</v>
      </c>
      <c r="B1492" t="s">
        <v>2905</v>
      </c>
      <c r="C1492" t="s">
        <v>236</v>
      </c>
      <c r="D1492" t="s">
        <v>32</v>
      </c>
      <c r="E1492" t="s">
        <v>33</v>
      </c>
      <c r="F1492" t="s">
        <v>34</v>
      </c>
      <c r="G1492" t="s">
        <v>54</v>
      </c>
      <c r="J1492" t="s">
        <v>3368</v>
      </c>
      <c r="K1492" t="s">
        <v>38</v>
      </c>
      <c r="L1492" t="s">
        <v>38</v>
      </c>
      <c r="M1492" t="s">
        <v>38</v>
      </c>
      <c r="N1492" t="s">
        <v>38</v>
      </c>
      <c r="O1492" t="s">
        <v>38</v>
      </c>
      <c r="T1492" t="s">
        <v>38</v>
      </c>
      <c r="U1492">
        <v>0</v>
      </c>
      <c r="V1492">
        <v>1</v>
      </c>
      <c r="W1492">
        <v>0</v>
      </c>
      <c r="X1492">
        <v>0</v>
      </c>
      <c r="Y1492">
        <v>0</v>
      </c>
      <c r="AE1492">
        <f t="shared" si="69"/>
        <v>1</v>
      </c>
      <c r="AF1492">
        <f>VLOOKUP(D1492,especies!$A$2:$C$9,3,FALSE)</f>
        <v>1</v>
      </c>
      <c r="AG1492" t="str">
        <f t="shared" si="70"/>
        <v>1-Mestizo</v>
      </c>
      <c r="AH1492">
        <f>VLOOKUP('Fichas clínicas'!AG1492,razas!$A$2:$D$66,3,FALSE)</f>
        <v>1</v>
      </c>
      <c r="AI1492" t="str">
        <f t="shared" si="71"/>
        <v>H</v>
      </c>
    </row>
    <row r="1493" spans="1:35" x14ac:dyDescent="0.2">
      <c r="A1493">
        <v>1495</v>
      </c>
      <c r="B1493" t="s">
        <v>2472</v>
      </c>
      <c r="C1493" t="s">
        <v>236</v>
      </c>
      <c r="D1493" t="s">
        <v>32</v>
      </c>
      <c r="E1493" t="s">
        <v>33</v>
      </c>
      <c r="F1493" t="s">
        <v>34</v>
      </c>
      <c r="G1493" t="s">
        <v>81</v>
      </c>
      <c r="J1493" t="s">
        <v>2890</v>
      </c>
      <c r="K1493" t="s">
        <v>38</v>
      </c>
      <c r="L1493" t="s">
        <v>38</v>
      </c>
      <c r="M1493" t="s">
        <v>38</v>
      </c>
      <c r="N1493" t="s">
        <v>38</v>
      </c>
      <c r="O1493" t="s">
        <v>38</v>
      </c>
      <c r="T1493" t="s">
        <v>38</v>
      </c>
      <c r="U1493">
        <v>0</v>
      </c>
      <c r="V1493">
        <v>1</v>
      </c>
      <c r="W1493">
        <v>0</v>
      </c>
      <c r="X1493">
        <v>0</v>
      </c>
      <c r="Y1493">
        <v>0</v>
      </c>
      <c r="AE1493">
        <f t="shared" si="69"/>
        <v>1</v>
      </c>
      <c r="AF1493">
        <f>VLOOKUP(D1493,especies!$A$2:$C$9,3,FALSE)</f>
        <v>1</v>
      </c>
      <c r="AG1493" t="str">
        <f t="shared" si="70"/>
        <v>1-Mestizo</v>
      </c>
      <c r="AH1493">
        <f>VLOOKUP('Fichas clínicas'!AG1493,razas!$A$2:$D$66,3,FALSE)</f>
        <v>1</v>
      </c>
      <c r="AI1493" t="str">
        <f t="shared" si="71"/>
        <v>H</v>
      </c>
    </row>
    <row r="1494" spans="1:35" x14ac:dyDescent="0.2">
      <c r="A1494">
        <v>1496</v>
      </c>
      <c r="B1494" t="s">
        <v>1197</v>
      </c>
      <c r="C1494" t="s">
        <v>2644</v>
      </c>
      <c r="D1494" t="s">
        <v>32</v>
      </c>
      <c r="E1494" t="s">
        <v>33</v>
      </c>
      <c r="F1494" t="s">
        <v>47</v>
      </c>
      <c r="G1494" t="s">
        <v>2878</v>
      </c>
      <c r="J1494" t="s">
        <v>3369</v>
      </c>
      <c r="K1494" t="s">
        <v>38</v>
      </c>
      <c r="L1494" t="s">
        <v>38</v>
      </c>
      <c r="M1494" t="s">
        <v>38</v>
      </c>
      <c r="N1494" t="s">
        <v>38</v>
      </c>
      <c r="O1494" t="s">
        <v>38</v>
      </c>
      <c r="Q1494">
        <v>0</v>
      </c>
      <c r="T1494" t="s">
        <v>38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f t="shared" si="69"/>
        <v>1</v>
      </c>
      <c r="AF1494">
        <f>VLOOKUP(D1494,especies!$A$2:$C$9,3,FALSE)</f>
        <v>1</v>
      </c>
      <c r="AG1494" t="str">
        <f t="shared" si="70"/>
        <v>1-Mestizo</v>
      </c>
      <c r="AH1494">
        <f>VLOOKUP('Fichas clínicas'!AG1494,razas!$A$2:$D$66,3,FALSE)</f>
        <v>1</v>
      </c>
      <c r="AI1494" t="str">
        <f t="shared" si="71"/>
        <v>M</v>
      </c>
    </row>
    <row r="1495" spans="1:35" x14ac:dyDescent="0.2">
      <c r="A1495">
        <v>1497</v>
      </c>
      <c r="B1495" t="s">
        <v>3370</v>
      </c>
      <c r="C1495" t="s">
        <v>2318</v>
      </c>
      <c r="D1495" t="s">
        <v>41</v>
      </c>
      <c r="E1495" t="s">
        <v>93</v>
      </c>
      <c r="F1495" t="s">
        <v>47</v>
      </c>
      <c r="G1495" t="s">
        <v>81</v>
      </c>
      <c r="J1495" t="s">
        <v>3371</v>
      </c>
      <c r="K1495" t="s">
        <v>38</v>
      </c>
      <c r="L1495" t="s">
        <v>38</v>
      </c>
      <c r="M1495" t="s">
        <v>38</v>
      </c>
      <c r="N1495" t="s">
        <v>38</v>
      </c>
      <c r="O1495" t="s">
        <v>38</v>
      </c>
      <c r="T1495" t="s">
        <v>38</v>
      </c>
      <c r="U1495">
        <v>0</v>
      </c>
      <c r="V1495">
        <v>1</v>
      </c>
      <c r="W1495">
        <v>0</v>
      </c>
      <c r="X1495">
        <v>0</v>
      </c>
      <c r="Y1495">
        <v>0</v>
      </c>
      <c r="AE1495">
        <f t="shared" si="69"/>
        <v>1</v>
      </c>
      <c r="AF1495">
        <f>VLOOKUP(D1495,especies!$A$2:$C$9,3,FALSE)</f>
        <v>2</v>
      </c>
      <c r="AG1495" t="str">
        <f t="shared" si="70"/>
        <v>2-DPL (Doméstico de pelo Largo o DLH)</v>
      </c>
      <c r="AH1495">
        <f>VLOOKUP('Fichas clínicas'!AG1495,razas!$A$2:$D$66,3,FALSE)</f>
        <v>52</v>
      </c>
      <c r="AI1495" t="str">
        <f t="shared" si="71"/>
        <v>M</v>
      </c>
    </row>
    <row r="1496" spans="1:35" x14ac:dyDescent="0.2">
      <c r="A1496">
        <v>1498</v>
      </c>
      <c r="B1496" t="s">
        <v>3372</v>
      </c>
      <c r="C1496" t="s">
        <v>3373</v>
      </c>
      <c r="D1496" t="s">
        <v>41</v>
      </c>
      <c r="E1496" t="s">
        <v>42</v>
      </c>
      <c r="F1496" t="s">
        <v>47</v>
      </c>
      <c r="G1496" t="s">
        <v>81</v>
      </c>
      <c r="J1496" t="s">
        <v>1012</v>
      </c>
      <c r="K1496" t="s">
        <v>38</v>
      </c>
      <c r="L1496" t="s">
        <v>38</v>
      </c>
      <c r="M1496" t="s">
        <v>38</v>
      </c>
      <c r="N1496" t="s">
        <v>38</v>
      </c>
      <c r="O1496" t="s">
        <v>38</v>
      </c>
      <c r="T1496" t="s">
        <v>38</v>
      </c>
      <c r="U1496">
        <v>0</v>
      </c>
      <c r="V1496">
        <v>1</v>
      </c>
      <c r="W1496">
        <v>0</v>
      </c>
      <c r="X1496">
        <v>0</v>
      </c>
      <c r="Y1496">
        <v>0</v>
      </c>
      <c r="AE1496">
        <f t="shared" si="69"/>
        <v>1</v>
      </c>
      <c r="AF1496">
        <f>VLOOKUP(D1496,especies!$A$2:$C$9,3,FALSE)</f>
        <v>2</v>
      </c>
      <c r="AG1496" t="str">
        <f t="shared" si="70"/>
        <v>2-DPC (Doméstico de pelo corto o DSH)</v>
      </c>
      <c r="AH1496">
        <f>VLOOKUP('Fichas clínicas'!AG1496,razas!$A$2:$D$66,3,FALSE)</f>
        <v>51</v>
      </c>
      <c r="AI1496" t="str">
        <f t="shared" si="71"/>
        <v>M</v>
      </c>
    </row>
    <row r="1497" spans="1:35" x14ac:dyDescent="0.2">
      <c r="A1497">
        <v>1499</v>
      </c>
      <c r="B1497" t="s">
        <v>3374</v>
      </c>
      <c r="C1497" t="s">
        <v>646</v>
      </c>
      <c r="D1497" t="s">
        <v>32</v>
      </c>
      <c r="E1497" t="s">
        <v>33</v>
      </c>
      <c r="F1497" t="s">
        <v>47</v>
      </c>
      <c r="G1497" t="s">
        <v>2870</v>
      </c>
      <c r="J1497" t="s">
        <v>3375</v>
      </c>
      <c r="K1497" t="s">
        <v>38</v>
      </c>
      <c r="L1497" t="s">
        <v>38</v>
      </c>
      <c r="M1497" t="s">
        <v>38</v>
      </c>
      <c r="N1497" t="s">
        <v>38</v>
      </c>
      <c r="O1497" t="s">
        <v>38</v>
      </c>
      <c r="T1497" t="s">
        <v>38</v>
      </c>
      <c r="U1497">
        <v>0</v>
      </c>
      <c r="W1497">
        <v>0</v>
      </c>
      <c r="X1497">
        <v>0</v>
      </c>
      <c r="Y1497">
        <v>0</v>
      </c>
      <c r="AE1497">
        <f t="shared" si="69"/>
        <v>1</v>
      </c>
      <c r="AF1497">
        <f>VLOOKUP(D1497,especies!$A$2:$C$9,3,FALSE)</f>
        <v>1</v>
      </c>
      <c r="AG1497" t="str">
        <f t="shared" si="70"/>
        <v>1-Mestizo</v>
      </c>
      <c r="AH1497">
        <f>VLOOKUP('Fichas clínicas'!AG1497,razas!$A$2:$D$66,3,FALSE)</f>
        <v>1</v>
      </c>
      <c r="AI1497" t="str">
        <f t="shared" si="71"/>
        <v>M</v>
      </c>
    </row>
    <row r="1498" spans="1:35" x14ac:dyDescent="0.2">
      <c r="A1498">
        <v>1500</v>
      </c>
      <c r="B1498" t="s">
        <v>3376</v>
      </c>
      <c r="C1498" t="s">
        <v>3377</v>
      </c>
      <c r="D1498" t="s">
        <v>32</v>
      </c>
      <c r="E1498" t="s">
        <v>33</v>
      </c>
      <c r="F1498" t="s">
        <v>34</v>
      </c>
      <c r="G1498" t="s">
        <v>351</v>
      </c>
      <c r="J1498" t="s">
        <v>348</v>
      </c>
      <c r="K1498" t="s">
        <v>38</v>
      </c>
      <c r="L1498" t="s">
        <v>38</v>
      </c>
      <c r="M1498" t="s">
        <v>38</v>
      </c>
      <c r="N1498" t="s">
        <v>38</v>
      </c>
      <c r="O1498" t="s">
        <v>38</v>
      </c>
      <c r="T1498" t="s">
        <v>38</v>
      </c>
      <c r="U1498">
        <v>0</v>
      </c>
      <c r="W1498">
        <v>0</v>
      </c>
      <c r="X1498">
        <v>0</v>
      </c>
      <c r="Y1498">
        <v>0</v>
      </c>
      <c r="AE1498">
        <f t="shared" si="69"/>
        <v>1</v>
      </c>
      <c r="AF1498">
        <f>VLOOKUP(D1498,especies!$A$2:$C$9,3,FALSE)</f>
        <v>1</v>
      </c>
      <c r="AG1498" t="str">
        <f t="shared" si="70"/>
        <v>1-Mestizo</v>
      </c>
      <c r="AH1498">
        <f>VLOOKUP('Fichas clínicas'!AG1498,razas!$A$2:$D$66,3,FALSE)</f>
        <v>1</v>
      </c>
      <c r="AI1498" t="str">
        <f t="shared" si="71"/>
        <v>H</v>
      </c>
    </row>
    <row r="1499" spans="1:35" x14ac:dyDescent="0.2">
      <c r="A1499">
        <v>1501</v>
      </c>
      <c r="B1499" t="s">
        <v>3378</v>
      </c>
      <c r="C1499" t="s">
        <v>2683</v>
      </c>
      <c r="D1499" t="s">
        <v>2280</v>
      </c>
      <c r="E1499" t="s">
        <v>3379</v>
      </c>
      <c r="F1499" t="s">
        <v>47</v>
      </c>
      <c r="G1499" t="s">
        <v>3380</v>
      </c>
      <c r="J1499" t="s">
        <v>3381</v>
      </c>
      <c r="K1499" t="s">
        <v>38</v>
      </c>
      <c r="L1499" t="s">
        <v>38</v>
      </c>
      <c r="M1499" t="s">
        <v>38</v>
      </c>
      <c r="N1499" t="s">
        <v>38</v>
      </c>
      <c r="O1499" t="s">
        <v>38</v>
      </c>
      <c r="T1499" t="s">
        <v>38</v>
      </c>
      <c r="U1499">
        <v>0</v>
      </c>
      <c r="W1499">
        <v>0</v>
      </c>
      <c r="X1499">
        <v>0</v>
      </c>
      <c r="Y1499">
        <v>0</v>
      </c>
      <c r="AE1499">
        <f t="shared" si="69"/>
        <v>1</v>
      </c>
      <c r="AF1499">
        <f>VLOOKUP(D1499,especies!$A$2:$C$9,3,FALSE)</f>
        <v>6</v>
      </c>
      <c r="AG1499" t="str">
        <f t="shared" si="70"/>
        <v>6-Conejo Angora</v>
      </c>
      <c r="AH1499">
        <f>VLOOKUP('Fichas clínicas'!AG1499,razas!$A$2:$D$66,3,FALSE)</f>
        <v>62</v>
      </c>
      <c r="AI1499" t="str">
        <f t="shared" si="71"/>
        <v>M</v>
      </c>
    </row>
    <row r="1500" spans="1:35" x14ac:dyDescent="0.2">
      <c r="A1500">
        <v>1502</v>
      </c>
      <c r="B1500" t="s">
        <v>3378</v>
      </c>
      <c r="C1500" t="s">
        <v>1468</v>
      </c>
      <c r="D1500" t="s">
        <v>2280</v>
      </c>
      <c r="E1500" t="s">
        <v>3379</v>
      </c>
      <c r="F1500" t="s">
        <v>34</v>
      </c>
      <c r="G1500" t="s">
        <v>3380</v>
      </c>
      <c r="J1500" t="s">
        <v>3381</v>
      </c>
      <c r="K1500" t="s">
        <v>38</v>
      </c>
      <c r="L1500" t="s">
        <v>38</v>
      </c>
      <c r="M1500" t="s">
        <v>38</v>
      </c>
      <c r="N1500" t="s">
        <v>38</v>
      </c>
      <c r="O1500" t="s">
        <v>38</v>
      </c>
      <c r="T1500" t="s">
        <v>38</v>
      </c>
      <c r="U1500">
        <v>0</v>
      </c>
      <c r="W1500">
        <v>0</v>
      </c>
      <c r="X1500">
        <v>0</v>
      </c>
      <c r="Y1500">
        <v>0</v>
      </c>
      <c r="AE1500">
        <f t="shared" si="69"/>
        <v>1</v>
      </c>
      <c r="AF1500">
        <f>VLOOKUP(D1500,especies!$A$2:$C$9,3,FALSE)</f>
        <v>6</v>
      </c>
      <c r="AG1500" t="str">
        <f t="shared" si="70"/>
        <v>6-Conejo Angora</v>
      </c>
      <c r="AH1500">
        <f>VLOOKUP('Fichas clínicas'!AG1500,razas!$A$2:$D$66,3,FALSE)</f>
        <v>62</v>
      </c>
      <c r="AI1500" t="str">
        <f t="shared" si="71"/>
        <v>H</v>
      </c>
    </row>
    <row r="1501" spans="1:35" x14ac:dyDescent="0.2">
      <c r="A1501">
        <v>1503</v>
      </c>
      <c r="B1501" t="s">
        <v>3054</v>
      </c>
      <c r="C1501" t="s">
        <v>3382</v>
      </c>
      <c r="D1501" t="s">
        <v>242</v>
      </c>
      <c r="E1501" t="s">
        <v>242</v>
      </c>
      <c r="F1501" t="s">
        <v>34</v>
      </c>
      <c r="G1501" t="s">
        <v>3383</v>
      </c>
      <c r="J1501" t="s">
        <v>3381</v>
      </c>
      <c r="K1501" t="s">
        <v>38</v>
      </c>
      <c r="L1501" t="s">
        <v>38</v>
      </c>
      <c r="M1501" t="s">
        <v>38</v>
      </c>
      <c r="N1501" t="s">
        <v>38</v>
      </c>
      <c r="O1501" t="s">
        <v>38</v>
      </c>
      <c r="T1501" t="s">
        <v>38</v>
      </c>
      <c r="U1501">
        <v>0</v>
      </c>
      <c r="W1501">
        <v>0</v>
      </c>
      <c r="X1501">
        <v>0</v>
      </c>
      <c r="Y1501">
        <v>0</v>
      </c>
      <c r="AE1501">
        <f t="shared" si="69"/>
        <v>1</v>
      </c>
      <c r="AF1501">
        <f>VLOOKUP(D1501,especies!$A$2:$C$9,3,FALSE)</f>
        <v>3</v>
      </c>
      <c r="AG1501" t="str">
        <f t="shared" si="70"/>
        <v>3-Otra</v>
      </c>
      <c r="AH1501">
        <f>VLOOKUP('Fichas clínicas'!AG1501,razas!$A$2:$D$66,3,FALSE)</f>
        <v>55</v>
      </c>
      <c r="AI1501" t="str">
        <f t="shared" si="71"/>
        <v>H</v>
      </c>
    </row>
    <row r="1502" spans="1:35" x14ac:dyDescent="0.2">
      <c r="A1502">
        <v>1504</v>
      </c>
      <c r="B1502" t="s">
        <v>3384</v>
      </c>
      <c r="C1502" t="s">
        <v>3385</v>
      </c>
      <c r="D1502" t="s">
        <v>41</v>
      </c>
      <c r="E1502" t="s">
        <v>93</v>
      </c>
      <c r="F1502" t="s">
        <v>47</v>
      </c>
      <c r="G1502" t="s">
        <v>109</v>
      </c>
      <c r="J1502" t="s">
        <v>3210</v>
      </c>
      <c r="K1502" t="s">
        <v>38</v>
      </c>
      <c r="L1502" t="s">
        <v>38</v>
      </c>
      <c r="M1502" t="s">
        <v>38</v>
      </c>
      <c r="N1502" t="s">
        <v>38</v>
      </c>
      <c r="O1502" t="s">
        <v>38</v>
      </c>
      <c r="Q1502">
        <v>0</v>
      </c>
      <c r="T1502" t="s">
        <v>38</v>
      </c>
      <c r="U1502">
        <v>0</v>
      </c>
      <c r="V1502">
        <v>0</v>
      </c>
      <c r="W1502">
        <v>1160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f t="shared" si="69"/>
        <v>1</v>
      </c>
      <c r="AF1502">
        <f>VLOOKUP(D1502,especies!$A$2:$C$9,3,FALSE)</f>
        <v>2</v>
      </c>
      <c r="AG1502" t="str">
        <f t="shared" si="70"/>
        <v>2-DPL (Doméstico de pelo Largo o DLH)</v>
      </c>
      <c r="AH1502">
        <f>VLOOKUP('Fichas clínicas'!AG1502,razas!$A$2:$D$66,3,FALSE)</f>
        <v>52</v>
      </c>
      <c r="AI1502" t="str">
        <f t="shared" si="71"/>
        <v>M</v>
      </c>
    </row>
    <row r="1503" spans="1:35" x14ac:dyDescent="0.2">
      <c r="A1503">
        <v>1505</v>
      </c>
      <c r="B1503" t="s">
        <v>3386</v>
      </c>
      <c r="C1503" t="s">
        <v>1778</v>
      </c>
      <c r="D1503" t="s">
        <v>32</v>
      </c>
      <c r="E1503" t="s">
        <v>164</v>
      </c>
      <c r="F1503" t="s">
        <v>34</v>
      </c>
      <c r="G1503" t="s">
        <v>54</v>
      </c>
      <c r="J1503" t="s">
        <v>2621</v>
      </c>
      <c r="K1503" t="s">
        <v>38</v>
      </c>
      <c r="L1503" t="s">
        <v>38</v>
      </c>
      <c r="M1503" t="s">
        <v>38</v>
      </c>
      <c r="N1503" t="s">
        <v>38</v>
      </c>
      <c r="O1503" t="s">
        <v>38</v>
      </c>
      <c r="T1503" t="s">
        <v>38</v>
      </c>
      <c r="U1503">
        <v>0</v>
      </c>
      <c r="V1503">
        <v>1</v>
      </c>
      <c r="W1503">
        <v>0</v>
      </c>
      <c r="X1503">
        <v>0</v>
      </c>
      <c r="Y1503">
        <v>0</v>
      </c>
      <c r="AE1503">
        <f t="shared" si="69"/>
        <v>1</v>
      </c>
      <c r="AF1503">
        <f>VLOOKUP(D1503,especies!$A$2:$C$9,3,FALSE)</f>
        <v>1</v>
      </c>
      <c r="AG1503" t="str">
        <f t="shared" si="70"/>
        <v>1-Teckel</v>
      </c>
      <c r="AH1503">
        <f>VLOOKUP('Fichas clínicas'!AG1503,razas!$A$2:$D$66,3,FALSE)</f>
        <v>8</v>
      </c>
      <c r="AI1503" t="str">
        <f t="shared" si="71"/>
        <v>H</v>
      </c>
    </row>
    <row r="1504" spans="1:35" x14ac:dyDescent="0.2">
      <c r="A1504">
        <v>1506</v>
      </c>
      <c r="B1504" t="s">
        <v>3387</v>
      </c>
      <c r="C1504" t="s">
        <v>3388</v>
      </c>
      <c r="D1504" t="s">
        <v>32</v>
      </c>
      <c r="E1504" t="s">
        <v>164</v>
      </c>
      <c r="F1504" t="s">
        <v>34</v>
      </c>
      <c r="G1504" t="s">
        <v>2086</v>
      </c>
      <c r="J1504" t="s">
        <v>3389</v>
      </c>
      <c r="K1504" t="s">
        <v>38</v>
      </c>
      <c r="L1504" t="s">
        <v>38</v>
      </c>
      <c r="M1504" t="s">
        <v>38</v>
      </c>
      <c r="N1504" t="s">
        <v>38</v>
      </c>
      <c r="O1504" t="s">
        <v>38</v>
      </c>
      <c r="Q1504">
        <v>0</v>
      </c>
      <c r="T1504" t="s">
        <v>38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f t="shared" si="69"/>
        <v>1</v>
      </c>
      <c r="AF1504">
        <f>VLOOKUP(D1504,especies!$A$2:$C$9,3,FALSE)</f>
        <v>1</v>
      </c>
      <c r="AG1504" t="str">
        <f t="shared" si="70"/>
        <v>1-Teckel</v>
      </c>
      <c r="AH1504">
        <f>VLOOKUP('Fichas clínicas'!AG1504,razas!$A$2:$D$66,3,FALSE)</f>
        <v>8</v>
      </c>
      <c r="AI1504" t="str">
        <f t="shared" si="71"/>
        <v>H</v>
      </c>
    </row>
    <row r="1505" spans="1:35" x14ac:dyDescent="0.2">
      <c r="A1505">
        <v>1507</v>
      </c>
      <c r="B1505" t="s">
        <v>3390</v>
      </c>
      <c r="C1505" t="s">
        <v>3219</v>
      </c>
      <c r="D1505" t="s">
        <v>32</v>
      </c>
      <c r="E1505" t="s">
        <v>150</v>
      </c>
      <c r="F1505" t="s">
        <v>34</v>
      </c>
      <c r="G1505" t="s">
        <v>102</v>
      </c>
      <c r="J1505" t="s">
        <v>923</v>
      </c>
      <c r="K1505" t="s">
        <v>38</v>
      </c>
      <c r="L1505" t="s">
        <v>38</v>
      </c>
      <c r="M1505" t="s">
        <v>38</v>
      </c>
      <c r="N1505" t="s">
        <v>38</v>
      </c>
      <c r="O1505" t="s">
        <v>38</v>
      </c>
      <c r="T1505" t="s">
        <v>38</v>
      </c>
      <c r="U1505">
        <v>0</v>
      </c>
      <c r="W1505">
        <v>0</v>
      </c>
      <c r="X1505">
        <v>0</v>
      </c>
      <c r="Y1505">
        <v>0</v>
      </c>
      <c r="AE1505">
        <f t="shared" si="69"/>
        <v>1</v>
      </c>
      <c r="AF1505">
        <f>VLOOKUP(D1505,especies!$A$2:$C$9,3,FALSE)</f>
        <v>1</v>
      </c>
      <c r="AG1505" t="str">
        <f t="shared" si="70"/>
        <v>1-Poodle</v>
      </c>
      <c r="AH1505">
        <f>VLOOKUP('Fichas clínicas'!AG1505,razas!$A$2:$D$66,3,FALSE)</f>
        <v>6</v>
      </c>
      <c r="AI1505" t="str">
        <f t="shared" si="71"/>
        <v>H</v>
      </c>
    </row>
    <row r="1506" spans="1:35" x14ac:dyDescent="0.2">
      <c r="A1506">
        <v>1508</v>
      </c>
      <c r="B1506" t="s">
        <v>3390</v>
      </c>
      <c r="C1506" t="s">
        <v>3391</v>
      </c>
      <c r="D1506" t="s">
        <v>32</v>
      </c>
      <c r="E1506" t="s">
        <v>150</v>
      </c>
      <c r="F1506" t="s">
        <v>47</v>
      </c>
      <c r="G1506" t="s">
        <v>3392</v>
      </c>
      <c r="J1506" t="s">
        <v>58</v>
      </c>
      <c r="K1506" t="s">
        <v>38</v>
      </c>
      <c r="L1506" t="s">
        <v>38</v>
      </c>
      <c r="M1506" t="s">
        <v>38</v>
      </c>
      <c r="N1506" t="s">
        <v>38</v>
      </c>
      <c r="O1506" t="s">
        <v>38</v>
      </c>
      <c r="T1506" t="s">
        <v>38</v>
      </c>
      <c r="U1506">
        <v>0</v>
      </c>
      <c r="V1506">
        <v>1</v>
      </c>
      <c r="W1506">
        <v>0</v>
      </c>
      <c r="X1506">
        <v>0</v>
      </c>
      <c r="Y1506">
        <v>0</v>
      </c>
      <c r="AE1506">
        <f t="shared" si="69"/>
        <v>1</v>
      </c>
      <c r="AF1506">
        <f>VLOOKUP(D1506,especies!$A$2:$C$9,3,FALSE)</f>
        <v>1</v>
      </c>
      <c r="AG1506" t="str">
        <f t="shared" si="70"/>
        <v>1-Poodle</v>
      </c>
      <c r="AH1506">
        <f>VLOOKUP('Fichas clínicas'!AG1506,razas!$A$2:$D$66,3,FALSE)</f>
        <v>6</v>
      </c>
      <c r="AI1506" t="str">
        <f t="shared" si="71"/>
        <v>M</v>
      </c>
    </row>
    <row r="1507" spans="1:35" x14ac:dyDescent="0.2">
      <c r="A1507">
        <v>1509</v>
      </c>
      <c r="B1507" t="s">
        <v>3390</v>
      </c>
      <c r="C1507" t="s">
        <v>3393</v>
      </c>
      <c r="D1507" t="s">
        <v>32</v>
      </c>
      <c r="E1507" t="s">
        <v>150</v>
      </c>
      <c r="F1507" t="s">
        <v>47</v>
      </c>
      <c r="G1507" t="s">
        <v>1547</v>
      </c>
      <c r="J1507" t="s">
        <v>1745</v>
      </c>
      <c r="K1507" t="s">
        <v>38</v>
      </c>
      <c r="L1507" t="s">
        <v>38</v>
      </c>
      <c r="M1507" t="s">
        <v>38</v>
      </c>
      <c r="N1507" t="s">
        <v>38</v>
      </c>
      <c r="O1507" t="s">
        <v>38</v>
      </c>
      <c r="T1507" t="s">
        <v>38</v>
      </c>
      <c r="U1507">
        <v>0</v>
      </c>
      <c r="V1507">
        <v>1</v>
      </c>
      <c r="W1507">
        <v>0</v>
      </c>
      <c r="X1507">
        <v>0</v>
      </c>
      <c r="Y1507">
        <v>0</v>
      </c>
      <c r="AE1507">
        <f t="shared" si="69"/>
        <v>1</v>
      </c>
      <c r="AF1507">
        <f>VLOOKUP(D1507,especies!$A$2:$C$9,3,FALSE)</f>
        <v>1</v>
      </c>
      <c r="AG1507" t="str">
        <f t="shared" si="70"/>
        <v>1-Poodle</v>
      </c>
      <c r="AH1507">
        <f>VLOOKUP('Fichas clínicas'!AG1507,razas!$A$2:$D$66,3,FALSE)</f>
        <v>6</v>
      </c>
      <c r="AI1507" t="str">
        <f t="shared" si="71"/>
        <v>M</v>
      </c>
    </row>
    <row r="1508" spans="1:35" x14ac:dyDescent="0.2">
      <c r="A1508">
        <v>1510</v>
      </c>
      <c r="B1508" t="s">
        <v>917</v>
      </c>
      <c r="C1508" t="s">
        <v>1523</v>
      </c>
      <c r="D1508" t="s">
        <v>41</v>
      </c>
      <c r="E1508" t="s">
        <v>42</v>
      </c>
      <c r="F1508" t="s">
        <v>34</v>
      </c>
      <c r="G1508" t="s">
        <v>3394</v>
      </c>
      <c r="J1508" t="s">
        <v>2387</v>
      </c>
      <c r="K1508" t="s">
        <v>38</v>
      </c>
      <c r="L1508" t="s">
        <v>38</v>
      </c>
      <c r="M1508" t="s">
        <v>38</v>
      </c>
      <c r="N1508" t="s">
        <v>38</v>
      </c>
      <c r="O1508" t="s">
        <v>38</v>
      </c>
      <c r="T1508" t="s">
        <v>38</v>
      </c>
      <c r="U1508">
        <v>0</v>
      </c>
      <c r="W1508">
        <v>0</v>
      </c>
      <c r="X1508">
        <v>0</v>
      </c>
      <c r="Y1508">
        <v>0</v>
      </c>
      <c r="AE1508">
        <f t="shared" si="69"/>
        <v>1</v>
      </c>
      <c r="AF1508">
        <f>VLOOKUP(D1508,especies!$A$2:$C$9,3,FALSE)</f>
        <v>2</v>
      </c>
      <c r="AG1508" t="str">
        <f t="shared" si="70"/>
        <v>2-DPC (Doméstico de pelo corto o DSH)</v>
      </c>
      <c r="AH1508">
        <f>VLOOKUP('Fichas clínicas'!AG1508,razas!$A$2:$D$66,3,FALSE)</f>
        <v>51</v>
      </c>
      <c r="AI1508" t="str">
        <f t="shared" si="71"/>
        <v>H</v>
      </c>
    </row>
    <row r="1509" spans="1:35" x14ac:dyDescent="0.2">
      <c r="A1509">
        <v>1511</v>
      </c>
      <c r="B1509" t="s">
        <v>3136</v>
      </c>
      <c r="C1509" t="s">
        <v>3395</v>
      </c>
      <c r="D1509" t="s">
        <v>41</v>
      </c>
      <c r="E1509" t="s">
        <v>42</v>
      </c>
      <c r="F1509" t="s">
        <v>34</v>
      </c>
      <c r="G1509" t="s">
        <v>3243</v>
      </c>
      <c r="J1509" t="s">
        <v>2903</v>
      </c>
      <c r="K1509" t="s">
        <v>38</v>
      </c>
      <c r="L1509" t="s">
        <v>38</v>
      </c>
      <c r="M1509" t="s">
        <v>38</v>
      </c>
      <c r="N1509" t="s">
        <v>38</v>
      </c>
      <c r="O1509" t="s">
        <v>38</v>
      </c>
      <c r="Q1509">
        <v>0</v>
      </c>
      <c r="T1509" t="s">
        <v>38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f t="shared" si="69"/>
        <v>1</v>
      </c>
      <c r="AF1509">
        <f>VLOOKUP(D1509,especies!$A$2:$C$9,3,FALSE)</f>
        <v>2</v>
      </c>
      <c r="AG1509" t="str">
        <f t="shared" si="70"/>
        <v>2-DPC (Doméstico de pelo corto o DSH)</v>
      </c>
      <c r="AH1509">
        <f>VLOOKUP('Fichas clínicas'!AG1509,razas!$A$2:$D$66,3,FALSE)</f>
        <v>51</v>
      </c>
      <c r="AI1509" t="str">
        <f t="shared" si="71"/>
        <v>H</v>
      </c>
    </row>
    <row r="1510" spans="1:35" x14ac:dyDescent="0.2">
      <c r="A1510">
        <v>1512</v>
      </c>
      <c r="B1510" t="s">
        <v>3136</v>
      </c>
      <c r="C1510" t="s">
        <v>3396</v>
      </c>
      <c r="D1510" t="s">
        <v>41</v>
      </c>
      <c r="E1510" t="s">
        <v>42</v>
      </c>
      <c r="F1510" t="s">
        <v>34</v>
      </c>
      <c r="G1510" t="s">
        <v>3397</v>
      </c>
      <c r="J1510" t="s">
        <v>2224</v>
      </c>
      <c r="K1510" t="s">
        <v>38</v>
      </c>
      <c r="L1510" t="s">
        <v>38</v>
      </c>
      <c r="M1510" t="s">
        <v>38</v>
      </c>
      <c r="N1510" t="s">
        <v>38</v>
      </c>
      <c r="O1510" t="s">
        <v>38</v>
      </c>
      <c r="T1510" t="s">
        <v>38</v>
      </c>
      <c r="U1510">
        <v>0</v>
      </c>
      <c r="V1510">
        <v>1</v>
      </c>
      <c r="W1510">
        <v>0</v>
      </c>
      <c r="X1510">
        <v>0</v>
      </c>
      <c r="Y1510">
        <v>0</v>
      </c>
      <c r="AE1510">
        <f t="shared" si="69"/>
        <v>1</v>
      </c>
      <c r="AF1510">
        <f>VLOOKUP(D1510,especies!$A$2:$C$9,3,FALSE)</f>
        <v>2</v>
      </c>
      <c r="AG1510" t="str">
        <f t="shared" si="70"/>
        <v>2-DPC (Doméstico de pelo corto o DSH)</v>
      </c>
      <c r="AH1510">
        <f>VLOOKUP('Fichas clínicas'!AG1510,razas!$A$2:$D$66,3,FALSE)</f>
        <v>51</v>
      </c>
      <c r="AI1510" t="str">
        <f t="shared" si="71"/>
        <v>H</v>
      </c>
    </row>
    <row r="1511" spans="1:35" x14ac:dyDescent="0.2">
      <c r="A1511">
        <v>1513</v>
      </c>
      <c r="B1511" t="s">
        <v>3398</v>
      </c>
      <c r="C1511" t="s">
        <v>3399</v>
      </c>
      <c r="D1511" t="s">
        <v>41</v>
      </c>
      <c r="E1511" t="s">
        <v>42</v>
      </c>
      <c r="F1511" t="s">
        <v>47</v>
      </c>
      <c r="G1511" t="s">
        <v>351</v>
      </c>
      <c r="J1511" t="s">
        <v>2365</v>
      </c>
      <c r="K1511" t="s">
        <v>38</v>
      </c>
      <c r="L1511" t="s">
        <v>38</v>
      </c>
      <c r="M1511" t="s">
        <v>38</v>
      </c>
      <c r="N1511" t="s">
        <v>38</v>
      </c>
      <c r="O1511" t="s">
        <v>38</v>
      </c>
      <c r="T1511" t="s">
        <v>38</v>
      </c>
      <c r="U1511">
        <v>0</v>
      </c>
      <c r="V1511">
        <v>1</v>
      </c>
      <c r="W1511">
        <v>0</v>
      </c>
      <c r="X1511">
        <v>0</v>
      </c>
      <c r="Y1511">
        <v>0</v>
      </c>
      <c r="AE1511">
        <f t="shared" si="69"/>
        <v>1</v>
      </c>
      <c r="AF1511">
        <f>VLOOKUP(D1511,especies!$A$2:$C$9,3,FALSE)</f>
        <v>2</v>
      </c>
      <c r="AG1511" t="str">
        <f t="shared" si="70"/>
        <v>2-DPC (Doméstico de pelo corto o DSH)</v>
      </c>
      <c r="AH1511">
        <f>VLOOKUP('Fichas clínicas'!AG1511,razas!$A$2:$D$66,3,FALSE)</f>
        <v>51</v>
      </c>
      <c r="AI1511" t="str">
        <f t="shared" si="71"/>
        <v>M</v>
      </c>
    </row>
    <row r="1512" spans="1:35" x14ac:dyDescent="0.2">
      <c r="A1512">
        <v>1514</v>
      </c>
      <c r="B1512" t="s">
        <v>1282</v>
      </c>
      <c r="C1512" t="s">
        <v>3400</v>
      </c>
      <c r="D1512" t="s">
        <v>41</v>
      </c>
      <c r="E1512" t="s">
        <v>42</v>
      </c>
      <c r="F1512" t="s">
        <v>47</v>
      </c>
      <c r="G1512" t="s">
        <v>1547</v>
      </c>
      <c r="J1512" t="s">
        <v>2322</v>
      </c>
      <c r="K1512" t="s">
        <v>38</v>
      </c>
      <c r="L1512" t="s">
        <v>38</v>
      </c>
      <c r="M1512" t="s">
        <v>38</v>
      </c>
      <c r="N1512" t="s">
        <v>38</v>
      </c>
      <c r="O1512" t="s">
        <v>38</v>
      </c>
      <c r="T1512" t="s">
        <v>38</v>
      </c>
      <c r="U1512">
        <v>0</v>
      </c>
      <c r="W1512">
        <v>0</v>
      </c>
      <c r="X1512">
        <v>0</v>
      </c>
      <c r="Y1512">
        <v>0</v>
      </c>
      <c r="AE1512">
        <f t="shared" si="69"/>
        <v>1</v>
      </c>
      <c r="AF1512">
        <f>VLOOKUP(D1512,especies!$A$2:$C$9,3,FALSE)</f>
        <v>2</v>
      </c>
      <c r="AG1512" t="str">
        <f t="shared" si="70"/>
        <v>2-DPC (Doméstico de pelo corto o DSH)</v>
      </c>
      <c r="AH1512">
        <f>VLOOKUP('Fichas clínicas'!AG1512,razas!$A$2:$D$66,3,FALSE)</f>
        <v>51</v>
      </c>
      <c r="AI1512" t="str">
        <f t="shared" si="71"/>
        <v>M</v>
      </c>
    </row>
    <row r="1513" spans="1:35" x14ac:dyDescent="0.2">
      <c r="A1513">
        <v>1515</v>
      </c>
      <c r="B1513" t="s">
        <v>3401</v>
      </c>
      <c r="C1513" t="s">
        <v>2565</v>
      </c>
      <c r="D1513" t="s">
        <v>41</v>
      </c>
      <c r="E1513" t="s">
        <v>42</v>
      </c>
      <c r="F1513" t="s">
        <v>47</v>
      </c>
      <c r="G1513" t="s">
        <v>3402</v>
      </c>
      <c r="J1513" t="s">
        <v>3403</v>
      </c>
      <c r="K1513" t="s">
        <v>38</v>
      </c>
      <c r="L1513" t="s">
        <v>38</v>
      </c>
      <c r="M1513" t="s">
        <v>38</v>
      </c>
      <c r="N1513" t="s">
        <v>38</v>
      </c>
      <c r="O1513" t="s">
        <v>38</v>
      </c>
      <c r="T1513" t="s">
        <v>38</v>
      </c>
      <c r="U1513">
        <v>0</v>
      </c>
      <c r="V1513">
        <v>1</v>
      </c>
      <c r="W1513">
        <v>0</v>
      </c>
      <c r="X1513">
        <v>0</v>
      </c>
      <c r="Y1513">
        <v>0</v>
      </c>
      <c r="AE1513">
        <f t="shared" si="69"/>
        <v>1</v>
      </c>
      <c r="AF1513">
        <f>VLOOKUP(D1513,especies!$A$2:$C$9,3,FALSE)</f>
        <v>2</v>
      </c>
      <c r="AG1513" t="str">
        <f t="shared" si="70"/>
        <v>2-DPC (Doméstico de pelo corto o DSH)</v>
      </c>
      <c r="AH1513">
        <f>VLOOKUP('Fichas clínicas'!AG1513,razas!$A$2:$D$66,3,FALSE)</f>
        <v>51</v>
      </c>
      <c r="AI1513" t="str">
        <f t="shared" si="71"/>
        <v>M</v>
      </c>
    </row>
    <row r="1514" spans="1:35" x14ac:dyDescent="0.2">
      <c r="A1514">
        <v>1516</v>
      </c>
      <c r="B1514" t="s">
        <v>3404</v>
      </c>
      <c r="C1514" t="s">
        <v>2690</v>
      </c>
      <c r="D1514" t="s">
        <v>41</v>
      </c>
      <c r="E1514" t="s">
        <v>42</v>
      </c>
      <c r="F1514" t="s">
        <v>47</v>
      </c>
      <c r="G1514" t="s">
        <v>2801</v>
      </c>
      <c r="J1514" t="s">
        <v>3405</v>
      </c>
      <c r="K1514" t="s">
        <v>38</v>
      </c>
      <c r="L1514" t="s">
        <v>38</v>
      </c>
      <c r="M1514" t="s">
        <v>38</v>
      </c>
      <c r="N1514" t="s">
        <v>38</v>
      </c>
      <c r="O1514" t="s">
        <v>38</v>
      </c>
      <c r="T1514" t="s">
        <v>38</v>
      </c>
      <c r="U1514">
        <v>0</v>
      </c>
      <c r="W1514">
        <v>0</v>
      </c>
      <c r="X1514">
        <v>0</v>
      </c>
      <c r="Y1514">
        <v>0</v>
      </c>
      <c r="AE1514">
        <f t="shared" si="69"/>
        <v>1</v>
      </c>
      <c r="AF1514">
        <f>VLOOKUP(D1514,especies!$A$2:$C$9,3,FALSE)</f>
        <v>2</v>
      </c>
      <c r="AG1514" t="str">
        <f t="shared" si="70"/>
        <v>2-DPC (Doméstico de pelo corto o DSH)</v>
      </c>
      <c r="AH1514">
        <f>VLOOKUP('Fichas clínicas'!AG1514,razas!$A$2:$D$66,3,FALSE)</f>
        <v>51</v>
      </c>
      <c r="AI1514" t="str">
        <f t="shared" si="71"/>
        <v>M</v>
      </c>
    </row>
    <row r="1515" spans="1:35" x14ac:dyDescent="0.2">
      <c r="A1515">
        <v>1517</v>
      </c>
      <c r="B1515" t="s">
        <v>1952</v>
      </c>
      <c r="C1515" t="s">
        <v>378</v>
      </c>
      <c r="D1515" t="s">
        <v>41</v>
      </c>
      <c r="E1515" t="s">
        <v>42</v>
      </c>
      <c r="F1515" t="s">
        <v>34</v>
      </c>
      <c r="G1515" t="s">
        <v>300</v>
      </c>
      <c r="J1515" t="s">
        <v>3406</v>
      </c>
      <c r="K1515" t="s">
        <v>38</v>
      </c>
      <c r="L1515" t="s">
        <v>38</v>
      </c>
      <c r="M1515" t="s">
        <v>38</v>
      </c>
      <c r="N1515" t="s">
        <v>38</v>
      </c>
      <c r="O1515" t="s">
        <v>38</v>
      </c>
      <c r="T1515" t="s">
        <v>38</v>
      </c>
      <c r="U1515">
        <v>0</v>
      </c>
      <c r="V1515">
        <v>1</v>
      </c>
      <c r="W1515">
        <v>0</v>
      </c>
      <c r="X1515">
        <v>0</v>
      </c>
      <c r="Y1515">
        <v>0</v>
      </c>
      <c r="AE1515">
        <f t="shared" si="69"/>
        <v>1</v>
      </c>
      <c r="AF1515">
        <f>VLOOKUP(D1515,especies!$A$2:$C$9,3,FALSE)</f>
        <v>2</v>
      </c>
      <c r="AG1515" t="str">
        <f t="shared" si="70"/>
        <v>2-DPC (Doméstico de pelo corto o DSH)</v>
      </c>
      <c r="AH1515">
        <f>VLOOKUP('Fichas clínicas'!AG1515,razas!$A$2:$D$66,3,FALSE)</f>
        <v>51</v>
      </c>
      <c r="AI1515" t="str">
        <f t="shared" si="71"/>
        <v>H</v>
      </c>
    </row>
    <row r="1516" spans="1:35" x14ac:dyDescent="0.2">
      <c r="A1516">
        <v>1518</v>
      </c>
      <c r="B1516" t="s">
        <v>418</v>
      </c>
      <c r="C1516" t="s">
        <v>3407</v>
      </c>
      <c r="D1516" t="s">
        <v>32</v>
      </c>
      <c r="E1516" t="s">
        <v>3272</v>
      </c>
      <c r="F1516" t="s">
        <v>47</v>
      </c>
      <c r="G1516" t="s">
        <v>165</v>
      </c>
      <c r="J1516" t="s">
        <v>826</v>
      </c>
      <c r="K1516" t="s">
        <v>38</v>
      </c>
      <c r="L1516" t="s">
        <v>38</v>
      </c>
      <c r="M1516" t="s">
        <v>38</v>
      </c>
      <c r="N1516" t="s">
        <v>38</v>
      </c>
      <c r="O1516" t="s">
        <v>38</v>
      </c>
      <c r="T1516" t="s">
        <v>38</v>
      </c>
      <c r="U1516">
        <v>0</v>
      </c>
      <c r="V1516">
        <v>1</v>
      </c>
      <c r="W1516">
        <v>0</v>
      </c>
      <c r="X1516">
        <v>0</v>
      </c>
      <c r="Y1516">
        <v>0</v>
      </c>
      <c r="AE1516">
        <f t="shared" si="69"/>
        <v>1</v>
      </c>
      <c r="AF1516">
        <f>VLOOKUP(D1516,especies!$A$2:$C$9,3,FALSE)</f>
        <v>1</v>
      </c>
      <c r="AG1516" t="str">
        <f t="shared" si="70"/>
        <v>1-Bulldog</v>
      </c>
      <c r="AH1516">
        <f>VLOOKUP('Fichas clínicas'!AG1516,razas!$A$2:$D$66,3,FALSE)</f>
        <v>44</v>
      </c>
      <c r="AI1516" t="str">
        <f t="shared" si="71"/>
        <v>M</v>
      </c>
    </row>
    <row r="1517" spans="1:35" x14ac:dyDescent="0.2">
      <c r="A1517">
        <v>1519</v>
      </c>
      <c r="B1517" t="s">
        <v>423</v>
      </c>
      <c r="C1517" t="s">
        <v>3408</v>
      </c>
      <c r="D1517" t="s">
        <v>41</v>
      </c>
      <c r="E1517" t="s">
        <v>42</v>
      </c>
      <c r="F1517" t="s">
        <v>47</v>
      </c>
      <c r="G1517" t="s">
        <v>2122</v>
      </c>
      <c r="J1517" t="s">
        <v>1174</v>
      </c>
      <c r="K1517" t="s">
        <v>38</v>
      </c>
      <c r="L1517" t="s">
        <v>38</v>
      </c>
      <c r="M1517" t="s">
        <v>38</v>
      </c>
      <c r="N1517" t="s">
        <v>38</v>
      </c>
      <c r="O1517" t="s">
        <v>38</v>
      </c>
      <c r="T1517" t="s">
        <v>38</v>
      </c>
      <c r="U1517">
        <v>0</v>
      </c>
      <c r="W1517">
        <v>0</v>
      </c>
      <c r="X1517">
        <v>0</v>
      </c>
      <c r="Y1517">
        <v>0</v>
      </c>
      <c r="AE1517">
        <f t="shared" si="69"/>
        <v>1</v>
      </c>
      <c r="AF1517">
        <f>VLOOKUP(D1517,especies!$A$2:$C$9,3,FALSE)</f>
        <v>2</v>
      </c>
      <c r="AG1517" t="str">
        <f t="shared" si="70"/>
        <v>2-DPC (Doméstico de pelo corto o DSH)</v>
      </c>
      <c r="AH1517">
        <f>VLOOKUP('Fichas clínicas'!AG1517,razas!$A$2:$D$66,3,FALSE)</f>
        <v>51</v>
      </c>
      <c r="AI1517" t="str">
        <f t="shared" si="71"/>
        <v>M</v>
      </c>
    </row>
    <row r="1518" spans="1:35" x14ac:dyDescent="0.2">
      <c r="A1518">
        <v>1520</v>
      </c>
      <c r="B1518" t="s">
        <v>3409</v>
      </c>
      <c r="C1518" t="s">
        <v>3410</v>
      </c>
      <c r="D1518" t="s">
        <v>32</v>
      </c>
      <c r="E1518" t="s">
        <v>143</v>
      </c>
      <c r="F1518" t="s">
        <v>47</v>
      </c>
      <c r="G1518" t="s">
        <v>2267</v>
      </c>
      <c r="J1518" t="s">
        <v>3411</v>
      </c>
      <c r="K1518" t="s">
        <v>38</v>
      </c>
      <c r="L1518" t="s">
        <v>38</v>
      </c>
      <c r="M1518" t="s">
        <v>38</v>
      </c>
      <c r="N1518" t="s">
        <v>38</v>
      </c>
      <c r="O1518" t="s">
        <v>38</v>
      </c>
      <c r="T1518" t="s">
        <v>38</v>
      </c>
      <c r="U1518">
        <v>0</v>
      </c>
      <c r="W1518">
        <v>0</v>
      </c>
      <c r="X1518">
        <v>0</v>
      </c>
      <c r="Y1518">
        <v>0</v>
      </c>
      <c r="AE1518">
        <f t="shared" si="69"/>
        <v>1</v>
      </c>
      <c r="AF1518">
        <f>VLOOKUP(D1518,especies!$A$2:$C$9,3,FALSE)</f>
        <v>1</v>
      </c>
      <c r="AG1518" t="str">
        <f t="shared" si="70"/>
        <v>1-Yorkshire Terrier</v>
      </c>
      <c r="AH1518">
        <f>VLOOKUP('Fichas clínicas'!AG1518,razas!$A$2:$D$66,3,FALSE)</f>
        <v>5</v>
      </c>
      <c r="AI1518" t="str">
        <f t="shared" si="71"/>
        <v>M</v>
      </c>
    </row>
    <row r="1519" spans="1:35" x14ac:dyDescent="0.2">
      <c r="A1519">
        <v>1521</v>
      </c>
      <c r="B1519" t="s">
        <v>3409</v>
      </c>
      <c r="C1519" t="s">
        <v>3412</v>
      </c>
      <c r="D1519" t="s">
        <v>32</v>
      </c>
      <c r="E1519" t="s">
        <v>143</v>
      </c>
      <c r="F1519" t="s">
        <v>47</v>
      </c>
      <c r="G1519" t="s">
        <v>2878</v>
      </c>
      <c r="J1519" t="s">
        <v>3411</v>
      </c>
      <c r="K1519" t="s">
        <v>38</v>
      </c>
      <c r="L1519" t="s">
        <v>38</v>
      </c>
      <c r="M1519" t="s">
        <v>38</v>
      </c>
      <c r="N1519" t="s">
        <v>38</v>
      </c>
      <c r="O1519" t="s">
        <v>38</v>
      </c>
      <c r="T1519" t="s">
        <v>38</v>
      </c>
      <c r="U1519">
        <v>0</v>
      </c>
      <c r="W1519">
        <v>0</v>
      </c>
      <c r="X1519">
        <v>0</v>
      </c>
      <c r="Y1519">
        <v>0</v>
      </c>
      <c r="AE1519">
        <f t="shared" si="69"/>
        <v>1</v>
      </c>
      <c r="AF1519">
        <f>VLOOKUP(D1519,especies!$A$2:$C$9,3,FALSE)</f>
        <v>1</v>
      </c>
      <c r="AG1519" t="str">
        <f t="shared" si="70"/>
        <v>1-Yorkshire Terrier</v>
      </c>
      <c r="AH1519">
        <f>VLOOKUP('Fichas clínicas'!AG1519,razas!$A$2:$D$66,3,FALSE)</f>
        <v>5</v>
      </c>
      <c r="AI1519" t="str">
        <f t="shared" si="71"/>
        <v>M</v>
      </c>
    </row>
    <row r="1520" spans="1:35" x14ac:dyDescent="0.2">
      <c r="A1520">
        <v>1522</v>
      </c>
      <c r="B1520" t="s">
        <v>3413</v>
      </c>
      <c r="C1520" t="s">
        <v>3414</v>
      </c>
      <c r="D1520" t="s">
        <v>32</v>
      </c>
      <c r="E1520" t="s">
        <v>33</v>
      </c>
      <c r="F1520" t="s">
        <v>34</v>
      </c>
      <c r="G1520" t="s">
        <v>3163</v>
      </c>
      <c r="J1520" t="s">
        <v>2903</v>
      </c>
      <c r="K1520" t="s">
        <v>38</v>
      </c>
      <c r="L1520" t="s">
        <v>38</v>
      </c>
      <c r="M1520" t="s">
        <v>38</v>
      </c>
      <c r="N1520" t="s">
        <v>38</v>
      </c>
      <c r="O1520" t="s">
        <v>38</v>
      </c>
      <c r="T1520" t="s">
        <v>38</v>
      </c>
      <c r="U1520">
        <v>0</v>
      </c>
      <c r="W1520">
        <v>0</v>
      </c>
      <c r="X1520">
        <v>0</v>
      </c>
      <c r="Y1520">
        <v>0</v>
      </c>
      <c r="AE1520">
        <f t="shared" si="69"/>
        <v>1</v>
      </c>
      <c r="AF1520">
        <f>VLOOKUP(D1520,especies!$A$2:$C$9,3,FALSE)</f>
        <v>1</v>
      </c>
      <c r="AG1520" t="str">
        <f t="shared" si="70"/>
        <v>1-Mestizo</v>
      </c>
      <c r="AH1520">
        <f>VLOOKUP('Fichas clínicas'!AG1520,razas!$A$2:$D$66,3,FALSE)</f>
        <v>1</v>
      </c>
      <c r="AI1520" t="str">
        <f t="shared" si="71"/>
        <v>H</v>
      </c>
    </row>
    <row r="1521" spans="1:35" x14ac:dyDescent="0.2">
      <c r="A1521">
        <v>1523</v>
      </c>
      <c r="B1521" t="s">
        <v>91</v>
      </c>
      <c r="C1521" t="s">
        <v>3415</v>
      </c>
      <c r="D1521" t="s">
        <v>41</v>
      </c>
      <c r="E1521" t="s">
        <v>42</v>
      </c>
      <c r="F1521" t="s">
        <v>34</v>
      </c>
      <c r="G1521" t="s">
        <v>109</v>
      </c>
      <c r="J1521" t="s">
        <v>2251</v>
      </c>
      <c r="K1521" t="s">
        <v>38</v>
      </c>
      <c r="L1521" t="s">
        <v>38</v>
      </c>
      <c r="M1521" t="s">
        <v>38</v>
      </c>
      <c r="N1521" t="s">
        <v>38</v>
      </c>
      <c r="O1521" t="s">
        <v>38</v>
      </c>
      <c r="T1521" t="s">
        <v>38</v>
      </c>
      <c r="U1521">
        <v>0</v>
      </c>
      <c r="V1521">
        <v>1</v>
      </c>
      <c r="W1521">
        <v>0</v>
      </c>
      <c r="X1521">
        <v>0</v>
      </c>
      <c r="Y1521">
        <v>0</v>
      </c>
      <c r="AE1521">
        <f t="shared" si="69"/>
        <v>1</v>
      </c>
      <c r="AF1521">
        <f>VLOOKUP(D1521,especies!$A$2:$C$9,3,FALSE)</f>
        <v>2</v>
      </c>
      <c r="AG1521" t="str">
        <f t="shared" si="70"/>
        <v>2-DPC (Doméstico de pelo corto o DSH)</v>
      </c>
      <c r="AH1521">
        <f>VLOOKUP('Fichas clínicas'!AG1521,razas!$A$2:$D$66,3,FALSE)</f>
        <v>51</v>
      </c>
      <c r="AI1521" t="str">
        <f t="shared" si="71"/>
        <v>H</v>
      </c>
    </row>
    <row r="1522" spans="1:35" x14ac:dyDescent="0.2">
      <c r="A1522">
        <v>1524</v>
      </c>
      <c r="B1522" t="s">
        <v>3416</v>
      </c>
      <c r="C1522" t="s">
        <v>3417</v>
      </c>
      <c r="D1522" t="s">
        <v>32</v>
      </c>
      <c r="E1522" t="s">
        <v>150</v>
      </c>
      <c r="F1522" t="s">
        <v>34</v>
      </c>
      <c r="G1522" t="s">
        <v>123</v>
      </c>
      <c r="J1522" t="s">
        <v>1599</v>
      </c>
      <c r="K1522" t="s">
        <v>38</v>
      </c>
      <c r="L1522" t="s">
        <v>38</v>
      </c>
      <c r="M1522" t="s">
        <v>38</v>
      </c>
      <c r="N1522" t="s">
        <v>38</v>
      </c>
      <c r="O1522" t="s">
        <v>38</v>
      </c>
      <c r="T1522" t="s">
        <v>38</v>
      </c>
      <c r="U1522">
        <v>0</v>
      </c>
      <c r="W1522">
        <v>0</v>
      </c>
      <c r="X1522">
        <v>0</v>
      </c>
      <c r="Y1522">
        <v>0</v>
      </c>
      <c r="AE1522">
        <f t="shared" si="69"/>
        <v>1</v>
      </c>
      <c r="AF1522">
        <f>VLOOKUP(D1522,especies!$A$2:$C$9,3,FALSE)</f>
        <v>1</v>
      </c>
      <c r="AG1522" t="str">
        <f t="shared" si="70"/>
        <v>1-Poodle</v>
      </c>
      <c r="AH1522">
        <f>VLOOKUP('Fichas clínicas'!AG1522,razas!$A$2:$D$66,3,FALSE)</f>
        <v>6</v>
      </c>
      <c r="AI1522" t="str">
        <f t="shared" si="71"/>
        <v>H</v>
      </c>
    </row>
    <row r="1523" spans="1:35" x14ac:dyDescent="0.2">
      <c r="A1523">
        <v>1525</v>
      </c>
      <c r="B1523" t="s">
        <v>2856</v>
      </c>
      <c r="C1523" t="s">
        <v>3418</v>
      </c>
      <c r="D1523" t="s">
        <v>41</v>
      </c>
      <c r="E1523" t="s">
        <v>42</v>
      </c>
      <c r="F1523" t="s">
        <v>47</v>
      </c>
      <c r="G1523" t="s">
        <v>2867</v>
      </c>
      <c r="I1523">
        <v>991001002939386</v>
      </c>
      <c r="J1523" t="s">
        <v>512</v>
      </c>
      <c r="K1523" t="s">
        <v>38</v>
      </c>
      <c r="L1523" t="s">
        <v>38</v>
      </c>
      <c r="M1523" t="s">
        <v>38</v>
      </c>
      <c r="N1523" t="s">
        <v>38</v>
      </c>
      <c r="O1523" t="s">
        <v>38</v>
      </c>
      <c r="Q1523">
        <v>0</v>
      </c>
      <c r="T1523" t="s">
        <v>38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f t="shared" si="69"/>
        <v>1</v>
      </c>
      <c r="AF1523">
        <f>VLOOKUP(D1523,especies!$A$2:$C$9,3,FALSE)</f>
        <v>2</v>
      </c>
      <c r="AG1523" t="str">
        <f t="shared" si="70"/>
        <v>2-DPC (Doméstico de pelo corto o DSH)</v>
      </c>
      <c r="AH1523">
        <f>VLOOKUP('Fichas clínicas'!AG1523,razas!$A$2:$D$66,3,FALSE)</f>
        <v>51</v>
      </c>
      <c r="AI1523" t="str">
        <f t="shared" si="71"/>
        <v>M</v>
      </c>
    </row>
    <row r="1524" spans="1:35" x14ac:dyDescent="0.2">
      <c r="A1524">
        <v>1526</v>
      </c>
      <c r="B1524" t="s">
        <v>3419</v>
      </c>
      <c r="C1524" t="s">
        <v>3420</v>
      </c>
      <c r="D1524" t="s">
        <v>41</v>
      </c>
      <c r="E1524" t="s">
        <v>42</v>
      </c>
      <c r="F1524" t="s">
        <v>34</v>
      </c>
      <c r="G1524" t="s">
        <v>2878</v>
      </c>
      <c r="J1524" t="s">
        <v>2224</v>
      </c>
      <c r="K1524" t="s">
        <v>38</v>
      </c>
      <c r="L1524" t="s">
        <v>38</v>
      </c>
      <c r="M1524" t="s">
        <v>38</v>
      </c>
      <c r="N1524" t="s">
        <v>38</v>
      </c>
      <c r="O1524" t="s">
        <v>38</v>
      </c>
      <c r="T1524" t="s">
        <v>38</v>
      </c>
      <c r="U1524">
        <v>0</v>
      </c>
      <c r="V1524">
        <v>1</v>
      </c>
      <c r="W1524">
        <v>0</v>
      </c>
      <c r="X1524">
        <v>0</v>
      </c>
      <c r="Y1524">
        <v>0</v>
      </c>
      <c r="AE1524">
        <f t="shared" si="69"/>
        <v>1</v>
      </c>
      <c r="AF1524">
        <f>VLOOKUP(D1524,especies!$A$2:$C$9,3,FALSE)</f>
        <v>2</v>
      </c>
      <c r="AG1524" t="str">
        <f t="shared" si="70"/>
        <v>2-DPC (Doméstico de pelo corto o DSH)</v>
      </c>
      <c r="AH1524">
        <f>VLOOKUP('Fichas clínicas'!AG1524,razas!$A$2:$D$66,3,FALSE)</f>
        <v>51</v>
      </c>
      <c r="AI1524" t="str">
        <f t="shared" si="71"/>
        <v>H</v>
      </c>
    </row>
    <row r="1525" spans="1:35" x14ac:dyDescent="0.2">
      <c r="A1525">
        <v>1527</v>
      </c>
      <c r="B1525" t="s">
        <v>3419</v>
      </c>
      <c r="C1525" t="s">
        <v>3297</v>
      </c>
      <c r="D1525" t="s">
        <v>41</v>
      </c>
      <c r="E1525" t="s">
        <v>42</v>
      </c>
      <c r="F1525" t="s">
        <v>34</v>
      </c>
      <c r="G1525" t="s">
        <v>2851</v>
      </c>
      <c r="J1525" t="s">
        <v>1932</v>
      </c>
      <c r="K1525" t="s">
        <v>38</v>
      </c>
      <c r="L1525" t="s">
        <v>38</v>
      </c>
      <c r="M1525" t="s">
        <v>38</v>
      </c>
      <c r="N1525" t="s">
        <v>38</v>
      </c>
      <c r="O1525" t="s">
        <v>38</v>
      </c>
      <c r="T1525" t="s">
        <v>38</v>
      </c>
      <c r="U1525">
        <v>0</v>
      </c>
      <c r="V1525">
        <v>1</v>
      </c>
      <c r="W1525">
        <v>0</v>
      </c>
      <c r="X1525">
        <v>0</v>
      </c>
      <c r="Y1525">
        <v>0</v>
      </c>
      <c r="AE1525">
        <f t="shared" si="69"/>
        <v>1</v>
      </c>
      <c r="AF1525">
        <f>VLOOKUP(D1525,especies!$A$2:$C$9,3,FALSE)</f>
        <v>2</v>
      </c>
      <c r="AG1525" t="str">
        <f t="shared" si="70"/>
        <v>2-DPC (Doméstico de pelo corto o DSH)</v>
      </c>
      <c r="AH1525">
        <f>VLOOKUP('Fichas clínicas'!AG1525,razas!$A$2:$D$66,3,FALSE)</f>
        <v>51</v>
      </c>
      <c r="AI1525" t="str">
        <f t="shared" si="71"/>
        <v>H</v>
      </c>
    </row>
    <row r="1526" spans="1:35" x14ac:dyDescent="0.2">
      <c r="A1526">
        <v>1528</v>
      </c>
      <c r="B1526" t="s">
        <v>3421</v>
      </c>
      <c r="C1526" t="s">
        <v>3422</v>
      </c>
      <c r="D1526" t="s">
        <v>32</v>
      </c>
      <c r="E1526" t="s">
        <v>33</v>
      </c>
      <c r="F1526" t="s">
        <v>34</v>
      </c>
      <c r="G1526" t="s">
        <v>3423</v>
      </c>
      <c r="J1526" t="s">
        <v>3292</v>
      </c>
      <c r="K1526" t="s">
        <v>38</v>
      </c>
      <c r="L1526" t="s">
        <v>38</v>
      </c>
      <c r="M1526" t="s">
        <v>38</v>
      </c>
      <c r="N1526" t="s">
        <v>38</v>
      </c>
      <c r="O1526" t="s">
        <v>38</v>
      </c>
      <c r="T1526" t="s">
        <v>38</v>
      </c>
      <c r="U1526">
        <v>0</v>
      </c>
      <c r="W1526">
        <v>0</v>
      </c>
      <c r="X1526">
        <v>0</v>
      </c>
      <c r="Y1526">
        <v>0</v>
      </c>
      <c r="AE1526">
        <f t="shared" si="69"/>
        <v>1</v>
      </c>
      <c r="AF1526">
        <f>VLOOKUP(D1526,especies!$A$2:$C$9,3,FALSE)</f>
        <v>1</v>
      </c>
      <c r="AG1526" t="str">
        <f t="shared" si="70"/>
        <v>1-Mestizo</v>
      </c>
      <c r="AH1526">
        <f>VLOOKUP('Fichas clínicas'!AG1526,razas!$A$2:$D$66,3,FALSE)</f>
        <v>1</v>
      </c>
      <c r="AI1526" t="str">
        <f t="shared" si="71"/>
        <v>H</v>
      </c>
    </row>
    <row r="1527" spans="1:35" x14ac:dyDescent="0.2">
      <c r="A1527">
        <v>1529</v>
      </c>
      <c r="B1527" t="s">
        <v>1241</v>
      </c>
      <c r="C1527" t="s">
        <v>2695</v>
      </c>
      <c r="D1527" t="s">
        <v>41</v>
      </c>
      <c r="E1527" t="s">
        <v>42</v>
      </c>
      <c r="F1527" t="s">
        <v>34</v>
      </c>
      <c r="G1527" t="s">
        <v>1054</v>
      </c>
      <c r="J1527" t="s">
        <v>3424</v>
      </c>
      <c r="K1527" t="s">
        <v>38</v>
      </c>
      <c r="L1527" t="s">
        <v>38</v>
      </c>
      <c r="M1527" t="s">
        <v>38</v>
      </c>
      <c r="N1527" t="s">
        <v>38</v>
      </c>
      <c r="O1527" t="s">
        <v>38</v>
      </c>
      <c r="Q1527">
        <v>0</v>
      </c>
      <c r="T1527" t="s">
        <v>38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f t="shared" si="69"/>
        <v>1</v>
      </c>
      <c r="AF1527">
        <f>VLOOKUP(D1527,especies!$A$2:$C$9,3,FALSE)</f>
        <v>2</v>
      </c>
      <c r="AG1527" t="str">
        <f t="shared" si="70"/>
        <v>2-DPC (Doméstico de pelo corto o DSH)</v>
      </c>
      <c r="AH1527">
        <f>VLOOKUP('Fichas clínicas'!AG1527,razas!$A$2:$D$66,3,FALSE)</f>
        <v>51</v>
      </c>
      <c r="AI1527" t="str">
        <f t="shared" si="71"/>
        <v>H</v>
      </c>
    </row>
    <row r="1528" spans="1:35" x14ac:dyDescent="0.2">
      <c r="A1528">
        <v>1530</v>
      </c>
      <c r="B1528" t="s">
        <v>1241</v>
      </c>
      <c r="C1528" t="s">
        <v>3425</v>
      </c>
      <c r="D1528" t="s">
        <v>41</v>
      </c>
      <c r="E1528" t="s">
        <v>42</v>
      </c>
      <c r="F1528" t="s">
        <v>34</v>
      </c>
      <c r="G1528" t="s">
        <v>199</v>
      </c>
      <c r="J1528" t="s">
        <v>3424</v>
      </c>
      <c r="K1528" t="s">
        <v>38</v>
      </c>
      <c r="L1528" t="s">
        <v>38</v>
      </c>
      <c r="M1528" t="s">
        <v>38</v>
      </c>
      <c r="N1528" t="s">
        <v>38</v>
      </c>
      <c r="O1528" t="s">
        <v>38</v>
      </c>
      <c r="Q1528">
        <v>0</v>
      </c>
      <c r="T1528" t="s">
        <v>38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f t="shared" si="69"/>
        <v>1</v>
      </c>
      <c r="AF1528">
        <f>VLOOKUP(D1528,especies!$A$2:$C$9,3,FALSE)</f>
        <v>2</v>
      </c>
      <c r="AG1528" t="str">
        <f t="shared" si="70"/>
        <v>2-DPC (Doméstico de pelo corto o DSH)</v>
      </c>
      <c r="AH1528">
        <f>VLOOKUP('Fichas clínicas'!AG1528,razas!$A$2:$D$66,3,FALSE)</f>
        <v>51</v>
      </c>
      <c r="AI1528" t="str">
        <f t="shared" si="71"/>
        <v>H</v>
      </c>
    </row>
    <row r="1529" spans="1:35" x14ac:dyDescent="0.2">
      <c r="A1529">
        <v>1531</v>
      </c>
      <c r="B1529" t="s">
        <v>3426</v>
      </c>
      <c r="C1529" t="s">
        <v>3427</v>
      </c>
      <c r="D1529" t="s">
        <v>32</v>
      </c>
      <c r="E1529" t="s">
        <v>309</v>
      </c>
      <c r="F1529" t="s">
        <v>34</v>
      </c>
      <c r="G1529" t="s">
        <v>3428</v>
      </c>
      <c r="J1529" t="s">
        <v>3375</v>
      </c>
      <c r="K1529" t="s">
        <v>38</v>
      </c>
      <c r="L1529" t="s">
        <v>38</v>
      </c>
      <c r="M1529" t="s">
        <v>38</v>
      </c>
      <c r="N1529" t="s">
        <v>38</v>
      </c>
      <c r="O1529" t="s">
        <v>38</v>
      </c>
      <c r="T1529" t="s">
        <v>38</v>
      </c>
      <c r="U1529">
        <v>0</v>
      </c>
      <c r="W1529">
        <v>0</v>
      </c>
      <c r="X1529">
        <v>0</v>
      </c>
      <c r="Y1529">
        <v>0</v>
      </c>
      <c r="AE1529">
        <f t="shared" si="69"/>
        <v>1</v>
      </c>
      <c r="AF1529">
        <f>VLOOKUP(D1529,especies!$A$2:$C$9,3,FALSE)</f>
        <v>1</v>
      </c>
      <c r="AG1529" t="str">
        <f t="shared" si="70"/>
        <v>1-Pug</v>
      </c>
      <c r="AH1529">
        <f>VLOOKUP('Fichas clínicas'!AG1529,razas!$A$2:$D$66,3,FALSE)</f>
        <v>11</v>
      </c>
      <c r="AI1529" t="str">
        <f t="shared" si="71"/>
        <v>H</v>
      </c>
    </row>
    <row r="1530" spans="1:35" x14ac:dyDescent="0.2">
      <c r="A1530">
        <v>1532</v>
      </c>
      <c r="B1530" t="s">
        <v>3429</v>
      </c>
      <c r="C1530" t="s">
        <v>3430</v>
      </c>
      <c r="D1530" t="s">
        <v>41</v>
      </c>
      <c r="E1530" t="s">
        <v>42</v>
      </c>
      <c r="F1530" t="s">
        <v>34</v>
      </c>
      <c r="G1530" t="s">
        <v>3012</v>
      </c>
      <c r="J1530" t="s">
        <v>3210</v>
      </c>
      <c r="K1530" t="s">
        <v>38</v>
      </c>
      <c r="L1530" t="s">
        <v>38</v>
      </c>
      <c r="M1530" t="s">
        <v>38</v>
      </c>
      <c r="N1530" t="s">
        <v>38</v>
      </c>
      <c r="O1530" t="s">
        <v>38</v>
      </c>
      <c r="Q1530">
        <v>0</v>
      </c>
      <c r="T1530" t="s">
        <v>38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f t="shared" si="69"/>
        <v>1</v>
      </c>
      <c r="AF1530">
        <f>VLOOKUP(D1530,especies!$A$2:$C$9,3,FALSE)</f>
        <v>2</v>
      </c>
      <c r="AG1530" t="str">
        <f t="shared" si="70"/>
        <v>2-DPC (Doméstico de pelo corto o DSH)</v>
      </c>
      <c r="AH1530">
        <f>VLOOKUP('Fichas clínicas'!AG1530,razas!$A$2:$D$66,3,FALSE)</f>
        <v>51</v>
      </c>
      <c r="AI1530" t="str">
        <f t="shared" si="71"/>
        <v>H</v>
      </c>
    </row>
    <row r="1531" spans="1:35" x14ac:dyDescent="0.2">
      <c r="A1531">
        <v>1533</v>
      </c>
      <c r="B1531" t="s">
        <v>3431</v>
      </c>
      <c r="C1531" t="s">
        <v>3315</v>
      </c>
      <c r="D1531" t="s">
        <v>32</v>
      </c>
      <c r="E1531" t="s">
        <v>33</v>
      </c>
      <c r="F1531" t="s">
        <v>47</v>
      </c>
      <c r="G1531" t="s">
        <v>3175</v>
      </c>
      <c r="J1531" t="s">
        <v>3210</v>
      </c>
      <c r="K1531" t="s">
        <v>38</v>
      </c>
      <c r="L1531" t="s">
        <v>38</v>
      </c>
      <c r="M1531" t="s">
        <v>38</v>
      </c>
      <c r="N1531" t="s">
        <v>38</v>
      </c>
      <c r="O1531" t="s">
        <v>38</v>
      </c>
      <c r="T1531" t="s">
        <v>38</v>
      </c>
      <c r="U1531">
        <v>0</v>
      </c>
      <c r="W1531">
        <v>0</v>
      </c>
      <c r="X1531">
        <v>0</v>
      </c>
      <c r="Y1531">
        <v>0</v>
      </c>
      <c r="AE1531">
        <f t="shared" si="69"/>
        <v>1</v>
      </c>
      <c r="AF1531">
        <f>VLOOKUP(D1531,especies!$A$2:$C$9,3,FALSE)</f>
        <v>1</v>
      </c>
      <c r="AG1531" t="str">
        <f t="shared" si="70"/>
        <v>1-Mestizo</v>
      </c>
      <c r="AH1531">
        <f>VLOOKUP('Fichas clínicas'!AG1531,razas!$A$2:$D$66,3,FALSE)</f>
        <v>1</v>
      </c>
      <c r="AI1531" t="str">
        <f t="shared" si="71"/>
        <v>M</v>
      </c>
    </row>
    <row r="1532" spans="1:35" x14ac:dyDescent="0.2">
      <c r="A1532">
        <v>1534</v>
      </c>
      <c r="B1532" t="s">
        <v>3432</v>
      </c>
      <c r="C1532" t="s">
        <v>3433</v>
      </c>
      <c r="D1532" t="s">
        <v>41</v>
      </c>
      <c r="E1532" t="s">
        <v>42</v>
      </c>
      <c r="F1532" t="s">
        <v>34</v>
      </c>
      <c r="G1532" t="s">
        <v>2065</v>
      </c>
      <c r="J1532" t="s">
        <v>58</v>
      </c>
      <c r="K1532" t="s">
        <v>38</v>
      </c>
      <c r="L1532" t="s">
        <v>38</v>
      </c>
      <c r="M1532" t="s">
        <v>38</v>
      </c>
      <c r="N1532" t="s">
        <v>38</v>
      </c>
      <c r="O1532" t="s">
        <v>38</v>
      </c>
      <c r="T1532" t="s">
        <v>38</v>
      </c>
      <c r="U1532">
        <v>0</v>
      </c>
      <c r="W1532">
        <v>0</v>
      </c>
      <c r="X1532">
        <v>0</v>
      </c>
      <c r="Y1532">
        <v>0</v>
      </c>
      <c r="AE1532">
        <f t="shared" si="69"/>
        <v>1</v>
      </c>
      <c r="AF1532">
        <f>VLOOKUP(D1532,especies!$A$2:$C$9,3,FALSE)</f>
        <v>2</v>
      </c>
      <c r="AG1532" t="str">
        <f t="shared" si="70"/>
        <v>2-DPC (Doméstico de pelo corto o DSH)</v>
      </c>
      <c r="AH1532">
        <f>VLOOKUP('Fichas clínicas'!AG1532,razas!$A$2:$D$66,3,FALSE)</f>
        <v>51</v>
      </c>
      <c r="AI1532" t="str">
        <f t="shared" si="71"/>
        <v>H</v>
      </c>
    </row>
    <row r="1533" spans="1:35" x14ac:dyDescent="0.2">
      <c r="A1533">
        <v>1535</v>
      </c>
      <c r="B1533" t="s">
        <v>3434</v>
      </c>
      <c r="C1533" t="s">
        <v>3435</v>
      </c>
      <c r="D1533" t="s">
        <v>41</v>
      </c>
      <c r="E1533" t="s">
        <v>42</v>
      </c>
      <c r="F1533" t="s">
        <v>47</v>
      </c>
      <c r="G1533" t="s">
        <v>109</v>
      </c>
      <c r="J1533" t="s">
        <v>2224</v>
      </c>
      <c r="K1533" t="s">
        <v>38</v>
      </c>
      <c r="L1533" t="s">
        <v>38</v>
      </c>
      <c r="M1533" t="s">
        <v>38</v>
      </c>
      <c r="N1533" t="s">
        <v>38</v>
      </c>
      <c r="O1533" t="s">
        <v>38</v>
      </c>
      <c r="T1533" t="s">
        <v>38</v>
      </c>
      <c r="U1533">
        <v>0</v>
      </c>
      <c r="V1533">
        <v>1</v>
      </c>
      <c r="W1533">
        <v>0</v>
      </c>
      <c r="X1533">
        <v>0</v>
      </c>
      <c r="Y1533">
        <v>0</v>
      </c>
      <c r="AE1533">
        <f t="shared" si="69"/>
        <v>1</v>
      </c>
      <c r="AF1533">
        <f>VLOOKUP(D1533,especies!$A$2:$C$9,3,FALSE)</f>
        <v>2</v>
      </c>
      <c r="AG1533" t="str">
        <f t="shared" si="70"/>
        <v>2-DPC (Doméstico de pelo corto o DSH)</v>
      </c>
      <c r="AH1533">
        <f>VLOOKUP('Fichas clínicas'!AG1533,razas!$A$2:$D$66,3,FALSE)</f>
        <v>51</v>
      </c>
      <c r="AI1533" t="str">
        <f t="shared" si="71"/>
        <v>M</v>
      </c>
    </row>
    <row r="1534" spans="1:35" x14ac:dyDescent="0.2">
      <c r="A1534">
        <v>1536</v>
      </c>
      <c r="B1534" t="s">
        <v>3436</v>
      </c>
      <c r="C1534" t="s">
        <v>3437</v>
      </c>
      <c r="D1534" t="s">
        <v>41</v>
      </c>
      <c r="E1534" t="s">
        <v>42</v>
      </c>
      <c r="F1534" t="s">
        <v>47</v>
      </c>
      <c r="G1534" t="s">
        <v>81</v>
      </c>
      <c r="J1534" t="s">
        <v>90</v>
      </c>
      <c r="K1534" t="s">
        <v>38</v>
      </c>
      <c r="L1534" t="s">
        <v>38</v>
      </c>
      <c r="M1534" t="s">
        <v>38</v>
      </c>
      <c r="N1534" t="s">
        <v>38</v>
      </c>
      <c r="O1534" t="s">
        <v>38</v>
      </c>
      <c r="T1534" t="s">
        <v>38</v>
      </c>
      <c r="U1534">
        <v>0</v>
      </c>
      <c r="V1534">
        <v>1</v>
      </c>
      <c r="W1534">
        <v>0</v>
      </c>
      <c r="X1534">
        <v>0</v>
      </c>
      <c r="Y1534">
        <v>0</v>
      </c>
      <c r="AE1534">
        <f t="shared" si="69"/>
        <v>1</v>
      </c>
      <c r="AF1534">
        <f>VLOOKUP(D1534,especies!$A$2:$C$9,3,FALSE)</f>
        <v>2</v>
      </c>
      <c r="AG1534" t="str">
        <f t="shared" si="70"/>
        <v>2-DPC (Doméstico de pelo corto o DSH)</v>
      </c>
      <c r="AH1534">
        <f>VLOOKUP('Fichas clínicas'!AG1534,razas!$A$2:$D$66,3,FALSE)</f>
        <v>51</v>
      </c>
      <c r="AI1534" t="str">
        <f t="shared" si="71"/>
        <v>M</v>
      </c>
    </row>
    <row r="1535" spans="1:35" x14ac:dyDescent="0.2">
      <c r="A1535">
        <v>1537</v>
      </c>
      <c r="B1535" t="s">
        <v>3080</v>
      </c>
      <c r="C1535" t="s">
        <v>3438</v>
      </c>
      <c r="D1535" t="s">
        <v>32</v>
      </c>
      <c r="E1535" t="s">
        <v>33</v>
      </c>
      <c r="F1535" t="s">
        <v>34</v>
      </c>
      <c r="G1535" t="s">
        <v>2054</v>
      </c>
      <c r="J1535" t="s">
        <v>3439</v>
      </c>
      <c r="K1535" t="s">
        <v>38</v>
      </c>
      <c r="L1535" t="s">
        <v>38</v>
      </c>
      <c r="M1535" t="s">
        <v>38</v>
      </c>
      <c r="N1535" t="s">
        <v>38</v>
      </c>
      <c r="O1535" t="s">
        <v>38</v>
      </c>
      <c r="T1535" t="s">
        <v>38</v>
      </c>
      <c r="U1535">
        <v>0</v>
      </c>
      <c r="V1535">
        <v>1</v>
      </c>
      <c r="W1535">
        <v>0</v>
      </c>
      <c r="X1535">
        <v>0</v>
      </c>
      <c r="Y1535">
        <v>0</v>
      </c>
      <c r="AE1535">
        <f t="shared" si="69"/>
        <v>1</v>
      </c>
      <c r="AF1535">
        <f>VLOOKUP(D1535,especies!$A$2:$C$9,3,FALSE)</f>
        <v>1</v>
      </c>
      <c r="AG1535" t="str">
        <f t="shared" si="70"/>
        <v>1-Mestizo</v>
      </c>
      <c r="AH1535">
        <f>VLOOKUP('Fichas clínicas'!AG1535,razas!$A$2:$D$66,3,FALSE)</f>
        <v>1</v>
      </c>
      <c r="AI1535" t="str">
        <f t="shared" si="71"/>
        <v>H</v>
      </c>
    </row>
    <row r="1536" spans="1:35" x14ac:dyDescent="0.2">
      <c r="A1536">
        <v>1538</v>
      </c>
      <c r="B1536" t="s">
        <v>3440</v>
      </c>
      <c r="C1536" t="s">
        <v>3441</v>
      </c>
      <c r="D1536" t="s">
        <v>32</v>
      </c>
      <c r="E1536" t="s">
        <v>33</v>
      </c>
      <c r="F1536" t="s">
        <v>34</v>
      </c>
      <c r="G1536" t="s">
        <v>351</v>
      </c>
      <c r="J1536" t="s">
        <v>1537</v>
      </c>
      <c r="K1536" t="s">
        <v>38</v>
      </c>
      <c r="L1536" t="s">
        <v>38</v>
      </c>
      <c r="M1536" t="s">
        <v>38</v>
      </c>
      <c r="N1536" t="s">
        <v>38</v>
      </c>
      <c r="O1536" t="s">
        <v>38</v>
      </c>
      <c r="T1536" t="s">
        <v>38</v>
      </c>
      <c r="U1536">
        <v>0</v>
      </c>
      <c r="V1536">
        <v>1</v>
      </c>
      <c r="W1536">
        <v>0</v>
      </c>
      <c r="X1536">
        <v>0</v>
      </c>
      <c r="Y1536">
        <v>0</v>
      </c>
      <c r="AE1536">
        <f t="shared" si="69"/>
        <v>1</v>
      </c>
      <c r="AF1536">
        <f>VLOOKUP(D1536,especies!$A$2:$C$9,3,FALSE)</f>
        <v>1</v>
      </c>
      <c r="AG1536" t="str">
        <f t="shared" si="70"/>
        <v>1-Mestizo</v>
      </c>
      <c r="AH1536">
        <f>VLOOKUP('Fichas clínicas'!AG1536,razas!$A$2:$D$66,3,FALSE)</f>
        <v>1</v>
      </c>
      <c r="AI1536" t="str">
        <f t="shared" si="71"/>
        <v>H</v>
      </c>
    </row>
    <row r="1537" spans="1:35" x14ac:dyDescent="0.2">
      <c r="A1537">
        <v>1539</v>
      </c>
      <c r="B1537" t="s">
        <v>1511</v>
      </c>
      <c r="C1537" t="s">
        <v>3442</v>
      </c>
      <c r="D1537" t="s">
        <v>32</v>
      </c>
      <c r="E1537" t="s">
        <v>257</v>
      </c>
      <c r="F1537" t="s">
        <v>34</v>
      </c>
      <c r="G1537" t="s">
        <v>258</v>
      </c>
      <c r="J1537" t="s">
        <v>3443</v>
      </c>
      <c r="K1537" t="s">
        <v>38</v>
      </c>
      <c r="L1537" t="s">
        <v>38</v>
      </c>
      <c r="M1537" t="s">
        <v>38</v>
      </c>
      <c r="N1537" t="s">
        <v>38</v>
      </c>
      <c r="O1537" t="s">
        <v>38</v>
      </c>
      <c r="T1537" t="s">
        <v>38</v>
      </c>
      <c r="U1537">
        <v>0</v>
      </c>
      <c r="V1537">
        <v>1</v>
      </c>
      <c r="W1537">
        <v>0</v>
      </c>
      <c r="X1537">
        <v>0</v>
      </c>
      <c r="Y1537">
        <v>0</v>
      </c>
      <c r="AE1537">
        <f t="shared" si="69"/>
        <v>1</v>
      </c>
      <c r="AF1537">
        <f>VLOOKUP(D1537,especies!$A$2:$C$9,3,FALSE)</f>
        <v>1</v>
      </c>
      <c r="AG1537" t="str">
        <f t="shared" si="70"/>
        <v>1-Terrier Chileno</v>
      </c>
      <c r="AH1537">
        <f>VLOOKUP('Fichas clínicas'!AG1537,razas!$A$2:$D$66,3,FALSE)</f>
        <v>10</v>
      </c>
      <c r="AI1537" t="str">
        <f t="shared" si="71"/>
        <v>H</v>
      </c>
    </row>
    <row r="1538" spans="1:35" x14ac:dyDescent="0.2">
      <c r="A1538">
        <v>1540</v>
      </c>
      <c r="B1538" t="s">
        <v>1730</v>
      </c>
      <c r="C1538" t="s">
        <v>1468</v>
      </c>
      <c r="D1538" t="s">
        <v>32</v>
      </c>
      <c r="E1538" t="s">
        <v>33</v>
      </c>
      <c r="F1538" t="s">
        <v>34</v>
      </c>
      <c r="G1538" t="s">
        <v>3219</v>
      </c>
      <c r="J1538" t="s">
        <v>3444</v>
      </c>
      <c r="K1538" t="s">
        <v>38</v>
      </c>
      <c r="L1538" t="s">
        <v>38</v>
      </c>
      <c r="M1538" t="s">
        <v>38</v>
      </c>
      <c r="N1538" t="s">
        <v>38</v>
      </c>
      <c r="O1538" t="s">
        <v>38</v>
      </c>
      <c r="T1538" t="s">
        <v>38</v>
      </c>
      <c r="U1538">
        <v>0</v>
      </c>
      <c r="V1538">
        <v>1</v>
      </c>
      <c r="W1538">
        <v>0</v>
      </c>
      <c r="X1538">
        <v>0</v>
      </c>
      <c r="Y1538">
        <v>0</v>
      </c>
      <c r="AE1538">
        <f t="shared" si="69"/>
        <v>1</v>
      </c>
      <c r="AF1538">
        <f>VLOOKUP(D1538,especies!$A$2:$C$9,3,FALSE)</f>
        <v>1</v>
      </c>
      <c r="AG1538" t="str">
        <f t="shared" si="70"/>
        <v>1-Mestizo</v>
      </c>
      <c r="AH1538">
        <f>VLOOKUP('Fichas clínicas'!AG1538,razas!$A$2:$D$66,3,FALSE)</f>
        <v>1</v>
      </c>
      <c r="AI1538" t="str">
        <f t="shared" si="71"/>
        <v>H</v>
      </c>
    </row>
    <row r="1539" spans="1:35" x14ac:dyDescent="0.2">
      <c r="A1539">
        <v>1541</v>
      </c>
      <c r="B1539" t="s">
        <v>3445</v>
      </c>
      <c r="C1539" t="s">
        <v>3446</v>
      </c>
      <c r="D1539" t="s">
        <v>32</v>
      </c>
      <c r="E1539" t="s">
        <v>33</v>
      </c>
      <c r="F1539" t="s">
        <v>47</v>
      </c>
      <c r="G1539" t="s">
        <v>300</v>
      </c>
      <c r="J1539" t="s">
        <v>3447</v>
      </c>
      <c r="K1539" t="s">
        <v>38</v>
      </c>
      <c r="L1539" t="s">
        <v>38</v>
      </c>
      <c r="M1539" t="s">
        <v>38</v>
      </c>
      <c r="N1539" t="s">
        <v>38</v>
      </c>
      <c r="O1539" t="s">
        <v>38</v>
      </c>
      <c r="T1539" t="s">
        <v>38</v>
      </c>
      <c r="U1539">
        <v>0</v>
      </c>
      <c r="V1539">
        <v>1</v>
      </c>
      <c r="W1539">
        <v>0</v>
      </c>
      <c r="X1539">
        <v>0</v>
      </c>
      <c r="Y1539">
        <v>0</v>
      </c>
      <c r="AE1539">
        <f t="shared" ref="AE1539:AE1602" si="72">SUBTOTAL(103,E1539)</f>
        <v>1</v>
      </c>
      <c r="AF1539">
        <f>VLOOKUP(D1539,especies!$A$2:$C$9,3,FALSE)</f>
        <v>1</v>
      </c>
      <c r="AG1539" t="str">
        <f t="shared" ref="AG1539:AG1602" si="73">AF1539&amp;"-"&amp;E1539</f>
        <v>1-Mestizo</v>
      </c>
      <c r="AH1539">
        <f>VLOOKUP('Fichas clínicas'!AG1539,razas!$A$2:$D$66,3,FALSE)</f>
        <v>1</v>
      </c>
      <c r="AI1539" t="str">
        <f t="shared" ref="AI1539:AI1602" si="74">IF(F1539="Hembra","H","M")</f>
        <v>M</v>
      </c>
    </row>
    <row r="1540" spans="1:35" x14ac:dyDescent="0.2">
      <c r="A1540">
        <v>1542</v>
      </c>
      <c r="B1540" t="s">
        <v>2124</v>
      </c>
      <c r="C1540" t="s">
        <v>2880</v>
      </c>
      <c r="D1540" t="s">
        <v>41</v>
      </c>
      <c r="E1540" t="s">
        <v>42</v>
      </c>
      <c r="F1540" t="s">
        <v>47</v>
      </c>
      <c r="G1540" t="s">
        <v>3448</v>
      </c>
      <c r="J1540" t="s">
        <v>3449</v>
      </c>
      <c r="K1540" t="s">
        <v>38</v>
      </c>
      <c r="L1540" t="s">
        <v>38</v>
      </c>
      <c r="M1540" t="s">
        <v>38</v>
      </c>
      <c r="N1540" t="s">
        <v>38</v>
      </c>
      <c r="O1540" t="s">
        <v>38</v>
      </c>
      <c r="T1540" t="s">
        <v>38</v>
      </c>
      <c r="U1540">
        <v>0</v>
      </c>
      <c r="W1540">
        <v>0</v>
      </c>
      <c r="X1540">
        <v>0</v>
      </c>
      <c r="Y1540">
        <v>0</v>
      </c>
      <c r="AE1540">
        <f t="shared" si="72"/>
        <v>1</v>
      </c>
      <c r="AF1540">
        <f>VLOOKUP(D1540,especies!$A$2:$C$9,3,FALSE)</f>
        <v>2</v>
      </c>
      <c r="AG1540" t="str">
        <f t="shared" si="73"/>
        <v>2-DPC (Doméstico de pelo corto o DSH)</v>
      </c>
      <c r="AH1540">
        <f>VLOOKUP('Fichas clínicas'!AG1540,razas!$A$2:$D$66,3,FALSE)</f>
        <v>51</v>
      </c>
      <c r="AI1540" t="str">
        <f t="shared" si="74"/>
        <v>M</v>
      </c>
    </row>
    <row r="1541" spans="1:35" x14ac:dyDescent="0.2">
      <c r="A1541">
        <v>1543</v>
      </c>
      <c r="B1541" t="s">
        <v>3450</v>
      </c>
      <c r="C1541" t="s">
        <v>3451</v>
      </c>
      <c r="D1541" t="s">
        <v>41</v>
      </c>
      <c r="E1541" t="s">
        <v>42</v>
      </c>
      <c r="F1541" t="s">
        <v>47</v>
      </c>
      <c r="G1541" t="s">
        <v>1547</v>
      </c>
      <c r="J1541" t="s">
        <v>3107</v>
      </c>
      <c r="K1541" t="s">
        <v>38</v>
      </c>
      <c r="L1541" t="s">
        <v>38</v>
      </c>
      <c r="M1541" t="s">
        <v>38</v>
      </c>
      <c r="N1541" t="s">
        <v>38</v>
      </c>
      <c r="O1541" t="s">
        <v>38</v>
      </c>
      <c r="T1541" t="s">
        <v>38</v>
      </c>
      <c r="U1541">
        <v>0</v>
      </c>
      <c r="V1541">
        <v>1</v>
      </c>
      <c r="W1541">
        <v>0</v>
      </c>
      <c r="X1541">
        <v>0</v>
      </c>
      <c r="Y1541">
        <v>0</v>
      </c>
      <c r="AE1541">
        <f t="shared" si="72"/>
        <v>1</v>
      </c>
      <c r="AF1541">
        <f>VLOOKUP(D1541,especies!$A$2:$C$9,3,FALSE)</f>
        <v>2</v>
      </c>
      <c r="AG1541" t="str">
        <f t="shared" si="73"/>
        <v>2-DPC (Doméstico de pelo corto o DSH)</v>
      </c>
      <c r="AH1541">
        <f>VLOOKUP('Fichas clínicas'!AG1541,razas!$A$2:$D$66,3,FALSE)</f>
        <v>51</v>
      </c>
      <c r="AI1541" t="str">
        <f t="shared" si="74"/>
        <v>M</v>
      </c>
    </row>
    <row r="1542" spans="1:35" x14ac:dyDescent="0.2">
      <c r="A1542">
        <v>1544</v>
      </c>
      <c r="B1542" t="s">
        <v>3452</v>
      </c>
      <c r="C1542" t="s">
        <v>3453</v>
      </c>
      <c r="D1542" t="s">
        <v>41</v>
      </c>
      <c r="E1542" t="s">
        <v>42</v>
      </c>
      <c r="F1542" t="s">
        <v>34</v>
      </c>
      <c r="G1542" t="s">
        <v>2122</v>
      </c>
      <c r="J1542" t="s">
        <v>2032</v>
      </c>
      <c r="K1542" t="s">
        <v>38</v>
      </c>
      <c r="L1542" t="s">
        <v>38</v>
      </c>
      <c r="M1542" t="s">
        <v>38</v>
      </c>
      <c r="N1542" t="s">
        <v>38</v>
      </c>
      <c r="O1542" t="s">
        <v>38</v>
      </c>
      <c r="T1542" t="s">
        <v>38</v>
      </c>
      <c r="U1542">
        <v>0</v>
      </c>
      <c r="V1542">
        <v>1</v>
      </c>
      <c r="W1542">
        <v>0</v>
      </c>
      <c r="X1542">
        <v>0</v>
      </c>
      <c r="Y1542">
        <v>0</v>
      </c>
      <c r="AE1542">
        <f t="shared" si="72"/>
        <v>1</v>
      </c>
      <c r="AF1542">
        <f>VLOOKUP(D1542,especies!$A$2:$C$9,3,FALSE)</f>
        <v>2</v>
      </c>
      <c r="AG1542" t="str">
        <f t="shared" si="73"/>
        <v>2-DPC (Doméstico de pelo corto o DSH)</v>
      </c>
      <c r="AH1542">
        <f>VLOOKUP('Fichas clínicas'!AG1542,razas!$A$2:$D$66,3,FALSE)</f>
        <v>51</v>
      </c>
      <c r="AI1542" t="str">
        <f t="shared" si="74"/>
        <v>H</v>
      </c>
    </row>
    <row r="1543" spans="1:35" x14ac:dyDescent="0.2">
      <c r="A1543">
        <v>1545</v>
      </c>
      <c r="B1543" t="s">
        <v>3454</v>
      </c>
      <c r="C1543" t="s">
        <v>2565</v>
      </c>
      <c r="D1543" t="s">
        <v>41</v>
      </c>
      <c r="E1543" t="s">
        <v>42</v>
      </c>
      <c r="F1543" t="s">
        <v>47</v>
      </c>
      <c r="G1543" t="s">
        <v>2047</v>
      </c>
      <c r="J1543" t="s">
        <v>103</v>
      </c>
      <c r="K1543" t="s">
        <v>38</v>
      </c>
      <c r="L1543" t="s">
        <v>38</v>
      </c>
      <c r="M1543" t="s">
        <v>38</v>
      </c>
      <c r="N1543" t="s">
        <v>38</v>
      </c>
      <c r="O1543" t="s">
        <v>38</v>
      </c>
      <c r="T1543" t="s">
        <v>38</v>
      </c>
      <c r="U1543">
        <v>0</v>
      </c>
      <c r="W1543">
        <v>0</v>
      </c>
      <c r="X1543">
        <v>0</v>
      </c>
      <c r="Y1543">
        <v>0</v>
      </c>
      <c r="AE1543">
        <f t="shared" si="72"/>
        <v>1</v>
      </c>
      <c r="AF1543">
        <f>VLOOKUP(D1543,especies!$A$2:$C$9,3,FALSE)</f>
        <v>2</v>
      </c>
      <c r="AG1543" t="str">
        <f t="shared" si="73"/>
        <v>2-DPC (Doméstico de pelo corto o DSH)</v>
      </c>
      <c r="AH1543">
        <f>VLOOKUP('Fichas clínicas'!AG1543,razas!$A$2:$D$66,3,FALSE)</f>
        <v>51</v>
      </c>
      <c r="AI1543" t="str">
        <f t="shared" si="74"/>
        <v>M</v>
      </c>
    </row>
    <row r="1544" spans="1:35" x14ac:dyDescent="0.2">
      <c r="A1544">
        <v>1546</v>
      </c>
      <c r="B1544" t="s">
        <v>3455</v>
      </c>
      <c r="C1544" t="s">
        <v>2213</v>
      </c>
      <c r="D1544" t="s">
        <v>32</v>
      </c>
      <c r="E1544" t="s">
        <v>33</v>
      </c>
      <c r="F1544" t="s">
        <v>34</v>
      </c>
      <c r="G1544" t="s">
        <v>3022</v>
      </c>
      <c r="J1544" t="s">
        <v>3456</v>
      </c>
      <c r="K1544" t="s">
        <v>38</v>
      </c>
      <c r="L1544" t="s">
        <v>38</v>
      </c>
      <c r="M1544" t="s">
        <v>38</v>
      </c>
      <c r="N1544" t="s">
        <v>38</v>
      </c>
      <c r="O1544" t="s">
        <v>38</v>
      </c>
      <c r="Q1544">
        <v>0</v>
      </c>
      <c r="T1544" t="s">
        <v>38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f t="shared" si="72"/>
        <v>1</v>
      </c>
      <c r="AF1544">
        <f>VLOOKUP(D1544,especies!$A$2:$C$9,3,FALSE)</f>
        <v>1</v>
      </c>
      <c r="AG1544" t="str">
        <f t="shared" si="73"/>
        <v>1-Mestizo</v>
      </c>
      <c r="AH1544">
        <f>VLOOKUP('Fichas clínicas'!AG1544,razas!$A$2:$D$66,3,FALSE)</f>
        <v>1</v>
      </c>
      <c r="AI1544" t="str">
        <f t="shared" si="74"/>
        <v>H</v>
      </c>
    </row>
    <row r="1545" spans="1:35" x14ac:dyDescent="0.2">
      <c r="A1545">
        <v>1547</v>
      </c>
      <c r="B1545" t="s">
        <v>292</v>
      </c>
      <c r="C1545" t="s">
        <v>3457</v>
      </c>
      <c r="D1545" t="s">
        <v>41</v>
      </c>
      <c r="E1545" t="s">
        <v>42</v>
      </c>
      <c r="F1545" t="s">
        <v>34</v>
      </c>
      <c r="G1545" t="s">
        <v>3458</v>
      </c>
      <c r="J1545" t="s">
        <v>1012</v>
      </c>
      <c r="K1545" t="s">
        <v>38</v>
      </c>
      <c r="L1545" t="s">
        <v>38</v>
      </c>
      <c r="M1545" t="s">
        <v>38</v>
      </c>
      <c r="N1545" t="s">
        <v>38</v>
      </c>
      <c r="O1545" t="s">
        <v>38</v>
      </c>
      <c r="T1545" t="s">
        <v>38</v>
      </c>
      <c r="U1545">
        <v>0</v>
      </c>
      <c r="V1545">
        <v>1</v>
      </c>
      <c r="W1545">
        <v>0</v>
      </c>
      <c r="X1545">
        <v>0</v>
      </c>
      <c r="Y1545">
        <v>0</v>
      </c>
      <c r="AE1545">
        <f t="shared" si="72"/>
        <v>1</v>
      </c>
      <c r="AF1545">
        <f>VLOOKUP(D1545,especies!$A$2:$C$9,3,FALSE)</f>
        <v>2</v>
      </c>
      <c r="AG1545" t="str">
        <f t="shared" si="73"/>
        <v>2-DPC (Doméstico de pelo corto o DSH)</v>
      </c>
      <c r="AH1545">
        <f>VLOOKUP('Fichas clínicas'!AG1545,razas!$A$2:$D$66,3,FALSE)</f>
        <v>51</v>
      </c>
      <c r="AI1545" t="str">
        <f t="shared" si="74"/>
        <v>H</v>
      </c>
    </row>
    <row r="1546" spans="1:35" x14ac:dyDescent="0.2">
      <c r="A1546">
        <v>1548</v>
      </c>
      <c r="B1546" t="s">
        <v>3459</v>
      </c>
      <c r="C1546" t="s">
        <v>3460</v>
      </c>
      <c r="D1546" t="s">
        <v>32</v>
      </c>
      <c r="E1546" t="s">
        <v>823</v>
      </c>
      <c r="F1546" t="s">
        <v>47</v>
      </c>
      <c r="G1546" t="s">
        <v>1547</v>
      </c>
      <c r="J1546" t="s">
        <v>3461</v>
      </c>
      <c r="K1546" t="s">
        <v>38</v>
      </c>
      <c r="L1546" t="s">
        <v>38</v>
      </c>
      <c r="M1546" t="s">
        <v>38</v>
      </c>
      <c r="N1546" t="s">
        <v>38</v>
      </c>
      <c r="O1546" t="s">
        <v>38</v>
      </c>
      <c r="Q1546">
        <v>0</v>
      </c>
      <c r="T1546" t="s">
        <v>38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f t="shared" si="72"/>
        <v>1</v>
      </c>
      <c r="AF1546">
        <f>VLOOKUP(D1546,especies!$A$2:$C$9,3,FALSE)</f>
        <v>1</v>
      </c>
      <c r="AG1546" t="str">
        <f t="shared" si="73"/>
        <v>1-Dogo Argentino</v>
      </c>
      <c r="AH1546">
        <f>VLOOKUP('Fichas clínicas'!AG1546,razas!$A$2:$D$66,3,FALSE)</f>
        <v>19</v>
      </c>
      <c r="AI1546" t="str">
        <f t="shared" si="74"/>
        <v>M</v>
      </c>
    </row>
    <row r="1547" spans="1:35" x14ac:dyDescent="0.2">
      <c r="A1547">
        <v>1549</v>
      </c>
      <c r="B1547" t="s">
        <v>3462</v>
      </c>
      <c r="C1547" t="s">
        <v>156</v>
      </c>
      <c r="D1547" t="s">
        <v>32</v>
      </c>
      <c r="E1547" t="s">
        <v>823</v>
      </c>
      <c r="F1547" t="s">
        <v>47</v>
      </c>
      <c r="G1547" t="s">
        <v>284</v>
      </c>
      <c r="I1547">
        <v>991001002932404</v>
      </c>
      <c r="J1547" t="s">
        <v>3461</v>
      </c>
      <c r="K1547" t="s">
        <v>38</v>
      </c>
      <c r="L1547" t="s">
        <v>38</v>
      </c>
      <c r="M1547" t="s">
        <v>38</v>
      </c>
      <c r="N1547" t="s">
        <v>38</v>
      </c>
      <c r="O1547" t="s">
        <v>38</v>
      </c>
      <c r="Q1547">
        <v>0</v>
      </c>
      <c r="T1547" t="s">
        <v>38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f t="shared" si="72"/>
        <v>1</v>
      </c>
      <c r="AF1547">
        <f>VLOOKUP(D1547,especies!$A$2:$C$9,3,FALSE)</f>
        <v>1</v>
      </c>
      <c r="AG1547" t="str">
        <f t="shared" si="73"/>
        <v>1-Dogo Argentino</v>
      </c>
      <c r="AH1547">
        <f>VLOOKUP('Fichas clínicas'!AG1547,razas!$A$2:$D$66,3,FALSE)</f>
        <v>19</v>
      </c>
      <c r="AI1547" t="str">
        <f t="shared" si="74"/>
        <v>M</v>
      </c>
    </row>
    <row r="1548" spans="1:35" x14ac:dyDescent="0.2">
      <c r="A1548">
        <v>1550</v>
      </c>
      <c r="B1548" t="s">
        <v>3463</v>
      </c>
      <c r="C1548" t="s">
        <v>3464</v>
      </c>
      <c r="D1548" t="s">
        <v>41</v>
      </c>
      <c r="E1548" t="s">
        <v>42</v>
      </c>
      <c r="F1548" t="s">
        <v>47</v>
      </c>
      <c r="G1548" t="s">
        <v>2870</v>
      </c>
      <c r="J1548" t="s">
        <v>3465</v>
      </c>
      <c r="K1548" t="s">
        <v>38</v>
      </c>
      <c r="L1548" t="s">
        <v>38</v>
      </c>
      <c r="M1548" t="s">
        <v>38</v>
      </c>
      <c r="N1548" t="s">
        <v>38</v>
      </c>
      <c r="O1548" t="s">
        <v>38</v>
      </c>
      <c r="T1548" t="s">
        <v>38</v>
      </c>
      <c r="U1548">
        <v>0</v>
      </c>
      <c r="V1548">
        <v>1</v>
      </c>
      <c r="W1548">
        <v>0</v>
      </c>
      <c r="X1548">
        <v>0</v>
      </c>
      <c r="Y1548">
        <v>0</v>
      </c>
      <c r="AE1548">
        <f t="shared" si="72"/>
        <v>1</v>
      </c>
      <c r="AF1548">
        <f>VLOOKUP(D1548,especies!$A$2:$C$9,3,FALSE)</f>
        <v>2</v>
      </c>
      <c r="AG1548" t="str">
        <f t="shared" si="73"/>
        <v>2-DPC (Doméstico de pelo corto o DSH)</v>
      </c>
      <c r="AH1548">
        <f>VLOOKUP('Fichas clínicas'!AG1548,razas!$A$2:$D$66,3,FALSE)</f>
        <v>51</v>
      </c>
      <c r="AI1548" t="str">
        <f t="shared" si="74"/>
        <v>M</v>
      </c>
    </row>
    <row r="1549" spans="1:35" x14ac:dyDescent="0.2">
      <c r="A1549">
        <v>1551</v>
      </c>
      <c r="B1549" t="s">
        <v>3466</v>
      </c>
      <c r="C1549" t="s">
        <v>3467</v>
      </c>
      <c r="D1549" t="s">
        <v>32</v>
      </c>
      <c r="E1549" t="s">
        <v>143</v>
      </c>
      <c r="F1549" t="s">
        <v>47</v>
      </c>
      <c r="G1549" t="s">
        <v>698</v>
      </c>
      <c r="J1549" t="s">
        <v>3411</v>
      </c>
      <c r="K1549" t="s">
        <v>38</v>
      </c>
      <c r="L1549" t="s">
        <v>38</v>
      </c>
      <c r="M1549" t="s">
        <v>38</v>
      </c>
      <c r="N1549" t="s">
        <v>38</v>
      </c>
      <c r="O1549" t="s">
        <v>38</v>
      </c>
      <c r="T1549" t="s">
        <v>38</v>
      </c>
      <c r="U1549">
        <v>0</v>
      </c>
      <c r="W1549">
        <v>0</v>
      </c>
      <c r="X1549">
        <v>0</v>
      </c>
      <c r="Y1549">
        <v>0</v>
      </c>
      <c r="AE1549">
        <f t="shared" si="72"/>
        <v>1</v>
      </c>
      <c r="AF1549">
        <f>VLOOKUP(D1549,especies!$A$2:$C$9,3,FALSE)</f>
        <v>1</v>
      </c>
      <c r="AG1549" t="str">
        <f t="shared" si="73"/>
        <v>1-Yorkshire Terrier</v>
      </c>
      <c r="AH1549">
        <f>VLOOKUP('Fichas clínicas'!AG1549,razas!$A$2:$D$66,3,FALSE)</f>
        <v>5</v>
      </c>
      <c r="AI1549" t="str">
        <f t="shared" si="74"/>
        <v>M</v>
      </c>
    </row>
    <row r="1550" spans="1:35" x14ac:dyDescent="0.2">
      <c r="A1550">
        <v>1552</v>
      </c>
      <c r="B1550" t="s">
        <v>3468</v>
      </c>
      <c r="C1550" t="s">
        <v>3469</v>
      </c>
      <c r="D1550" t="s">
        <v>32</v>
      </c>
      <c r="E1550" t="s">
        <v>1067</v>
      </c>
      <c r="F1550" t="s">
        <v>47</v>
      </c>
      <c r="G1550" t="s">
        <v>351</v>
      </c>
      <c r="I1550">
        <v>991001002932403</v>
      </c>
      <c r="J1550" t="s">
        <v>3470</v>
      </c>
      <c r="K1550" t="s">
        <v>38</v>
      </c>
      <c r="L1550" t="s">
        <v>38</v>
      </c>
      <c r="M1550" t="s">
        <v>38</v>
      </c>
      <c r="N1550" t="s">
        <v>38</v>
      </c>
      <c r="O1550" t="s">
        <v>38</v>
      </c>
      <c r="Q1550">
        <v>0</v>
      </c>
      <c r="T1550" t="s">
        <v>38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f t="shared" si="72"/>
        <v>1</v>
      </c>
      <c r="AF1550">
        <f>VLOOKUP(D1550,especies!$A$2:$C$9,3,FALSE)</f>
        <v>1</v>
      </c>
      <c r="AG1550" t="str">
        <f t="shared" si="73"/>
        <v>1-Chihuahua</v>
      </c>
      <c r="AH1550">
        <f>VLOOKUP('Fichas clínicas'!AG1550,razas!$A$2:$D$66,3,FALSE)</f>
        <v>27</v>
      </c>
      <c r="AI1550" t="str">
        <f t="shared" si="74"/>
        <v>M</v>
      </c>
    </row>
    <row r="1551" spans="1:35" x14ac:dyDescent="0.2">
      <c r="A1551">
        <v>1553</v>
      </c>
      <c r="B1551" t="s">
        <v>1533</v>
      </c>
      <c r="C1551" t="s">
        <v>378</v>
      </c>
      <c r="D1551" t="s">
        <v>41</v>
      </c>
      <c r="E1551" t="s">
        <v>42</v>
      </c>
      <c r="F1551" t="s">
        <v>34</v>
      </c>
      <c r="G1551" t="s">
        <v>3471</v>
      </c>
      <c r="J1551" t="s">
        <v>3405</v>
      </c>
      <c r="K1551" t="s">
        <v>38</v>
      </c>
      <c r="L1551" t="s">
        <v>38</v>
      </c>
      <c r="M1551" t="s">
        <v>38</v>
      </c>
      <c r="N1551" t="s">
        <v>38</v>
      </c>
      <c r="O1551" t="s">
        <v>38</v>
      </c>
      <c r="T1551" t="s">
        <v>38</v>
      </c>
      <c r="U1551">
        <v>0</v>
      </c>
      <c r="W1551">
        <v>0</v>
      </c>
      <c r="X1551">
        <v>0</v>
      </c>
      <c r="Y1551">
        <v>0</v>
      </c>
      <c r="AE1551">
        <f t="shared" si="72"/>
        <v>1</v>
      </c>
      <c r="AF1551">
        <f>VLOOKUP(D1551,especies!$A$2:$C$9,3,FALSE)</f>
        <v>2</v>
      </c>
      <c r="AG1551" t="str">
        <f t="shared" si="73"/>
        <v>2-DPC (Doméstico de pelo corto o DSH)</v>
      </c>
      <c r="AH1551">
        <f>VLOOKUP('Fichas clínicas'!AG1551,razas!$A$2:$D$66,3,FALSE)</f>
        <v>51</v>
      </c>
      <c r="AI1551" t="str">
        <f t="shared" si="74"/>
        <v>H</v>
      </c>
    </row>
    <row r="1552" spans="1:35" x14ac:dyDescent="0.2">
      <c r="A1552">
        <v>1554</v>
      </c>
      <c r="B1552" t="s">
        <v>3472</v>
      </c>
      <c r="C1552" t="s">
        <v>2350</v>
      </c>
      <c r="D1552" t="s">
        <v>32</v>
      </c>
      <c r="E1552" t="s">
        <v>994</v>
      </c>
      <c r="F1552" t="s">
        <v>34</v>
      </c>
      <c r="G1552" t="s">
        <v>3473</v>
      </c>
      <c r="J1552" t="s">
        <v>3474</v>
      </c>
      <c r="K1552" t="s">
        <v>38</v>
      </c>
      <c r="L1552" t="s">
        <v>38</v>
      </c>
      <c r="M1552" t="s">
        <v>38</v>
      </c>
      <c r="N1552" t="s">
        <v>38</v>
      </c>
      <c r="O1552" t="s">
        <v>38</v>
      </c>
      <c r="T1552" t="s">
        <v>38</v>
      </c>
      <c r="U1552">
        <v>0</v>
      </c>
      <c r="W1552">
        <v>0</v>
      </c>
      <c r="X1552">
        <v>0</v>
      </c>
      <c r="Y1552">
        <v>0</v>
      </c>
      <c r="AE1552">
        <f t="shared" si="72"/>
        <v>1</v>
      </c>
      <c r="AF1552">
        <f>VLOOKUP(D1552,especies!$A$2:$C$9,3,FALSE)</f>
        <v>1</v>
      </c>
      <c r="AG1552" t="str">
        <f t="shared" si="73"/>
        <v>1-Bulldog Francés</v>
      </c>
      <c r="AH1552">
        <f>VLOOKUP('Fichas clínicas'!AG1552,razas!$A$2:$D$66,3,FALSE)</f>
        <v>26</v>
      </c>
      <c r="AI1552" t="str">
        <f t="shared" si="74"/>
        <v>H</v>
      </c>
    </row>
    <row r="1553" spans="1:35" x14ac:dyDescent="0.2">
      <c r="A1553">
        <v>1555</v>
      </c>
      <c r="B1553" t="s">
        <v>3475</v>
      </c>
      <c r="C1553" t="s">
        <v>3476</v>
      </c>
      <c r="D1553" t="s">
        <v>32</v>
      </c>
      <c r="E1553" t="s">
        <v>33</v>
      </c>
      <c r="F1553" t="s">
        <v>47</v>
      </c>
      <c r="G1553" t="s">
        <v>587</v>
      </c>
      <c r="I1553">
        <v>941000018115864</v>
      </c>
      <c r="J1553" t="s">
        <v>3477</v>
      </c>
      <c r="K1553" t="s">
        <v>38</v>
      </c>
      <c r="L1553" t="s">
        <v>38</v>
      </c>
      <c r="M1553" t="s">
        <v>38</v>
      </c>
      <c r="N1553" t="s">
        <v>38</v>
      </c>
      <c r="O1553" t="s">
        <v>38</v>
      </c>
      <c r="Q1553">
        <v>0</v>
      </c>
      <c r="T1553" t="s">
        <v>38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f t="shared" si="72"/>
        <v>1</v>
      </c>
      <c r="AF1553">
        <f>VLOOKUP(D1553,especies!$A$2:$C$9,3,FALSE)</f>
        <v>1</v>
      </c>
      <c r="AG1553" t="str">
        <f t="shared" si="73"/>
        <v>1-Mestizo</v>
      </c>
      <c r="AH1553">
        <f>VLOOKUP('Fichas clínicas'!AG1553,razas!$A$2:$D$66,3,FALSE)</f>
        <v>1</v>
      </c>
      <c r="AI1553" t="str">
        <f t="shared" si="74"/>
        <v>M</v>
      </c>
    </row>
    <row r="1554" spans="1:35" x14ac:dyDescent="0.2">
      <c r="A1554">
        <v>1556</v>
      </c>
      <c r="B1554" t="s">
        <v>3478</v>
      </c>
      <c r="C1554" t="s">
        <v>3479</v>
      </c>
      <c r="D1554" t="s">
        <v>32</v>
      </c>
      <c r="E1554" t="s">
        <v>33</v>
      </c>
      <c r="F1554" t="s">
        <v>47</v>
      </c>
      <c r="G1554" t="s">
        <v>2878</v>
      </c>
      <c r="I1554">
        <v>991003001863517</v>
      </c>
      <c r="J1554" t="s">
        <v>3480</v>
      </c>
      <c r="K1554" t="s">
        <v>38</v>
      </c>
      <c r="L1554" t="s">
        <v>38</v>
      </c>
      <c r="M1554" t="s">
        <v>38</v>
      </c>
      <c r="N1554" t="s">
        <v>38</v>
      </c>
      <c r="O1554" t="s">
        <v>38</v>
      </c>
      <c r="Q1554">
        <v>0</v>
      </c>
      <c r="T1554" t="s">
        <v>38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f t="shared" si="72"/>
        <v>1</v>
      </c>
      <c r="AF1554">
        <f>VLOOKUP(D1554,especies!$A$2:$C$9,3,FALSE)</f>
        <v>1</v>
      </c>
      <c r="AG1554" t="str">
        <f t="shared" si="73"/>
        <v>1-Mestizo</v>
      </c>
      <c r="AH1554">
        <f>VLOOKUP('Fichas clínicas'!AG1554,razas!$A$2:$D$66,3,FALSE)</f>
        <v>1</v>
      </c>
      <c r="AI1554" t="str">
        <f t="shared" si="74"/>
        <v>M</v>
      </c>
    </row>
    <row r="1555" spans="1:35" x14ac:dyDescent="0.2">
      <c r="A1555">
        <v>1557</v>
      </c>
      <c r="B1555" t="s">
        <v>3481</v>
      </c>
      <c r="C1555" t="s">
        <v>2695</v>
      </c>
      <c r="D1555" t="s">
        <v>41</v>
      </c>
      <c r="E1555" t="s">
        <v>42</v>
      </c>
      <c r="F1555" t="s">
        <v>34</v>
      </c>
      <c r="G1555" t="s">
        <v>1054</v>
      </c>
      <c r="J1555" t="s">
        <v>3210</v>
      </c>
      <c r="K1555" t="s">
        <v>38</v>
      </c>
      <c r="L1555" t="s">
        <v>38</v>
      </c>
      <c r="M1555" t="s">
        <v>38</v>
      </c>
      <c r="N1555" t="s">
        <v>38</v>
      </c>
      <c r="O1555" t="s">
        <v>38</v>
      </c>
      <c r="Q1555">
        <v>0</v>
      </c>
      <c r="T1555" t="s">
        <v>38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f t="shared" si="72"/>
        <v>1</v>
      </c>
      <c r="AF1555">
        <f>VLOOKUP(D1555,especies!$A$2:$C$9,3,FALSE)</f>
        <v>2</v>
      </c>
      <c r="AG1555" t="str">
        <f t="shared" si="73"/>
        <v>2-DPC (Doméstico de pelo corto o DSH)</v>
      </c>
      <c r="AH1555">
        <f>VLOOKUP('Fichas clínicas'!AG1555,razas!$A$2:$D$66,3,FALSE)</f>
        <v>51</v>
      </c>
      <c r="AI1555" t="str">
        <f t="shared" si="74"/>
        <v>H</v>
      </c>
    </row>
    <row r="1556" spans="1:35" x14ac:dyDescent="0.2">
      <c r="A1556">
        <v>1558</v>
      </c>
      <c r="B1556" t="s">
        <v>3482</v>
      </c>
      <c r="C1556" t="s">
        <v>3483</v>
      </c>
      <c r="D1556" t="s">
        <v>41</v>
      </c>
      <c r="E1556" t="s">
        <v>93</v>
      </c>
      <c r="F1556" t="s">
        <v>47</v>
      </c>
      <c r="G1556" t="s">
        <v>1073</v>
      </c>
      <c r="J1556" t="s">
        <v>181</v>
      </c>
      <c r="K1556" t="s">
        <v>38</v>
      </c>
      <c r="L1556" t="s">
        <v>38</v>
      </c>
      <c r="M1556" t="s">
        <v>38</v>
      </c>
      <c r="N1556" t="s">
        <v>38</v>
      </c>
      <c r="O1556" t="s">
        <v>38</v>
      </c>
      <c r="T1556" t="s">
        <v>38</v>
      </c>
      <c r="U1556">
        <v>0</v>
      </c>
      <c r="V1556">
        <v>1</v>
      </c>
      <c r="W1556">
        <v>0</v>
      </c>
      <c r="X1556">
        <v>0</v>
      </c>
      <c r="Y1556">
        <v>0</v>
      </c>
      <c r="AE1556">
        <f t="shared" si="72"/>
        <v>1</v>
      </c>
      <c r="AF1556">
        <f>VLOOKUP(D1556,especies!$A$2:$C$9,3,FALSE)</f>
        <v>2</v>
      </c>
      <c r="AG1556" t="str">
        <f t="shared" si="73"/>
        <v>2-DPL (Doméstico de pelo Largo o DLH)</v>
      </c>
      <c r="AH1556">
        <f>VLOOKUP('Fichas clínicas'!AG1556,razas!$A$2:$D$66,3,FALSE)</f>
        <v>52</v>
      </c>
      <c r="AI1556" t="str">
        <f t="shared" si="74"/>
        <v>M</v>
      </c>
    </row>
    <row r="1557" spans="1:35" x14ac:dyDescent="0.2">
      <c r="A1557">
        <v>1559</v>
      </c>
      <c r="B1557" t="s">
        <v>3431</v>
      </c>
      <c r="C1557" t="s">
        <v>3484</v>
      </c>
      <c r="D1557" t="s">
        <v>32</v>
      </c>
      <c r="E1557" t="s">
        <v>33</v>
      </c>
      <c r="F1557" t="s">
        <v>47</v>
      </c>
      <c r="G1557" t="s">
        <v>199</v>
      </c>
      <c r="J1557" t="s">
        <v>516</v>
      </c>
      <c r="K1557" t="s">
        <v>38</v>
      </c>
      <c r="L1557" t="s">
        <v>38</v>
      </c>
      <c r="M1557" t="s">
        <v>38</v>
      </c>
      <c r="N1557" t="s">
        <v>38</v>
      </c>
      <c r="O1557" t="s">
        <v>38</v>
      </c>
      <c r="T1557" t="s">
        <v>38</v>
      </c>
      <c r="U1557">
        <v>0</v>
      </c>
      <c r="W1557">
        <v>0</v>
      </c>
      <c r="X1557">
        <v>0</v>
      </c>
      <c r="Y1557">
        <v>0</v>
      </c>
      <c r="AE1557">
        <f t="shared" si="72"/>
        <v>1</v>
      </c>
      <c r="AF1557">
        <f>VLOOKUP(D1557,especies!$A$2:$C$9,3,FALSE)</f>
        <v>1</v>
      </c>
      <c r="AG1557" t="str">
        <f t="shared" si="73"/>
        <v>1-Mestizo</v>
      </c>
      <c r="AH1557">
        <f>VLOOKUP('Fichas clínicas'!AG1557,razas!$A$2:$D$66,3,FALSE)</f>
        <v>1</v>
      </c>
      <c r="AI1557" t="str">
        <f t="shared" si="74"/>
        <v>M</v>
      </c>
    </row>
    <row r="1558" spans="1:35" x14ac:dyDescent="0.2">
      <c r="A1558">
        <v>1560</v>
      </c>
      <c r="B1558" t="s">
        <v>3431</v>
      </c>
      <c r="C1558" t="s">
        <v>1462</v>
      </c>
      <c r="D1558" t="s">
        <v>32</v>
      </c>
      <c r="E1558" t="s">
        <v>33</v>
      </c>
      <c r="F1558" t="s">
        <v>34</v>
      </c>
      <c r="G1558" t="s">
        <v>2763</v>
      </c>
      <c r="I1558">
        <v>900223000263192</v>
      </c>
      <c r="J1558" t="s">
        <v>3485</v>
      </c>
      <c r="K1558" t="s">
        <v>38</v>
      </c>
      <c r="L1558" t="s">
        <v>38</v>
      </c>
      <c r="M1558" t="s">
        <v>38</v>
      </c>
      <c r="N1558" t="s">
        <v>38</v>
      </c>
      <c r="O1558" t="s">
        <v>38</v>
      </c>
      <c r="Q1558">
        <v>0</v>
      </c>
      <c r="T1558" t="s">
        <v>38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f t="shared" si="72"/>
        <v>1</v>
      </c>
      <c r="AF1558">
        <f>VLOOKUP(D1558,especies!$A$2:$C$9,3,FALSE)</f>
        <v>1</v>
      </c>
      <c r="AG1558" t="str">
        <f t="shared" si="73"/>
        <v>1-Mestizo</v>
      </c>
      <c r="AH1558">
        <f>VLOOKUP('Fichas clínicas'!AG1558,razas!$A$2:$D$66,3,FALSE)</f>
        <v>1</v>
      </c>
      <c r="AI1558" t="str">
        <f t="shared" si="74"/>
        <v>H</v>
      </c>
    </row>
    <row r="1559" spans="1:35" x14ac:dyDescent="0.2">
      <c r="A1559">
        <v>1561</v>
      </c>
      <c r="B1559" t="s">
        <v>3486</v>
      </c>
      <c r="C1559" t="s">
        <v>378</v>
      </c>
      <c r="D1559" t="s">
        <v>32</v>
      </c>
      <c r="E1559" t="s">
        <v>33</v>
      </c>
      <c r="F1559" t="s">
        <v>34</v>
      </c>
      <c r="G1559" t="s">
        <v>199</v>
      </c>
      <c r="J1559" t="s">
        <v>1808</v>
      </c>
      <c r="K1559" t="s">
        <v>38</v>
      </c>
      <c r="L1559" t="s">
        <v>38</v>
      </c>
      <c r="M1559" t="s">
        <v>38</v>
      </c>
      <c r="N1559" t="s">
        <v>38</v>
      </c>
      <c r="O1559" t="s">
        <v>38</v>
      </c>
      <c r="Q1559">
        <v>0</v>
      </c>
      <c r="T1559" t="s">
        <v>38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f t="shared" si="72"/>
        <v>1</v>
      </c>
      <c r="AF1559">
        <f>VLOOKUP(D1559,especies!$A$2:$C$9,3,FALSE)</f>
        <v>1</v>
      </c>
      <c r="AG1559" t="str">
        <f t="shared" si="73"/>
        <v>1-Mestizo</v>
      </c>
      <c r="AH1559">
        <f>VLOOKUP('Fichas clínicas'!AG1559,razas!$A$2:$D$66,3,FALSE)</f>
        <v>1</v>
      </c>
      <c r="AI1559" t="str">
        <f t="shared" si="74"/>
        <v>H</v>
      </c>
    </row>
    <row r="1560" spans="1:35" x14ac:dyDescent="0.2">
      <c r="A1560">
        <v>1562</v>
      </c>
      <c r="B1560" t="s">
        <v>3254</v>
      </c>
      <c r="C1560" t="s">
        <v>3487</v>
      </c>
      <c r="D1560" t="s">
        <v>32</v>
      </c>
      <c r="E1560" t="s">
        <v>150</v>
      </c>
      <c r="F1560" t="s">
        <v>34</v>
      </c>
      <c r="G1560" t="s">
        <v>1547</v>
      </c>
      <c r="J1560" t="s">
        <v>788</v>
      </c>
      <c r="K1560" t="s">
        <v>38</v>
      </c>
      <c r="L1560" t="s">
        <v>38</v>
      </c>
      <c r="M1560" t="s">
        <v>38</v>
      </c>
      <c r="N1560" t="s">
        <v>38</v>
      </c>
      <c r="O1560" t="s">
        <v>38</v>
      </c>
      <c r="T1560" t="s">
        <v>38</v>
      </c>
      <c r="U1560">
        <v>0</v>
      </c>
      <c r="V1560">
        <v>1</v>
      </c>
      <c r="W1560">
        <v>0</v>
      </c>
      <c r="X1560">
        <v>0</v>
      </c>
      <c r="Y1560">
        <v>0</v>
      </c>
      <c r="AE1560">
        <f t="shared" si="72"/>
        <v>1</v>
      </c>
      <c r="AF1560">
        <f>VLOOKUP(D1560,especies!$A$2:$C$9,3,FALSE)</f>
        <v>1</v>
      </c>
      <c r="AG1560" t="str">
        <f t="shared" si="73"/>
        <v>1-Poodle</v>
      </c>
      <c r="AH1560">
        <f>VLOOKUP('Fichas clínicas'!AG1560,razas!$A$2:$D$66,3,FALSE)</f>
        <v>6</v>
      </c>
      <c r="AI1560" t="str">
        <f t="shared" si="74"/>
        <v>H</v>
      </c>
    </row>
    <row r="1561" spans="1:35" x14ac:dyDescent="0.2">
      <c r="A1561">
        <v>1563</v>
      </c>
      <c r="B1561" t="s">
        <v>3488</v>
      </c>
      <c r="C1561" t="s">
        <v>3489</v>
      </c>
      <c r="D1561" t="s">
        <v>32</v>
      </c>
      <c r="E1561" t="s">
        <v>33</v>
      </c>
      <c r="F1561" t="s">
        <v>47</v>
      </c>
      <c r="G1561" t="s">
        <v>1915</v>
      </c>
      <c r="J1561" t="s">
        <v>3490</v>
      </c>
      <c r="K1561" t="s">
        <v>38</v>
      </c>
      <c r="L1561" t="s">
        <v>38</v>
      </c>
      <c r="M1561" t="s">
        <v>38</v>
      </c>
      <c r="N1561" t="s">
        <v>38</v>
      </c>
      <c r="O1561" t="s">
        <v>38</v>
      </c>
      <c r="Q1561">
        <v>0</v>
      </c>
      <c r="T1561" t="s">
        <v>38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f t="shared" si="72"/>
        <v>1</v>
      </c>
      <c r="AF1561">
        <f>VLOOKUP(D1561,especies!$A$2:$C$9,3,FALSE)</f>
        <v>1</v>
      </c>
      <c r="AG1561" t="str">
        <f t="shared" si="73"/>
        <v>1-Mestizo</v>
      </c>
      <c r="AH1561">
        <f>VLOOKUP('Fichas clínicas'!AG1561,razas!$A$2:$D$66,3,FALSE)</f>
        <v>1</v>
      </c>
      <c r="AI1561" t="str">
        <f t="shared" si="74"/>
        <v>M</v>
      </c>
    </row>
    <row r="1562" spans="1:35" x14ac:dyDescent="0.2">
      <c r="A1562">
        <v>1564</v>
      </c>
      <c r="B1562" t="s">
        <v>3126</v>
      </c>
      <c r="C1562" t="s">
        <v>3491</v>
      </c>
      <c r="D1562" t="s">
        <v>32</v>
      </c>
      <c r="E1562" t="s">
        <v>33</v>
      </c>
      <c r="F1562" t="s">
        <v>47</v>
      </c>
      <c r="G1562" t="s">
        <v>2047</v>
      </c>
      <c r="J1562" t="s">
        <v>3492</v>
      </c>
      <c r="K1562" t="s">
        <v>38</v>
      </c>
      <c r="L1562" t="s">
        <v>38</v>
      </c>
      <c r="M1562" t="s">
        <v>38</v>
      </c>
      <c r="N1562" t="s">
        <v>38</v>
      </c>
      <c r="O1562" t="s">
        <v>38</v>
      </c>
      <c r="T1562" t="s">
        <v>38</v>
      </c>
      <c r="U1562">
        <v>0</v>
      </c>
      <c r="V1562">
        <v>1</v>
      </c>
      <c r="W1562">
        <v>0</v>
      </c>
      <c r="X1562">
        <v>0</v>
      </c>
      <c r="Y1562">
        <v>0</v>
      </c>
      <c r="AE1562">
        <f t="shared" si="72"/>
        <v>1</v>
      </c>
      <c r="AF1562">
        <f>VLOOKUP(D1562,especies!$A$2:$C$9,3,FALSE)</f>
        <v>1</v>
      </c>
      <c r="AG1562" t="str">
        <f t="shared" si="73"/>
        <v>1-Mestizo</v>
      </c>
      <c r="AH1562">
        <f>VLOOKUP('Fichas clínicas'!AG1562,razas!$A$2:$D$66,3,FALSE)</f>
        <v>1</v>
      </c>
      <c r="AI1562" t="str">
        <f t="shared" si="74"/>
        <v>M</v>
      </c>
    </row>
    <row r="1563" spans="1:35" x14ac:dyDescent="0.2">
      <c r="A1563">
        <v>1565</v>
      </c>
      <c r="B1563" t="s">
        <v>3493</v>
      </c>
      <c r="C1563" t="s">
        <v>1655</v>
      </c>
      <c r="D1563" t="s">
        <v>32</v>
      </c>
      <c r="E1563" t="s">
        <v>33</v>
      </c>
      <c r="F1563" t="s">
        <v>47</v>
      </c>
      <c r="G1563" t="s">
        <v>300</v>
      </c>
      <c r="J1563" t="s">
        <v>3494</v>
      </c>
      <c r="K1563" t="s">
        <v>38</v>
      </c>
      <c r="L1563" t="s">
        <v>38</v>
      </c>
      <c r="M1563" t="s">
        <v>38</v>
      </c>
      <c r="N1563" t="s">
        <v>38</v>
      </c>
      <c r="O1563" t="s">
        <v>38</v>
      </c>
      <c r="T1563" t="s">
        <v>38</v>
      </c>
      <c r="U1563">
        <v>0</v>
      </c>
      <c r="W1563">
        <v>0</v>
      </c>
      <c r="X1563">
        <v>0</v>
      </c>
      <c r="Y1563">
        <v>0</v>
      </c>
      <c r="AE1563">
        <f t="shared" si="72"/>
        <v>1</v>
      </c>
      <c r="AF1563">
        <f>VLOOKUP(D1563,especies!$A$2:$C$9,3,FALSE)</f>
        <v>1</v>
      </c>
      <c r="AG1563" t="str">
        <f t="shared" si="73"/>
        <v>1-Mestizo</v>
      </c>
      <c r="AH1563">
        <f>VLOOKUP('Fichas clínicas'!AG1563,razas!$A$2:$D$66,3,FALSE)</f>
        <v>1</v>
      </c>
      <c r="AI1563" t="str">
        <f t="shared" si="74"/>
        <v>M</v>
      </c>
    </row>
    <row r="1564" spans="1:35" x14ac:dyDescent="0.2">
      <c r="A1564">
        <v>1566</v>
      </c>
      <c r="B1564" t="s">
        <v>503</v>
      </c>
      <c r="C1564" t="s">
        <v>3495</v>
      </c>
      <c r="D1564" t="s">
        <v>41</v>
      </c>
      <c r="E1564" t="s">
        <v>42</v>
      </c>
      <c r="F1564" t="s">
        <v>34</v>
      </c>
      <c r="G1564" t="s">
        <v>2801</v>
      </c>
      <c r="J1564" t="s">
        <v>3496</v>
      </c>
      <c r="K1564" t="s">
        <v>38</v>
      </c>
      <c r="L1564" t="s">
        <v>38</v>
      </c>
      <c r="M1564" t="s">
        <v>38</v>
      </c>
      <c r="N1564" t="s">
        <v>38</v>
      </c>
      <c r="O1564" t="s">
        <v>38</v>
      </c>
      <c r="Q1564">
        <v>1</v>
      </c>
      <c r="T1564" t="s">
        <v>38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f t="shared" si="72"/>
        <v>1</v>
      </c>
      <c r="AF1564">
        <f>VLOOKUP(D1564,especies!$A$2:$C$9,3,FALSE)</f>
        <v>2</v>
      </c>
      <c r="AG1564" t="str">
        <f t="shared" si="73"/>
        <v>2-DPC (Doméstico de pelo corto o DSH)</v>
      </c>
      <c r="AH1564">
        <f>VLOOKUP('Fichas clínicas'!AG1564,razas!$A$2:$D$66,3,FALSE)</f>
        <v>51</v>
      </c>
      <c r="AI1564" t="str">
        <f t="shared" si="74"/>
        <v>H</v>
      </c>
    </row>
    <row r="1565" spans="1:35" x14ac:dyDescent="0.2">
      <c r="A1565">
        <v>1567</v>
      </c>
      <c r="B1565" t="s">
        <v>3497</v>
      </c>
      <c r="C1565" t="s">
        <v>2523</v>
      </c>
      <c r="D1565" t="s">
        <v>32</v>
      </c>
      <c r="E1565" t="s">
        <v>206</v>
      </c>
      <c r="F1565" t="s">
        <v>34</v>
      </c>
      <c r="G1565" t="s">
        <v>300</v>
      </c>
      <c r="J1565" t="s">
        <v>3498</v>
      </c>
      <c r="K1565" t="s">
        <v>38</v>
      </c>
      <c r="L1565" t="s">
        <v>38</v>
      </c>
      <c r="M1565" t="s">
        <v>38</v>
      </c>
      <c r="N1565" t="s">
        <v>38</v>
      </c>
      <c r="O1565" t="s">
        <v>38</v>
      </c>
      <c r="Q1565">
        <v>0</v>
      </c>
      <c r="T1565" t="s">
        <v>38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f t="shared" si="72"/>
        <v>1</v>
      </c>
      <c r="AF1565">
        <f>VLOOKUP(D1565,especies!$A$2:$C$9,3,FALSE)</f>
        <v>1</v>
      </c>
      <c r="AG1565" t="str">
        <f t="shared" si="73"/>
        <v>1-Chow-Chow</v>
      </c>
      <c r="AH1565">
        <f>VLOOKUP('Fichas clínicas'!AG1565,razas!$A$2:$D$66,3,FALSE)</f>
        <v>9</v>
      </c>
      <c r="AI1565" t="str">
        <f t="shared" si="74"/>
        <v>H</v>
      </c>
    </row>
    <row r="1566" spans="1:35" x14ac:dyDescent="0.2">
      <c r="A1566">
        <v>1568</v>
      </c>
      <c r="B1566" t="s">
        <v>3499</v>
      </c>
      <c r="C1566" t="s">
        <v>3500</v>
      </c>
      <c r="D1566" t="s">
        <v>32</v>
      </c>
      <c r="E1566" t="s">
        <v>143</v>
      </c>
      <c r="F1566" t="s">
        <v>47</v>
      </c>
      <c r="G1566" t="s">
        <v>2745</v>
      </c>
      <c r="J1566" t="s">
        <v>3501</v>
      </c>
      <c r="K1566" t="s">
        <v>38</v>
      </c>
      <c r="L1566" t="s">
        <v>38</v>
      </c>
      <c r="M1566" t="s">
        <v>38</v>
      </c>
      <c r="N1566" t="s">
        <v>38</v>
      </c>
      <c r="O1566" t="s">
        <v>38</v>
      </c>
      <c r="Q1566">
        <v>0</v>
      </c>
      <c r="T1566" t="s">
        <v>38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f t="shared" si="72"/>
        <v>1</v>
      </c>
      <c r="AF1566">
        <f>VLOOKUP(D1566,especies!$A$2:$C$9,3,FALSE)</f>
        <v>1</v>
      </c>
      <c r="AG1566" t="str">
        <f t="shared" si="73"/>
        <v>1-Yorkshire Terrier</v>
      </c>
      <c r="AH1566">
        <f>VLOOKUP('Fichas clínicas'!AG1566,razas!$A$2:$D$66,3,FALSE)</f>
        <v>5</v>
      </c>
      <c r="AI1566" t="str">
        <f t="shared" si="74"/>
        <v>M</v>
      </c>
    </row>
    <row r="1567" spans="1:35" x14ac:dyDescent="0.2">
      <c r="A1567">
        <v>1569</v>
      </c>
      <c r="B1567" t="s">
        <v>3502</v>
      </c>
      <c r="C1567" t="s">
        <v>3503</v>
      </c>
      <c r="D1567" t="s">
        <v>32</v>
      </c>
      <c r="E1567" t="s">
        <v>33</v>
      </c>
      <c r="F1567" t="s">
        <v>47</v>
      </c>
      <c r="G1567" t="s">
        <v>220</v>
      </c>
      <c r="J1567" t="s">
        <v>55</v>
      </c>
      <c r="K1567" t="s">
        <v>38</v>
      </c>
      <c r="L1567" t="s">
        <v>38</v>
      </c>
      <c r="M1567" t="s">
        <v>38</v>
      </c>
      <c r="N1567" t="s">
        <v>38</v>
      </c>
      <c r="O1567" t="s">
        <v>38</v>
      </c>
      <c r="T1567" t="s">
        <v>38</v>
      </c>
      <c r="U1567">
        <v>0</v>
      </c>
      <c r="W1567">
        <v>0</v>
      </c>
      <c r="X1567">
        <v>0</v>
      </c>
      <c r="Y1567">
        <v>0</v>
      </c>
      <c r="AE1567">
        <f t="shared" si="72"/>
        <v>1</v>
      </c>
      <c r="AF1567">
        <f>VLOOKUP(D1567,especies!$A$2:$C$9,3,FALSE)</f>
        <v>1</v>
      </c>
      <c r="AG1567" t="str">
        <f t="shared" si="73"/>
        <v>1-Mestizo</v>
      </c>
      <c r="AH1567">
        <f>VLOOKUP('Fichas clínicas'!AG1567,razas!$A$2:$D$66,3,FALSE)</f>
        <v>1</v>
      </c>
      <c r="AI1567" t="str">
        <f t="shared" si="74"/>
        <v>M</v>
      </c>
    </row>
    <row r="1568" spans="1:35" x14ac:dyDescent="0.2">
      <c r="A1568">
        <v>1570</v>
      </c>
      <c r="B1568" t="s">
        <v>3504</v>
      </c>
      <c r="C1568" t="s">
        <v>3505</v>
      </c>
      <c r="D1568" t="s">
        <v>41</v>
      </c>
      <c r="E1568" t="s">
        <v>42</v>
      </c>
      <c r="F1568" t="s">
        <v>34</v>
      </c>
      <c r="G1568" t="s">
        <v>1225</v>
      </c>
      <c r="J1568" t="s">
        <v>119</v>
      </c>
      <c r="K1568" t="s">
        <v>38</v>
      </c>
      <c r="L1568" t="s">
        <v>38</v>
      </c>
      <c r="M1568" t="s">
        <v>38</v>
      </c>
      <c r="N1568" t="s">
        <v>38</v>
      </c>
      <c r="O1568" t="s">
        <v>38</v>
      </c>
      <c r="T1568" t="s">
        <v>38</v>
      </c>
      <c r="U1568">
        <v>0</v>
      </c>
      <c r="W1568">
        <v>0</v>
      </c>
      <c r="X1568">
        <v>0</v>
      </c>
      <c r="Y1568">
        <v>0</v>
      </c>
      <c r="AE1568">
        <f t="shared" si="72"/>
        <v>1</v>
      </c>
      <c r="AF1568">
        <f>VLOOKUP(D1568,especies!$A$2:$C$9,3,FALSE)</f>
        <v>2</v>
      </c>
      <c r="AG1568" t="str">
        <f t="shared" si="73"/>
        <v>2-DPC (Doméstico de pelo corto o DSH)</v>
      </c>
      <c r="AH1568">
        <f>VLOOKUP('Fichas clínicas'!AG1568,razas!$A$2:$D$66,3,FALSE)</f>
        <v>51</v>
      </c>
      <c r="AI1568" t="str">
        <f t="shared" si="74"/>
        <v>H</v>
      </c>
    </row>
    <row r="1569" spans="1:35" x14ac:dyDescent="0.2">
      <c r="A1569">
        <v>1571</v>
      </c>
      <c r="B1569" t="s">
        <v>1337</v>
      </c>
      <c r="C1569" t="s">
        <v>3506</v>
      </c>
      <c r="D1569" t="s">
        <v>32</v>
      </c>
      <c r="E1569" t="s">
        <v>508</v>
      </c>
      <c r="F1569" t="s">
        <v>47</v>
      </c>
      <c r="G1569" t="s">
        <v>740</v>
      </c>
      <c r="J1569" t="s">
        <v>3507</v>
      </c>
      <c r="K1569" t="s">
        <v>38</v>
      </c>
      <c r="L1569" t="s">
        <v>38</v>
      </c>
      <c r="M1569" t="s">
        <v>38</v>
      </c>
      <c r="N1569" t="s">
        <v>38</v>
      </c>
      <c r="O1569" t="s">
        <v>38</v>
      </c>
      <c r="T1569" t="s">
        <v>38</v>
      </c>
      <c r="U1569">
        <v>0</v>
      </c>
      <c r="W1569">
        <v>0</v>
      </c>
      <c r="X1569">
        <v>0</v>
      </c>
      <c r="Y1569">
        <v>0</v>
      </c>
      <c r="AE1569">
        <f t="shared" si="72"/>
        <v>1</v>
      </c>
      <c r="AF1569">
        <f>VLOOKUP(D1569,especies!$A$2:$C$9,3,FALSE)</f>
        <v>1</v>
      </c>
      <c r="AG1569" t="str">
        <f t="shared" si="73"/>
        <v>1-Akita Americano</v>
      </c>
      <c r="AH1569">
        <f>VLOOKUP('Fichas clínicas'!AG1569,razas!$A$2:$D$66,3,FALSE)</f>
        <v>15</v>
      </c>
      <c r="AI1569" t="str">
        <f t="shared" si="74"/>
        <v>M</v>
      </c>
    </row>
    <row r="1570" spans="1:35" x14ac:dyDescent="0.2">
      <c r="A1570">
        <v>1572</v>
      </c>
      <c r="B1570" t="s">
        <v>778</v>
      </c>
      <c r="C1570" t="s">
        <v>3508</v>
      </c>
      <c r="D1570" t="s">
        <v>32</v>
      </c>
      <c r="E1570" t="s">
        <v>33</v>
      </c>
      <c r="F1570" t="s">
        <v>34</v>
      </c>
      <c r="G1570" t="s">
        <v>2870</v>
      </c>
      <c r="J1570" t="s">
        <v>3509</v>
      </c>
      <c r="K1570" t="s">
        <v>38</v>
      </c>
      <c r="L1570" t="s">
        <v>38</v>
      </c>
      <c r="M1570" t="s">
        <v>38</v>
      </c>
      <c r="N1570" t="s">
        <v>38</v>
      </c>
      <c r="O1570" t="s">
        <v>38</v>
      </c>
      <c r="Q1570">
        <v>0</v>
      </c>
      <c r="T1570" t="s">
        <v>38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f t="shared" si="72"/>
        <v>1</v>
      </c>
      <c r="AF1570">
        <f>VLOOKUP(D1570,especies!$A$2:$C$9,3,FALSE)</f>
        <v>1</v>
      </c>
      <c r="AG1570" t="str">
        <f t="shared" si="73"/>
        <v>1-Mestizo</v>
      </c>
      <c r="AH1570">
        <f>VLOOKUP('Fichas clínicas'!AG1570,razas!$A$2:$D$66,3,FALSE)</f>
        <v>1</v>
      </c>
      <c r="AI1570" t="str">
        <f t="shared" si="74"/>
        <v>H</v>
      </c>
    </row>
    <row r="1571" spans="1:35" x14ac:dyDescent="0.2">
      <c r="A1571">
        <v>1573</v>
      </c>
      <c r="B1571" t="s">
        <v>3510</v>
      </c>
      <c r="C1571" t="s">
        <v>2144</v>
      </c>
      <c r="D1571" t="s">
        <v>32</v>
      </c>
      <c r="E1571" t="s">
        <v>33</v>
      </c>
      <c r="F1571" t="s">
        <v>47</v>
      </c>
      <c r="G1571" t="s">
        <v>2878</v>
      </c>
      <c r="J1571" t="s">
        <v>3511</v>
      </c>
      <c r="K1571" t="s">
        <v>38</v>
      </c>
      <c r="L1571" t="s">
        <v>38</v>
      </c>
      <c r="M1571" t="s">
        <v>38</v>
      </c>
      <c r="N1571" t="s">
        <v>38</v>
      </c>
      <c r="O1571" t="s">
        <v>38</v>
      </c>
      <c r="T1571" t="s">
        <v>38</v>
      </c>
      <c r="U1571">
        <v>0</v>
      </c>
      <c r="W1571">
        <v>0</v>
      </c>
      <c r="X1571">
        <v>0</v>
      </c>
      <c r="Y1571">
        <v>0</v>
      </c>
      <c r="AE1571">
        <f t="shared" si="72"/>
        <v>1</v>
      </c>
      <c r="AF1571">
        <f>VLOOKUP(D1571,especies!$A$2:$C$9,3,FALSE)</f>
        <v>1</v>
      </c>
      <c r="AG1571" t="str">
        <f t="shared" si="73"/>
        <v>1-Mestizo</v>
      </c>
      <c r="AH1571">
        <f>VLOOKUP('Fichas clínicas'!AG1571,razas!$A$2:$D$66,3,FALSE)</f>
        <v>1</v>
      </c>
      <c r="AI1571" t="str">
        <f t="shared" si="74"/>
        <v>M</v>
      </c>
    </row>
    <row r="1572" spans="1:35" x14ac:dyDescent="0.2">
      <c r="A1572">
        <v>1574</v>
      </c>
      <c r="B1572" t="s">
        <v>3512</v>
      </c>
      <c r="C1572" t="s">
        <v>1773</v>
      </c>
      <c r="D1572" t="s">
        <v>32</v>
      </c>
      <c r="E1572" t="s">
        <v>33</v>
      </c>
      <c r="F1572" t="s">
        <v>34</v>
      </c>
      <c r="G1572" t="s">
        <v>2878</v>
      </c>
      <c r="J1572" t="s">
        <v>3513</v>
      </c>
      <c r="K1572" t="s">
        <v>38</v>
      </c>
      <c r="L1572" t="s">
        <v>38</v>
      </c>
      <c r="M1572" t="s">
        <v>38</v>
      </c>
      <c r="N1572" t="s">
        <v>38</v>
      </c>
      <c r="O1572" t="s">
        <v>38</v>
      </c>
      <c r="T1572" t="s">
        <v>38</v>
      </c>
      <c r="U1572">
        <v>0</v>
      </c>
      <c r="W1572">
        <v>0</v>
      </c>
      <c r="X1572">
        <v>0</v>
      </c>
      <c r="Y1572">
        <v>0</v>
      </c>
      <c r="AE1572">
        <f t="shared" si="72"/>
        <v>1</v>
      </c>
      <c r="AF1572">
        <f>VLOOKUP(D1572,especies!$A$2:$C$9,3,FALSE)</f>
        <v>1</v>
      </c>
      <c r="AG1572" t="str">
        <f t="shared" si="73"/>
        <v>1-Mestizo</v>
      </c>
      <c r="AH1572">
        <f>VLOOKUP('Fichas clínicas'!AG1572,razas!$A$2:$D$66,3,FALSE)</f>
        <v>1</v>
      </c>
      <c r="AI1572" t="str">
        <f t="shared" si="74"/>
        <v>H</v>
      </c>
    </row>
    <row r="1573" spans="1:35" x14ac:dyDescent="0.2">
      <c r="A1573">
        <v>1575</v>
      </c>
      <c r="B1573" t="s">
        <v>3514</v>
      </c>
      <c r="C1573" t="s">
        <v>3515</v>
      </c>
      <c r="D1573" t="s">
        <v>32</v>
      </c>
      <c r="E1573" t="s">
        <v>150</v>
      </c>
      <c r="F1573" t="s">
        <v>47</v>
      </c>
      <c r="G1573" t="s">
        <v>102</v>
      </c>
      <c r="J1573" t="s">
        <v>3516</v>
      </c>
      <c r="K1573" t="s">
        <v>38</v>
      </c>
      <c r="L1573" t="s">
        <v>38</v>
      </c>
      <c r="M1573" t="s">
        <v>38</v>
      </c>
      <c r="N1573" t="s">
        <v>38</v>
      </c>
      <c r="O1573" t="s">
        <v>38</v>
      </c>
      <c r="T1573" t="s">
        <v>38</v>
      </c>
      <c r="U1573">
        <v>0</v>
      </c>
      <c r="W1573">
        <v>0</v>
      </c>
      <c r="X1573">
        <v>0</v>
      </c>
      <c r="Y1573">
        <v>0</v>
      </c>
      <c r="AE1573">
        <f t="shared" si="72"/>
        <v>1</v>
      </c>
      <c r="AF1573">
        <f>VLOOKUP(D1573,especies!$A$2:$C$9,3,FALSE)</f>
        <v>1</v>
      </c>
      <c r="AG1573" t="str">
        <f t="shared" si="73"/>
        <v>1-Poodle</v>
      </c>
      <c r="AH1573">
        <f>VLOOKUP('Fichas clínicas'!AG1573,razas!$A$2:$D$66,3,FALSE)</f>
        <v>6</v>
      </c>
      <c r="AI1573" t="str">
        <f t="shared" si="74"/>
        <v>M</v>
      </c>
    </row>
    <row r="1574" spans="1:35" x14ac:dyDescent="0.2">
      <c r="A1574">
        <v>1576</v>
      </c>
      <c r="B1574" t="s">
        <v>3517</v>
      </c>
      <c r="C1574" t="s">
        <v>2642</v>
      </c>
      <c r="D1574" t="s">
        <v>32</v>
      </c>
      <c r="E1574" t="s">
        <v>994</v>
      </c>
      <c r="F1574" t="s">
        <v>47</v>
      </c>
      <c r="G1574" t="s">
        <v>351</v>
      </c>
      <c r="J1574" t="s">
        <v>2224</v>
      </c>
      <c r="K1574" t="s">
        <v>38</v>
      </c>
      <c r="L1574" t="s">
        <v>38</v>
      </c>
      <c r="M1574" t="s">
        <v>38</v>
      </c>
      <c r="N1574" t="s">
        <v>38</v>
      </c>
      <c r="O1574" t="s">
        <v>38</v>
      </c>
      <c r="T1574" t="s">
        <v>38</v>
      </c>
      <c r="U1574">
        <v>0</v>
      </c>
      <c r="W1574">
        <v>0</v>
      </c>
      <c r="X1574">
        <v>0</v>
      </c>
      <c r="Y1574">
        <v>0</v>
      </c>
      <c r="AE1574">
        <f t="shared" si="72"/>
        <v>1</v>
      </c>
      <c r="AF1574">
        <f>VLOOKUP(D1574,especies!$A$2:$C$9,3,FALSE)</f>
        <v>1</v>
      </c>
      <c r="AG1574" t="str">
        <f t="shared" si="73"/>
        <v>1-Bulldog Francés</v>
      </c>
      <c r="AH1574">
        <f>VLOOKUP('Fichas clínicas'!AG1574,razas!$A$2:$D$66,3,FALSE)</f>
        <v>26</v>
      </c>
      <c r="AI1574" t="str">
        <f t="shared" si="74"/>
        <v>M</v>
      </c>
    </row>
    <row r="1575" spans="1:35" x14ac:dyDescent="0.2">
      <c r="A1575">
        <v>1577</v>
      </c>
      <c r="B1575" t="s">
        <v>392</v>
      </c>
      <c r="C1575" t="s">
        <v>3518</v>
      </c>
      <c r="D1575" t="s">
        <v>32</v>
      </c>
      <c r="E1575" t="s">
        <v>122</v>
      </c>
      <c r="F1575" t="s">
        <v>34</v>
      </c>
      <c r="G1575" t="s">
        <v>123</v>
      </c>
      <c r="J1575" t="s">
        <v>841</v>
      </c>
      <c r="K1575" t="s">
        <v>38</v>
      </c>
      <c r="L1575" t="s">
        <v>38</v>
      </c>
      <c r="M1575" t="s">
        <v>38</v>
      </c>
      <c r="N1575" t="s">
        <v>38</v>
      </c>
      <c r="O1575" t="s">
        <v>38</v>
      </c>
      <c r="Q1575">
        <v>0</v>
      </c>
      <c r="T1575" t="s">
        <v>38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f t="shared" si="72"/>
        <v>1</v>
      </c>
      <c r="AF1575">
        <f>VLOOKUP(D1575,especies!$A$2:$C$9,3,FALSE)</f>
        <v>1</v>
      </c>
      <c r="AG1575" t="str">
        <f t="shared" si="73"/>
        <v>1-Caniche</v>
      </c>
      <c r="AH1575">
        <f>VLOOKUP('Fichas clínicas'!AG1575,razas!$A$2:$D$66,3,FALSE)</f>
        <v>4</v>
      </c>
      <c r="AI1575" t="str">
        <f t="shared" si="74"/>
        <v>H</v>
      </c>
    </row>
    <row r="1576" spans="1:35" x14ac:dyDescent="0.2">
      <c r="A1576">
        <v>1578</v>
      </c>
      <c r="B1576" t="s">
        <v>3510</v>
      </c>
      <c r="C1576" t="s">
        <v>3519</v>
      </c>
      <c r="D1576" t="s">
        <v>32</v>
      </c>
      <c r="E1576" t="s">
        <v>33</v>
      </c>
      <c r="F1576" t="s">
        <v>47</v>
      </c>
      <c r="G1576" t="s">
        <v>300</v>
      </c>
      <c r="J1576" t="s">
        <v>3520</v>
      </c>
      <c r="K1576" t="s">
        <v>38</v>
      </c>
      <c r="L1576" t="s">
        <v>38</v>
      </c>
      <c r="M1576" t="s">
        <v>38</v>
      </c>
      <c r="N1576" t="s">
        <v>38</v>
      </c>
      <c r="O1576" t="s">
        <v>38</v>
      </c>
      <c r="T1576" t="s">
        <v>38</v>
      </c>
      <c r="U1576">
        <v>0</v>
      </c>
      <c r="W1576">
        <v>0</v>
      </c>
      <c r="X1576">
        <v>0</v>
      </c>
      <c r="Y1576">
        <v>0</v>
      </c>
      <c r="AE1576">
        <f t="shared" si="72"/>
        <v>1</v>
      </c>
      <c r="AF1576">
        <f>VLOOKUP(D1576,especies!$A$2:$C$9,3,FALSE)</f>
        <v>1</v>
      </c>
      <c r="AG1576" t="str">
        <f t="shared" si="73"/>
        <v>1-Mestizo</v>
      </c>
      <c r="AH1576">
        <f>VLOOKUP('Fichas clínicas'!AG1576,razas!$A$2:$D$66,3,FALSE)</f>
        <v>1</v>
      </c>
      <c r="AI1576" t="str">
        <f t="shared" si="74"/>
        <v>M</v>
      </c>
    </row>
    <row r="1577" spans="1:35" x14ac:dyDescent="0.2">
      <c r="A1577">
        <v>1579</v>
      </c>
      <c r="B1577" t="s">
        <v>3521</v>
      </c>
      <c r="C1577" t="s">
        <v>3522</v>
      </c>
      <c r="D1577" t="s">
        <v>41</v>
      </c>
      <c r="E1577" t="s">
        <v>42</v>
      </c>
      <c r="F1577" t="s">
        <v>47</v>
      </c>
      <c r="G1577" t="s">
        <v>2763</v>
      </c>
      <c r="J1577" t="s">
        <v>145</v>
      </c>
      <c r="K1577" t="s">
        <v>38</v>
      </c>
      <c r="L1577" t="s">
        <v>38</v>
      </c>
      <c r="M1577" t="s">
        <v>38</v>
      </c>
      <c r="N1577" t="s">
        <v>38</v>
      </c>
      <c r="O1577" t="s">
        <v>38</v>
      </c>
      <c r="T1577" t="s">
        <v>38</v>
      </c>
      <c r="U1577">
        <v>0</v>
      </c>
      <c r="W1577">
        <v>0</v>
      </c>
      <c r="X1577">
        <v>0</v>
      </c>
      <c r="Y1577">
        <v>0</v>
      </c>
      <c r="AE1577">
        <f t="shared" si="72"/>
        <v>1</v>
      </c>
      <c r="AF1577">
        <f>VLOOKUP(D1577,especies!$A$2:$C$9,3,FALSE)</f>
        <v>2</v>
      </c>
      <c r="AG1577" t="str">
        <f t="shared" si="73"/>
        <v>2-DPC (Doméstico de pelo corto o DSH)</v>
      </c>
      <c r="AH1577">
        <f>VLOOKUP('Fichas clínicas'!AG1577,razas!$A$2:$D$66,3,FALSE)</f>
        <v>51</v>
      </c>
      <c r="AI1577" t="str">
        <f t="shared" si="74"/>
        <v>M</v>
      </c>
    </row>
    <row r="1578" spans="1:35" x14ac:dyDescent="0.2">
      <c r="A1578">
        <v>1580</v>
      </c>
      <c r="B1578" t="s">
        <v>3523</v>
      </c>
      <c r="C1578" t="s">
        <v>3524</v>
      </c>
      <c r="D1578" t="s">
        <v>41</v>
      </c>
      <c r="E1578" t="s">
        <v>42</v>
      </c>
      <c r="F1578" t="s">
        <v>47</v>
      </c>
      <c r="G1578" t="s">
        <v>2851</v>
      </c>
      <c r="J1578" t="s">
        <v>2656</v>
      </c>
      <c r="K1578" t="s">
        <v>38</v>
      </c>
      <c r="L1578" t="s">
        <v>38</v>
      </c>
      <c r="M1578" t="s">
        <v>38</v>
      </c>
      <c r="N1578" t="s">
        <v>38</v>
      </c>
      <c r="O1578" t="s">
        <v>38</v>
      </c>
      <c r="T1578" t="s">
        <v>38</v>
      </c>
      <c r="U1578">
        <v>0</v>
      </c>
      <c r="W1578">
        <v>0</v>
      </c>
      <c r="X1578">
        <v>0</v>
      </c>
      <c r="Y1578">
        <v>0</v>
      </c>
      <c r="AE1578">
        <f t="shared" si="72"/>
        <v>1</v>
      </c>
      <c r="AF1578">
        <f>VLOOKUP(D1578,especies!$A$2:$C$9,3,FALSE)</f>
        <v>2</v>
      </c>
      <c r="AG1578" t="str">
        <f t="shared" si="73"/>
        <v>2-DPC (Doméstico de pelo corto o DSH)</v>
      </c>
      <c r="AH1578">
        <f>VLOOKUP('Fichas clínicas'!AG1578,razas!$A$2:$D$66,3,FALSE)</f>
        <v>51</v>
      </c>
      <c r="AI1578" t="str">
        <f t="shared" si="74"/>
        <v>M</v>
      </c>
    </row>
    <row r="1579" spans="1:35" x14ac:dyDescent="0.2">
      <c r="A1579">
        <v>1581</v>
      </c>
      <c r="B1579" t="s">
        <v>3525</v>
      </c>
      <c r="C1579" t="s">
        <v>3526</v>
      </c>
      <c r="D1579" t="s">
        <v>41</v>
      </c>
      <c r="E1579" t="s">
        <v>42</v>
      </c>
      <c r="F1579" t="s">
        <v>47</v>
      </c>
      <c r="G1579" t="s">
        <v>2801</v>
      </c>
      <c r="J1579" t="s">
        <v>3527</v>
      </c>
      <c r="K1579" t="s">
        <v>38</v>
      </c>
      <c r="L1579" t="s">
        <v>38</v>
      </c>
      <c r="M1579" t="s">
        <v>38</v>
      </c>
      <c r="N1579" t="s">
        <v>38</v>
      </c>
      <c r="O1579" t="s">
        <v>38</v>
      </c>
      <c r="T1579" t="s">
        <v>38</v>
      </c>
      <c r="U1579">
        <v>0</v>
      </c>
      <c r="W1579">
        <v>0</v>
      </c>
      <c r="X1579">
        <v>0</v>
      </c>
      <c r="Y1579">
        <v>0</v>
      </c>
      <c r="AE1579">
        <f t="shared" si="72"/>
        <v>1</v>
      </c>
      <c r="AF1579">
        <f>VLOOKUP(D1579,especies!$A$2:$C$9,3,FALSE)</f>
        <v>2</v>
      </c>
      <c r="AG1579" t="str">
        <f t="shared" si="73"/>
        <v>2-DPC (Doméstico de pelo corto o DSH)</v>
      </c>
      <c r="AH1579">
        <f>VLOOKUP('Fichas clínicas'!AG1579,razas!$A$2:$D$66,3,FALSE)</f>
        <v>51</v>
      </c>
      <c r="AI1579" t="str">
        <f t="shared" si="74"/>
        <v>M</v>
      </c>
    </row>
    <row r="1580" spans="1:35" x14ac:dyDescent="0.2">
      <c r="A1580">
        <v>1582</v>
      </c>
      <c r="B1580" t="s">
        <v>3525</v>
      </c>
      <c r="C1580" t="s">
        <v>2167</v>
      </c>
      <c r="D1580" t="s">
        <v>41</v>
      </c>
      <c r="E1580" t="s">
        <v>42</v>
      </c>
      <c r="F1580" t="s">
        <v>47</v>
      </c>
      <c r="G1580" t="s">
        <v>1862</v>
      </c>
      <c r="J1580" t="s">
        <v>3527</v>
      </c>
      <c r="K1580" t="s">
        <v>38</v>
      </c>
      <c r="L1580" t="s">
        <v>38</v>
      </c>
      <c r="M1580" t="s">
        <v>38</v>
      </c>
      <c r="N1580" t="s">
        <v>38</v>
      </c>
      <c r="O1580" t="s">
        <v>38</v>
      </c>
      <c r="T1580" t="s">
        <v>38</v>
      </c>
      <c r="U1580">
        <v>0</v>
      </c>
      <c r="W1580">
        <v>0</v>
      </c>
      <c r="X1580">
        <v>0</v>
      </c>
      <c r="Y1580">
        <v>0</v>
      </c>
      <c r="AE1580">
        <f t="shared" si="72"/>
        <v>1</v>
      </c>
      <c r="AF1580">
        <f>VLOOKUP(D1580,especies!$A$2:$C$9,3,FALSE)</f>
        <v>2</v>
      </c>
      <c r="AG1580" t="str">
        <f t="shared" si="73"/>
        <v>2-DPC (Doméstico de pelo corto o DSH)</v>
      </c>
      <c r="AH1580">
        <f>VLOOKUP('Fichas clínicas'!AG1580,razas!$A$2:$D$66,3,FALSE)</f>
        <v>51</v>
      </c>
      <c r="AI1580" t="str">
        <f t="shared" si="74"/>
        <v>M</v>
      </c>
    </row>
    <row r="1581" spans="1:35" x14ac:dyDescent="0.2">
      <c r="A1581">
        <v>1583</v>
      </c>
      <c r="B1581" t="s">
        <v>3528</v>
      </c>
      <c r="C1581" t="s">
        <v>3529</v>
      </c>
      <c r="D1581" t="s">
        <v>41</v>
      </c>
      <c r="E1581" t="s">
        <v>42</v>
      </c>
      <c r="F1581" t="s">
        <v>47</v>
      </c>
      <c r="G1581" t="s">
        <v>2812</v>
      </c>
      <c r="J1581" t="s">
        <v>2903</v>
      </c>
      <c r="K1581" t="s">
        <v>38</v>
      </c>
      <c r="L1581" t="s">
        <v>38</v>
      </c>
      <c r="M1581" t="s">
        <v>38</v>
      </c>
      <c r="N1581" t="s">
        <v>38</v>
      </c>
      <c r="O1581" t="s">
        <v>38</v>
      </c>
      <c r="Q1581">
        <v>0</v>
      </c>
      <c r="T1581" t="s">
        <v>38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f t="shared" si="72"/>
        <v>1</v>
      </c>
      <c r="AF1581">
        <f>VLOOKUP(D1581,especies!$A$2:$C$9,3,FALSE)</f>
        <v>2</v>
      </c>
      <c r="AG1581" t="str">
        <f t="shared" si="73"/>
        <v>2-DPC (Doméstico de pelo corto o DSH)</v>
      </c>
      <c r="AH1581">
        <f>VLOOKUP('Fichas clínicas'!AG1581,razas!$A$2:$D$66,3,FALSE)</f>
        <v>51</v>
      </c>
      <c r="AI1581" t="str">
        <f t="shared" si="74"/>
        <v>M</v>
      </c>
    </row>
    <row r="1582" spans="1:35" x14ac:dyDescent="0.2">
      <c r="A1582">
        <v>1584</v>
      </c>
      <c r="B1582" t="s">
        <v>3530</v>
      </c>
      <c r="C1582" t="s">
        <v>3531</v>
      </c>
      <c r="D1582" t="s">
        <v>32</v>
      </c>
      <c r="E1582" t="s">
        <v>458</v>
      </c>
      <c r="F1582" t="s">
        <v>47</v>
      </c>
      <c r="G1582" t="s">
        <v>3002</v>
      </c>
      <c r="J1582" t="s">
        <v>3532</v>
      </c>
      <c r="K1582" t="s">
        <v>38</v>
      </c>
      <c r="L1582" t="s">
        <v>38</v>
      </c>
      <c r="M1582" t="s">
        <v>38</v>
      </c>
      <c r="N1582" t="s">
        <v>38</v>
      </c>
      <c r="O1582" t="s">
        <v>38</v>
      </c>
      <c r="T1582" t="s">
        <v>38</v>
      </c>
      <c r="U1582">
        <v>0</v>
      </c>
      <c r="W1582">
        <v>0</v>
      </c>
      <c r="X1582">
        <v>0</v>
      </c>
      <c r="Y1582">
        <v>0</v>
      </c>
      <c r="AE1582">
        <f t="shared" si="72"/>
        <v>1</v>
      </c>
      <c r="AF1582">
        <f>VLOOKUP(D1582,especies!$A$2:$C$9,3,FALSE)</f>
        <v>1</v>
      </c>
      <c r="AG1582" t="str">
        <f t="shared" si="73"/>
        <v>1-Beagle</v>
      </c>
      <c r="AH1582">
        <f>VLOOKUP('Fichas clínicas'!AG1582,razas!$A$2:$D$66,3,FALSE)</f>
        <v>13</v>
      </c>
      <c r="AI1582" t="str">
        <f t="shared" si="74"/>
        <v>M</v>
      </c>
    </row>
    <row r="1583" spans="1:35" x14ac:dyDescent="0.2">
      <c r="A1583">
        <v>1585</v>
      </c>
      <c r="B1583" t="s">
        <v>3533</v>
      </c>
      <c r="C1583" t="s">
        <v>3534</v>
      </c>
      <c r="D1583" t="s">
        <v>32</v>
      </c>
      <c r="E1583" t="s">
        <v>33</v>
      </c>
      <c r="F1583" t="s">
        <v>47</v>
      </c>
      <c r="G1583" t="s">
        <v>2851</v>
      </c>
      <c r="J1583" t="s">
        <v>955</v>
      </c>
      <c r="K1583" t="s">
        <v>38</v>
      </c>
      <c r="L1583" t="s">
        <v>38</v>
      </c>
      <c r="M1583" t="s">
        <v>38</v>
      </c>
      <c r="N1583" t="s">
        <v>38</v>
      </c>
      <c r="O1583" t="s">
        <v>38</v>
      </c>
      <c r="T1583" t="s">
        <v>38</v>
      </c>
      <c r="U1583">
        <v>0</v>
      </c>
      <c r="V1583">
        <v>1</v>
      </c>
      <c r="W1583">
        <v>0</v>
      </c>
      <c r="X1583">
        <v>0</v>
      </c>
      <c r="Y1583">
        <v>0</v>
      </c>
      <c r="AE1583">
        <f t="shared" si="72"/>
        <v>1</v>
      </c>
      <c r="AF1583">
        <f>VLOOKUP(D1583,especies!$A$2:$C$9,3,FALSE)</f>
        <v>1</v>
      </c>
      <c r="AG1583" t="str">
        <f t="shared" si="73"/>
        <v>1-Mestizo</v>
      </c>
      <c r="AH1583">
        <f>VLOOKUP('Fichas clínicas'!AG1583,razas!$A$2:$D$66,3,FALSE)</f>
        <v>1</v>
      </c>
      <c r="AI1583" t="str">
        <f t="shared" si="74"/>
        <v>M</v>
      </c>
    </row>
    <row r="1584" spans="1:35" x14ac:dyDescent="0.2">
      <c r="A1584">
        <v>1586</v>
      </c>
      <c r="B1584" t="s">
        <v>3535</v>
      </c>
      <c r="C1584" t="s">
        <v>3536</v>
      </c>
      <c r="D1584" t="s">
        <v>32</v>
      </c>
      <c r="E1584" t="s">
        <v>150</v>
      </c>
      <c r="F1584" t="s">
        <v>47</v>
      </c>
      <c r="G1584" t="s">
        <v>2174</v>
      </c>
      <c r="J1584" t="s">
        <v>3516</v>
      </c>
      <c r="K1584" t="s">
        <v>38</v>
      </c>
      <c r="L1584" t="s">
        <v>38</v>
      </c>
      <c r="M1584" t="s">
        <v>38</v>
      </c>
      <c r="N1584" t="s">
        <v>38</v>
      </c>
      <c r="O1584" t="s">
        <v>38</v>
      </c>
      <c r="T1584" t="s">
        <v>38</v>
      </c>
      <c r="U1584">
        <v>0</v>
      </c>
      <c r="W1584">
        <v>0</v>
      </c>
      <c r="X1584">
        <v>0</v>
      </c>
      <c r="Y1584">
        <v>0</v>
      </c>
      <c r="AE1584">
        <f t="shared" si="72"/>
        <v>1</v>
      </c>
      <c r="AF1584">
        <f>VLOOKUP(D1584,especies!$A$2:$C$9,3,FALSE)</f>
        <v>1</v>
      </c>
      <c r="AG1584" t="str">
        <f t="shared" si="73"/>
        <v>1-Poodle</v>
      </c>
      <c r="AH1584">
        <f>VLOOKUP('Fichas clínicas'!AG1584,razas!$A$2:$D$66,3,FALSE)</f>
        <v>6</v>
      </c>
      <c r="AI1584" t="str">
        <f t="shared" si="74"/>
        <v>M</v>
      </c>
    </row>
    <row r="1585" spans="1:35" x14ac:dyDescent="0.2">
      <c r="A1585">
        <v>1587</v>
      </c>
      <c r="B1585" t="s">
        <v>3535</v>
      </c>
      <c r="C1585" t="s">
        <v>1584</v>
      </c>
      <c r="D1585" t="s">
        <v>32</v>
      </c>
      <c r="E1585" t="s">
        <v>150</v>
      </c>
      <c r="F1585" t="s">
        <v>47</v>
      </c>
      <c r="G1585" t="s">
        <v>3537</v>
      </c>
      <c r="J1585" t="s">
        <v>3516</v>
      </c>
      <c r="K1585" t="s">
        <v>38</v>
      </c>
      <c r="L1585" t="s">
        <v>38</v>
      </c>
      <c r="M1585" t="s">
        <v>38</v>
      </c>
      <c r="N1585" t="s">
        <v>38</v>
      </c>
      <c r="O1585" t="s">
        <v>38</v>
      </c>
      <c r="T1585" t="s">
        <v>38</v>
      </c>
      <c r="U1585">
        <v>0</v>
      </c>
      <c r="W1585">
        <v>0</v>
      </c>
      <c r="X1585">
        <v>0</v>
      </c>
      <c r="Y1585">
        <v>0</v>
      </c>
      <c r="AE1585">
        <f t="shared" si="72"/>
        <v>1</v>
      </c>
      <c r="AF1585">
        <f>VLOOKUP(D1585,especies!$A$2:$C$9,3,FALSE)</f>
        <v>1</v>
      </c>
      <c r="AG1585" t="str">
        <f t="shared" si="73"/>
        <v>1-Poodle</v>
      </c>
      <c r="AH1585">
        <f>VLOOKUP('Fichas clínicas'!AG1585,razas!$A$2:$D$66,3,FALSE)</f>
        <v>6</v>
      </c>
      <c r="AI1585" t="str">
        <f t="shared" si="74"/>
        <v>M</v>
      </c>
    </row>
    <row r="1586" spans="1:35" x14ac:dyDescent="0.2">
      <c r="A1586">
        <v>1588</v>
      </c>
      <c r="B1586" t="s">
        <v>3535</v>
      </c>
      <c r="C1586" t="s">
        <v>1773</v>
      </c>
      <c r="D1586" t="s">
        <v>32</v>
      </c>
      <c r="E1586" t="s">
        <v>150</v>
      </c>
      <c r="F1586" t="s">
        <v>34</v>
      </c>
      <c r="G1586" t="s">
        <v>3537</v>
      </c>
      <c r="J1586" t="s">
        <v>3516</v>
      </c>
      <c r="K1586" t="s">
        <v>38</v>
      </c>
      <c r="L1586" t="s">
        <v>38</v>
      </c>
      <c r="M1586" t="s">
        <v>38</v>
      </c>
      <c r="N1586" t="s">
        <v>38</v>
      </c>
      <c r="O1586" t="s">
        <v>38</v>
      </c>
      <c r="T1586" t="s">
        <v>38</v>
      </c>
      <c r="U1586">
        <v>0</v>
      </c>
      <c r="W1586">
        <v>0</v>
      </c>
      <c r="X1586">
        <v>0</v>
      </c>
      <c r="Y1586">
        <v>0</v>
      </c>
      <c r="AE1586">
        <f t="shared" si="72"/>
        <v>1</v>
      </c>
      <c r="AF1586">
        <f>VLOOKUP(D1586,especies!$A$2:$C$9,3,FALSE)</f>
        <v>1</v>
      </c>
      <c r="AG1586" t="str">
        <f t="shared" si="73"/>
        <v>1-Poodle</v>
      </c>
      <c r="AH1586">
        <f>VLOOKUP('Fichas clínicas'!AG1586,razas!$A$2:$D$66,3,FALSE)</f>
        <v>6</v>
      </c>
      <c r="AI1586" t="str">
        <f t="shared" si="74"/>
        <v>H</v>
      </c>
    </row>
    <row r="1587" spans="1:35" x14ac:dyDescent="0.2">
      <c r="A1587">
        <v>1589</v>
      </c>
      <c r="B1587" t="s">
        <v>3535</v>
      </c>
      <c r="C1587" t="s">
        <v>3538</v>
      </c>
      <c r="D1587" t="s">
        <v>32</v>
      </c>
      <c r="E1587" t="s">
        <v>150</v>
      </c>
      <c r="F1587" t="s">
        <v>34</v>
      </c>
      <c r="G1587" t="s">
        <v>3539</v>
      </c>
      <c r="J1587" t="s">
        <v>3516</v>
      </c>
      <c r="K1587" t="s">
        <v>38</v>
      </c>
      <c r="L1587" t="s">
        <v>38</v>
      </c>
      <c r="M1587" t="s">
        <v>38</v>
      </c>
      <c r="N1587" t="s">
        <v>38</v>
      </c>
      <c r="O1587" t="s">
        <v>38</v>
      </c>
      <c r="T1587" t="s">
        <v>38</v>
      </c>
      <c r="U1587">
        <v>0</v>
      </c>
      <c r="W1587">
        <v>0</v>
      </c>
      <c r="X1587">
        <v>0</v>
      </c>
      <c r="Y1587">
        <v>0</v>
      </c>
      <c r="AE1587">
        <f t="shared" si="72"/>
        <v>1</v>
      </c>
      <c r="AF1587">
        <f>VLOOKUP(D1587,especies!$A$2:$C$9,3,FALSE)</f>
        <v>1</v>
      </c>
      <c r="AG1587" t="str">
        <f t="shared" si="73"/>
        <v>1-Poodle</v>
      </c>
      <c r="AH1587">
        <f>VLOOKUP('Fichas clínicas'!AG1587,razas!$A$2:$D$66,3,FALSE)</f>
        <v>6</v>
      </c>
      <c r="AI1587" t="str">
        <f t="shared" si="74"/>
        <v>H</v>
      </c>
    </row>
    <row r="1588" spans="1:35" x14ac:dyDescent="0.2">
      <c r="A1588">
        <v>1590</v>
      </c>
      <c r="B1588" t="s">
        <v>3535</v>
      </c>
      <c r="C1588" t="s">
        <v>3540</v>
      </c>
      <c r="D1588" t="s">
        <v>32</v>
      </c>
      <c r="E1588" t="s">
        <v>150</v>
      </c>
      <c r="F1588" t="s">
        <v>34</v>
      </c>
      <c r="G1588" t="s">
        <v>2174</v>
      </c>
      <c r="J1588" t="s">
        <v>3516</v>
      </c>
      <c r="K1588" t="s">
        <v>38</v>
      </c>
      <c r="L1588" t="s">
        <v>38</v>
      </c>
      <c r="M1588" t="s">
        <v>38</v>
      </c>
      <c r="N1588" t="s">
        <v>38</v>
      </c>
      <c r="O1588" t="s">
        <v>38</v>
      </c>
      <c r="T1588" t="s">
        <v>38</v>
      </c>
      <c r="U1588">
        <v>0</v>
      </c>
      <c r="W1588">
        <v>0</v>
      </c>
      <c r="X1588">
        <v>0</v>
      </c>
      <c r="Y1588">
        <v>0</v>
      </c>
      <c r="AE1588">
        <f t="shared" si="72"/>
        <v>1</v>
      </c>
      <c r="AF1588">
        <f>VLOOKUP(D1588,especies!$A$2:$C$9,3,FALSE)</f>
        <v>1</v>
      </c>
      <c r="AG1588" t="str">
        <f t="shared" si="73"/>
        <v>1-Poodle</v>
      </c>
      <c r="AH1588">
        <f>VLOOKUP('Fichas clínicas'!AG1588,razas!$A$2:$D$66,3,FALSE)</f>
        <v>6</v>
      </c>
      <c r="AI1588" t="str">
        <f t="shared" si="74"/>
        <v>H</v>
      </c>
    </row>
    <row r="1589" spans="1:35" x14ac:dyDescent="0.2">
      <c r="A1589">
        <v>1591</v>
      </c>
      <c r="B1589" t="s">
        <v>3541</v>
      </c>
      <c r="C1589" t="s">
        <v>1523</v>
      </c>
      <c r="D1589" t="s">
        <v>41</v>
      </c>
      <c r="E1589" t="s">
        <v>42</v>
      </c>
      <c r="F1589" t="s">
        <v>34</v>
      </c>
      <c r="G1589" t="s">
        <v>825</v>
      </c>
      <c r="J1589" t="s">
        <v>2537</v>
      </c>
      <c r="K1589" t="s">
        <v>38</v>
      </c>
      <c r="L1589" t="s">
        <v>38</v>
      </c>
      <c r="M1589" t="s">
        <v>38</v>
      </c>
      <c r="N1589" t="s">
        <v>38</v>
      </c>
      <c r="O1589" t="s">
        <v>38</v>
      </c>
      <c r="T1589" t="s">
        <v>38</v>
      </c>
      <c r="U1589">
        <v>0</v>
      </c>
      <c r="V1589">
        <v>1</v>
      </c>
      <c r="W1589">
        <v>0</v>
      </c>
      <c r="X1589">
        <v>0</v>
      </c>
      <c r="Y1589">
        <v>0</v>
      </c>
      <c r="AE1589">
        <f t="shared" si="72"/>
        <v>1</v>
      </c>
      <c r="AF1589">
        <f>VLOOKUP(D1589,especies!$A$2:$C$9,3,FALSE)</f>
        <v>2</v>
      </c>
      <c r="AG1589" t="str">
        <f t="shared" si="73"/>
        <v>2-DPC (Doméstico de pelo corto o DSH)</v>
      </c>
      <c r="AH1589">
        <f>VLOOKUP('Fichas clínicas'!AG1589,razas!$A$2:$D$66,3,FALSE)</f>
        <v>51</v>
      </c>
      <c r="AI1589" t="str">
        <f t="shared" si="74"/>
        <v>H</v>
      </c>
    </row>
    <row r="1590" spans="1:35" x14ac:dyDescent="0.2">
      <c r="A1590">
        <v>1592</v>
      </c>
      <c r="B1590" t="s">
        <v>3542</v>
      </c>
      <c r="C1590" t="s">
        <v>3219</v>
      </c>
      <c r="D1590" t="s">
        <v>32</v>
      </c>
      <c r="E1590" t="s">
        <v>1963</v>
      </c>
      <c r="F1590" t="s">
        <v>34</v>
      </c>
      <c r="G1590" t="s">
        <v>102</v>
      </c>
      <c r="J1590" t="s">
        <v>271</v>
      </c>
      <c r="K1590" t="s">
        <v>38</v>
      </c>
      <c r="L1590" t="s">
        <v>38</v>
      </c>
      <c r="M1590" t="s">
        <v>38</v>
      </c>
      <c r="N1590" t="s">
        <v>38</v>
      </c>
      <c r="O1590" t="s">
        <v>38</v>
      </c>
      <c r="T1590" t="s">
        <v>38</v>
      </c>
      <c r="U1590">
        <v>0</v>
      </c>
      <c r="V1590">
        <v>1</v>
      </c>
      <c r="W1590">
        <v>0</v>
      </c>
      <c r="X1590">
        <v>0</v>
      </c>
      <c r="Y1590">
        <v>0</v>
      </c>
      <c r="AE1590">
        <f t="shared" si="72"/>
        <v>1</v>
      </c>
      <c r="AF1590">
        <f>VLOOKUP(D1590,especies!$A$2:$C$9,3,FALSE)</f>
        <v>1</v>
      </c>
      <c r="AG1590" t="str">
        <f t="shared" si="73"/>
        <v>1-Pastor de los Pirineos de pelo largo</v>
      </c>
      <c r="AH1590">
        <f>VLOOKUP('Fichas clínicas'!AG1590,razas!$A$2:$D$66,3,FALSE)</f>
        <v>34</v>
      </c>
      <c r="AI1590" t="str">
        <f t="shared" si="74"/>
        <v>H</v>
      </c>
    </row>
    <row r="1591" spans="1:35" x14ac:dyDescent="0.2">
      <c r="A1591">
        <v>1593</v>
      </c>
      <c r="B1591" t="s">
        <v>3543</v>
      </c>
      <c r="C1591" t="s">
        <v>3544</v>
      </c>
      <c r="D1591" t="s">
        <v>41</v>
      </c>
      <c r="E1591" t="s">
        <v>42</v>
      </c>
      <c r="F1591" t="s">
        <v>47</v>
      </c>
      <c r="G1591" t="s">
        <v>3545</v>
      </c>
      <c r="J1591" t="s">
        <v>3546</v>
      </c>
      <c r="K1591" t="s">
        <v>38</v>
      </c>
      <c r="L1591" t="s">
        <v>38</v>
      </c>
      <c r="M1591" t="s">
        <v>38</v>
      </c>
      <c r="N1591" t="s">
        <v>38</v>
      </c>
      <c r="O1591" t="s">
        <v>38</v>
      </c>
      <c r="T1591" t="s">
        <v>38</v>
      </c>
      <c r="U1591">
        <v>0</v>
      </c>
      <c r="V1591">
        <v>1</v>
      </c>
      <c r="W1591">
        <v>0</v>
      </c>
      <c r="X1591">
        <v>0</v>
      </c>
      <c r="Y1591">
        <v>0</v>
      </c>
      <c r="AE1591">
        <f t="shared" si="72"/>
        <v>1</v>
      </c>
      <c r="AF1591">
        <f>VLOOKUP(D1591,especies!$A$2:$C$9,3,FALSE)</f>
        <v>2</v>
      </c>
      <c r="AG1591" t="str">
        <f t="shared" si="73"/>
        <v>2-DPC (Doméstico de pelo corto o DSH)</v>
      </c>
      <c r="AH1591">
        <f>VLOOKUP('Fichas clínicas'!AG1591,razas!$A$2:$D$66,3,FALSE)</f>
        <v>51</v>
      </c>
      <c r="AI1591" t="str">
        <f t="shared" si="74"/>
        <v>M</v>
      </c>
    </row>
    <row r="1592" spans="1:35" x14ac:dyDescent="0.2">
      <c r="A1592">
        <v>1594</v>
      </c>
      <c r="B1592" t="s">
        <v>3547</v>
      </c>
      <c r="C1592" t="s">
        <v>3548</v>
      </c>
      <c r="D1592" t="s">
        <v>32</v>
      </c>
      <c r="E1592" t="s">
        <v>63</v>
      </c>
      <c r="F1592" t="s">
        <v>47</v>
      </c>
      <c r="G1592" t="s">
        <v>1928</v>
      </c>
      <c r="J1592" t="s">
        <v>3549</v>
      </c>
      <c r="K1592" t="s">
        <v>38</v>
      </c>
      <c r="L1592" t="s">
        <v>38</v>
      </c>
      <c r="M1592" t="s">
        <v>38</v>
      </c>
      <c r="N1592" t="s">
        <v>38</v>
      </c>
      <c r="O1592" t="s">
        <v>38</v>
      </c>
      <c r="Q1592">
        <v>0</v>
      </c>
      <c r="T1592" t="s">
        <v>38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f t="shared" si="72"/>
        <v>1</v>
      </c>
      <c r="AF1592">
        <f>VLOOKUP(D1592,especies!$A$2:$C$9,3,FALSE)</f>
        <v>1</v>
      </c>
      <c r="AG1592" t="str">
        <f t="shared" si="73"/>
        <v>1-Fox Terrier Pelo Corto</v>
      </c>
      <c r="AH1592">
        <f>VLOOKUP('Fichas clínicas'!AG1592,razas!$A$2:$D$66,3,FALSE)</f>
        <v>2</v>
      </c>
      <c r="AI1592" t="str">
        <f t="shared" si="74"/>
        <v>M</v>
      </c>
    </row>
    <row r="1593" spans="1:35" x14ac:dyDescent="0.2">
      <c r="A1593">
        <v>1595</v>
      </c>
      <c r="B1593" t="s">
        <v>3550</v>
      </c>
      <c r="C1593" t="s">
        <v>3551</v>
      </c>
      <c r="D1593" t="s">
        <v>41</v>
      </c>
      <c r="E1593" t="s">
        <v>42</v>
      </c>
      <c r="F1593" t="s">
        <v>34</v>
      </c>
      <c r="G1593" t="s">
        <v>825</v>
      </c>
      <c r="J1593" t="s">
        <v>2903</v>
      </c>
      <c r="K1593" t="s">
        <v>38</v>
      </c>
      <c r="L1593" t="s">
        <v>38</v>
      </c>
      <c r="M1593" t="s">
        <v>38</v>
      </c>
      <c r="N1593" t="s">
        <v>38</v>
      </c>
      <c r="O1593" t="s">
        <v>38</v>
      </c>
      <c r="T1593" t="s">
        <v>38</v>
      </c>
      <c r="U1593">
        <v>0</v>
      </c>
      <c r="W1593">
        <v>0</v>
      </c>
      <c r="X1593">
        <v>0</v>
      </c>
      <c r="Y1593">
        <v>0</v>
      </c>
      <c r="AE1593">
        <f t="shared" si="72"/>
        <v>1</v>
      </c>
      <c r="AF1593">
        <f>VLOOKUP(D1593,especies!$A$2:$C$9,3,FALSE)</f>
        <v>2</v>
      </c>
      <c r="AG1593" t="str">
        <f t="shared" si="73"/>
        <v>2-DPC (Doméstico de pelo corto o DSH)</v>
      </c>
      <c r="AH1593">
        <f>VLOOKUP('Fichas clínicas'!AG1593,razas!$A$2:$D$66,3,FALSE)</f>
        <v>51</v>
      </c>
      <c r="AI1593" t="str">
        <f t="shared" si="74"/>
        <v>H</v>
      </c>
    </row>
    <row r="1594" spans="1:35" x14ac:dyDescent="0.2">
      <c r="A1594">
        <v>1596</v>
      </c>
      <c r="B1594" t="s">
        <v>3552</v>
      </c>
      <c r="C1594" t="s">
        <v>3553</v>
      </c>
      <c r="D1594" t="s">
        <v>32</v>
      </c>
      <c r="E1594" t="s">
        <v>309</v>
      </c>
      <c r="F1594" t="s">
        <v>34</v>
      </c>
      <c r="G1594" t="s">
        <v>3175</v>
      </c>
      <c r="J1594" t="s">
        <v>3554</v>
      </c>
      <c r="K1594" t="s">
        <v>38</v>
      </c>
      <c r="L1594" t="s">
        <v>38</v>
      </c>
      <c r="M1594" t="s">
        <v>38</v>
      </c>
      <c r="N1594" t="s">
        <v>38</v>
      </c>
      <c r="O1594" t="s">
        <v>38</v>
      </c>
      <c r="Q1594">
        <v>0</v>
      </c>
      <c r="T1594" t="s">
        <v>38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f t="shared" si="72"/>
        <v>1</v>
      </c>
      <c r="AF1594">
        <f>VLOOKUP(D1594,especies!$A$2:$C$9,3,FALSE)</f>
        <v>1</v>
      </c>
      <c r="AG1594" t="str">
        <f t="shared" si="73"/>
        <v>1-Pug</v>
      </c>
      <c r="AH1594">
        <f>VLOOKUP('Fichas clínicas'!AG1594,razas!$A$2:$D$66,3,FALSE)</f>
        <v>11</v>
      </c>
      <c r="AI1594" t="str">
        <f t="shared" si="74"/>
        <v>H</v>
      </c>
    </row>
    <row r="1595" spans="1:35" x14ac:dyDescent="0.2">
      <c r="A1595">
        <v>1597</v>
      </c>
      <c r="B1595" t="s">
        <v>3552</v>
      </c>
      <c r="C1595" t="s">
        <v>3484</v>
      </c>
      <c r="D1595" t="s">
        <v>32</v>
      </c>
      <c r="E1595" t="s">
        <v>309</v>
      </c>
      <c r="F1595" t="s">
        <v>47</v>
      </c>
      <c r="G1595" t="s">
        <v>3175</v>
      </c>
      <c r="J1595" t="s">
        <v>3554</v>
      </c>
      <c r="K1595" t="s">
        <v>38</v>
      </c>
      <c r="L1595" t="s">
        <v>38</v>
      </c>
      <c r="M1595" t="s">
        <v>38</v>
      </c>
      <c r="N1595" t="s">
        <v>38</v>
      </c>
      <c r="O1595" t="s">
        <v>38</v>
      </c>
      <c r="T1595" t="s">
        <v>38</v>
      </c>
      <c r="U1595">
        <v>0</v>
      </c>
      <c r="W1595">
        <v>0</v>
      </c>
      <c r="X1595">
        <v>0</v>
      </c>
      <c r="Y1595">
        <v>0</v>
      </c>
      <c r="AE1595">
        <f t="shared" si="72"/>
        <v>1</v>
      </c>
      <c r="AF1595">
        <f>VLOOKUP(D1595,especies!$A$2:$C$9,3,FALSE)</f>
        <v>1</v>
      </c>
      <c r="AG1595" t="str">
        <f t="shared" si="73"/>
        <v>1-Pug</v>
      </c>
      <c r="AH1595">
        <f>VLOOKUP('Fichas clínicas'!AG1595,razas!$A$2:$D$66,3,FALSE)</f>
        <v>11</v>
      </c>
      <c r="AI1595" t="str">
        <f t="shared" si="74"/>
        <v>M</v>
      </c>
    </row>
    <row r="1596" spans="1:35" x14ac:dyDescent="0.2">
      <c r="A1596">
        <v>1598</v>
      </c>
      <c r="B1596" t="s">
        <v>3552</v>
      </c>
      <c r="C1596" t="s">
        <v>1632</v>
      </c>
      <c r="D1596" t="s">
        <v>32</v>
      </c>
      <c r="E1596" t="s">
        <v>309</v>
      </c>
      <c r="F1596" t="s">
        <v>34</v>
      </c>
      <c r="G1596" t="s">
        <v>3175</v>
      </c>
      <c r="J1596" t="s">
        <v>3555</v>
      </c>
      <c r="K1596" t="s">
        <v>38</v>
      </c>
      <c r="L1596" t="s">
        <v>38</v>
      </c>
      <c r="M1596" t="s">
        <v>38</v>
      </c>
      <c r="N1596" t="s">
        <v>38</v>
      </c>
      <c r="O1596" t="s">
        <v>38</v>
      </c>
      <c r="T1596" t="s">
        <v>38</v>
      </c>
      <c r="U1596">
        <v>0</v>
      </c>
      <c r="V1596">
        <v>1</v>
      </c>
      <c r="W1596">
        <v>0</v>
      </c>
      <c r="X1596">
        <v>0</v>
      </c>
      <c r="Y1596">
        <v>0</v>
      </c>
      <c r="AE1596">
        <f t="shared" si="72"/>
        <v>1</v>
      </c>
      <c r="AF1596">
        <f>VLOOKUP(D1596,especies!$A$2:$C$9,3,FALSE)</f>
        <v>1</v>
      </c>
      <c r="AG1596" t="str">
        <f t="shared" si="73"/>
        <v>1-Pug</v>
      </c>
      <c r="AH1596">
        <f>VLOOKUP('Fichas clínicas'!AG1596,razas!$A$2:$D$66,3,FALSE)</f>
        <v>11</v>
      </c>
      <c r="AI1596" t="str">
        <f t="shared" si="74"/>
        <v>H</v>
      </c>
    </row>
    <row r="1597" spans="1:35" x14ac:dyDescent="0.2">
      <c r="A1597">
        <v>1599</v>
      </c>
      <c r="B1597" t="s">
        <v>3552</v>
      </c>
      <c r="C1597" t="s">
        <v>3556</v>
      </c>
      <c r="D1597" t="s">
        <v>32</v>
      </c>
      <c r="E1597" t="s">
        <v>309</v>
      </c>
      <c r="F1597" t="s">
        <v>47</v>
      </c>
      <c r="G1597" t="s">
        <v>3175</v>
      </c>
      <c r="J1597" t="s">
        <v>157</v>
      </c>
      <c r="K1597" t="s">
        <v>38</v>
      </c>
      <c r="L1597" t="s">
        <v>38</v>
      </c>
      <c r="M1597" t="s">
        <v>38</v>
      </c>
      <c r="N1597" t="s">
        <v>38</v>
      </c>
      <c r="O1597" t="s">
        <v>38</v>
      </c>
      <c r="Q1597">
        <v>0</v>
      </c>
      <c r="T1597" t="s">
        <v>38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f t="shared" si="72"/>
        <v>1</v>
      </c>
      <c r="AF1597">
        <f>VLOOKUP(D1597,especies!$A$2:$C$9,3,FALSE)</f>
        <v>1</v>
      </c>
      <c r="AG1597" t="str">
        <f t="shared" si="73"/>
        <v>1-Pug</v>
      </c>
      <c r="AH1597">
        <f>VLOOKUP('Fichas clínicas'!AG1597,razas!$A$2:$D$66,3,FALSE)</f>
        <v>11</v>
      </c>
      <c r="AI1597" t="str">
        <f t="shared" si="74"/>
        <v>M</v>
      </c>
    </row>
    <row r="1598" spans="1:35" x14ac:dyDescent="0.2">
      <c r="A1598">
        <v>1600</v>
      </c>
      <c r="B1598" t="s">
        <v>3552</v>
      </c>
      <c r="C1598" t="s">
        <v>2653</v>
      </c>
      <c r="D1598" t="s">
        <v>32</v>
      </c>
      <c r="E1598" t="s">
        <v>309</v>
      </c>
      <c r="F1598" t="s">
        <v>47</v>
      </c>
      <c r="G1598" t="s">
        <v>3557</v>
      </c>
      <c r="J1598" t="s">
        <v>157</v>
      </c>
      <c r="K1598" t="s">
        <v>38</v>
      </c>
      <c r="L1598" t="s">
        <v>38</v>
      </c>
      <c r="M1598" t="s">
        <v>38</v>
      </c>
      <c r="N1598" t="s">
        <v>38</v>
      </c>
      <c r="O1598" t="s">
        <v>38</v>
      </c>
      <c r="T1598" t="s">
        <v>38</v>
      </c>
      <c r="U1598">
        <v>0</v>
      </c>
      <c r="V1598">
        <v>1</v>
      </c>
      <c r="W1598">
        <v>0</v>
      </c>
      <c r="X1598">
        <v>0</v>
      </c>
      <c r="Y1598">
        <v>0</v>
      </c>
      <c r="AE1598">
        <f t="shared" si="72"/>
        <v>1</v>
      </c>
      <c r="AF1598">
        <f>VLOOKUP(D1598,especies!$A$2:$C$9,3,FALSE)</f>
        <v>1</v>
      </c>
      <c r="AG1598" t="str">
        <f t="shared" si="73"/>
        <v>1-Pug</v>
      </c>
      <c r="AH1598">
        <f>VLOOKUP('Fichas clínicas'!AG1598,razas!$A$2:$D$66,3,FALSE)</f>
        <v>11</v>
      </c>
      <c r="AI1598" t="str">
        <f t="shared" si="74"/>
        <v>M</v>
      </c>
    </row>
    <row r="1599" spans="1:35" x14ac:dyDescent="0.2">
      <c r="A1599">
        <v>1601</v>
      </c>
      <c r="B1599" t="s">
        <v>3552</v>
      </c>
      <c r="C1599" t="s">
        <v>3558</v>
      </c>
      <c r="D1599" t="s">
        <v>32</v>
      </c>
      <c r="E1599" t="s">
        <v>33</v>
      </c>
      <c r="F1599" t="s">
        <v>47</v>
      </c>
      <c r="G1599" t="s">
        <v>3022</v>
      </c>
      <c r="J1599" t="s">
        <v>2402</v>
      </c>
      <c r="K1599" t="s">
        <v>38</v>
      </c>
      <c r="L1599" t="s">
        <v>38</v>
      </c>
      <c r="M1599" t="s">
        <v>38</v>
      </c>
      <c r="N1599" t="s">
        <v>38</v>
      </c>
      <c r="O1599" t="s">
        <v>38</v>
      </c>
      <c r="T1599" t="s">
        <v>38</v>
      </c>
      <c r="U1599">
        <v>0</v>
      </c>
      <c r="V1599">
        <v>1</v>
      </c>
      <c r="W1599">
        <v>0</v>
      </c>
      <c r="X1599">
        <v>0</v>
      </c>
      <c r="Y1599">
        <v>0</v>
      </c>
      <c r="AE1599">
        <f t="shared" si="72"/>
        <v>1</v>
      </c>
      <c r="AF1599">
        <f>VLOOKUP(D1599,especies!$A$2:$C$9,3,FALSE)</f>
        <v>1</v>
      </c>
      <c r="AG1599" t="str">
        <f t="shared" si="73"/>
        <v>1-Mestizo</v>
      </c>
      <c r="AH1599">
        <f>VLOOKUP('Fichas clínicas'!AG1599,razas!$A$2:$D$66,3,FALSE)</f>
        <v>1</v>
      </c>
      <c r="AI1599" t="str">
        <f t="shared" si="74"/>
        <v>M</v>
      </c>
    </row>
    <row r="1600" spans="1:35" x14ac:dyDescent="0.2">
      <c r="A1600">
        <v>1602</v>
      </c>
      <c r="B1600" t="s">
        <v>3552</v>
      </c>
      <c r="C1600" t="s">
        <v>378</v>
      </c>
      <c r="D1600" t="s">
        <v>32</v>
      </c>
      <c r="E1600" t="s">
        <v>33</v>
      </c>
      <c r="F1600" t="s">
        <v>34</v>
      </c>
      <c r="G1600" t="s">
        <v>2870</v>
      </c>
      <c r="J1600" t="s">
        <v>2067</v>
      </c>
      <c r="K1600" t="s">
        <v>38</v>
      </c>
      <c r="L1600" t="s">
        <v>38</v>
      </c>
      <c r="M1600" t="s">
        <v>38</v>
      </c>
      <c r="N1600" t="s">
        <v>38</v>
      </c>
      <c r="O1600" t="s">
        <v>38</v>
      </c>
      <c r="T1600" t="s">
        <v>38</v>
      </c>
      <c r="U1600">
        <v>0</v>
      </c>
      <c r="V1600">
        <v>1</v>
      </c>
      <c r="W1600">
        <v>0</v>
      </c>
      <c r="X1600">
        <v>0</v>
      </c>
      <c r="Y1600">
        <v>0</v>
      </c>
      <c r="AE1600">
        <f t="shared" si="72"/>
        <v>1</v>
      </c>
      <c r="AF1600">
        <f>VLOOKUP(D1600,especies!$A$2:$C$9,3,FALSE)</f>
        <v>1</v>
      </c>
      <c r="AG1600" t="str">
        <f t="shared" si="73"/>
        <v>1-Mestizo</v>
      </c>
      <c r="AH1600">
        <f>VLOOKUP('Fichas clínicas'!AG1600,razas!$A$2:$D$66,3,FALSE)</f>
        <v>1</v>
      </c>
      <c r="AI1600" t="str">
        <f t="shared" si="74"/>
        <v>H</v>
      </c>
    </row>
    <row r="1601" spans="1:35" x14ac:dyDescent="0.2">
      <c r="A1601">
        <v>1603</v>
      </c>
      <c r="B1601" t="s">
        <v>3552</v>
      </c>
      <c r="C1601" t="s">
        <v>2815</v>
      </c>
      <c r="D1601" t="s">
        <v>32</v>
      </c>
      <c r="E1601" t="s">
        <v>438</v>
      </c>
      <c r="F1601" t="s">
        <v>34</v>
      </c>
      <c r="G1601" t="s">
        <v>2878</v>
      </c>
      <c r="J1601" t="s">
        <v>3559</v>
      </c>
      <c r="K1601" t="s">
        <v>38</v>
      </c>
      <c r="L1601" t="s">
        <v>38</v>
      </c>
      <c r="M1601" t="s">
        <v>38</v>
      </c>
      <c r="N1601" t="s">
        <v>38</v>
      </c>
      <c r="O1601" t="s">
        <v>38</v>
      </c>
      <c r="Q1601">
        <v>0</v>
      </c>
      <c r="T1601" t="s">
        <v>38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f t="shared" si="72"/>
        <v>1</v>
      </c>
      <c r="AF1601">
        <f>VLOOKUP(D1601,especies!$A$2:$C$9,3,FALSE)</f>
        <v>1</v>
      </c>
      <c r="AG1601" t="str">
        <f t="shared" si="73"/>
        <v>1-Ovejero Alemán</v>
      </c>
      <c r="AH1601">
        <f>VLOOKUP('Fichas clínicas'!AG1601,razas!$A$2:$D$66,3,FALSE)</f>
        <v>12</v>
      </c>
      <c r="AI1601" t="str">
        <f t="shared" si="74"/>
        <v>H</v>
      </c>
    </row>
    <row r="1602" spans="1:35" x14ac:dyDescent="0.2">
      <c r="A1602">
        <v>1604</v>
      </c>
      <c r="B1602" t="s">
        <v>3552</v>
      </c>
      <c r="C1602" t="s">
        <v>3560</v>
      </c>
      <c r="D1602" t="s">
        <v>32</v>
      </c>
      <c r="E1602" t="s">
        <v>33</v>
      </c>
      <c r="F1602" t="s">
        <v>47</v>
      </c>
      <c r="G1602" t="s">
        <v>2870</v>
      </c>
      <c r="J1602" t="s">
        <v>3561</v>
      </c>
      <c r="K1602" t="s">
        <v>38</v>
      </c>
      <c r="L1602" t="s">
        <v>38</v>
      </c>
      <c r="M1602" t="s">
        <v>38</v>
      </c>
      <c r="N1602" t="s">
        <v>38</v>
      </c>
      <c r="O1602" t="s">
        <v>38</v>
      </c>
      <c r="T1602" t="s">
        <v>38</v>
      </c>
      <c r="U1602">
        <v>0</v>
      </c>
      <c r="V1602">
        <v>1</v>
      </c>
      <c r="W1602">
        <v>0</v>
      </c>
      <c r="X1602">
        <v>0</v>
      </c>
      <c r="Y1602">
        <v>0</v>
      </c>
      <c r="AE1602">
        <f t="shared" si="72"/>
        <v>1</v>
      </c>
      <c r="AF1602">
        <f>VLOOKUP(D1602,especies!$A$2:$C$9,3,FALSE)</f>
        <v>1</v>
      </c>
      <c r="AG1602" t="str">
        <f t="shared" si="73"/>
        <v>1-Mestizo</v>
      </c>
      <c r="AH1602">
        <f>VLOOKUP('Fichas clínicas'!AG1602,razas!$A$2:$D$66,3,FALSE)</f>
        <v>1</v>
      </c>
      <c r="AI1602" t="str">
        <f t="shared" si="74"/>
        <v>M</v>
      </c>
    </row>
    <row r="1603" spans="1:35" x14ac:dyDescent="0.2">
      <c r="A1603">
        <v>1605</v>
      </c>
      <c r="B1603" t="s">
        <v>3562</v>
      </c>
      <c r="C1603" t="s">
        <v>3563</v>
      </c>
      <c r="D1603" t="s">
        <v>41</v>
      </c>
      <c r="E1603" t="s">
        <v>42</v>
      </c>
      <c r="F1603" t="s">
        <v>47</v>
      </c>
      <c r="G1603" t="s">
        <v>3564</v>
      </c>
      <c r="J1603" t="s">
        <v>3565</v>
      </c>
      <c r="K1603" t="s">
        <v>38</v>
      </c>
      <c r="L1603" t="s">
        <v>38</v>
      </c>
      <c r="M1603" t="s">
        <v>38</v>
      </c>
      <c r="N1603" t="s">
        <v>38</v>
      </c>
      <c r="O1603" t="s">
        <v>38</v>
      </c>
      <c r="Q1603">
        <v>0</v>
      </c>
      <c r="T1603" t="s">
        <v>38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f t="shared" ref="AE1603:AE1666" si="75">SUBTOTAL(103,E1603)</f>
        <v>1</v>
      </c>
      <c r="AF1603">
        <f>VLOOKUP(D1603,especies!$A$2:$C$9,3,FALSE)</f>
        <v>2</v>
      </c>
      <c r="AG1603" t="str">
        <f t="shared" ref="AG1603:AG1666" si="76">AF1603&amp;"-"&amp;E1603</f>
        <v>2-DPC (Doméstico de pelo corto o DSH)</v>
      </c>
      <c r="AH1603">
        <f>VLOOKUP('Fichas clínicas'!AG1603,razas!$A$2:$D$66,3,FALSE)</f>
        <v>51</v>
      </c>
      <c r="AI1603" t="str">
        <f t="shared" ref="AI1603:AI1666" si="77">IF(F1603="Hembra","H","M")</f>
        <v>M</v>
      </c>
    </row>
    <row r="1604" spans="1:35" x14ac:dyDescent="0.2">
      <c r="A1604">
        <v>1606</v>
      </c>
      <c r="B1604" t="s">
        <v>2476</v>
      </c>
      <c r="C1604" t="s">
        <v>3566</v>
      </c>
      <c r="D1604" t="s">
        <v>41</v>
      </c>
      <c r="E1604" t="s">
        <v>93</v>
      </c>
      <c r="F1604" t="s">
        <v>34</v>
      </c>
      <c r="G1604" t="s">
        <v>3567</v>
      </c>
      <c r="J1604" t="s">
        <v>2478</v>
      </c>
      <c r="K1604" t="s">
        <v>38</v>
      </c>
      <c r="L1604" t="s">
        <v>38</v>
      </c>
      <c r="M1604" t="s">
        <v>38</v>
      </c>
      <c r="N1604" t="s">
        <v>38</v>
      </c>
      <c r="O1604" t="s">
        <v>38</v>
      </c>
      <c r="T1604" t="s">
        <v>38</v>
      </c>
      <c r="U1604">
        <v>0</v>
      </c>
      <c r="W1604">
        <v>0</v>
      </c>
      <c r="X1604">
        <v>0</v>
      </c>
      <c r="Y1604">
        <v>0</v>
      </c>
      <c r="AE1604">
        <f t="shared" si="75"/>
        <v>1</v>
      </c>
      <c r="AF1604">
        <f>VLOOKUP(D1604,especies!$A$2:$C$9,3,FALSE)</f>
        <v>2</v>
      </c>
      <c r="AG1604" t="str">
        <f t="shared" si="76"/>
        <v>2-DPL (Doméstico de pelo Largo o DLH)</v>
      </c>
      <c r="AH1604">
        <f>VLOOKUP('Fichas clínicas'!AG1604,razas!$A$2:$D$66,3,FALSE)</f>
        <v>52</v>
      </c>
      <c r="AI1604" t="str">
        <f t="shared" si="77"/>
        <v>H</v>
      </c>
    </row>
    <row r="1605" spans="1:35" x14ac:dyDescent="0.2">
      <c r="A1605">
        <v>1607</v>
      </c>
      <c r="B1605" t="s">
        <v>3568</v>
      </c>
      <c r="C1605" t="s">
        <v>2069</v>
      </c>
      <c r="D1605" t="s">
        <v>41</v>
      </c>
      <c r="E1605" t="s">
        <v>42</v>
      </c>
      <c r="F1605" t="s">
        <v>34</v>
      </c>
      <c r="G1605" t="s">
        <v>3569</v>
      </c>
      <c r="J1605" t="s">
        <v>3570</v>
      </c>
      <c r="K1605" t="s">
        <v>38</v>
      </c>
      <c r="L1605" t="s">
        <v>38</v>
      </c>
      <c r="M1605" t="s">
        <v>38</v>
      </c>
      <c r="N1605" t="s">
        <v>38</v>
      </c>
      <c r="O1605" t="s">
        <v>38</v>
      </c>
      <c r="T1605" t="s">
        <v>38</v>
      </c>
      <c r="U1605">
        <v>0</v>
      </c>
      <c r="W1605">
        <v>0</v>
      </c>
      <c r="X1605">
        <v>0</v>
      </c>
      <c r="Y1605">
        <v>0</v>
      </c>
      <c r="AE1605">
        <f t="shared" si="75"/>
        <v>1</v>
      </c>
      <c r="AF1605">
        <f>VLOOKUP(D1605,especies!$A$2:$C$9,3,FALSE)</f>
        <v>2</v>
      </c>
      <c r="AG1605" t="str">
        <f t="shared" si="76"/>
        <v>2-DPC (Doméstico de pelo corto o DSH)</v>
      </c>
      <c r="AH1605">
        <f>VLOOKUP('Fichas clínicas'!AG1605,razas!$A$2:$D$66,3,FALSE)</f>
        <v>51</v>
      </c>
      <c r="AI1605" t="str">
        <f t="shared" si="77"/>
        <v>H</v>
      </c>
    </row>
    <row r="1606" spans="1:35" x14ac:dyDescent="0.2">
      <c r="A1606">
        <v>1608</v>
      </c>
      <c r="B1606" t="s">
        <v>275</v>
      </c>
      <c r="C1606" t="s">
        <v>378</v>
      </c>
      <c r="D1606" t="s">
        <v>41</v>
      </c>
      <c r="E1606" t="s">
        <v>42</v>
      </c>
      <c r="F1606" t="s">
        <v>34</v>
      </c>
      <c r="G1606" t="s">
        <v>2827</v>
      </c>
      <c r="J1606" t="s">
        <v>119</v>
      </c>
      <c r="K1606" t="s">
        <v>38</v>
      </c>
      <c r="L1606" t="s">
        <v>38</v>
      </c>
      <c r="M1606" t="s">
        <v>38</v>
      </c>
      <c r="N1606" t="s">
        <v>38</v>
      </c>
      <c r="O1606" t="s">
        <v>38</v>
      </c>
      <c r="Q1606">
        <v>0</v>
      </c>
      <c r="T1606" t="s">
        <v>38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f t="shared" si="75"/>
        <v>1</v>
      </c>
      <c r="AF1606">
        <f>VLOOKUP(D1606,especies!$A$2:$C$9,3,FALSE)</f>
        <v>2</v>
      </c>
      <c r="AG1606" t="str">
        <f t="shared" si="76"/>
        <v>2-DPC (Doméstico de pelo corto o DSH)</v>
      </c>
      <c r="AH1606">
        <f>VLOOKUP('Fichas clínicas'!AG1606,razas!$A$2:$D$66,3,FALSE)</f>
        <v>51</v>
      </c>
      <c r="AI1606" t="str">
        <f t="shared" si="77"/>
        <v>H</v>
      </c>
    </row>
    <row r="1607" spans="1:35" x14ac:dyDescent="0.2">
      <c r="A1607">
        <v>1609</v>
      </c>
      <c r="B1607" t="s">
        <v>995</v>
      </c>
      <c r="C1607" t="s">
        <v>3571</v>
      </c>
      <c r="D1607" t="s">
        <v>41</v>
      </c>
      <c r="E1607" t="s">
        <v>42</v>
      </c>
      <c r="F1607" t="s">
        <v>34</v>
      </c>
      <c r="G1607" t="s">
        <v>3572</v>
      </c>
      <c r="J1607" t="s">
        <v>1620</v>
      </c>
      <c r="K1607" t="s">
        <v>38</v>
      </c>
      <c r="L1607" t="s">
        <v>38</v>
      </c>
      <c r="M1607" t="s">
        <v>38</v>
      </c>
      <c r="N1607" t="s">
        <v>38</v>
      </c>
      <c r="O1607" t="s">
        <v>38</v>
      </c>
      <c r="T1607" t="s">
        <v>38</v>
      </c>
      <c r="U1607">
        <v>0</v>
      </c>
      <c r="V1607">
        <v>1</v>
      </c>
      <c r="W1607">
        <v>0</v>
      </c>
      <c r="X1607">
        <v>0</v>
      </c>
      <c r="Y1607">
        <v>0</v>
      </c>
      <c r="AE1607">
        <f t="shared" si="75"/>
        <v>1</v>
      </c>
      <c r="AF1607">
        <f>VLOOKUP(D1607,especies!$A$2:$C$9,3,FALSE)</f>
        <v>2</v>
      </c>
      <c r="AG1607" t="str">
        <f t="shared" si="76"/>
        <v>2-DPC (Doméstico de pelo corto o DSH)</v>
      </c>
      <c r="AH1607">
        <f>VLOOKUP('Fichas clínicas'!AG1607,razas!$A$2:$D$66,3,FALSE)</f>
        <v>51</v>
      </c>
      <c r="AI1607" t="str">
        <f t="shared" si="77"/>
        <v>H</v>
      </c>
    </row>
    <row r="1608" spans="1:35" x14ac:dyDescent="0.2">
      <c r="A1608">
        <v>1610</v>
      </c>
      <c r="B1608" t="s">
        <v>3573</v>
      </c>
      <c r="C1608" t="s">
        <v>3574</v>
      </c>
      <c r="D1608" t="s">
        <v>32</v>
      </c>
      <c r="E1608" t="s">
        <v>33</v>
      </c>
      <c r="F1608" t="s">
        <v>47</v>
      </c>
      <c r="G1608" t="s">
        <v>3002</v>
      </c>
      <c r="J1608" t="s">
        <v>3575</v>
      </c>
      <c r="K1608" t="s">
        <v>38</v>
      </c>
      <c r="L1608" t="s">
        <v>38</v>
      </c>
      <c r="M1608" t="s">
        <v>38</v>
      </c>
      <c r="N1608" t="s">
        <v>38</v>
      </c>
      <c r="O1608" t="s">
        <v>38</v>
      </c>
      <c r="T1608" t="s">
        <v>38</v>
      </c>
      <c r="U1608">
        <v>0</v>
      </c>
      <c r="W1608">
        <v>0</v>
      </c>
      <c r="X1608">
        <v>0</v>
      </c>
      <c r="Y1608">
        <v>0</v>
      </c>
      <c r="AE1608">
        <f t="shared" si="75"/>
        <v>1</v>
      </c>
      <c r="AF1608">
        <f>VLOOKUP(D1608,especies!$A$2:$C$9,3,FALSE)</f>
        <v>1</v>
      </c>
      <c r="AG1608" t="str">
        <f t="shared" si="76"/>
        <v>1-Mestizo</v>
      </c>
      <c r="AH1608">
        <f>VLOOKUP('Fichas clínicas'!AG1608,razas!$A$2:$D$66,3,FALSE)</f>
        <v>1</v>
      </c>
      <c r="AI1608" t="str">
        <f t="shared" si="77"/>
        <v>M</v>
      </c>
    </row>
    <row r="1609" spans="1:35" x14ac:dyDescent="0.2">
      <c r="A1609">
        <v>1611</v>
      </c>
      <c r="B1609" t="s">
        <v>677</v>
      </c>
      <c r="C1609" t="s">
        <v>1391</v>
      </c>
      <c r="D1609" t="s">
        <v>41</v>
      </c>
      <c r="E1609" t="s">
        <v>42</v>
      </c>
      <c r="F1609" t="s">
        <v>34</v>
      </c>
      <c r="G1609" t="s">
        <v>3002</v>
      </c>
      <c r="J1609" t="s">
        <v>2038</v>
      </c>
      <c r="K1609" t="s">
        <v>38</v>
      </c>
      <c r="L1609" t="s">
        <v>38</v>
      </c>
      <c r="M1609" t="s">
        <v>38</v>
      </c>
      <c r="N1609" t="s">
        <v>38</v>
      </c>
      <c r="O1609" t="s">
        <v>38</v>
      </c>
      <c r="T1609" t="s">
        <v>38</v>
      </c>
      <c r="U1609">
        <v>0</v>
      </c>
      <c r="W1609">
        <v>0</v>
      </c>
      <c r="X1609">
        <v>0</v>
      </c>
      <c r="Y1609">
        <v>0</v>
      </c>
      <c r="AE1609">
        <f t="shared" si="75"/>
        <v>1</v>
      </c>
      <c r="AF1609">
        <f>VLOOKUP(D1609,especies!$A$2:$C$9,3,FALSE)</f>
        <v>2</v>
      </c>
      <c r="AG1609" t="str">
        <f t="shared" si="76"/>
        <v>2-DPC (Doméstico de pelo corto o DSH)</v>
      </c>
      <c r="AH1609">
        <f>VLOOKUP('Fichas clínicas'!AG1609,razas!$A$2:$D$66,3,FALSE)</f>
        <v>51</v>
      </c>
      <c r="AI1609" t="str">
        <f t="shared" si="77"/>
        <v>H</v>
      </c>
    </row>
    <row r="1610" spans="1:35" x14ac:dyDescent="0.2">
      <c r="A1610">
        <v>1612</v>
      </c>
      <c r="B1610" t="s">
        <v>1192</v>
      </c>
      <c r="C1610" t="s">
        <v>3576</v>
      </c>
      <c r="D1610" t="s">
        <v>32</v>
      </c>
      <c r="E1610" t="s">
        <v>143</v>
      </c>
      <c r="F1610" t="s">
        <v>34</v>
      </c>
      <c r="G1610" t="s">
        <v>2878</v>
      </c>
      <c r="J1610" t="s">
        <v>3516</v>
      </c>
      <c r="K1610" t="s">
        <v>38</v>
      </c>
      <c r="L1610" t="s">
        <v>38</v>
      </c>
      <c r="M1610" t="s">
        <v>38</v>
      </c>
      <c r="N1610" t="s">
        <v>38</v>
      </c>
      <c r="O1610" t="s">
        <v>38</v>
      </c>
      <c r="T1610" t="s">
        <v>38</v>
      </c>
      <c r="U1610">
        <v>0</v>
      </c>
      <c r="W1610">
        <v>0</v>
      </c>
      <c r="X1610">
        <v>0</v>
      </c>
      <c r="Y1610">
        <v>0</v>
      </c>
      <c r="AE1610">
        <f t="shared" si="75"/>
        <v>1</v>
      </c>
      <c r="AF1610">
        <f>VLOOKUP(D1610,especies!$A$2:$C$9,3,FALSE)</f>
        <v>1</v>
      </c>
      <c r="AG1610" t="str">
        <f t="shared" si="76"/>
        <v>1-Yorkshire Terrier</v>
      </c>
      <c r="AH1610">
        <f>VLOOKUP('Fichas clínicas'!AG1610,razas!$A$2:$D$66,3,FALSE)</f>
        <v>5</v>
      </c>
      <c r="AI1610" t="str">
        <f t="shared" si="77"/>
        <v>H</v>
      </c>
    </row>
    <row r="1611" spans="1:35" x14ac:dyDescent="0.2">
      <c r="A1611">
        <v>1613</v>
      </c>
      <c r="B1611" t="s">
        <v>3103</v>
      </c>
      <c r="C1611" t="s">
        <v>3577</v>
      </c>
      <c r="D1611" t="s">
        <v>41</v>
      </c>
      <c r="E1611" t="s">
        <v>93</v>
      </c>
      <c r="F1611" t="s">
        <v>34</v>
      </c>
      <c r="G1611" t="s">
        <v>825</v>
      </c>
      <c r="J1611" t="s">
        <v>3578</v>
      </c>
      <c r="K1611" t="s">
        <v>38</v>
      </c>
      <c r="L1611" t="s">
        <v>38</v>
      </c>
      <c r="M1611" t="s">
        <v>38</v>
      </c>
      <c r="N1611" t="s">
        <v>38</v>
      </c>
      <c r="O1611" t="s">
        <v>38</v>
      </c>
      <c r="Q1611">
        <v>0</v>
      </c>
      <c r="T1611" t="s">
        <v>38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f t="shared" si="75"/>
        <v>1</v>
      </c>
      <c r="AF1611">
        <f>VLOOKUP(D1611,especies!$A$2:$C$9,3,FALSE)</f>
        <v>2</v>
      </c>
      <c r="AG1611" t="str">
        <f t="shared" si="76"/>
        <v>2-DPL (Doméstico de pelo Largo o DLH)</v>
      </c>
      <c r="AH1611">
        <f>VLOOKUP('Fichas clínicas'!AG1611,razas!$A$2:$D$66,3,FALSE)</f>
        <v>52</v>
      </c>
      <c r="AI1611" t="str">
        <f t="shared" si="77"/>
        <v>H</v>
      </c>
    </row>
    <row r="1612" spans="1:35" x14ac:dyDescent="0.2">
      <c r="A1612">
        <v>1614</v>
      </c>
      <c r="B1612" t="s">
        <v>3579</v>
      </c>
      <c r="C1612" t="s">
        <v>2897</v>
      </c>
      <c r="D1612" t="s">
        <v>41</v>
      </c>
      <c r="E1612" t="s">
        <v>93</v>
      </c>
      <c r="F1612" t="s">
        <v>34</v>
      </c>
      <c r="G1612" t="s">
        <v>825</v>
      </c>
      <c r="J1612" t="s">
        <v>797</v>
      </c>
      <c r="K1612" t="s">
        <v>38</v>
      </c>
      <c r="L1612" t="s">
        <v>38</v>
      </c>
      <c r="M1612" t="s">
        <v>38</v>
      </c>
      <c r="N1612" t="s">
        <v>38</v>
      </c>
      <c r="O1612" t="s">
        <v>38</v>
      </c>
      <c r="T1612" t="s">
        <v>38</v>
      </c>
      <c r="U1612">
        <v>0</v>
      </c>
      <c r="V1612">
        <v>1</v>
      </c>
      <c r="W1612">
        <v>0</v>
      </c>
      <c r="X1612">
        <v>0</v>
      </c>
      <c r="Y1612">
        <v>0</v>
      </c>
      <c r="AE1612">
        <f t="shared" si="75"/>
        <v>1</v>
      </c>
      <c r="AF1612">
        <f>VLOOKUP(D1612,especies!$A$2:$C$9,3,FALSE)</f>
        <v>2</v>
      </c>
      <c r="AG1612" t="str">
        <f t="shared" si="76"/>
        <v>2-DPL (Doméstico de pelo Largo o DLH)</v>
      </c>
      <c r="AH1612">
        <f>VLOOKUP('Fichas clínicas'!AG1612,razas!$A$2:$D$66,3,FALSE)</f>
        <v>52</v>
      </c>
      <c r="AI1612" t="str">
        <f t="shared" si="77"/>
        <v>H</v>
      </c>
    </row>
    <row r="1613" spans="1:35" x14ac:dyDescent="0.2">
      <c r="A1613">
        <v>1615</v>
      </c>
      <c r="B1613" t="s">
        <v>3579</v>
      </c>
      <c r="C1613" t="s">
        <v>3580</v>
      </c>
      <c r="D1613" t="s">
        <v>41</v>
      </c>
      <c r="E1613" t="s">
        <v>93</v>
      </c>
      <c r="F1613" t="s">
        <v>34</v>
      </c>
      <c r="G1613" t="s">
        <v>3581</v>
      </c>
      <c r="J1613" t="s">
        <v>2336</v>
      </c>
      <c r="K1613" t="s">
        <v>38</v>
      </c>
      <c r="L1613" t="s">
        <v>38</v>
      </c>
      <c r="M1613" t="s">
        <v>38</v>
      </c>
      <c r="N1613" t="s">
        <v>38</v>
      </c>
      <c r="O1613" t="s">
        <v>38</v>
      </c>
      <c r="T1613" t="s">
        <v>38</v>
      </c>
      <c r="U1613">
        <v>0</v>
      </c>
      <c r="W1613">
        <v>0</v>
      </c>
      <c r="X1613">
        <v>0</v>
      </c>
      <c r="Y1613">
        <v>0</v>
      </c>
      <c r="AE1613">
        <f t="shared" si="75"/>
        <v>1</v>
      </c>
      <c r="AF1613">
        <f>VLOOKUP(D1613,especies!$A$2:$C$9,3,FALSE)</f>
        <v>2</v>
      </c>
      <c r="AG1613" t="str">
        <f t="shared" si="76"/>
        <v>2-DPL (Doméstico de pelo Largo o DLH)</v>
      </c>
      <c r="AH1613">
        <f>VLOOKUP('Fichas clínicas'!AG1613,razas!$A$2:$D$66,3,FALSE)</f>
        <v>52</v>
      </c>
      <c r="AI1613" t="str">
        <f t="shared" si="77"/>
        <v>H</v>
      </c>
    </row>
    <row r="1614" spans="1:35" x14ac:dyDescent="0.2">
      <c r="A1614">
        <v>1616</v>
      </c>
      <c r="B1614" t="s">
        <v>2397</v>
      </c>
      <c r="C1614" t="s">
        <v>1523</v>
      </c>
      <c r="D1614" t="s">
        <v>32</v>
      </c>
      <c r="E1614" t="s">
        <v>33</v>
      </c>
      <c r="F1614" t="s">
        <v>34</v>
      </c>
      <c r="G1614" t="s">
        <v>3582</v>
      </c>
      <c r="J1614" t="s">
        <v>3583</v>
      </c>
      <c r="K1614" t="s">
        <v>38</v>
      </c>
      <c r="L1614" t="s">
        <v>38</v>
      </c>
      <c r="M1614" t="s">
        <v>38</v>
      </c>
      <c r="N1614" t="s">
        <v>38</v>
      </c>
      <c r="O1614" t="s">
        <v>38</v>
      </c>
      <c r="T1614" t="s">
        <v>38</v>
      </c>
      <c r="U1614">
        <v>0</v>
      </c>
      <c r="V1614">
        <v>1</v>
      </c>
      <c r="W1614">
        <v>0</v>
      </c>
      <c r="X1614">
        <v>0</v>
      </c>
      <c r="Y1614">
        <v>0</v>
      </c>
      <c r="AE1614">
        <f t="shared" si="75"/>
        <v>1</v>
      </c>
      <c r="AF1614">
        <f>VLOOKUP(D1614,especies!$A$2:$C$9,3,FALSE)</f>
        <v>1</v>
      </c>
      <c r="AG1614" t="str">
        <f t="shared" si="76"/>
        <v>1-Mestizo</v>
      </c>
      <c r="AH1614">
        <f>VLOOKUP('Fichas clínicas'!AG1614,razas!$A$2:$D$66,3,FALSE)</f>
        <v>1</v>
      </c>
      <c r="AI1614" t="str">
        <f t="shared" si="77"/>
        <v>H</v>
      </c>
    </row>
    <row r="1615" spans="1:35" x14ac:dyDescent="0.2">
      <c r="A1615">
        <v>1617</v>
      </c>
      <c r="B1615" t="s">
        <v>2882</v>
      </c>
      <c r="C1615" t="s">
        <v>1523</v>
      </c>
      <c r="D1615" t="s">
        <v>41</v>
      </c>
      <c r="E1615" t="s">
        <v>42</v>
      </c>
      <c r="F1615" t="s">
        <v>34</v>
      </c>
      <c r="G1615" t="s">
        <v>825</v>
      </c>
      <c r="J1615" t="s">
        <v>1825</v>
      </c>
      <c r="K1615" t="s">
        <v>38</v>
      </c>
      <c r="L1615" t="s">
        <v>38</v>
      </c>
      <c r="M1615" t="s">
        <v>38</v>
      </c>
      <c r="N1615" t="s">
        <v>38</v>
      </c>
      <c r="O1615" t="s">
        <v>38</v>
      </c>
      <c r="T1615" t="s">
        <v>38</v>
      </c>
      <c r="U1615">
        <v>0</v>
      </c>
      <c r="W1615">
        <v>0</v>
      </c>
      <c r="X1615">
        <v>0</v>
      </c>
      <c r="Y1615">
        <v>0</v>
      </c>
      <c r="AE1615">
        <f t="shared" si="75"/>
        <v>1</v>
      </c>
      <c r="AF1615">
        <f>VLOOKUP(D1615,especies!$A$2:$C$9,3,FALSE)</f>
        <v>2</v>
      </c>
      <c r="AG1615" t="str">
        <f t="shared" si="76"/>
        <v>2-DPC (Doméstico de pelo corto o DSH)</v>
      </c>
      <c r="AH1615">
        <f>VLOOKUP('Fichas clínicas'!AG1615,razas!$A$2:$D$66,3,FALSE)</f>
        <v>51</v>
      </c>
      <c r="AI1615" t="str">
        <f t="shared" si="77"/>
        <v>H</v>
      </c>
    </row>
    <row r="1616" spans="1:35" x14ac:dyDescent="0.2">
      <c r="A1616">
        <v>1618</v>
      </c>
      <c r="B1616" t="s">
        <v>3584</v>
      </c>
      <c r="C1616" t="s">
        <v>3585</v>
      </c>
      <c r="D1616" t="s">
        <v>32</v>
      </c>
      <c r="E1616" t="s">
        <v>33</v>
      </c>
      <c r="F1616" t="s">
        <v>47</v>
      </c>
      <c r="G1616" t="s">
        <v>351</v>
      </c>
      <c r="J1616" t="s">
        <v>3456</v>
      </c>
      <c r="K1616" t="s">
        <v>38</v>
      </c>
      <c r="L1616" t="s">
        <v>38</v>
      </c>
      <c r="M1616" t="s">
        <v>38</v>
      </c>
      <c r="N1616" t="s">
        <v>38</v>
      </c>
      <c r="O1616" t="s">
        <v>38</v>
      </c>
      <c r="T1616" t="s">
        <v>38</v>
      </c>
      <c r="U1616">
        <v>0</v>
      </c>
      <c r="W1616">
        <v>0</v>
      </c>
      <c r="X1616">
        <v>0</v>
      </c>
      <c r="Y1616">
        <v>0</v>
      </c>
      <c r="AE1616">
        <f t="shared" si="75"/>
        <v>1</v>
      </c>
      <c r="AF1616">
        <f>VLOOKUP(D1616,especies!$A$2:$C$9,3,FALSE)</f>
        <v>1</v>
      </c>
      <c r="AG1616" t="str">
        <f t="shared" si="76"/>
        <v>1-Mestizo</v>
      </c>
      <c r="AH1616">
        <f>VLOOKUP('Fichas clínicas'!AG1616,razas!$A$2:$D$66,3,FALSE)</f>
        <v>1</v>
      </c>
      <c r="AI1616" t="str">
        <f t="shared" si="77"/>
        <v>M</v>
      </c>
    </row>
    <row r="1617" spans="1:35" x14ac:dyDescent="0.2">
      <c r="A1617">
        <v>1619</v>
      </c>
      <c r="B1617" t="s">
        <v>3586</v>
      </c>
      <c r="C1617" t="s">
        <v>3587</v>
      </c>
      <c r="D1617" t="s">
        <v>1663</v>
      </c>
      <c r="E1617" t="s">
        <v>1664</v>
      </c>
      <c r="F1617" t="s">
        <v>47</v>
      </c>
      <c r="G1617" t="s">
        <v>3588</v>
      </c>
      <c r="J1617" t="s">
        <v>3015</v>
      </c>
      <c r="K1617" t="s">
        <v>38</v>
      </c>
      <c r="L1617" t="s">
        <v>38</v>
      </c>
      <c r="M1617" t="s">
        <v>38</v>
      </c>
      <c r="N1617" t="s">
        <v>38</v>
      </c>
      <c r="O1617" t="s">
        <v>38</v>
      </c>
      <c r="Q1617">
        <v>0</v>
      </c>
      <c r="T1617" t="s">
        <v>38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f t="shared" si="75"/>
        <v>1</v>
      </c>
      <c r="AF1617">
        <f>VLOOKUP(D1617,especies!$A$2:$C$9,3,FALSE)</f>
        <v>5</v>
      </c>
      <c r="AG1617" t="str">
        <f t="shared" si="76"/>
        <v>5-Hamster Dorado</v>
      </c>
      <c r="AH1617">
        <f>VLOOKUP('Fichas clínicas'!AG1617,razas!$A$2:$D$66,3,FALSE)</f>
        <v>57</v>
      </c>
      <c r="AI1617" t="str">
        <f t="shared" si="77"/>
        <v>M</v>
      </c>
    </row>
    <row r="1618" spans="1:35" x14ac:dyDescent="0.2">
      <c r="A1618">
        <v>1620</v>
      </c>
      <c r="B1618" t="s">
        <v>3589</v>
      </c>
      <c r="C1618" t="s">
        <v>3590</v>
      </c>
      <c r="D1618" t="s">
        <v>41</v>
      </c>
      <c r="E1618" t="s">
        <v>42</v>
      </c>
      <c r="F1618" t="s">
        <v>34</v>
      </c>
      <c r="G1618" t="s">
        <v>300</v>
      </c>
      <c r="J1618" t="s">
        <v>3381</v>
      </c>
      <c r="K1618" t="s">
        <v>38</v>
      </c>
      <c r="L1618" t="s">
        <v>38</v>
      </c>
      <c r="M1618" t="s">
        <v>38</v>
      </c>
      <c r="N1618" t="s">
        <v>38</v>
      </c>
      <c r="O1618" t="s">
        <v>38</v>
      </c>
      <c r="T1618" t="s">
        <v>38</v>
      </c>
      <c r="U1618">
        <v>0</v>
      </c>
      <c r="W1618">
        <v>0</v>
      </c>
      <c r="X1618">
        <v>0</v>
      </c>
      <c r="Y1618">
        <v>0</v>
      </c>
      <c r="AE1618">
        <f t="shared" si="75"/>
        <v>1</v>
      </c>
      <c r="AF1618">
        <f>VLOOKUP(D1618,especies!$A$2:$C$9,3,FALSE)</f>
        <v>2</v>
      </c>
      <c r="AG1618" t="str">
        <f t="shared" si="76"/>
        <v>2-DPC (Doméstico de pelo corto o DSH)</v>
      </c>
      <c r="AH1618">
        <f>VLOOKUP('Fichas clínicas'!AG1618,razas!$A$2:$D$66,3,FALSE)</f>
        <v>51</v>
      </c>
      <c r="AI1618" t="str">
        <f t="shared" si="77"/>
        <v>H</v>
      </c>
    </row>
    <row r="1619" spans="1:35" x14ac:dyDescent="0.2">
      <c r="A1619">
        <v>1621</v>
      </c>
      <c r="B1619" t="s">
        <v>3591</v>
      </c>
      <c r="C1619" t="s">
        <v>3592</v>
      </c>
      <c r="D1619" t="s">
        <v>32</v>
      </c>
      <c r="E1619" t="s">
        <v>33</v>
      </c>
      <c r="F1619" t="s">
        <v>47</v>
      </c>
      <c r="G1619" t="s">
        <v>694</v>
      </c>
      <c r="J1619" t="s">
        <v>348</v>
      </c>
      <c r="K1619" t="s">
        <v>38</v>
      </c>
      <c r="L1619" t="s">
        <v>38</v>
      </c>
      <c r="M1619" t="s">
        <v>38</v>
      </c>
      <c r="N1619" t="s">
        <v>38</v>
      </c>
      <c r="O1619" t="s">
        <v>38</v>
      </c>
      <c r="T1619" t="s">
        <v>38</v>
      </c>
      <c r="U1619">
        <v>0</v>
      </c>
      <c r="W1619">
        <v>0</v>
      </c>
      <c r="X1619">
        <v>0</v>
      </c>
      <c r="Y1619">
        <v>0</v>
      </c>
      <c r="AE1619">
        <f t="shared" si="75"/>
        <v>1</v>
      </c>
      <c r="AF1619">
        <f>VLOOKUP(D1619,especies!$A$2:$C$9,3,FALSE)</f>
        <v>1</v>
      </c>
      <c r="AG1619" t="str">
        <f t="shared" si="76"/>
        <v>1-Mestizo</v>
      </c>
      <c r="AH1619">
        <f>VLOOKUP('Fichas clínicas'!AG1619,razas!$A$2:$D$66,3,FALSE)</f>
        <v>1</v>
      </c>
      <c r="AI1619" t="str">
        <f t="shared" si="77"/>
        <v>M</v>
      </c>
    </row>
    <row r="1620" spans="1:35" x14ac:dyDescent="0.2">
      <c r="A1620">
        <v>1622</v>
      </c>
      <c r="B1620" t="s">
        <v>602</v>
      </c>
      <c r="C1620" t="s">
        <v>3593</v>
      </c>
      <c r="D1620" t="s">
        <v>32</v>
      </c>
      <c r="E1620" t="s">
        <v>33</v>
      </c>
      <c r="F1620" t="s">
        <v>34</v>
      </c>
      <c r="G1620" t="s">
        <v>73</v>
      </c>
      <c r="J1620" t="s">
        <v>3594</v>
      </c>
      <c r="K1620" t="s">
        <v>38</v>
      </c>
      <c r="L1620" t="s">
        <v>38</v>
      </c>
      <c r="M1620" t="s">
        <v>38</v>
      </c>
      <c r="N1620" t="s">
        <v>38</v>
      </c>
      <c r="O1620" t="s">
        <v>38</v>
      </c>
      <c r="Q1620">
        <v>0</v>
      </c>
      <c r="T1620" t="s">
        <v>38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f t="shared" si="75"/>
        <v>1</v>
      </c>
      <c r="AF1620">
        <f>VLOOKUP(D1620,especies!$A$2:$C$9,3,FALSE)</f>
        <v>1</v>
      </c>
      <c r="AG1620" t="str">
        <f t="shared" si="76"/>
        <v>1-Mestizo</v>
      </c>
      <c r="AH1620">
        <f>VLOOKUP('Fichas clínicas'!AG1620,razas!$A$2:$D$66,3,FALSE)</f>
        <v>1</v>
      </c>
      <c r="AI1620" t="str">
        <f t="shared" si="77"/>
        <v>H</v>
      </c>
    </row>
    <row r="1621" spans="1:35" x14ac:dyDescent="0.2">
      <c r="A1621">
        <v>1623</v>
      </c>
      <c r="B1621" t="s">
        <v>3595</v>
      </c>
      <c r="C1621" t="s">
        <v>3596</v>
      </c>
      <c r="D1621" t="s">
        <v>32</v>
      </c>
      <c r="E1621" t="s">
        <v>33</v>
      </c>
      <c r="F1621" t="s">
        <v>34</v>
      </c>
      <c r="G1621" t="s">
        <v>2088</v>
      </c>
      <c r="J1621" t="s">
        <v>3597</v>
      </c>
      <c r="K1621" t="s">
        <v>38</v>
      </c>
      <c r="L1621" t="s">
        <v>38</v>
      </c>
      <c r="M1621" t="s">
        <v>38</v>
      </c>
      <c r="N1621" t="s">
        <v>38</v>
      </c>
      <c r="O1621" t="s">
        <v>38</v>
      </c>
      <c r="Q1621">
        <v>0</v>
      </c>
      <c r="T1621" t="s">
        <v>38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f t="shared" si="75"/>
        <v>1</v>
      </c>
      <c r="AF1621">
        <f>VLOOKUP(D1621,especies!$A$2:$C$9,3,FALSE)</f>
        <v>1</v>
      </c>
      <c r="AG1621" t="str">
        <f t="shared" si="76"/>
        <v>1-Mestizo</v>
      </c>
      <c r="AH1621">
        <f>VLOOKUP('Fichas clínicas'!AG1621,razas!$A$2:$D$66,3,FALSE)</f>
        <v>1</v>
      </c>
      <c r="AI1621" t="str">
        <f t="shared" si="77"/>
        <v>H</v>
      </c>
    </row>
    <row r="1622" spans="1:35" x14ac:dyDescent="0.2">
      <c r="A1622">
        <v>1624</v>
      </c>
      <c r="B1622" t="s">
        <v>3598</v>
      </c>
      <c r="C1622" t="s">
        <v>3599</v>
      </c>
      <c r="D1622" t="s">
        <v>242</v>
      </c>
      <c r="E1622" t="s">
        <v>242</v>
      </c>
      <c r="F1622" t="s">
        <v>34</v>
      </c>
      <c r="G1622" t="s">
        <v>1054</v>
      </c>
      <c r="J1622" t="s">
        <v>3600</v>
      </c>
      <c r="K1622" t="s">
        <v>38</v>
      </c>
      <c r="L1622" t="s">
        <v>38</v>
      </c>
      <c r="M1622" t="s">
        <v>38</v>
      </c>
      <c r="N1622" t="s">
        <v>38</v>
      </c>
      <c r="O1622" t="s">
        <v>38</v>
      </c>
      <c r="T1622" t="s">
        <v>38</v>
      </c>
      <c r="U1622">
        <v>0</v>
      </c>
      <c r="V1622">
        <v>1</v>
      </c>
      <c r="W1622">
        <v>0</v>
      </c>
      <c r="X1622">
        <v>0</v>
      </c>
      <c r="Y1622">
        <v>0</v>
      </c>
      <c r="AE1622">
        <f t="shared" si="75"/>
        <v>1</v>
      </c>
      <c r="AF1622">
        <f>VLOOKUP(D1622,especies!$A$2:$C$9,3,FALSE)</f>
        <v>3</v>
      </c>
      <c r="AG1622" t="str">
        <f t="shared" si="76"/>
        <v>3-Otra</v>
      </c>
      <c r="AH1622">
        <f>VLOOKUP('Fichas clínicas'!AG1622,razas!$A$2:$D$66,3,FALSE)</f>
        <v>55</v>
      </c>
      <c r="AI1622" t="str">
        <f t="shared" si="77"/>
        <v>H</v>
      </c>
    </row>
    <row r="1623" spans="1:35" x14ac:dyDescent="0.2">
      <c r="A1623">
        <v>1625</v>
      </c>
      <c r="B1623" t="s">
        <v>916</v>
      </c>
      <c r="C1623" t="s">
        <v>2107</v>
      </c>
      <c r="D1623" t="s">
        <v>32</v>
      </c>
      <c r="E1623" t="s">
        <v>33</v>
      </c>
      <c r="F1623" t="s">
        <v>34</v>
      </c>
      <c r="G1623" t="s">
        <v>2047</v>
      </c>
      <c r="J1623" t="s">
        <v>3601</v>
      </c>
      <c r="K1623" t="s">
        <v>38</v>
      </c>
      <c r="L1623" t="s">
        <v>38</v>
      </c>
      <c r="M1623" t="s">
        <v>38</v>
      </c>
      <c r="N1623" t="s">
        <v>38</v>
      </c>
      <c r="O1623" t="s">
        <v>38</v>
      </c>
      <c r="Q1623">
        <v>0</v>
      </c>
      <c r="T1623" t="s">
        <v>38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f t="shared" si="75"/>
        <v>1</v>
      </c>
      <c r="AF1623">
        <f>VLOOKUP(D1623,especies!$A$2:$C$9,3,FALSE)</f>
        <v>1</v>
      </c>
      <c r="AG1623" t="str">
        <f t="shared" si="76"/>
        <v>1-Mestizo</v>
      </c>
      <c r="AH1623">
        <f>VLOOKUP('Fichas clínicas'!AG1623,razas!$A$2:$D$66,3,FALSE)</f>
        <v>1</v>
      </c>
      <c r="AI1623" t="str">
        <f t="shared" si="77"/>
        <v>H</v>
      </c>
    </row>
    <row r="1624" spans="1:35" x14ac:dyDescent="0.2">
      <c r="A1624">
        <v>1626</v>
      </c>
      <c r="B1624" t="s">
        <v>3602</v>
      </c>
      <c r="C1624" t="s">
        <v>3277</v>
      </c>
      <c r="D1624" t="s">
        <v>41</v>
      </c>
      <c r="E1624" t="s">
        <v>42</v>
      </c>
      <c r="F1624" t="s">
        <v>34</v>
      </c>
      <c r="G1624" t="s">
        <v>2267</v>
      </c>
      <c r="J1624" t="s">
        <v>3603</v>
      </c>
      <c r="K1624" t="s">
        <v>38</v>
      </c>
      <c r="L1624" t="s">
        <v>38</v>
      </c>
      <c r="M1624" t="s">
        <v>38</v>
      </c>
      <c r="N1624" t="s">
        <v>38</v>
      </c>
      <c r="O1624" t="s">
        <v>38</v>
      </c>
      <c r="T1624" t="s">
        <v>38</v>
      </c>
      <c r="U1624">
        <v>0</v>
      </c>
      <c r="V1624">
        <v>1</v>
      </c>
      <c r="W1624">
        <v>0</v>
      </c>
      <c r="X1624">
        <v>0</v>
      </c>
      <c r="Y1624">
        <v>0</v>
      </c>
      <c r="AE1624">
        <f t="shared" si="75"/>
        <v>1</v>
      </c>
      <c r="AF1624">
        <f>VLOOKUP(D1624,especies!$A$2:$C$9,3,FALSE)</f>
        <v>2</v>
      </c>
      <c r="AG1624" t="str">
        <f t="shared" si="76"/>
        <v>2-DPC (Doméstico de pelo corto o DSH)</v>
      </c>
      <c r="AH1624">
        <f>VLOOKUP('Fichas clínicas'!AG1624,razas!$A$2:$D$66,3,FALSE)</f>
        <v>51</v>
      </c>
      <c r="AI1624" t="str">
        <f t="shared" si="77"/>
        <v>H</v>
      </c>
    </row>
    <row r="1625" spans="1:35" x14ac:dyDescent="0.2">
      <c r="A1625">
        <v>1627</v>
      </c>
      <c r="B1625" t="s">
        <v>3604</v>
      </c>
      <c r="C1625" t="s">
        <v>2811</v>
      </c>
      <c r="D1625" t="s">
        <v>41</v>
      </c>
      <c r="E1625" t="s">
        <v>42</v>
      </c>
      <c r="F1625" t="s">
        <v>34</v>
      </c>
      <c r="G1625" t="s">
        <v>2122</v>
      </c>
      <c r="J1625" t="s">
        <v>359</v>
      </c>
      <c r="K1625" t="s">
        <v>38</v>
      </c>
      <c r="L1625" t="s">
        <v>38</v>
      </c>
      <c r="M1625" t="s">
        <v>38</v>
      </c>
      <c r="N1625" t="s">
        <v>38</v>
      </c>
      <c r="O1625" t="s">
        <v>38</v>
      </c>
      <c r="T1625" t="s">
        <v>38</v>
      </c>
      <c r="U1625">
        <v>0</v>
      </c>
      <c r="V1625">
        <v>1</v>
      </c>
      <c r="W1625">
        <v>0</v>
      </c>
      <c r="X1625">
        <v>0</v>
      </c>
      <c r="Y1625">
        <v>0</v>
      </c>
      <c r="AE1625">
        <f t="shared" si="75"/>
        <v>1</v>
      </c>
      <c r="AF1625">
        <f>VLOOKUP(D1625,especies!$A$2:$C$9,3,FALSE)</f>
        <v>2</v>
      </c>
      <c r="AG1625" t="str">
        <f t="shared" si="76"/>
        <v>2-DPC (Doméstico de pelo corto o DSH)</v>
      </c>
      <c r="AH1625">
        <f>VLOOKUP('Fichas clínicas'!AG1625,razas!$A$2:$D$66,3,FALSE)</f>
        <v>51</v>
      </c>
      <c r="AI1625" t="str">
        <f t="shared" si="77"/>
        <v>H</v>
      </c>
    </row>
    <row r="1626" spans="1:35" x14ac:dyDescent="0.2">
      <c r="A1626">
        <v>1628</v>
      </c>
      <c r="B1626" t="s">
        <v>1053</v>
      </c>
      <c r="C1626" t="s">
        <v>2001</v>
      </c>
      <c r="D1626" t="s">
        <v>41</v>
      </c>
      <c r="E1626" t="s">
        <v>42</v>
      </c>
      <c r="F1626" t="s">
        <v>34</v>
      </c>
      <c r="G1626" t="s">
        <v>2801</v>
      </c>
      <c r="J1626" t="s">
        <v>3605</v>
      </c>
      <c r="K1626" t="s">
        <v>38</v>
      </c>
      <c r="L1626" t="s">
        <v>38</v>
      </c>
      <c r="M1626" t="s">
        <v>38</v>
      </c>
      <c r="N1626" t="s">
        <v>38</v>
      </c>
      <c r="O1626" t="s">
        <v>38</v>
      </c>
      <c r="T1626" t="s">
        <v>38</v>
      </c>
      <c r="U1626">
        <v>0</v>
      </c>
      <c r="W1626">
        <v>0</v>
      </c>
      <c r="X1626">
        <v>0</v>
      </c>
      <c r="Y1626">
        <v>0</v>
      </c>
      <c r="AE1626">
        <f t="shared" si="75"/>
        <v>1</v>
      </c>
      <c r="AF1626">
        <f>VLOOKUP(D1626,especies!$A$2:$C$9,3,FALSE)</f>
        <v>2</v>
      </c>
      <c r="AG1626" t="str">
        <f t="shared" si="76"/>
        <v>2-DPC (Doméstico de pelo corto o DSH)</v>
      </c>
      <c r="AH1626">
        <f>VLOOKUP('Fichas clínicas'!AG1626,razas!$A$2:$D$66,3,FALSE)</f>
        <v>51</v>
      </c>
      <c r="AI1626" t="str">
        <f t="shared" si="77"/>
        <v>H</v>
      </c>
    </row>
    <row r="1627" spans="1:35" x14ac:dyDescent="0.2">
      <c r="A1627">
        <v>1629</v>
      </c>
      <c r="B1627" t="s">
        <v>3606</v>
      </c>
      <c r="C1627" t="s">
        <v>3607</v>
      </c>
      <c r="D1627" t="s">
        <v>32</v>
      </c>
      <c r="E1627" t="s">
        <v>150</v>
      </c>
      <c r="F1627" t="s">
        <v>47</v>
      </c>
      <c r="G1627" t="s">
        <v>1547</v>
      </c>
      <c r="J1627" t="s">
        <v>3608</v>
      </c>
      <c r="K1627" t="s">
        <v>38</v>
      </c>
      <c r="L1627" t="s">
        <v>38</v>
      </c>
      <c r="M1627" t="s">
        <v>38</v>
      </c>
      <c r="N1627" t="s">
        <v>38</v>
      </c>
      <c r="O1627" t="s">
        <v>38</v>
      </c>
      <c r="T1627" t="s">
        <v>38</v>
      </c>
      <c r="U1627">
        <v>0</v>
      </c>
      <c r="W1627">
        <v>0</v>
      </c>
      <c r="X1627">
        <v>0</v>
      </c>
      <c r="Y1627">
        <v>0</v>
      </c>
      <c r="AE1627">
        <f t="shared" si="75"/>
        <v>1</v>
      </c>
      <c r="AF1627">
        <f>VLOOKUP(D1627,especies!$A$2:$C$9,3,FALSE)</f>
        <v>1</v>
      </c>
      <c r="AG1627" t="str">
        <f t="shared" si="76"/>
        <v>1-Poodle</v>
      </c>
      <c r="AH1627">
        <f>VLOOKUP('Fichas clínicas'!AG1627,razas!$A$2:$D$66,3,FALSE)</f>
        <v>6</v>
      </c>
      <c r="AI1627" t="str">
        <f t="shared" si="77"/>
        <v>M</v>
      </c>
    </row>
    <row r="1628" spans="1:35" x14ac:dyDescent="0.2">
      <c r="A1628">
        <v>1630</v>
      </c>
      <c r="B1628" t="s">
        <v>3609</v>
      </c>
      <c r="C1628" t="s">
        <v>2877</v>
      </c>
      <c r="D1628" t="s">
        <v>32</v>
      </c>
      <c r="E1628" t="s">
        <v>150</v>
      </c>
      <c r="F1628" t="s">
        <v>47</v>
      </c>
      <c r="G1628" t="s">
        <v>1915</v>
      </c>
      <c r="J1628" t="s">
        <v>3608</v>
      </c>
      <c r="K1628" t="s">
        <v>38</v>
      </c>
      <c r="L1628" t="s">
        <v>38</v>
      </c>
      <c r="M1628" t="s">
        <v>38</v>
      </c>
      <c r="N1628" t="s">
        <v>38</v>
      </c>
      <c r="O1628" t="s">
        <v>38</v>
      </c>
      <c r="T1628" t="s">
        <v>38</v>
      </c>
      <c r="U1628">
        <v>0</v>
      </c>
      <c r="W1628">
        <v>0</v>
      </c>
      <c r="X1628">
        <v>0</v>
      </c>
      <c r="Y1628">
        <v>0</v>
      </c>
      <c r="AE1628">
        <f t="shared" si="75"/>
        <v>1</v>
      </c>
      <c r="AF1628">
        <f>VLOOKUP(D1628,especies!$A$2:$C$9,3,FALSE)</f>
        <v>1</v>
      </c>
      <c r="AG1628" t="str">
        <f t="shared" si="76"/>
        <v>1-Poodle</v>
      </c>
      <c r="AH1628">
        <f>VLOOKUP('Fichas clínicas'!AG1628,razas!$A$2:$D$66,3,FALSE)</f>
        <v>6</v>
      </c>
      <c r="AI1628" t="str">
        <f t="shared" si="77"/>
        <v>M</v>
      </c>
    </row>
    <row r="1629" spans="1:35" x14ac:dyDescent="0.2">
      <c r="A1629">
        <v>1631</v>
      </c>
      <c r="B1629" t="s">
        <v>3610</v>
      </c>
      <c r="C1629" t="s">
        <v>1573</v>
      </c>
      <c r="D1629" t="s">
        <v>32</v>
      </c>
      <c r="E1629" t="s">
        <v>72</v>
      </c>
      <c r="F1629" t="s">
        <v>34</v>
      </c>
      <c r="G1629" t="s">
        <v>351</v>
      </c>
      <c r="J1629" t="s">
        <v>3611</v>
      </c>
      <c r="K1629" t="s">
        <v>38</v>
      </c>
      <c r="L1629" t="s">
        <v>38</v>
      </c>
      <c r="M1629" t="s">
        <v>38</v>
      </c>
      <c r="N1629" t="s">
        <v>38</v>
      </c>
      <c r="O1629" t="s">
        <v>38</v>
      </c>
      <c r="T1629" t="s">
        <v>38</v>
      </c>
      <c r="U1629">
        <v>0</v>
      </c>
      <c r="W1629">
        <v>0</v>
      </c>
      <c r="X1629">
        <v>0</v>
      </c>
      <c r="Y1629">
        <v>0</v>
      </c>
      <c r="AE1629">
        <f t="shared" si="75"/>
        <v>1</v>
      </c>
      <c r="AF1629">
        <f>VLOOKUP(D1629,especies!$A$2:$C$9,3,FALSE)</f>
        <v>1</v>
      </c>
      <c r="AG1629" t="str">
        <f t="shared" si="76"/>
        <v>1-Shar-Pei</v>
      </c>
      <c r="AH1629">
        <f>VLOOKUP('Fichas clínicas'!AG1629,razas!$A$2:$D$66,3,FALSE)</f>
        <v>3</v>
      </c>
      <c r="AI1629" t="str">
        <f t="shared" si="77"/>
        <v>H</v>
      </c>
    </row>
    <row r="1630" spans="1:35" x14ac:dyDescent="0.2">
      <c r="A1630">
        <v>1632</v>
      </c>
      <c r="B1630" t="s">
        <v>3612</v>
      </c>
      <c r="C1630" t="s">
        <v>1655</v>
      </c>
      <c r="D1630" t="s">
        <v>32</v>
      </c>
      <c r="E1630" t="s">
        <v>33</v>
      </c>
      <c r="F1630" t="s">
        <v>47</v>
      </c>
      <c r="G1630" t="s">
        <v>3557</v>
      </c>
      <c r="J1630" t="s">
        <v>3613</v>
      </c>
      <c r="K1630" t="s">
        <v>38</v>
      </c>
      <c r="L1630" t="s">
        <v>38</v>
      </c>
      <c r="M1630" t="s">
        <v>38</v>
      </c>
      <c r="N1630" t="s">
        <v>38</v>
      </c>
      <c r="O1630" t="s">
        <v>38</v>
      </c>
      <c r="T1630" t="s">
        <v>38</v>
      </c>
      <c r="U1630">
        <v>0</v>
      </c>
      <c r="V1630">
        <v>1</v>
      </c>
      <c r="W1630">
        <v>0</v>
      </c>
      <c r="X1630">
        <v>0</v>
      </c>
      <c r="Y1630">
        <v>0</v>
      </c>
      <c r="AE1630">
        <f t="shared" si="75"/>
        <v>1</v>
      </c>
      <c r="AF1630">
        <f>VLOOKUP(D1630,especies!$A$2:$C$9,3,FALSE)</f>
        <v>1</v>
      </c>
      <c r="AG1630" t="str">
        <f t="shared" si="76"/>
        <v>1-Mestizo</v>
      </c>
      <c r="AH1630">
        <f>VLOOKUP('Fichas clínicas'!AG1630,razas!$A$2:$D$66,3,FALSE)</f>
        <v>1</v>
      </c>
      <c r="AI1630" t="str">
        <f t="shared" si="77"/>
        <v>M</v>
      </c>
    </row>
    <row r="1631" spans="1:35" x14ac:dyDescent="0.2">
      <c r="A1631">
        <v>1633</v>
      </c>
      <c r="B1631" t="s">
        <v>3614</v>
      </c>
      <c r="C1631" t="s">
        <v>3615</v>
      </c>
      <c r="D1631" t="s">
        <v>41</v>
      </c>
      <c r="E1631" t="s">
        <v>42</v>
      </c>
      <c r="F1631" t="s">
        <v>47</v>
      </c>
      <c r="G1631" t="s">
        <v>1547</v>
      </c>
      <c r="J1631" t="s">
        <v>1208</v>
      </c>
      <c r="K1631" t="s">
        <v>38</v>
      </c>
      <c r="L1631" t="s">
        <v>38</v>
      </c>
      <c r="M1631" t="s">
        <v>38</v>
      </c>
      <c r="N1631" t="s">
        <v>38</v>
      </c>
      <c r="O1631" t="s">
        <v>38</v>
      </c>
      <c r="T1631" t="s">
        <v>38</v>
      </c>
      <c r="U1631">
        <v>0</v>
      </c>
      <c r="V1631">
        <v>1</v>
      </c>
      <c r="W1631">
        <v>0</v>
      </c>
      <c r="X1631">
        <v>0</v>
      </c>
      <c r="Y1631">
        <v>0</v>
      </c>
      <c r="AE1631">
        <f t="shared" si="75"/>
        <v>1</v>
      </c>
      <c r="AF1631">
        <f>VLOOKUP(D1631,especies!$A$2:$C$9,3,FALSE)</f>
        <v>2</v>
      </c>
      <c r="AG1631" t="str">
        <f t="shared" si="76"/>
        <v>2-DPC (Doméstico de pelo corto o DSH)</v>
      </c>
      <c r="AH1631">
        <f>VLOOKUP('Fichas clínicas'!AG1631,razas!$A$2:$D$66,3,FALSE)</f>
        <v>51</v>
      </c>
      <c r="AI1631" t="str">
        <f t="shared" si="77"/>
        <v>M</v>
      </c>
    </row>
    <row r="1632" spans="1:35" x14ac:dyDescent="0.2">
      <c r="A1632">
        <v>1634</v>
      </c>
      <c r="B1632" t="s">
        <v>3523</v>
      </c>
      <c r="C1632" t="s">
        <v>3616</v>
      </c>
      <c r="D1632" t="s">
        <v>41</v>
      </c>
      <c r="E1632" t="s">
        <v>42</v>
      </c>
      <c r="F1632" t="s">
        <v>34</v>
      </c>
      <c r="G1632" t="s">
        <v>3617</v>
      </c>
      <c r="J1632" t="s">
        <v>3210</v>
      </c>
      <c r="K1632" t="s">
        <v>38</v>
      </c>
      <c r="L1632" t="s">
        <v>38</v>
      </c>
      <c r="M1632" t="s">
        <v>38</v>
      </c>
      <c r="N1632" t="s">
        <v>38</v>
      </c>
      <c r="O1632" t="s">
        <v>38</v>
      </c>
      <c r="Q1632">
        <v>0</v>
      </c>
      <c r="T1632" t="s">
        <v>38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f t="shared" si="75"/>
        <v>1</v>
      </c>
      <c r="AF1632">
        <f>VLOOKUP(D1632,especies!$A$2:$C$9,3,FALSE)</f>
        <v>2</v>
      </c>
      <c r="AG1632" t="str">
        <f t="shared" si="76"/>
        <v>2-DPC (Doméstico de pelo corto o DSH)</v>
      </c>
      <c r="AH1632">
        <f>VLOOKUP('Fichas clínicas'!AG1632,razas!$A$2:$D$66,3,FALSE)</f>
        <v>51</v>
      </c>
      <c r="AI1632" t="str">
        <f t="shared" si="77"/>
        <v>H</v>
      </c>
    </row>
    <row r="1633" spans="1:35" x14ac:dyDescent="0.2">
      <c r="A1633">
        <v>1635</v>
      </c>
      <c r="B1633" t="s">
        <v>305</v>
      </c>
      <c r="C1633" t="s">
        <v>3618</v>
      </c>
      <c r="D1633" t="s">
        <v>41</v>
      </c>
      <c r="E1633" t="s">
        <v>42</v>
      </c>
      <c r="F1633" t="s">
        <v>34</v>
      </c>
      <c r="G1633" t="s">
        <v>2812</v>
      </c>
      <c r="J1633" t="s">
        <v>3619</v>
      </c>
      <c r="K1633" t="s">
        <v>38</v>
      </c>
      <c r="L1633" t="s">
        <v>38</v>
      </c>
      <c r="M1633" t="s">
        <v>38</v>
      </c>
      <c r="N1633" t="s">
        <v>38</v>
      </c>
      <c r="O1633" t="s">
        <v>38</v>
      </c>
      <c r="T1633" t="s">
        <v>38</v>
      </c>
      <c r="U1633">
        <v>0</v>
      </c>
      <c r="W1633">
        <v>0</v>
      </c>
      <c r="X1633">
        <v>0</v>
      </c>
      <c r="Y1633">
        <v>0</v>
      </c>
      <c r="AE1633">
        <f t="shared" si="75"/>
        <v>1</v>
      </c>
      <c r="AF1633">
        <f>VLOOKUP(D1633,especies!$A$2:$C$9,3,FALSE)</f>
        <v>2</v>
      </c>
      <c r="AG1633" t="str">
        <f t="shared" si="76"/>
        <v>2-DPC (Doméstico de pelo corto o DSH)</v>
      </c>
      <c r="AH1633">
        <f>VLOOKUP('Fichas clínicas'!AG1633,razas!$A$2:$D$66,3,FALSE)</f>
        <v>51</v>
      </c>
      <c r="AI1633" t="str">
        <f t="shared" si="77"/>
        <v>H</v>
      </c>
    </row>
    <row r="1634" spans="1:35" x14ac:dyDescent="0.2">
      <c r="A1634">
        <v>1636</v>
      </c>
      <c r="B1634" t="s">
        <v>3620</v>
      </c>
      <c r="C1634" t="s">
        <v>3621</v>
      </c>
      <c r="D1634" t="s">
        <v>41</v>
      </c>
      <c r="E1634" t="s">
        <v>42</v>
      </c>
      <c r="F1634" t="s">
        <v>47</v>
      </c>
      <c r="G1634" t="s">
        <v>2812</v>
      </c>
      <c r="J1634" t="s">
        <v>533</v>
      </c>
      <c r="K1634" t="s">
        <v>38</v>
      </c>
      <c r="L1634" t="s">
        <v>38</v>
      </c>
      <c r="M1634" t="s">
        <v>38</v>
      </c>
      <c r="N1634" t="s">
        <v>38</v>
      </c>
      <c r="O1634" t="s">
        <v>38</v>
      </c>
      <c r="T1634" t="s">
        <v>38</v>
      </c>
      <c r="U1634">
        <v>0</v>
      </c>
      <c r="V1634">
        <v>1</v>
      </c>
      <c r="W1634">
        <v>0</v>
      </c>
      <c r="X1634">
        <v>0</v>
      </c>
      <c r="Y1634">
        <v>0</v>
      </c>
      <c r="AE1634">
        <f t="shared" si="75"/>
        <v>1</v>
      </c>
      <c r="AF1634">
        <f>VLOOKUP(D1634,especies!$A$2:$C$9,3,FALSE)</f>
        <v>2</v>
      </c>
      <c r="AG1634" t="str">
        <f t="shared" si="76"/>
        <v>2-DPC (Doméstico de pelo corto o DSH)</v>
      </c>
      <c r="AH1634">
        <f>VLOOKUP('Fichas clínicas'!AG1634,razas!$A$2:$D$66,3,FALSE)</f>
        <v>51</v>
      </c>
      <c r="AI1634" t="str">
        <f t="shared" si="77"/>
        <v>M</v>
      </c>
    </row>
    <row r="1635" spans="1:35" x14ac:dyDescent="0.2">
      <c r="A1635">
        <v>1637</v>
      </c>
      <c r="B1635" t="s">
        <v>3622</v>
      </c>
      <c r="C1635" t="s">
        <v>1773</v>
      </c>
      <c r="D1635" t="s">
        <v>32</v>
      </c>
      <c r="E1635" t="s">
        <v>33</v>
      </c>
      <c r="F1635" t="s">
        <v>34</v>
      </c>
      <c r="G1635" t="s">
        <v>2878</v>
      </c>
      <c r="J1635" t="s">
        <v>3623</v>
      </c>
      <c r="K1635" t="s">
        <v>38</v>
      </c>
      <c r="L1635" t="s">
        <v>38</v>
      </c>
      <c r="M1635" t="s">
        <v>38</v>
      </c>
      <c r="N1635" t="s">
        <v>38</v>
      </c>
      <c r="O1635" t="s">
        <v>38</v>
      </c>
      <c r="T1635" t="s">
        <v>38</v>
      </c>
      <c r="U1635">
        <v>0</v>
      </c>
      <c r="W1635">
        <v>0</v>
      </c>
      <c r="X1635">
        <v>0</v>
      </c>
      <c r="Y1635">
        <v>0</v>
      </c>
      <c r="AE1635">
        <f t="shared" si="75"/>
        <v>1</v>
      </c>
      <c r="AF1635">
        <f>VLOOKUP(D1635,especies!$A$2:$C$9,3,FALSE)</f>
        <v>1</v>
      </c>
      <c r="AG1635" t="str">
        <f t="shared" si="76"/>
        <v>1-Mestizo</v>
      </c>
      <c r="AH1635">
        <f>VLOOKUP('Fichas clínicas'!AG1635,razas!$A$2:$D$66,3,FALSE)</f>
        <v>1</v>
      </c>
      <c r="AI1635" t="str">
        <f t="shared" si="77"/>
        <v>H</v>
      </c>
    </row>
    <row r="1636" spans="1:35" x14ac:dyDescent="0.2">
      <c r="A1636">
        <v>1638</v>
      </c>
      <c r="B1636" t="s">
        <v>3624</v>
      </c>
      <c r="C1636" t="s">
        <v>1462</v>
      </c>
      <c r="D1636" t="s">
        <v>32</v>
      </c>
      <c r="E1636" t="s">
        <v>33</v>
      </c>
      <c r="F1636" t="s">
        <v>34</v>
      </c>
      <c r="G1636" t="s">
        <v>1547</v>
      </c>
      <c r="J1636" t="s">
        <v>3625</v>
      </c>
      <c r="K1636" t="s">
        <v>38</v>
      </c>
      <c r="L1636" t="s">
        <v>38</v>
      </c>
      <c r="M1636" t="s">
        <v>38</v>
      </c>
      <c r="N1636" t="s">
        <v>38</v>
      </c>
      <c r="O1636" t="s">
        <v>38</v>
      </c>
      <c r="Q1636">
        <v>0</v>
      </c>
      <c r="T1636" t="s">
        <v>38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f t="shared" si="75"/>
        <v>1</v>
      </c>
      <c r="AF1636">
        <f>VLOOKUP(D1636,especies!$A$2:$C$9,3,FALSE)</f>
        <v>1</v>
      </c>
      <c r="AG1636" t="str">
        <f t="shared" si="76"/>
        <v>1-Mestizo</v>
      </c>
      <c r="AH1636">
        <f>VLOOKUP('Fichas clínicas'!AG1636,razas!$A$2:$D$66,3,FALSE)</f>
        <v>1</v>
      </c>
      <c r="AI1636" t="str">
        <f t="shared" si="77"/>
        <v>H</v>
      </c>
    </row>
    <row r="1637" spans="1:35" x14ac:dyDescent="0.2">
      <c r="A1637">
        <v>1639</v>
      </c>
      <c r="B1637" t="s">
        <v>3626</v>
      </c>
      <c r="C1637" t="s">
        <v>3627</v>
      </c>
      <c r="D1637" t="s">
        <v>41</v>
      </c>
      <c r="E1637" t="s">
        <v>42</v>
      </c>
      <c r="F1637" t="s">
        <v>34</v>
      </c>
      <c r="G1637" t="s">
        <v>3628</v>
      </c>
      <c r="J1637" t="s">
        <v>3629</v>
      </c>
      <c r="K1637" t="s">
        <v>38</v>
      </c>
      <c r="L1637" t="s">
        <v>38</v>
      </c>
      <c r="M1637" t="s">
        <v>38</v>
      </c>
      <c r="N1637" t="s">
        <v>38</v>
      </c>
      <c r="O1637" t="s">
        <v>38</v>
      </c>
      <c r="T1637" t="s">
        <v>38</v>
      </c>
      <c r="U1637">
        <v>0</v>
      </c>
      <c r="W1637">
        <v>0</v>
      </c>
      <c r="X1637">
        <v>0</v>
      </c>
      <c r="Y1637">
        <v>0</v>
      </c>
      <c r="AE1637">
        <f t="shared" si="75"/>
        <v>1</v>
      </c>
      <c r="AF1637">
        <f>VLOOKUP(D1637,especies!$A$2:$C$9,3,FALSE)</f>
        <v>2</v>
      </c>
      <c r="AG1637" t="str">
        <f t="shared" si="76"/>
        <v>2-DPC (Doméstico de pelo corto o DSH)</v>
      </c>
      <c r="AH1637">
        <f>VLOOKUP('Fichas clínicas'!AG1637,razas!$A$2:$D$66,3,FALSE)</f>
        <v>51</v>
      </c>
      <c r="AI1637" t="str">
        <f t="shared" si="77"/>
        <v>H</v>
      </c>
    </row>
    <row r="1638" spans="1:35" x14ac:dyDescent="0.2">
      <c r="A1638">
        <v>1640</v>
      </c>
      <c r="B1638" t="s">
        <v>778</v>
      </c>
      <c r="C1638" t="s">
        <v>3630</v>
      </c>
      <c r="D1638" t="s">
        <v>32</v>
      </c>
      <c r="E1638" t="s">
        <v>33</v>
      </c>
      <c r="F1638" t="s">
        <v>47</v>
      </c>
      <c r="G1638" t="s">
        <v>300</v>
      </c>
      <c r="J1638" t="s">
        <v>3631</v>
      </c>
      <c r="K1638" t="s">
        <v>38</v>
      </c>
      <c r="L1638" t="s">
        <v>38</v>
      </c>
      <c r="M1638" t="s">
        <v>38</v>
      </c>
      <c r="N1638" t="s">
        <v>38</v>
      </c>
      <c r="O1638" t="s">
        <v>38</v>
      </c>
      <c r="Q1638">
        <v>0</v>
      </c>
      <c r="T1638" t="s">
        <v>38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f t="shared" si="75"/>
        <v>1</v>
      </c>
      <c r="AF1638">
        <f>VLOOKUP(D1638,especies!$A$2:$C$9,3,FALSE)</f>
        <v>1</v>
      </c>
      <c r="AG1638" t="str">
        <f t="shared" si="76"/>
        <v>1-Mestizo</v>
      </c>
      <c r="AH1638">
        <f>VLOOKUP('Fichas clínicas'!AG1638,razas!$A$2:$D$66,3,FALSE)</f>
        <v>1</v>
      </c>
      <c r="AI1638" t="str">
        <f t="shared" si="77"/>
        <v>M</v>
      </c>
    </row>
    <row r="1639" spans="1:35" x14ac:dyDescent="0.2">
      <c r="A1639">
        <v>1641</v>
      </c>
      <c r="B1639" t="s">
        <v>3512</v>
      </c>
      <c r="C1639" t="s">
        <v>496</v>
      </c>
      <c r="D1639" t="s">
        <v>41</v>
      </c>
      <c r="E1639" t="s">
        <v>42</v>
      </c>
      <c r="F1639" t="s">
        <v>47</v>
      </c>
      <c r="G1639" t="s">
        <v>3175</v>
      </c>
      <c r="J1639" t="s">
        <v>3632</v>
      </c>
      <c r="K1639" t="s">
        <v>38</v>
      </c>
      <c r="L1639" t="s">
        <v>38</v>
      </c>
      <c r="M1639" t="s">
        <v>38</v>
      </c>
      <c r="N1639" t="s">
        <v>38</v>
      </c>
      <c r="O1639" t="s">
        <v>38</v>
      </c>
      <c r="Q1639">
        <v>0</v>
      </c>
      <c r="T1639" t="s">
        <v>38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f t="shared" si="75"/>
        <v>1</v>
      </c>
      <c r="AF1639">
        <f>VLOOKUP(D1639,especies!$A$2:$C$9,3,FALSE)</f>
        <v>2</v>
      </c>
      <c r="AG1639" t="str">
        <f t="shared" si="76"/>
        <v>2-DPC (Doméstico de pelo corto o DSH)</v>
      </c>
      <c r="AH1639">
        <f>VLOOKUP('Fichas clínicas'!AG1639,razas!$A$2:$D$66,3,FALSE)</f>
        <v>51</v>
      </c>
      <c r="AI1639" t="str">
        <f t="shared" si="77"/>
        <v>M</v>
      </c>
    </row>
    <row r="1640" spans="1:35" x14ac:dyDescent="0.2">
      <c r="A1640">
        <v>1642</v>
      </c>
      <c r="B1640" t="s">
        <v>3512</v>
      </c>
      <c r="C1640" t="s">
        <v>3633</v>
      </c>
      <c r="D1640" t="s">
        <v>41</v>
      </c>
      <c r="E1640" t="s">
        <v>42</v>
      </c>
      <c r="F1640" t="s">
        <v>47</v>
      </c>
      <c r="G1640" t="s">
        <v>3175</v>
      </c>
      <c r="J1640" t="s">
        <v>3632</v>
      </c>
      <c r="K1640" t="s">
        <v>38</v>
      </c>
      <c r="L1640" t="s">
        <v>38</v>
      </c>
      <c r="M1640" t="s">
        <v>38</v>
      </c>
      <c r="N1640" t="s">
        <v>38</v>
      </c>
      <c r="O1640" t="s">
        <v>38</v>
      </c>
      <c r="Q1640">
        <v>0</v>
      </c>
      <c r="T1640" t="s">
        <v>38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f t="shared" si="75"/>
        <v>1</v>
      </c>
      <c r="AF1640">
        <f>VLOOKUP(D1640,especies!$A$2:$C$9,3,FALSE)</f>
        <v>2</v>
      </c>
      <c r="AG1640" t="str">
        <f t="shared" si="76"/>
        <v>2-DPC (Doméstico de pelo corto o DSH)</v>
      </c>
      <c r="AH1640">
        <f>VLOOKUP('Fichas clínicas'!AG1640,razas!$A$2:$D$66,3,FALSE)</f>
        <v>51</v>
      </c>
      <c r="AI1640" t="str">
        <f t="shared" si="77"/>
        <v>M</v>
      </c>
    </row>
    <row r="1641" spans="1:35" x14ac:dyDescent="0.2">
      <c r="A1641">
        <v>1643</v>
      </c>
      <c r="B1641" t="s">
        <v>3634</v>
      </c>
      <c r="C1641" t="s">
        <v>1584</v>
      </c>
      <c r="D1641" t="s">
        <v>32</v>
      </c>
      <c r="E1641" t="s">
        <v>33</v>
      </c>
      <c r="F1641" t="s">
        <v>47</v>
      </c>
      <c r="G1641" t="s">
        <v>2858</v>
      </c>
      <c r="J1641" t="s">
        <v>3635</v>
      </c>
      <c r="K1641" t="s">
        <v>38</v>
      </c>
      <c r="L1641" t="s">
        <v>38</v>
      </c>
      <c r="M1641" t="s">
        <v>38</v>
      </c>
      <c r="N1641" t="s">
        <v>38</v>
      </c>
      <c r="O1641" t="s">
        <v>38</v>
      </c>
      <c r="T1641" t="s">
        <v>38</v>
      </c>
      <c r="U1641">
        <v>0</v>
      </c>
      <c r="W1641">
        <v>0</v>
      </c>
      <c r="X1641">
        <v>0</v>
      </c>
      <c r="Y1641">
        <v>0</v>
      </c>
      <c r="AE1641">
        <f t="shared" si="75"/>
        <v>1</v>
      </c>
      <c r="AF1641">
        <f>VLOOKUP(D1641,especies!$A$2:$C$9,3,FALSE)</f>
        <v>1</v>
      </c>
      <c r="AG1641" t="str">
        <f t="shared" si="76"/>
        <v>1-Mestizo</v>
      </c>
      <c r="AH1641">
        <f>VLOOKUP('Fichas clínicas'!AG1641,razas!$A$2:$D$66,3,FALSE)</f>
        <v>1</v>
      </c>
      <c r="AI1641" t="str">
        <f t="shared" si="77"/>
        <v>M</v>
      </c>
    </row>
    <row r="1642" spans="1:35" x14ac:dyDescent="0.2">
      <c r="A1642">
        <v>1644</v>
      </c>
      <c r="B1642" t="s">
        <v>3636</v>
      </c>
      <c r="C1642" t="s">
        <v>299</v>
      </c>
      <c r="D1642" t="s">
        <v>41</v>
      </c>
      <c r="E1642" t="s">
        <v>42</v>
      </c>
      <c r="F1642" t="s">
        <v>34</v>
      </c>
      <c r="G1642" t="s">
        <v>1769</v>
      </c>
      <c r="J1642" t="s">
        <v>181</v>
      </c>
      <c r="K1642" t="s">
        <v>38</v>
      </c>
      <c r="L1642" t="s">
        <v>38</v>
      </c>
      <c r="M1642" t="s">
        <v>38</v>
      </c>
      <c r="N1642" t="s">
        <v>38</v>
      </c>
      <c r="O1642" t="s">
        <v>38</v>
      </c>
      <c r="T1642" t="s">
        <v>38</v>
      </c>
      <c r="U1642">
        <v>0</v>
      </c>
      <c r="V1642">
        <v>1</v>
      </c>
      <c r="W1642">
        <v>0</v>
      </c>
      <c r="X1642">
        <v>0</v>
      </c>
      <c r="Y1642">
        <v>0</v>
      </c>
      <c r="AE1642">
        <f t="shared" si="75"/>
        <v>1</v>
      </c>
      <c r="AF1642">
        <f>VLOOKUP(D1642,especies!$A$2:$C$9,3,FALSE)</f>
        <v>2</v>
      </c>
      <c r="AG1642" t="str">
        <f t="shared" si="76"/>
        <v>2-DPC (Doméstico de pelo corto o DSH)</v>
      </c>
      <c r="AH1642">
        <f>VLOOKUP('Fichas clínicas'!AG1642,razas!$A$2:$D$66,3,FALSE)</f>
        <v>51</v>
      </c>
      <c r="AI1642" t="str">
        <f t="shared" si="77"/>
        <v>H</v>
      </c>
    </row>
    <row r="1643" spans="1:35" x14ac:dyDescent="0.2">
      <c r="A1643">
        <v>1645</v>
      </c>
      <c r="B1643" t="s">
        <v>3614</v>
      </c>
      <c r="C1643" t="s">
        <v>3637</v>
      </c>
      <c r="D1643" t="s">
        <v>41</v>
      </c>
      <c r="E1643" t="s">
        <v>42</v>
      </c>
      <c r="F1643" t="s">
        <v>47</v>
      </c>
      <c r="G1643" t="s">
        <v>1639</v>
      </c>
      <c r="I1643">
        <v>991001002932408</v>
      </c>
      <c r="J1643" t="s">
        <v>3638</v>
      </c>
      <c r="K1643" t="s">
        <v>38</v>
      </c>
      <c r="L1643" t="s">
        <v>38</v>
      </c>
      <c r="M1643" t="s">
        <v>38</v>
      </c>
      <c r="N1643" t="s">
        <v>38</v>
      </c>
      <c r="O1643" t="s">
        <v>38</v>
      </c>
      <c r="Q1643">
        <v>0</v>
      </c>
      <c r="T1643" t="s">
        <v>38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f t="shared" si="75"/>
        <v>1</v>
      </c>
      <c r="AF1643">
        <f>VLOOKUP(D1643,especies!$A$2:$C$9,3,FALSE)</f>
        <v>2</v>
      </c>
      <c r="AG1643" t="str">
        <f t="shared" si="76"/>
        <v>2-DPC (Doméstico de pelo corto o DSH)</v>
      </c>
      <c r="AH1643">
        <f>VLOOKUP('Fichas clínicas'!AG1643,razas!$A$2:$D$66,3,FALSE)</f>
        <v>51</v>
      </c>
      <c r="AI1643" t="str">
        <f t="shared" si="77"/>
        <v>M</v>
      </c>
    </row>
    <row r="1644" spans="1:35" x14ac:dyDescent="0.2">
      <c r="A1644">
        <v>1646</v>
      </c>
      <c r="B1644" t="s">
        <v>1386</v>
      </c>
      <c r="C1644" t="s">
        <v>3639</v>
      </c>
      <c r="D1644" t="s">
        <v>41</v>
      </c>
      <c r="E1644" t="s">
        <v>42</v>
      </c>
      <c r="F1644" t="s">
        <v>34</v>
      </c>
      <c r="G1644" t="s">
        <v>1639</v>
      </c>
      <c r="J1644" t="s">
        <v>3640</v>
      </c>
      <c r="K1644" t="s">
        <v>38</v>
      </c>
      <c r="L1644" t="s">
        <v>38</v>
      </c>
      <c r="M1644" t="s">
        <v>38</v>
      </c>
      <c r="N1644" t="s">
        <v>38</v>
      </c>
      <c r="O1644" t="s">
        <v>38</v>
      </c>
      <c r="T1644" t="s">
        <v>38</v>
      </c>
      <c r="U1644">
        <v>0</v>
      </c>
      <c r="W1644">
        <v>0</v>
      </c>
      <c r="X1644">
        <v>0</v>
      </c>
      <c r="Y1644">
        <v>0</v>
      </c>
      <c r="AE1644">
        <f t="shared" si="75"/>
        <v>1</v>
      </c>
      <c r="AF1644">
        <f>VLOOKUP(D1644,especies!$A$2:$C$9,3,FALSE)</f>
        <v>2</v>
      </c>
      <c r="AG1644" t="str">
        <f t="shared" si="76"/>
        <v>2-DPC (Doméstico de pelo corto o DSH)</v>
      </c>
      <c r="AH1644">
        <f>VLOOKUP('Fichas clínicas'!AG1644,razas!$A$2:$D$66,3,FALSE)</f>
        <v>51</v>
      </c>
      <c r="AI1644" t="str">
        <f t="shared" si="77"/>
        <v>H</v>
      </c>
    </row>
    <row r="1645" spans="1:35" x14ac:dyDescent="0.2">
      <c r="A1645">
        <v>1647</v>
      </c>
      <c r="B1645" t="s">
        <v>3641</v>
      </c>
      <c r="C1645" t="s">
        <v>3642</v>
      </c>
      <c r="D1645" t="s">
        <v>41</v>
      </c>
      <c r="E1645" t="s">
        <v>42</v>
      </c>
      <c r="F1645" t="s">
        <v>47</v>
      </c>
      <c r="G1645" t="s">
        <v>2867</v>
      </c>
      <c r="J1645" t="s">
        <v>3643</v>
      </c>
      <c r="K1645" t="s">
        <v>38</v>
      </c>
      <c r="L1645" t="s">
        <v>38</v>
      </c>
      <c r="M1645" t="s">
        <v>38</v>
      </c>
      <c r="N1645" t="s">
        <v>38</v>
      </c>
      <c r="O1645" t="s">
        <v>38</v>
      </c>
      <c r="Q1645">
        <v>0</v>
      </c>
      <c r="T1645" t="s">
        <v>38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f t="shared" si="75"/>
        <v>1</v>
      </c>
      <c r="AF1645">
        <f>VLOOKUP(D1645,especies!$A$2:$C$9,3,FALSE)</f>
        <v>2</v>
      </c>
      <c r="AG1645" t="str">
        <f t="shared" si="76"/>
        <v>2-DPC (Doméstico de pelo corto o DSH)</v>
      </c>
      <c r="AH1645">
        <f>VLOOKUP('Fichas clínicas'!AG1645,razas!$A$2:$D$66,3,FALSE)</f>
        <v>51</v>
      </c>
      <c r="AI1645" t="str">
        <f t="shared" si="77"/>
        <v>M</v>
      </c>
    </row>
    <row r="1646" spans="1:35" x14ac:dyDescent="0.2">
      <c r="A1646">
        <v>1648</v>
      </c>
      <c r="B1646" t="s">
        <v>1978</v>
      </c>
      <c r="C1646" t="s">
        <v>3644</v>
      </c>
      <c r="D1646" t="s">
        <v>32</v>
      </c>
      <c r="E1646" t="s">
        <v>33</v>
      </c>
      <c r="F1646" t="s">
        <v>34</v>
      </c>
      <c r="G1646" t="s">
        <v>2462</v>
      </c>
      <c r="J1646" t="s">
        <v>826</v>
      </c>
      <c r="K1646" t="s">
        <v>38</v>
      </c>
      <c r="L1646" t="s">
        <v>38</v>
      </c>
      <c r="M1646" t="s">
        <v>38</v>
      </c>
      <c r="N1646" t="s">
        <v>38</v>
      </c>
      <c r="O1646" t="s">
        <v>38</v>
      </c>
      <c r="T1646" t="s">
        <v>38</v>
      </c>
      <c r="U1646">
        <v>0</v>
      </c>
      <c r="V1646">
        <v>1</v>
      </c>
      <c r="W1646">
        <v>0</v>
      </c>
      <c r="X1646">
        <v>0</v>
      </c>
      <c r="Y1646">
        <v>0</v>
      </c>
      <c r="AE1646">
        <f t="shared" si="75"/>
        <v>1</v>
      </c>
      <c r="AF1646">
        <f>VLOOKUP(D1646,especies!$A$2:$C$9,3,FALSE)</f>
        <v>1</v>
      </c>
      <c r="AG1646" t="str">
        <f t="shared" si="76"/>
        <v>1-Mestizo</v>
      </c>
      <c r="AH1646">
        <f>VLOOKUP('Fichas clínicas'!AG1646,razas!$A$2:$D$66,3,FALSE)</f>
        <v>1</v>
      </c>
      <c r="AI1646" t="str">
        <f t="shared" si="77"/>
        <v>H</v>
      </c>
    </row>
    <row r="1647" spans="1:35" x14ac:dyDescent="0.2">
      <c r="A1647">
        <v>1649</v>
      </c>
      <c r="B1647" t="s">
        <v>1741</v>
      </c>
      <c r="C1647" t="s">
        <v>2677</v>
      </c>
      <c r="D1647" t="s">
        <v>41</v>
      </c>
      <c r="E1647" t="s">
        <v>42</v>
      </c>
      <c r="F1647" t="s">
        <v>47</v>
      </c>
      <c r="G1647" t="s">
        <v>1073</v>
      </c>
      <c r="J1647" t="s">
        <v>3645</v>
      </c>
      <c r="K1647" t="s">
        <v>38</v>
      </c>
      <c r="L1647" t="s">
        <v>38</v>
      </c>
      <c r="M1647" t="s">
        <v>38</v>
      </c>
      <c r="N1647" t="s">
        <v>38</v>
      </c>
      <c r="O1647" t="s">
        <v>38</v>
      </c>
      <c r="T1647" t="s">
        <v>38</v>
      </c>
      <c r="U1647">
        <v>0</v>
      </c>
      <c r="W1647">
        <v>0</v>
      </c>
      <c r="X1647">
        <v>0</v>
      </c>
      <c r="Y1647">
        <v>0</v>
      </c>
      <c r="AE1647">
        <f t="shared" si="75"/>
        <v>1</v>
      </c>
      <c r="AF1647">
        <f>VLOOKUP(D1647,especies!$A$2:$C$9,3,FALSE)</f>
        <v>2</v>
      </c>
      <c r="AG1647" t="str">
        <f t="shared" si="76"/>
        <v>2-DPC (Doméstico de pelo corto o DSH)</v>
      </c>
      <c r="AH1647">
        <f>VLOOKUP('Fichas clínicas'!AG1647,razas!$A$2:$D$66,3,FALSE)</f>
        <v>51</v>
      </c>
      <c r="AI1647" t="str">
        <f t="shared" si="77"/>
        <v>M</v>
      </c>
    </row>
    <row r="1648" spans="1:35" x14ac:dyDescent="0.2">
      <c r="A1648">
        <v>1650</v>
      </c>
      <c r="B1648" t="s">
        <v>3646</v>
      </c>
      <c r="C1648" t="s">
        <v>3647</v>
      </c>
      <c r="D1648" t="s">
        <v>41</v>
      </c>
      <c r="E1648" t="s">
        <v>42</v>
      </c>
      <c r="F1648" t="s">
        <v>34</v>
      </c>
      <c r="G1648" t="s">
        <v>1054</v>
      </c>
      <c r="J1648" t="s">
        <v>3648</v>
      </c>
      <c r="K1648" t="s">
        <v>38</v>
      </c>
      <c r="L1648" t="s">
        <v>38</v>
      </c>
      <c r="M1648" t="s">
        <v>38</v>
      </c>
      <c r="N1648" t="s">
        <v>38</v>
      </c>
      <c r="O1648" t="s">
        <v>38</v>
      </c>
      <c r="Q1648">
        <v>0</v>
      </c>
      <c r="T1648" t="s">
        <v>38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f t="shared" si="75"/>
        <v>1</v>
      </c>
      <c r="AF1648">
        <f>VLOOKUP(D1648,especies!$A$2:$C$9,3,FALSE)</f>
        <v>2</v>
      </c>
      <c r="AG1648" t="str">
        <f t="shared" si="76"/>
        <v>2-DPC (Doméstico de pelo corto o DSH)</v>
      </c>
      <c r="AH1648">
        <f>VLOOKUP('Fichas clínicas'!AG1648,razas!$A$2:$D$66,3,FALSE)</f>
        <v>51</v>
      </c>
      <c r="AI1648" t="str">
        <f t="shared" si="77"/>
        <v>H</v>
      </c>
    </row>
    <row r="1649" spans="1:35" x14ac:dyDescent="0.2">
      <c r="A1649">
        <v>1651</v>
      </c>
      <c r="B1649" t="s">
        <v>3649</v>
      </c>
      <c r="C1649" t="s">
        <v>3650</v>
      </c>
      <c r="D1649" t="s">
        <v>32</v>
      </c>
      <c r="E1649" t="s">
        <v>33</v>
      </c>
      <c r="F1649" t="s">
        <v>47</v>
      </c>
      <c r="G1649" t="s">
        <v>3022</v>
      </c>
      <c r="J1649" t="s">
        <v>3651</v>
      </c>
      <c r="K1649" t="s">
        <v>38</v>
      </c>
      <c r="L1649" t="s">
        <v>38</v>
      </c>
      <c r="M1649" t="s">
        <v>38</v>
      </c>
      <c r="N1649" t="s">
        <v>38</v>
      </c>
      <c r="O1649" t="s">
        <v>38</v>
      </c>
      <c r="T1649" t="s">
        <v>38</v>
      </c>
      <c r="U1649">
        <v>0</v>
      </c>
      <c r="W1649">
        <v>0</v>
      </c>
      <c r="X1649">
        <v>0</v>
      </c>
      <c r="Y1649">
        <v>0</v>
      </c>
      <c r="AE1649">
        <f t="shared" si="75"/>
        <v>1</v>
      </c>
      <c r="AF1649">
        <f>VLOOKUP(D1649,especies!$A$2:$C$9,3,FALSE)</f>
        <v>1</v>
      </c>
      <c r="AG1649" t="str">
        <f t="shared" si="76"/>
        <v>1-Mestizo</v>
      </c>
      <c r="AH1649">
        <f>VLOOKUP('Fichas clínicas'!AG1649,razas!$A$2:$D$66,3,FALSE)</f>
        <v>1</v>
      </c>
      <c r="AI1649" t="str">
        <f t="shared" si="77"/>
        <v>M</v>
      </c>
    </row>
    <row r="1650" spans="1:35" x14ac:dyDescent="0.2">
      <c r="A1650">
        <v>1652</v>
      </c>
      <c r="B1650" t="s">
        <v>3652</v>
      </c>
      <c r="C1650" t="s">
        <v>3653</v>
      </c>
      <c r="D1650" t="s">
        <v>32</v>
      </c>
      <c r="E1650" t="s">
        <v>63</v>
      </c>
      <c r="F1650" t="s">
        <v>47</v>
      </c>
      <c r="G1650" t="s">
        <v>526</v>
      </c>
      <c r="I1650">
        <v>900223000229137</v>
      </c>
      <c r="J1650" t="s">
        <v>3654</v>
      </c>
      <c r="K1650" t="s">
        <v>38</v>
      </c>
      <c r="L1650" t="s">
        <v>38</v>
      </c>
      <c r="M1650" t="s">
        <v>38</v>
      </c>
      <c r="N1650" t="s">
        <v>38</v>
      </c>
      <c r="O1650" t="s">
        <v>38</v>
      </c>
      <c r="Q1650">
        <v>0</v>
      </c>
      <c r="T1650" t="s">
        <v>38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f t="shared" si="75"/>
        <v>1</v>
      </c>
      <c r="AF1650">
        <f>VLOOKUP(D1650,especies!$A$2:$C$9,3,FALSE)</f>
        <v>1</v>
      </c>
      <c r="AG1650" t="str">
        <f t="shared" si="76"/>
        <v>1-Fox Terrier Pelo Corto</v>
      </c>
      <c r="AH1650">
        <f>VLOOKUP('Fichas clínicas'!AG1650,razas!$A$2:$D$66,3,FALSE)</f>
        <v>2</v>
      </c>
      <c r="AI1650" t="str">
        <f t="shared" si="77"/>
        <v>M</v>
      </c>
    </row>
    <row r="1651" spans="1:35" x14ac:dyDescent="0.2">
      <c r="A1651">
        <v>1653</v>
      </c>
      <c r="B1651" t="s">
        <v>642</v>
      </c>
      <c r="C1651" t="s">
        <v>2642</v>
      </c>
      <c r="D1651" t="s">
        <v>41</v>
      </c>
      <c r="E1651" t="s">
        <v>42</v>
      </c>
      <c r="F1651" t="s">
        <v>47</v>
      </c>
      <c r="G1651" t="s">
        <v>3655</v>
      </c>
      <c r="J1651" t="s">
        <v>3656</v>
      </c>
      <c r="K1651" t="s">
        <v>38</v>
      </c>
      <c r="L1651" t="s">
        <v>38</v>
      </c>
      <c r="M1651" t="s">
        <v>38</v>
      </c>
      <c r="N1651" t="s">
        <v>38</v>
      </c>
      <c r="O1651" t="s">
        <v>38</v>
      </c>
      <c r="Q1651">
        <v>0</v>
      </c>
      <c r="T1651" t="s">
        <v>38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f t="shared" si="75"/>
        <v>1</v>
      </c>
      <c r="AF1651">
        <f>VLOOKUP(D1651,especies!$A$2:$C$9,3,FALSE)</f>
        <v>2</v>
      </c>
      <c r="AG1651" t="str">
        <f t="shared" si="76"/>
        <v>2-DPC (Doméstico de pelo corto o DSH)</v>
      </c>
      <c r="AH1651">
        <f>VLOOKUP('Fichas clínicas'!AG1651,razas!$A$2:$D$66,3,FALSE)</f>
        <v>51</v>
      </c>
      <c r="AI1651" t="str">
        <f t="shared" si="77"/>
        <v>M</v>
      </c>
    </row>
    <row r="1652" spans="1:35" x14ac:dyDescent="0.2">
      <c r="A1652">
        <v>1654</v>
      </c>
      <c r="B1652" t="s">
        <v>642</v>
      </c>
      <c r="C1652" t="s">
        <v>2695</v>
      </c>
      <c r="D1652" t="s">
        <v>41</v>
      </c>
      <c r="E1652" t="s">
        <v>42</v>
      </c>
      <c r="F1652" t="s">
        <v>47</v>
      </c>
      <c r="G1652" t="s">
        <v>1769</v>
      </c>
      <c r="J1652" t="s">
        <v>3656</v>
      </c>
      <c r="K1652" t="s">
        <v>38</v>
      </c>
      <c r="L1652" t="s">
        <v>38</v>
      </c>
      <c r="M1652" t="s">
        <v>38</v>
      </c>
      <c r="N1652" t="s">
        <v>38</v>
      </c>
      <c r="O1652" t="s">
        <v>38</v>
      </c>
      <c r="Q1652">
        <v>0</v>
      </c>
      <c r="T1652" t="s">
        <v>38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f t="shared" si="75"/>
        <v>1</v>
      </c>
      <c r="AF1652">
        <f>VLOOKUP(D1652,especies!$A$2:$C$9,3,FALSE)</f>
        <v>2</v>
      </c>
      <c r="AG1652" t="str">
        <f t="shared" si="76"/>
        <v>2-DPC (Doméstico de pelo corto o DSH)</v>
      </c>
      <c r="AH1652">
        <f>VLOOKUP('Fichas clínicas'!AG1652,razas!$A$2:$D$66,3,FALSE)</f>
        <v>51</v>
      </c>
      <c r="AI1652" t="str">
        <f t="shared" si="77"/>
        <v>M</v>
      </c>
    </row>
    <row r="1653" spans="1:35" x14ac:dyDescent="0.2">
      <c r="A1653">
        <v>1655</v>
      </c>
      <c r="B1653" t="s">
        <v>3657</v>
      </c>
      <c r="C1653" t="s">
        <v>3658</v>
      </c>
      <c r="D1653" t="s">
        <v>41</v>
      </c>
      <c r="E1653" t="s">
        <v>42</v>
      </c>
      <c r="F1653" t="s">
        <v>34</v>
      </c>
      <c r="G1653" t="s">
        <v>1054</v>
      </c>
      <c r="J1653" t="s">
        <v>1437</v>
      </c>
      <c r="K1653" t="s">
        <v>38</v>
      </c>
      <c r="L1653" t="s">
        <v>38</v>
      </c>
      <c r="M1653" t="s">
        <v>38</v>
      </c>
      <c r="N1653" t="s">
        <v>38</v>
      </c>
      <c r="O1653" t="s">
        <v>38</v>
      </c>
      <c r="T1653" t="s">
        <v>38</v>
      </c>
      <c r="U1653">
        <v>0</v>
      </c>
      <c r="V1653">
        <v>1</v>
      </c>
      <c r="W1653">
        <v>0</v>
      </c>
      <c r="X1653">
        <v>0</v>
      </c>
      <c r="Y1653">
        <v>0</v>
      </c>
      <c r="AE1653">
        <f t="shared" si="75"/>
        <v>1</v>
      </c>
      <c r="AF1653">
        <f>VLOOKUP(D1653,especies!$A$2:$C$9,3,FALSE)</f>
        <v>2</v>
      </c>
      <c r="AG1653" t="str">
        <f t="shared" si="76"/>
        <v>2-DPC (Doméstico de pelo corto o DSH)</v>
      </c>
      <c r="AH1653">
        <f>VLOOKUP('Fichas clínicas'!AG1653,razas!$A$2:$D$66,3,FALSE)</f>
        <v>51</v>
      </c>
      <c r="AI1653" t="str">
        <f t="shared" si="77"/>
        <v>H</v>
      </c>
    </row>
    <row r="1654" spans="1:35" x14ac:dyDescent="0.2">
      <c r="A1654">
        <v>1656</v>
      </c>
      <c r="B1654" t="s">
        <v>3429</v>
      </c>
      <c r="C1654" t="s">
        <v>3659</v>
      </c>
      <c r="D1654" t="s">
        <v>32</v>
      </c>
      <c r="E1654" t="s">
        <v>33</v>
      </c>
      <c r="F1654" t="s">
        <v>34</v>
      </c>
      <c r="G1654" t="s">
        <v>300</v>
      </c>
      <c r="J1654" t="s">
        <v>3520</v>
      </c>
      <c r="K1654" t="s">
        <v>38</v>
      </c>
      <c r="L1654" t="s">
        <v>38</v>
      </c>
      <c r="M1654" t="s">
        <v>38</v>
      </c>
      <c r="N1654" t="s">
        <v>38</v>
      </c>
      <c r="O1654" t="s">
        <v>38</v>
      </c>
      <c r="Q1654">
        <v>0</v>
      </c>
      <c r="T1654" t="s">
        <v>38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f t="shared" si="75"/>
        <v>1</v>
      </c>
      <c r="AF1654">
        <f>VLOOKUP(D1654,especies!$A$2:$C$9,3,FALSE)</f>
        <v>1</v>
      </c>
      <c r="AG1654" t="str">
        <f t="shared" si="76"/>
        <v>1-Mestizo</v>
      </c>
      <c r="AH1654">
        <f>VLOOKUP('Fichas clínicas'!AG1654,razas!$A$2:$D$66,3,FALSE)</f>
        <v>1</v>
      </c>
      <c r="AI1654" t="str">
        <f t="shared" si="77"/>
        <v>H</v>
      </c>
    </row>
    <row r="1655" spans="1:35" x14ac:dyDescent="0.2">
      <c r="A1655">
        <v>1657</v>
      </c>
      <c r="B1655" t="s">
        <v>3660</v>
      </c>
      <c r="C1655" t="s">
        <v>3661</v>
      </c>
      <c r="D1655" t="s">
        <v>41</v>
      </c>
      <c r="E1655" t="s">
        <v>42</v>
      </c>
      <c r="F1655" t="s">
        <v>47</v>
      </c>
      <c r="G1655" t="s">
        <v>300</v>
      </c>
      <c r="J1655" t="s">
        <v>3662</v>
      </c>
      <c r="K1655" t="s">
        <v>38</v>
      </c>
      <c r="L1655" t="s">
        <v>38</v>
      </c>
      <c r="M1655" t="s">
        <v>38</v>
      </c>
      <c r="N1655" t="s">
        <v>38</v>
      </c>
      <c r="O1655" t="s">
        <v>38</v>
      </c>
      <c r="Q1655">
        <v>0</v>
      </c>
      <c r="T1655" t="s">
        <v>38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f t="shared" si="75"/>
        <v>1</v>
      </c>
      <c r="AF1655">
        <f>VLOOKUP(D1655,especies!$A$2:$C$9,3,FALSE)</f>
        <v>2</v>
      </c>
      <c r="AG1655" t="str">
        <f t="shared" si="76"/>
        <v>2-DPC (Doméstico de pelo corto o DSH)</v>
      </c>
      <c r="AH1655">
        <f>VLOOKUP('Fichas clínicas'!AG1655,razas!$A$2:$D$66,3,FALSE)</f>
        <v>51</v>
      </c>
      <c r="AI1655" t="str">
        <f t="shared" si="77"/>
        <v>M</v>
      </c>
    </row>
    <row r="1656" spans="1:35" x14ac:dyDescent="0.2">
      <c r="A1656">
        <v>1658</v>
      </c>
      <c r="B1656" t="s">
        <v>3614</v>
      </c>
      <c r="C1656" t="s">
        <v>3663</v>
      </c>
      <c r="D1656" t="s">
        <v>41</v>
      </c>
      <c r="E1656" t="s">
        <v>42</v>
      </c>
      <c r="F1656" t="s">
        <v>34</v>
      </c>
      <c r="G1656" t="s">
        <v>300</v>
      </c>
      <c r="J1656" t="s">
        <v>2751</v>
      </c>
      <c r="K1656" t="s">
        <v>38</v>
      </c>
      <c r="L1656" t="s">
        <v>38</v>
      </c>
      <c r="M1656" t="s">
        <v>38</v>
      </c>
      <c r="N1656" t="s">
        <v>38</v>
      </c>
      <c r="O1656" t="s">
        <v>38</v>
      </c>
      <c r="T1656" t="s">
        <v>38</v>
      </c>
      <c r="U1656">
        <v>0</v>
      </c>
      <c r="V1656">
        <v>1</v>
      </c>
      <c r="W1656">
        <v>0</v>
      </c>
      <c r="X1656">
        <v>0</v>
      </c>
      <c r="Y1656">
        <v>0</v>
      </c>
      <c r="AE1656">
        <f t="shared" si="75"/>
        <v>1</v>
      </c>
      <c r="AF1656">
        <f>VLOOKUP(D1656,especies!$A$2:$C$9,3,FALSE)</f>
        <v>2</v>
      </c>
      <c r="AG1656" t="str">
        <f t="shared" si="76"/>
        <v>2-DPC (Doméstico de pelo corto o DSH)</v>
      </c>
      <c r="AH1656">
        <f>VLOOKUP('Fichas clínicas'!AG1656,razas!$A$2:$D$66,3,FALSE)</f>
        <v>51</v>
      </c>
      <c r="AI1656" t="str">
        <f t="shared" si="77"/>
        <v>H</v>
      </c>
    </row>
    <row r="1657" spans="1:35" x14ac:dyDescent="0.2">
      <c r="A1657">
        <v>1659</v>
      </c>
      <c r="B1657" t="s">
        <v>3664</v>
      </c>
      <c r="C1657" t="s">
        <v>3665</v>
      </c>
      <c r="D1657" t="s">
        <v>32</v>
      </c>
      <c r="E1657" t="s">
        <v>33</v>
      </c>
      <c r="F1657" t="s">
        <v>34</v>
      </c>
      <c r="G1657" t="s">
        <v>1054</v>
      </c>
      <c r="J1657" t="s">
        <v>3666</v>
      </c>
      <c r="K1657" t="s">
        <v>38</v>
      </c>
      <c r="L1657" t="s">
        <v>38</v>
      </c>
      <c r="M1657" t="s">
        <v>38</v>
      </c>
      <c r="N1657" t="s">
        <v>38</v>
      </c>
      <c r="O1657" t="s">
        <v>38</v>
      </c>
      <c r="Q1657">
        <v>0</v>
      </c>
      <c r="T1657" t="s">
        <v>38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f t="shared" si="75"/>
        <v>1</v>
      </c>
      <c r="AF1657">
        <f>VLOOKUP(D1657,especies!$A$2:$C$9,3,FALSE)</f>
        <v>1</v>
      </c>
      <c r="AG1657" t="str">
        <f t="shared" si="76"/>
        <v>1-Mestizo</v>
      </c>
      <c r="AH1657">
        <f>VLOOKUP('Fichas clínicas'!AG1657,razas!$A$2:$D$66,3,FALSE)</f>
        <v>1</v>
      </c>
      <c r="AI1657" t="str">
        <f t="shared" si="77"/>
        <v>H</v>
      </c>
    </row>
    <row r="1658" spans="1:35" x14ac:dyDescent="0.2">
      <c r="A1658">
        <v>1660</v>
      </c>
      <c r="B1658" t="s">
        <v>3667</v>
      </c>
      <c r="C1658" t="s">
        <v>3668</v>
      </c>
      <c r="D1658" t="s">
        <v>32</v>
      </c>
      <c r="E1658" t="s">
        <v>33</v>
      </c>
      <c r="F1658" t="s">
        <v>34</v>
      </c>
      <c r="G1658" t="s">
        <v>351</v>
      </c>
      <c r="J1658" t="s">
        <v>3669</v>
      </c>
      <c r="K1658" t="s">
        <v>38</v>
      </c>
      <c r="L1658" t="s">
        <v>38</v>
      </c>
      <c r="M1658" t="s">
        <v>38</v>
      </c>
      <c r="N1658" t="s">
        <v>38</v>
      </c>
      <c r="O1658" t="s">
        <v>38</v>
      </c>
      <c r="T1658" t="s">
        <v>38</v>
      </c>
      <c r="U1658">
        <v>0</v>
      </c>
      <c r="W1658">
        <v>0</v>
      </c>
      <c r="X1658">
        <v>0</v>
      </c>
      <c r="Y1658">
        <v>0</v>
      </c>
      <c r="AE1658">
        <f t="shared" si="75"/>
        <v>1</v>
      </c>
      <c r="AF1658">
        <f>VLOOKUP(D1658,especies!$A$2:$C$9,3,FALSE)</f>
        <v>1</v>
      </c>
      <c r="AG1658" t="str">
        <f t="shared" si="76"/>
        <v>1-Mestizo</v>
      </c>
      <c r="AH1658">
        <f>VLOOKUP('Fichas clínicas'!AG1658,razas!$A$2:$D$66,3,FALSE)</f>
        <v>1</v>
      </c>
      <c r="AI1658" t="str">
        <f t="shared" si="77"/>
        <v>H</v>
      </c>
    </row>
    <row r="1659" spans="1:35" x14ac:dyDescent="0.2">
      <c r="A1659">
        <v>1661</v>
      </c>
      <c r="B1659" t="s">
        <v>3670</v>
      </c>
      <c r="C1659" t="s">
        <v>3671</v>
      </c>
      <c r="D1659" t="s">
        <v>41</v>
      </c>
      <c r="E1659" t="s">
        <v>42</v>
      </c>
      <c r="F1659" t="s">
        <v>34</v>
      </c>
      <c r="G1659" t="s">
        <v>2827</v>
      </c>
      <c r="J1659" t="s">
        <v>3672</v>
      </c>
      <c r="K1659" t="s">
        <v>38</v>
      </c>
      <c r="L1659" t="s">
        <v>38</v>
      </c>
      <c r="M1659" t="s">
        <v>38</v>
      </c>
      <c r="N1659" t="s">
        <v>38</v>
      </c>
      <c r="O1659" t="s">
        <v>38</v>
      </c>
      <c r="Q1659">
        <v>0</v>
      </c>
      <c r="T1659" t="s">
        <v>38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f t="shared" si="75"/>
        <v>1</v>
      </c>
      <c r="AF1659">
        <f>VLOOKUP(D1659,especies!$A$2:$C$9,3,FALSE)</f>
        <v>2</v>
      </c>
      <c r="AG1659" t="str">
        <f t="shared" si="76"/>
        <v>2-DPC (Doméstico de pelo corto o DSH)</v>
      </c>
      <c r="AH1659">
        <f>VLOOKUP('Fichas clínicas'!AG1659,razas!$A$2:$D$66,3,FALSE)</f>
        <v>51</v>
      </c>
      <c r="AI1659" t="str">
        <f t="shared" si="77"/>
        <v>H</v>
      </c>
    </row>
    <row r="1660" spans="1:35" x14ac:dyDescent="0.2">
      <c r="A1660">
        <v>1662</v>
      </c>
      <c r="B1660" t="s">
        <v>3673</v>
      </c>
      <c r="C1660" t="s">
        <v>3377</v>
      </c>
      <c r="D1660" t="s">
        <v>32</v>
      </c>
      <c r="E1660" t="s">
        <v>33</v>
      </c>
      <c r="F1660" t="s">
        <v>34</v>
      </c>
      <c r="G1660" t="s">
        <v>322</v>
      </c>
      <c r="J1660" t="s">
        <v>3674</v>
      </c>
      <c r="K1660" t="s">
        <v>38</v>
      </c>
      <c r="L1660" t="s">
        <v>38</v>
      </c>
      <c r="M1660" t="s">
        <v>38</v>
      </c>
      <c r="N1660" t="s">
        <v>38</v>
      </c>
      <c r="O1660" t="s">
        <v>38</v>
      </c>
      <c r="Q1660">
        <v>0</v>
      </c>
      <c r="T1660" t="s">
        <v>38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f t="shared" si="75"/>
        <v>1</v>
      </c>
      <c r="AF1660">
        <f>VLOOKUP(D1660,especies!$A$2:$C$9,3,FALSE)</f>
        <v>1</v>
      </c>
      <c r="AG1660" t="str">
        <f t="shared" si="76"/>
        <v>1-Mestizo</v>
      </c>
      <c r="AH1660">
        <f>VLOOKUP('Fichas clínicas'!AG1660,razas!$A$2:$D$66,3,FALSE)</f>
        <v>1</v>
      </c>
      <c r="AI1660" t="str">
        <f t="shared" si="77"/>
        <v>H</v>
      </c>
    </row>
    <row r="1661" spans="1:35" x14ac:dyDescent="0.2">
      <c r="A1661">
        <v>1663</v>
      </c>
      <c r="B1661" t="s">
        <v>211</v>
      </c>
      <c r="C1661" t="s">
        <v>3675</v>
      </c>
      <c r="D1661" t="s">
        <v>32</v>
      </c>
      <c r="E1661" t="s">
        <v>33</v>
      </c>
      <c r="F1661" t="s">
        <v>34</v>
      </c>
      <c r="G1661" t="s">
        <v>322</v>
      </c>
      <c r="J1661" t="s">
        <v>3676</v>
      </c>
      <c r="K1661" t="s">
        <v>38</v>
      </c>
      <c r="L1661" t="s">
        <v>38</v>
      </c>
      <c r="M1661" t="s">
        <v>38</v>
      </c>
      <c r="N1661" t="s">
        <v>38</v>
      </c>
      <c r="O1661" t="s">
        <v>38</v>
      </c>
      <c r="Q1661">
        <v>0</v>
      </c>
      <c r="T1661" t="s">
        <v>38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f t="shared" si="75"/>
        <v>1</v>
      </c>
      <c r="AF1661">
        <f>VLOOKUP(D1661,especies!$A$2:$C$9,3,FALSE)</f>
        <v>1</v>
      </c>
      <c r="AG1661" t="str">
        <f t="shared" si="76"/>
        <v>1-Mestizo</v>
      </c>
      <c r="AH1661">
        <f>VLOOKUP('Fichas clínicas'!AG1661,razas!$A$2:$D$66,3,FALSE)</f>
        <v>1</v>
      </c>
      <c r="AI1661" t="str">
        <f t="shared" si="77"/>
        <v>H</v>
      </c>
    </row>
    <row r="1662" spans="1:35" x14ac:dyDescent="0.2">
      <c r="A1662">
        <v>1664</v>
      </c>
      <c r="B1662" t="s">
        <v>3677</v>
      </c>
      <c r="C1662" t="s">
        <v>3678</v>
      </c>
      <c r="D1662" t="s">
        <v>41</v>
      </c>
      <c r="E1662" t="s">
        <v>42</v>
      </c>
      <c r="F1662" t="s">
        <v>34</v>
      </c>
      <c r="G1662" t="s">
        <v>3679</v>
      </c>
      <c r="J1662" t="s">
        <v>3575</v>
      </c>
      <c r="K1662" t="s">
        <v>38</v>
      </c>
      <c r="L1662" t="s">
        <v>38</v>
      </c>
      <c r="M1662" t="s">
        <v>38</v>
      </c>
      <c r="N1662" t="s">
        <v>38</v>
      </c>
      <c r="O1662" t="s">
        <v>38</v>
      </c>
      <c r="Q1662">
        <v>0</v>
      </c>
      <c r="T1662" t="s">
        <v>38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f t="shared" si="75"/>
        <v>1</v>
      </c>
      <c r="AF1662">
        <f>VLOOKUP(D1662,especies!$A$2:$C$9,3,FALSE)</f>
        <v>2</v>
      </c>
      <c r="AG1662" t="str">
        <f t="shared" si="76"/>
        <v>2-DPC (Doméstico de pelo corto o DSH)</v>
      </c>
      <c r="AH1662">
        <f>VLOOKUP('Fichas clínicas'!AG1662,razas!$A$2:$D$66,3,FALSE)</f>
        <v>51</v>
      </c>
      <c r="AI1662" t="str">
        <f t="shared" si="77"/>
        <v>H</v>
      </c>
    </row>
    <row r="1663" spans="1:35" x14ac:dyDescent="0.2">
      <c r="A1663">
        <v>1665</v>
      </c>
      <c r="B1663" t="s">
        <v>3680</v>
      </c>
      <c r="C1663" t="s">
        <v>3681</v>
      </c>
      <c r="D1663" t="s">
        <v>41</v>
      </c>
      <c r="E1663" t="s">
        <v>42</v>
      </c>
      <c r="F1663" t="s">
        <v>47</v>
      </c>
      <c r="G1663" t="s">
        <v>587</v>
      </c>
      <c r="J1663" t="s">
        <v>3682</v>
      </c>
      <c r="K1663" t="s">
        <v>38</v>
      </c>
      <c r="L1663" t="s">
        <v>38</v>
      </c>
      <c r="M1663" t="s">
        <v>38</v>
      </c>
      <c r="N1663" t="s">
        <v>38</v>
      </c>
      <c r="O1663" t="s">
        <v>38</v>
      </c>
      <c r="T1663" t="s">
        <v>38</v>
      </c>
      <c r="U1663">
        <v>0</v>
      </c>
      <c r="V1663">
        <v>1</v>
      </c>
      <c r="W1663">
        <v>0</v>
      </c>
      <c r="X1663">
        <v>0</v>
      </c>
      <c r="Y1663">
        <v>0</v>
      </c>
      <c r="AE1663">
        <f t="shared" si="75"/>
        <v>1</v>
      </c>
      <c r="AF1663">
        <f>VLOOKUP(D1663,especies!$A$2:$C$9,3,FALSE)</f>
        <v>2</v>
      </c>
      <c r="AG1663" t="str">
        <f t="shared" si="76"/>
        <v>2-DPC (Doméstico de pelo corto o DSH)</v>
      </c>
      <c r="AH1663">
        <f>VLOOKUP('Fichas clínicas'!AG1663,razas!$A$2:$D$66,3,FALSE)</f>
        <v>51</v>
      </c>
      <c r="AI1663" t="str">
        <f t="shared" si="77"/>
        <v>M</v>
      </c>
    </row>
    <row r="1664" spans="1:35" x14ac:dyDescent="0.2">
      <c r="A1664">
        <v>1666</v>
      </c>
      <c r="B1664" t="s">
        <v>2882</v>
      </c>
      <c r="C1664" t="s">
        <v>2167</v>
      </c>
      <c r="D1664" t="s">
        <v>41</v>
      </c>
      <c r="E1664" t="s">
        <v>42</v>
      </c>
      <c r="F1664" t="s">
        <v>47</v>
      </c>
      <c r="G1664" t="s">
        <v>2054</v>
      </c>
      <c r="J1664" t="s">
        <v>3683</v>
      </c>
      <c r="K1664" t="s">
        <v>38</v>
      </c>
      <c r="L1664" t="s">
        <v>38</v>
      </c>
      <c r="M1664" t="s">
        <v>38</v>
      </c>
      <c r="N1664" t="s">
        <v>38</v>
      </c>
      <c r="O1664" t="s">
        <v>38</v>
      </c>
      <c r="Q1664">
        <v>0</v>
      </c>
      <c r="T1664" t="s">
        <v>38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f t="shared" si="75"/>
        <v>1</v>
      </c>
      <c r="AF1664">
        <f>VLOOKUP(D1664,especies!$A$2:$C$9,3,FALSE)</f>
        <v>2</v>
      </c>
      <c r="AG1664" t="str">
        <f t="shared" si="76"/>
        <v>2-DPC (Doméstico de pelo corto o DSH)</v>
      </c>
      <c r="AH1664">
        <f>VLOOKUP('Fichas clínicas'!AG1664,razas!$A$2:$D$66,3,FALSE)</f>
        <v>51</v>
      </c>
      <c r="AI1664" t="str">
        <f t="shared" si="77"/>
        <v>M</v>
      </c>
    </row>
    <row r="1665" spans="1:35" x14ac:dyDescent="0.2">
      <c r="A1665">
        <v>1667</v>
      </c>
      <c r="B1665" t="s">
        <v>3348</v>
      </c>
      <c r="C1665" t="s">
        <v>3684</v>
      </c>
      <c r="D1665" t="s">
        <v>242</v>
      </c>
      <c r="E1665" t="s">
        <v>242</v>
      </c>
      <c r="F1665" t="s">
        <v>34</v>
      </c>
      <c r="G1665" t="s">
        <v>3383</v>
      </c>
      <c r="J1665" t="s">
        <v>3685</v>
      </c>
      <c r="K1665" t="s">
        <v>38</v>
      </c>
      <c r="L1665" t="s">
        <v>38</v>
      </c>
      <c r="M1665" t="s">
        <v>38</v>
      </c>
      <c r="N1665" t="s">
        <v>38</v>
      </c>
      <c r="O1665" t="s">
        <v>38</v>
      </c>
      <c r="T1665" t="s">
        <v>38</v>
      </c>
      <c r="U1665">
        <v>0</v>
      </c>
      <c r="W1665">
        <v>0</v>
      </c>
      <c r="X1665">
        <v>0</v>
      </c>
      <c r="Y1665">
        <v>0</v>
      </c>
      <c r="AE1665">
        <f t="shared" si="75"/>
        <v>1</v>
      </c>
      <c r="AF1665">
        <f>VLOOKUP(D1665,especies!$A$2:$C$9,3,FALSE)</f>
        <v>3</v>
      </c>
      <c r="AG1665" t="str">
        <f t="shared" si="76"/>
        <v>3-Otra</v>
      </c>
      <c r="AH1665">
        <f>VLOOKUP('Fichas clínicas'!AG1665,razas!$A$2:$D$66,3,FALSE)</f>
        <v>55</v>
      </c>
      <c r="AI1665" t="str">
        <f t="shared" si="77"/>
        <v>H</v>
      </c>
    </row>
    <row r="1666" spans="1:35" x14ac:dyDescent="0.2">
      <c r="A1666">
        <v>1668</v>
      </c>
      <c r="B1666" t="s">
        <v>3686</v>
      </c>
      <c r="C1666" t="s">
        <v>3687</v>
      </c>
      <c r="D1666" t="s">
        <v>242</v>
      </c>
      <c r="E1666" t="s">
        <v>242</v>
      </c>
      <c r="F1666" t="s">
        <v>47</v>
      </c>
      <c r="G1666" t="s">
        <v>1543</v>
      </c>
      <c r="J1666" t="s">
        <v>3449</v>
      </c>
      <c r="K1666" t="s">
        <v>38</v>
      </c>
      <c r="L1666" t="s">
        <v>38</v>
      </c>
      <c r="M1666" t="s">
        <v>38</v>
      </c>
      <c r="N1666" t="s">
        <v>38</v>
      </c>
      <c r="O1666" t="s">
        <v>38</v>
      </c>
      <c r="T1666" t="s">
        <v>38</v>
      </c>
      <c r="U1666">
        <v>0</v>
      </c>
      <c r="W1666">
        <v>0</v>
      </c>
      <c r="X1666">
        <v>0</v>
      </c>
      <c r="Y1666">
        <v>0</v>
      </c>
      <c r="AE1666">
        <f t="shared" si="75"/>
        <v>1</v>
      </c>
      <c r="AF1666">
        <f>VLOOKUP(D1666,especies!$A$2:$C$9,3,FALSE)</f>
        <v>3</v>
      </c>
      <c r="AG1666" t="str">
        <f t="shared" si="76"/>
        <v>3-Otra</v>
      </c>
      <c r="AH1666">
        <f>VLOOKUP('Fichas clínicas'!AG1666,razas!$A$2:$D$66,3,FALSE)</f>
        <v>55</v>
      </c>
      <c r="AI1666" t="str">
        <f t="shared" si="77"/>
        <v>M</v>
      </c>
    </row>
    <row r="1667" spans="1:35" x14ac:dyDescent="0.2">
      <c r="A1667">
        <v>1669</v>
      </c>
      <c r="B1667" t="s">
        <v>3686</v>
      </c>
      <c r="C1667" t="s">
        <v>3688</v>
      </c>
      <c r="D1667" t="s">
        <v>242</v>
      </c>
      <c r="E1667" t="s">
        <v>242</v>
      </c>
      <c r="F1667" t="s">
        <v>47</v>
      </c>
      <c r="G1667" t="s">
        <v>1054</v>
      </c>
      <c r="J1667" t="s">
        <v>3689</v>
      </c>
      <c r="K1667" t="s">
        <v>38</v>
      </c>
      <c r="L1667" t="s">
        <v>38</v>
      </c>
      <c r="M1667" t="s">
        <v>38</v>
      </c>
      <c r="N1667" t="s">
        <v>38</v>
      </c>
      <c r="O1667" t="s">
        <v>38</v>
      </c>
      <c r="T1667" t="s">
        <v>38</v>
      </c>
      <c r="U1667">
        <v>0</v>
      </c>
      <c r="W1667">
        <v>0</v>
      </c>
      <c r="X1667">
        <v>0</v>
      </c>
      <c r="Y1667">
        <v>0</v>
      </c>
      <c r="AE1667">
        <f t="shared" ref="AE1667:AE1730" si="78">SUBTOTAL(103,E1667)</f>
        <v>1</v>
      </c>
      <c r="AF1667">
        <f>VLOOKUP(D1667,especies!$A$2:$C$9,3,FALSE)</f>
        <v>3</v>
      </c>
      <c r="AG1667" t="str">
        <f t="shared" ref="AG1667:AG1730" si="79">AF1667&amp;"-"&amp;E1667</f>
        <v>3-Otra</v>
      </c>
      <c r="AH1667">
        <f>VLOOKUP('Fichas clínicas'!AG1667,razas!$A$2:$D$66,3,FALSE)</f>
        <v>55</v>
      </c>
      <c r="AI1667" t="str">
        <f t="shared" ref="AI1667:AI1730" si="80">IF(F1667="Hembra","H","M")</f>
        <v>M</v>
      </c>
    </row>
    <row r="1668" spans="1:35" x14ac:dyDescent="0.2">
      <c r="A1668">
        <v>1670</v>
      </c>
      <c r="B1668" t="s">
        <v>3690</v>
      </c>
      <c r="C1668" t="s">
        <v>3691</v>
      </c>
      <c r="D1668" t="s">
        <v>32</v>
      </c>
      <c r="E1668" t="s">
        <v>33</v>
      </c>
      <c r="F1668" t="s">
        <v>47</v>
      </c>
      <c r="G1668" t="s">
        <v>3012</v>
      </c>
      <c r="J1668" t="s">
        <v>3692</v>
      </c>
      <c r="K1668" t="s">
        <v>38</v>
      </c>
      <c r="L1668" t="s">
        <v>38</v>
      </c>
      <c r="M1668" t="s">
        <v>38</v>
      </c>
      <c r="N1668" t="s">
        <v>38</v>
      </c>
      <c r="O1668" t="s">
        <v>38</v>
      </c>
      <c r="Q1668">
        <v>0</v>
      </c>
      <c r="T1668" t="s">
        <v>38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f t="shared" si="78"/>
        <v>1</v>
      </c>
      <c r="AF1668">
        <f>VLOOKUP(D1668,especies!$A$2:$C$9,3,FALSE)</f>
        <v>1</v>
      </c>
      <c r="AG1668" t="str">
        <f t="shared" si="79"/>
        <v>1-Mestizo</v>
      </c>
      <c r="AH1668">
        <f>VLOOKUP('Fichas clínicas'!AG1668,razas!$A$2:$D$66,3,FALSE)</f>
        <v>1</v>
      </c>
      <c r="AI1668" t="str">
        <f t="shared" si="80"/>
        <v>M</v>
      </c>
    </row>
    <row r="1669" spans="1:35" x14ac:dyDescent="0.2">
      <c r="A1669">
        <v>1671</v>
      </c>
      <c r="B1669" t="s">
        <v>3693</v>
      </c>
      <c r="C1669" t="s">
        <v>2338</v>
      </c>
      <c r="D1669" t="s">
        <v>32</v>
      </c>
      <c r="E1669" t="s">
        <v>33</v>
      </c>
      <c r="F1669" t="s">
        <v>34</v>
      </c>
      <c r="G1669" t="s">
        <v>351</v>
      </c>
      <c r="J1669" t="s">
        <v>3694</v>
      </c>
      <c r="K1669" t="s">
        <v>38</v>
      </c>
      <c r="L1669" t="s">
        <v>38</v>
      </c>
      <c r="M1669" t="s">
        <v>38</v>
      </c>
      <c r="N1669" t="s">
        <v>38</v>
      </c>
      <c r="O1669" t="s">
        <v>38</v>
      </c>
      <c r="T1669" t="s">
        <v>38</v>
      </c>
      <c r="U1669">
        <v>0</v>
      </c>
      <c r="V1669">
        <v>1</v>
      </c>
      <c r="W1669">
        <v>0</v>
      </c>
      <c r="X1669">
        <v>0</v>
      </c>
      <c r="Y1669">
        <v>0</v>
      </c>
      <c r="AE1669">
        <f t="shared" si="78"/>
        <v>1</v>
      </c>
      <c r="AF1669">
        <f>VLOOKUP(D1669,especies!$A$2:$C$9,3,FALSE)</f>
        <v>1</v>
      </c>
      <c r="AG1669" t="str">
        <f t="shared" si="79"/>
        <v>1-Mestizo</v>
      </c>
      <c r="AH1669">
        <f>VLOOKUP('Fichas clínicas'!AG1669,razas!$A$2:$D$66,3,FALSE)</f>
        <v>1</v>
      </c>
      <c r="AI1669" t="str">
        <f t="shared" si="80"/>
        <v>H</v>
      </c>
    </row>
    <row r="1670" spans="1:35" x14ac:dyDescent="0.2">
      <c r="A1670">
        <v>1672</v>
      </c>
      <c r="B1670" t="s">
        <v>282</v>
      </c>
      <c r="C1670" t="s">
        <v>3695</v>
      </c>
      <c r="D1670" t="s">
        <v>41</v>
      </c>
      <c r="E1670" t="s">
        <v>42</v>
      </c>
      <c r="F1670" t="s">
        <v>47</v>
      </c>
      <c r="G1670" t="s">
        <v>1007</v>
      </c>
      <c r="J1670" t="s">
        <v>3632</v>
      </c>
      <c r="K1670" t="s">
        <v>38</v>
      </c>
      <c r="L1670" t="s">
        <v>38</v>
      </c>
      <c r="M1670" t="s">
        <v>38</v>
      </c>
      <c r="N1670" t="s">
        <v>38</v>
      </c>
      <c r="O1670" t="s">
        <v>38</v>
      </c>
      <c r="T1670" t="s">
        <v>38</v>
      </c>
      <c r="U1670">
        <v>0</v>
      </c>
      <c r="W1670">
        <v>0</v>
      </c>
      <c r="X1670">
        <v>0</v>
      </c>
      <c r="Y1670">
        <v>0</v>
      </c>
      <c r="AE1670">
        <f t="shared" si="78"/>
        <v>1</v>
      </c>
      <c r="AF1670">
        <f>VLOOKUP(D1670,especies!$A$2:$C$9,3,FALSE)</f>
        <v>2</v>
      </c>
      <c r="AG1670" t="str">
        <f t="shared" si="79"/>
        <v>2-DPC (Doméstico de pelo corto o DSH)</v>
      </c>
      <c r="AH1670">
        <f>VLOOKUP('Fichas clínicas'!AG1670,razas!$A$2:$D$66,3,FALSE)</f>
        <v>51</v>
      </c>
      <c r="AI1670" t="str">
        <f t="shared" si="80"/>
        <v>M</v>
      </c>
    </row>
    <row r="1671" spans="1:35" x14ac:dyDescent="0.2">
      <c r="A1671">
        <v>1673</v>
      </c>
      <c r="B1671" t="s">
        <v>3696</v>
      </c>
      <c r="C1671" t="s">
        <v>3697</v>
      </c>
      <c r="D1671" t="s">
        <v>32</v>
      </c>
      <c r="E1671" t="s">
        <v>473</v>
      </c>
      <c r="F1671" t="s">
        <v>34</v>
      </c>
      <c r="G1671" t="s">
        <v>73</v>
      </c>
      <c r="J1671" t="s">
        <v>3698</v>
      </c>
      <c r="K1671" t="s">
        <v>38</v>
      </c>
      <c r="L1671" t="s">
        <v>38</v>
      </c>
      <c r="M1671" t="s">
        <v>38</v>
      </c>
      <c r="N1671" t="s">
        <v>38</v>
      </c>
      <c r="O1671" t="s">
        <v>38</v>
      </c>
      <c r="Q1671">
        <v>0</v>
      </c>
      <c r="T1671" t="s">
        <v>38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f t="shared" si="78"/>
        <v>1</v>
      </c>
      <c r="AF1671">
        <f>VLOOKUP(D1671,especies!$A$2:$C$9,3,FALSE)</f>
        <v>1</v>
      </c>
      <c r="AG1671" t="str">
        <f t="shared" si="79"/>
        <v>1-Boxer</v>
      </c>
      <c r="AH1671">
        <f>VLOOKUP('Fichas clínicas'!AG1671,razas!$A$2:$D$66,3,FALSE)</f>
        <v>14</v>
      </c>
      <c r="AI1671" t="str">
        <f t="shared" si="80"/>
        <v>H</v>
      </c>
    </row>
    <row r="1672" spans="1:35" x14ac:dyDescent="0.2">
      <c r="A1672">
        <v>1674</v>
      </c>
      <c r="B1672" t="s">
        <v>394</v>
      </c>
      <c r="C1672" t="s">
        <v>3699</v>
      </c>
      <c r="D1672" t="s">
        <v>32</v>
      </c>
      <c r="E1672" t="s">
        <v>33</v>
      </c>
      <c r="F1672" t="s">
        <v>47</v>
      </c>
      <c r="G1672" t="s">
        <v>2763</v>
      </c>
      <c r="J1672" t="s">
        <v>2509</v>
      </c>
      <c r="K1672" t="s">
        <v>38</v>
      </c>
      <c r="L1672" t="s">
        <v>38</v>
      </c>
      <c r="M1672" t="s">
        <v>38</v>
      </c>
      <c r="N1672" t="s">
        <v>38</v>
      </c>
      <c r="O1672" t="s">
        <v>38</v>
      </c>
      <c r="T1672" t="s">
        <v>38</v>
      </c>
      <c r="U1672">
        <v>0</v>
      </c>
      <c r="W1672">
        <v>0</v>
      </c>
      <c r="X1672">
        <v>0</v>
      </c>
      <c r="Y1672">
        <v>0</v>
      </c>
      <c r="AE1672">
        <f t="shared" si="78"/>
        <v>1</v>
      </c>
      <c r="AF1672">
        <f>VLOOKUP(D1672,especies!$A$2:$C$9,3,FALSE)</f>
        <v>1</v>
      </c>
      <c r="AG1672" t="str">
        <f t="shared" si="79"/>
        <v>1-Mestizo</v>
      </c>
      <c r="AH1672">
        <f>VLOOKUP('Fichas clínicas'!AG1672,razas!$A$2:$D$66,3,FALSE)</f>
        <v>1</v>
      </c>
      <c r="AI1672" t="str">
        <f t="shared" si="80"/>
        <v>M</v>
      </c>
    </row>
    <row r="1673" spans="1:35" x14ac:dyDescent="0.2">
      <c r="A1673">
        <v>1675</v>
      </c>
      <c r="B1673" t="s">
        <v>3700</v>
      </c>
      <c r="C1673" t="s">
        <v>3305</v>
      </c>
      <c r="D1673" t="s">
        <v>41</v>
      </c>
      <c r="E1673" t="s">
        <v>42</v>
      </c>
      <c r="F1673" t="s">
        <v>47</v>
      </c>
      <c r="G1673" t="s">
        <v>3022</v>
      </c>
      <c r="J1673" t="s">
        <v>3701</v>
      </c>
      <c r="K1673" t="s">
        <v>38</v>
      </c>
      <c r="L1673" t="s">
        <v>38</v>
      </c>
      <c r="M1673" t="s">
        <v>38</v>
      </c>
      <c r="N1673" t="s">
        <v>38</v>
      </c>
      <c r="O1673" t="s">
        <v>38</v>
      </c>
      <c r="Q1673">
        <v>0</v>
      </c>
      <c r="T1673" t="s">
        <v>38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f t="shared" si="78"/>
        <v>1</v>
      </c>
      <c r="AF1673">
        <f>VLOOKUP(D1673,especies!$A$2:$C$9,3,FALSE)</f>
        <v>2</v>
      </c>
      <c r="AG1673" t="str">
        <f t="shared" si="79"/>
        <v>2-DPC (Doméstico de pelo corto o DSH)</v>
      </c>
      <c r="AH1673">
        <f>VLOOKUP('Fichas clínicas'!AG1673,razas!$A$2:$D$66,3,FALSE)</f>
        <v>51</v>
      </c>
      <c r="AI1673" t="str">
        <f t="shared" si="80"/>
        <v>M</v>
      </c>
    </row>
    <row r="1674" spans="1:35" x14ac:dyDescent="0.2">
      <c r="A1674">
        <v>1676</v>
      </c>
      <c r="B1674" t="s">
        <v>1336</v>
      </c>
      <c r="C1674" t="s">
        <v>1539</v>
      </c>
      <c r="D1674" t="s">
        <v>41</v>
      </c>
      <c r="E1674" t="s">
        <v>42</v>
      </c>
      <c r="F1674" t="s">
        <v>47</v>
      </c>
      <c r="G1674" t="s">
        <v>2812</v>
      </c>
      <c r="J1674" t="s">
        <v>3702</v>
      </c>
      <c r="K1674" t="s">
        <v>38</v>
      </c>
      <c r="L1674" t="s">
        <v>38</v>
      </c>
      <c r="M1674" t="s">
        <v>38</v>
      </c>
      <c r="N1674" t="s">
        <v>38</v>
      </c>
      <c r="O1674" t="s">
        <v>38</v>
      </c>
      <c r="T1674" t="s">
        <v>38</v>
      </c>
      <c r="U1674">
        <v>0</v>
      </c>
      <c r="V1674">
        <v>1</v>
      </c>
      <c r="W1674">
        <v>0</v>
      </c>
      <c r="X1674">
        <v>0</v>
      </c>
      <c r="Y1674">
        <v>0</v>
      </c>
      <c r="AE1674">
        <f t="shared" si="78"/>
        <v>1</v>
      </c>
      <c r="AF1674">
        <f>VLOOKUP(D1674,especies!$A$2:$C$9,3,FALSE)</f>
        <v>2</v>
      </c>
      <c r="AG1674" t="str">
        <f t="shared" si="79"/>
        <v>2-DPC (Doméstico de pelo corto o DSH)</v>
      </c>
      <c r="AH1674">
        <f>VLOOKUP('Fichas clínicas'!AG1674,razas!$A$2:$D$66,3,FALSE)</f>
        <v>51</v>
      </c>
      <c r="AI1674" t="str">
        <f t="shared" si="80"/>
        <v>M</v>
      </c>
    </row>
    <row r="1675" spans="1:35" x14ac:dyDescent="0.2">
      <c r="A1675">
        <v>1677</v>
      </c>
      <c r="B1675" t="s">
        <v>3703</v>
      </c>
      <c r="C1675" t="s">
        <v>3704</v>
      </c>
      <c r="D1675" t="s">
        <v>41</v>
      </c>
      <c r="E1675" t="s">
        <v>42</v>
      </c>
      <c r="F1675" t="s">
        <v>47</v>
      </c>
      <c r="G1675" t="s">
        <v>2047</v>
      </c>
      <c r="J1675" t="s">
        <v>3705</v>
      </c>
      <c r="K1675" t="s">
        <v>38</v>
      </c>
      <c r="L1675" t="s">
        <v>38</v>
      </c>
      <c r="M1675" t="s">
        <v>38</v>
      </c>
      <c r="N1675" t="s">
        <v>38</v>
      </c>
      <c r="O1675" t="s">
        <v>38</v>
      </c>
      <c r="T1675" t="s">
        <v>38</v>
      </c>
      <c r="U1675">
        <v>0</v>
      </c>
      <c r="W1675">
        <v>0</v>
      </c>
      <c r="X1675">
        <v>0</v>
      </c>
      <c r="Y1675">
        <v>0</v>
      </c>
      <c r="AE1675">
        <f t="shared" si="78"/>
        <v>1</v>
      </c>
      <c r="AF1675">
        <f>VLOOKUP(D1675,especies!$A$2:$C$9,3,FALSE)</f>
        <v>2</v>
      </c>
      <c r="AG1675" t="str">
        <f t="shared" si="79"/>
        <v>2-DPC (Doméstico de pelo corto o DSH)</v>
      </c>
      <c r="AH1675">
        <f>VLOOKUP('Fichas clínicas'!AG1675,razas!$A$2:$D$66,3,FALSE)</f>
        <v>51</v>
      </c>
      <c r="AI1675" t="str">
        <f t="shared" si="80"/>
        <v>M</v>
      </c>
    </row>
    <row r="1676" spans="1:35" x14ac:dyDescent="0.2">
      <c r="A1676">
        <v>1678</v>
      </c>
      <c r="B1676" t="s">
        <v>3706</v>
      </c>
      <c r="C1676" t="s">
        <v>3219</v>
      </c>
      <c r="D1676" t="s">
        <v>32</v>
      </c>
      <c r="E1676" t="s">
        <v>33</v>
      </c>
      <c r="F1676" t="s">
        <v>34</v>
      </c>
      <c r="G1676" t="s">
        <v>1915</v>
      </c>
      <c r="J1676" t="s">
        <v>3707</v>
      </c>
      <c r="K1676" t="s">
        <v>38</v>
      </c>
      <c r="L1676" t="s">
        <v>38</v>
      </c>
      <c r="M1676" t="s">
        <v>38</v>
      </c>
      <c r="N1676" t="s">
        <v>38</v>
      </c>
      <c r="O1676" t="s">
        <v>38</v>
      </c>
      <c r="Q1676">
        <v>0</v>
      </c>
      <c r="T1676" t="s">
        <v>38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f t="shared" si="78"/>
        <v>1</v>
      </c>
      <c r="AF1676">
        <f>VLOOKUP(D1676,especies!$A$2:$C$9,3,FALSE)</f>
        <v>1</v>
      </c>
      <c r="AG1676" t="str">
        <f t="shared" si="79"/>
        <v>1-Mestizo</v>
      </c>
      <c r="AH1676">
        <f>VLOOKUP('Fichas clínicas'!AG1676,razas!$A$2:$D$66,3,FALSE)</f>
        <v>1</v>
      </c>
      <c r="AI1676" t="str">
        <f t="shared" si="80"/>
        <v>H</v>
      </c>
    </row>
    <row r="1677" spans="1:35" x14ac:dyDescent="0.2">
      <c r="A1677">
        <v>1679</v>
      </c>
      <c r="B1677" t="s">
        <v>1648</v>
      </c>
      <c r="C1677" t="s">
        <v>3708</v>
      </c>
      <c r="D1677" t="s">
        <v>32</v>
      </c>
      <c r="E1677" t="s">
        <v>994</v>
      </c>
      <c r="F1677" t="s">
        <v>34</v>
      </c>
      <c r="G1677" t="s">
        <v>1054</v>
      </c>
      <c r="J1677" t="s">
        <v>3709</v>
      </c>
      <c r="K1677" t="s">
        <v>38</v>
      </c>
      <c r="L1677" t="s">
        <v>38</v>
      </c>
      <c r="M1677" t="s">
        <v>38</v>
      </c>
      <c r="N1677" t="s">
        <v>38</v>
      </c>
      <c r="O1677" t="s">
        <v>38</v>
      </c>
      <c r="T1677" t="s">
        <v>38</v>
      </c>
      <c r="U1677">
        <v>0</v>
      </c>
      <c r="W1677">
        <v>0</v>
      </c>
      <c r="X1677">
        <v>0</v>
      </c>
      <c r="Y1677">
        <v>0</v>
      </c>
      <c r="AE1677">
        <f t="shared" si="78"/>
        <v>1</v>
      </c>
      <c r="AF1677">
        <f>VLOOKUP(D1677,especies!$A$2:$C$9,3,FALSE)</f>
        <v>1</v>
      </c>
      <c r="AG1677" t="str">
        <f t="shared" si="79"/>
        <v>1-Bulldog Francés</v>
      </c>
      <c r="AH1677">
        <f>VLOOKUP('Fichas clínicas'!AG1677,razas!$A$2:$D$66,3,FALSE)</f>
        <v>26</v>
      </c>
      <c r="AI1677" t="str">
        <f t="shared" si="80"/>
        <v>H</v>
      </c>
    </row>
    <row r="1678" spans="1:35" x14ac:dyDescent="0.2">
      <c r="A1678">
        <v>1680</v>
      </c>
      <c r="B1678" t="s">
        <v>3710</v>
      </c>
      <c r="C1678" t="s">
        <v>3711</v>
      </c>
      <c r="D1678" t="s">
        <v>41</v>
      </c>
      <c r="E1678" t="s">
        <v>42</v>
      </c>
      <c r="F1678" t="s">
        <v>34</v>
      </c>
      <c r="G1678" t="s">
        <v>199</v>
      </c>
      <c r="J1678" t="s">
        <v>3712</v>
      </c>
      <c r="K1678" t="s">
        <v>38</v>
      </c>
      <c r="L1678" t="s">
        <v>38</v>
      </c>
      <c r="M1678" t="s">
        <v>38</v>
      </c>
      <c r="N1678" t="s">
        <v>38</v>
      </c>
      <c r="O1678" t="s">
        <v>38</v>
      </c>
      <c r="T1678" t="s">
        <v>38</v>
      </c>
      <c r="U1678">
        <v>0</v>
      </c>
      <c r="W1678">
        <v>0</v>
      </c>
      <c r="X1678">
        <v>0</v>
      </c>
      <c r="Y1678">
        <v>0</v>
      </c>
      <c r="AE1678">
        <f t="shared" si="78"/>
        <v>1</v>
      </c>
      <c r="AF1678">
        <f>VLOOKUP(D1678,especies!$A$2:$C$9,3,FALSE)</f>
        <v>2</v>
      </c>
      <c r="AG1678" t="str">
        <f t="shared" si="79"/>
        <v>2-DPC (Doméstico de pelo corto o DSH)</v>
      </c>
      <c r="AH1678">
        <f>VLOOKUP('Fichas clínicas'!AG1678,razas!$A$2:$D$66,3,FALSE)</f>
        <v>51</v>
      </c>
      <c r="AI1678" t="str">
        <f t="shared" si="80"/>
        <v>H</v>
      </c>
    </row>
    <row r="1679" spans="1:35" x14ac:dyDescent="0.2">
      <c r="A1679">
        <v>1681</v>
      </c>
      <c r="B1679" t="s">
        <v>3710</v>
      </c>
      <c r="C1679" t="s">
        <v>559</v>
      </c>
      <c r="D1679" t="s">
        <v>41</v>
      </c>
      <c r="E1679" t="s">
        <v>42</v>
      </c>
      <c r="F1679" t="s">
        <v>34</v>
      </c>
      <c r="G1679" t="s">
        <v>1054</v>
      </c>
      <c r="J1679" t="s">
        <v>3713</v>
      </c>
      <c r="K1679" t="s">
        <v>38</v>
      </c>
      <c r="L1679" t="s">
        <v>38</v>
      </c>
      <c r="M1679" t="s">
        <v>38</v>
      </c>
      <c r="N1679" t="s">
        <v>38</v>
      </c>
      <c r="O1679" t="s">
        <v>38</v>
      </c>
      <c r="T1679" t="s">
        <v>38</v>
      </c>
      <c r="U1679">
        <v>0</v>
      </c>
      <c r="V1679">
        <v>1</v>
      </c>
      <c r="W1679">
        <v>0</v>
      </c>
      <c r="X1679">
        <v>0</v>
      </c>
      <c r="Y1679">
        <v>0</v>
      </c>
      <c r="AE1679">
        <f t="shared" si="78"/>
        <v>1</v>
      </c>
      <c r="AF1679">
        <f>VLOOKUP(D1679,especies!$A$2:$C$9,3,FALSE)</f>
        <v>2</v>
      </c>
      <c r="AG1679" t="str">
        <f t="shared" si="79"/>
        <v>2-DPC (Doméstico de pelo corto o DSH)</v>
      </c>
      <c r="AH1679">
        <f>VLOOKUP('Fichas clínicas'!AG1679,razas!$A$2:$D$66,3,FALSE)</f>
        <v>51</v>
      </c>
      <c r="AI1679" t="str">
        <f t="shared" si="80"/>
        <v>H</v>
      </c>
    </row>
    <row r="1680" spans="1:35" x14ac:dyDescent="0.2">
      <c r="A1680">
        <v>1682</v>
      </c>
      <c r="B1680" t="s">
        <v>3710</v>
      </c>
      <c r="C1680" t="s">
        <v>1573</v>
      </c>
      <c r="D1680" t="s">
        <v>32</v>
      </c>
      <c r="E1680" t="s">
        <v>3272</v>
      </c>
      <c r="F1680" t="s">
        <v>34</v>
      </c>
      <c r="G1680" t="s">
        <v>3714</v>
      </c>
      <c r="J1680" t="s">
        <v>1091</v>
      </c>
      <c r="K1680" t="s">
        <v>38</v>
      </c>
      <c r="L1680" t="s">
        <v>38</v>
      </c>
      <c r="M1680" t="s">
        <v>38</v>
      </c>
      <c r="N1680" t="s">
        <v>38</v>
      </c>
      <c r="O1680" t="s">
        <v>38</v>
      </c>
      <c r="T1680" t="s">
        <v>38</v>
      </c>
      <c r="U1680">
        <v>0</v>
      </c>
      <c r="V1680">
        <v>1</v>
      </c>
      <c r="W1680">
        <v>0</v>
      </c>
      <c r="X1680">
        <v>0</v>
      </c>
      <c r="Y1680">
        <v>0</v>
      </c>
      <c r="AE1680">
        <f t="shared" si="78"/>
        <v>1</v>
      </c>
      <c r="AF1680">
        <f>VLOOKUP(D1680,especies!$A$2:$C$9,3,FALSE)</f>
        <v>1</v>
      </c>
      <c r="AG1680" t="str">
        <f t="shared" si="79"/>
        <v>1-Bulldog</v>
      </c>
      <c r="AH1680">
        <f>VLOOKUP('Fichas clínicas'!AG1680,razas!$A$2:$D$66,3,FALSE)</f>
        <v>44</v>
      </c>
      <c r="AI1680" t="str">
        <f t="shared" si="80"/>
        <v>H</v>
      </c>
    </row>
    <row r="1681" spans="1:35" x14ac:dyDescent="0.2">
      <c r="A1681">
        <v>1683</v>
      </c>
      <c r="B1681" t="s">
        <v>3715</v>
      </c>
      <c r="C1681" t="s">
        <v>3716</v>
      </c>
      <c r="D1681" t="s">
        <v>41</v>
      </c>
      <c r="E1681" t="s">
        <v>42</v>
      </c>
      <c r="F1681" t="s">
        <v>47</v>
      </c>
      <c r="G1681" t="s">
        <v>1656</v>
      </c>
      <c r="J1681" t="s">
        <v>3623</v>
      </c>
      <c r="K1681" t="s">
        <v>38</v>
      </c>
      <c r="L1681" t="s">
        <v>38</v>
      </c>
      <c r="M1681" t="s">
        <v>38</v>
      </c>
      <c r="N1681" t="s">
        <v>38</v>
      </c>
      <c r="O1681" t="s">
        <v>38</v>
      </c>
      <c r="T1681" t="s">
        <v>38</v>
      </c>
      <c r="U1681">
        <v>0</v>
      </c>
      <c r="W1681">
        <v>0</v>
      </c>
      <c r="X1681">
        <v>0</v>
      </c>
      <c r="Y1681">
        <v>0</v>
      </c>
      <c r="AE1681">
        <f t="shared" si="78"/>
        <v>1</v>
      </c>
      <c r="AF1681">
        <f>VLOOKUP(D1681,especies!$A$2:$C$9,3,FALSE)</f>
        <v>2</v>
      </c>
      <c r="AG1681" t="str">
        <f t="shared" si="79"/>
        <v>2-DPC (Doméstico de pelo corto o DSH)</v>
      </c>
      <c r="AH1681">
        <f>VLOOKUP('Fichas clínicas'!AG1681,razas!$A$2:$D$66,3,FALSE)</f>
        <v>51</v>
      </c>
      <c r="AI1681" t="str">
        <f t="shared" si="80"/>
        <v>M</v>
      </c>
    </row>
    <row r="1682" spans="1:35" x14ac:dyDescent="0.2">
      <c r="A1682">
        <v>1684</v>
      </c>
      <c r="B1682" t="s">
        <v>3693</v>
      </c>
      <c r="C1682" t="s">
        <v>3717</v>
      </c>
      <c r="D1682" t="s">
        <v>41</v>
      </c>
      <c r="E1682" t="s">
        <v>42</v>
      </c>
      <c r="F1682" t="s">
        <v>47</v>
      </c>
      <c r="G1682" t="s">
        <v>1900</v>
      </c>
      <c r="J1682" t="s">
        <v>3662</v>
      </c>
      <c r="K1682" t="s">
        <v>38</v>
      </c>
      <c r="L1682" t="s">
        <v>38</v>
      </c>
      <c r="M1682" t="s">
        <v>38</v>
      </c>
      <c r="N1682" t="s">
        <v>38</v>
      </c>
      <c r="O1682" t="s">
        <v>38</v>
      </c>
      <c r="Q1682">
        <v>0</v>
      </c>
      <c r="T1682" t="s">
        <v>38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f t="shared" si="78"/>
        <v>1</v>
      </c>
      <c r="AF1682">
        <f>VLOOKUP(D1682,especies!$A$2:$C$9,3,FALSE)</f>
        <v>2</v>
      </c>
      <c r="AG1682" t="str">
        <f t="shared" si="79"/>
        <v>2-DPC (Doméstico de pelo corto o DSH)</v>
      </c>
      <c r="AH1682">
        <f>VLOOKUP('Fichas clínicas'!AG1682,razas!$A$2:$D$66,3,FALSE)</f>
        <v>51</v>
      </c>
      <c r="AI1682" t="str">
        <f t="shared" si="80"/>
        <v>M</v>
      </c>
    </row>
    <row r="1683" spans="1:35" x14ac:dyDescent="0.2">
      <c r="A1683">
        <v>1685</v>
      </c>
      <c r="B1683" t="s">
        <v>379</v>
      </c>
      <c r="C1683" t="s">
        <v>2877</v>
      </c>
      <c r="D1683" t="s">
        <v>32</v>
      </c>
      <c r="E1683" t="s">
        <v>150</v>
      </c>
      <c r="F1683" t="s">
        <v>47</v>
      </c>
      <c r="G1683" t="s">
        <v>351</v>
      </c>
      <c r="J1683" t="s">
        <v>3718</v>
      </c>
      <c r="K1683" t="s">
        <v>38</v>
      </c>
      <c r="L1683" t="s">
        <v>38</v>
      </c>
      <c r="M1683" t="s">
        <v>38</v>
      </c>
      <c r="N1683" t="s">
        <v>38</v>
      </c>
      <c r="O1683" t="s">
        <v>38</v>
      </c>
      <c r="T1683" t="s">
        <v>38</v>
      </c>
      <c r="U1683">
        <v>0</v>
      </c>
      <c r="W1683">
        <v>0</v>
      </c>
      <c r="X1683">
        <v>0</v>
      </c>
      <c r="Y1683">
        <v>0</v>
      </c>
      <c r="AE1683">
        <f t="shared" si="78"/>
        <v>1</v>
      </c>
      <c r="AF1683">
        <f>VLOOKUP(D1683,especies!$A$2:$C$9,3,FALSE)</f>
        <v>1</v>
      </c>
      <c r="AG1683" t="str">
        <f t="shared" si="79"/>
        <v>1-Poodle</v>
      </c>
      <c r="AH1683">
        <f>VLOOKUP('Fichas clínicas'!AG1683,razas!$A$2:$D$66,3,FALSE)</f>
        <v>6</v>
      </c>
      <c r="AI1683" t="str">
        <f t="shared" si="80"/>
        <v>M</v>
      </c>
    </row>
    <row r="1684" spans="1:35" x14ac:dyDescent="0.2">
      <c r="A1684">
        <v>1686</v>
      </c>
      <c r="B1684" t="s">
        <v>3719</v>
      </c>
      <c r="C1684" t="s">
        <v>2070</v>
      </c>
      <c r="D1684" t="s">
        <v>41</v>
      </c>
      <c r="E1684" t="s">
        <v>42</v>
      </c>
      <c r="F1684" t="s">
        <v>34</v>
      </c>
      <c r="G1684" t="s">
        <v>3397</v>
      </c>
      <c r="J1684" t="s">
        <v>3720</v>
      </c>
      <c r="K1684" t="s">
        <v>38</v>
      </c>
      <c r="L1684" t="s">
        <v>38</v>
      </c>
      <c r="M1684" t="s">
        <v>38</v>
      </c>
      <c r="N1684" t="s">
        <v>38</v>
      </c>
      <c r="O1684" t="s">
        <v>38</v>
      </c>
      <c r="T1684" t="s">
        <v>38</v>
      </c>
      <c r="U1684">
        <v>0</v>
      </c>
      <c r="W1684">
        <v>0</v>
      </c>
      <c r="X1684">
        <v>0</v>
      </c>
      <c r="Y1684">
        <v>0</v>
      </c>
      <c r="AE1684">
        <f t="shared" si="78"/>
        <v>1</v>
      </c>
      <c r="AF1684">
        <f>VLOOKUP(D1684,especies!$A$2:$C$9,3,FALSE)</f>
        <v>2</v>
      </c>
      <c r="AG1684" t="str">
        <f t="shared" si="79"/>
        <v>2-DPC (Doméstico de pelo corto o DSH)</v>
      </c>
      <c r="AH1684">
        <f>VLOOKUP('Fichas clínicas'!AG1684,razas!$A$2:$D$66,3,FALSE)</f>
        <v>51</v>
      </c>
      <c r="AI1684" t="str">
        <f t="shared" si="80"/>
        <v>H</v>
      </c>
    </row>
    <row r="1685" spans="1:35" x14ac:dyDescent="0.2">
      <c r="A1685">
        <v>1687</v>
      </c>
      <c r="B1685" t="s">
        <v>3721</v>
      </c>
      <c r="C1685" t="s">
        <v>3722</v>
      </c>
      <c r="D1685" t="s">
        <v>1663</v>
      </c>
      <c r="E1685" t="s">
        <v>1664</v>
      </c>
      <c r="F1685" t="s">
        <v>47</v>
      </c>
      <c r="G1685" t="s">
        <v>2047</v>
      </c>
      <c r="J1685" t="s">
        <v>979</v>
      </c>
      <c r="K1685" t="s">
        <v>38</v>
      </c>
      <c r="L1685" t="s">
        <v>38</v>
      </c>
      <c r="M1685" t="s">
        <v>38</v>
      </c>
      <c r="N1685" t="s">
        <v>38</v>
      </c>
      <c r="O1685" t="s">
        <v>38</v>
      </c>
      <c r="T1685" t="s">
        <v>38</v>
      </c>
      <c r="U1685">
        <v>0</v>
      </c>
      <c r="W1685">
        <v>0</v>
      </c>
      <c r="X1685">
        <v>0</v>
      </c>
      <c r="Y1685">
        <v>0</v>
      </c>
      <c r="AE1685">
        <f t="shared" si="78"/>
        <v>1</v>
      </c>
      <c r="AF1685">
        <f>VLOOKUP(D1685,especies!$A$2:$C$9,3,FALSE)</f>
        <v>5</v>
      </c>
      <c r="AG1685" t="str">
        <f t="shared" si="79"/>
        <v>5-Hamster Dorado</v>
      </c>
      <c r="AH1685">
        <f>VLOOKUP('Fichas clínicas'!AG1685,razas!$A$2:$D$66,3,FALSE)</f>
        <v>57</v>
      </c>
      <c r="AI1685" t="str">
        <f t="shared" si="80"/>
        <v>M</v>
      </c>
    </row>
    <row r="1686" spans="1:35" x14ac:dyDescent="0.2">
      <c r="A1686">
        <v>1688</v>
      </c>
      <c r="B1686" t="s">
        <v>3723</v>
      </c>
      <c r="C1686" t="s">
        <v>1750</v>
      </c>
      <c r="D1686" t="s">
        <v>41</v>
      </c>
      <c r="E1686" t="s">
        <v>42</v>
      </c>
      <c r="F1686" t="s">
        <v>34</v>
      </c>
      <c r="G1686" t="s">
        <v>1547</v>
      </c>
      <c r="J1686" t="s">
        <v>3724</v>
      </c>
      <c r="K1686" t="s">
        <v>38</v>
      </c>
      <c r="L1686" t="s">
        <v>38</v>
      </c>
      <c r="M1686" t="s">
        <v>38</v>
      </c>
      <c r="N1686" t="s">
        <v>38</v>
      </c>
      <c r="O1686" t="s">
        <v>38</v>
      </c>
      <c r="T1686" t="s">
        <v>38</v>
      </c>
      <c r="U1686">
        <v>0</v>
      </c>
      <c r="V1686">
        <v>1</v>
      </c>
      <c r="W1686">
        <v>0</v>
      </c>
      <c r="X1686">
        <v>0</v>
      </c>
      <c r="Y1686">
        <v>0</v>
      </c>
      <c r="AE1686">
        <f t="shared" si="78"/>
        <v>1</v>
      </c>
      <c r="AF1686">
        <f>VLOOKUP(D1686,especies!$A$2:$C$9,3,FALSE)</f>
        <v>2</v>
      </c>
      <c r="AG1686" t="str">
        <f t="shared" si="79"/>
        <v>2-DPC (Doméstico de pelo corto o DSH)</v>
      </c>
      <c r="AH1686">
        <f>VLOOKUP('Fichas clínicas'!AG1686,razas!$A$2:$D$66,3,FALSE)</f>
        <v>51</v>
      </c>
      <c r="AI1686" t="str">
        <f t="shared" si="80"/>
        <v>H</v>
      </c>
    </row>
    <row r="1687" spans="1:35" x14ac:dyDescent="0.2">
      <c r="A1687">
        <v>1689</v>
      </c>
      <c r="B1687" t="s">
        <v>1886</v>
      </c>
      <c r="C1687" t="s">
        <v>3725</v>
      </c>
      <c r="D1687" t="s">
        <v>41</v>
      </c>
      <c r="E1687" t="s">
        <v>42</v>
      </c>
      <c r="F1687" t="s">
        <v>34</v>
      </c>
      <c r="G1687" t="s">
        <v>3012</v>
      </c>
      <c r="J1687" t="s">
        <v>3726</v>
      </c>
      <c r="K1687" t="s">
        <v>38</v>
      </c>
      <c r="L1687" t="s">
        <v>38</v>
      </c>
      <c r="M1687" t="s">
        <v>38</v>
      </c>
      <c r="N1687" t="s">
        <v>38</v>
      </c>
      <c r="O1687" t="s">
        <v>38</v>
      </c>
      <c r="T1687" t="s">
        <v>38</v>
      </c>
      <c r="U1687">
        <v>0</v>
      </c>
      <c r="W1687">
        <v>0</v>
      </c>
      <c r="X1687">
        <v>0</v>
      </c>
      <c r="Y1687">
        <v>0</v>
      </c>
      <c r="AE1687">
        <f t="shared" si="78"/>
        <v>1</v>
      </c>
      <c r="AF1687">
        <f>VLOOKUP(D1687,especies!$A$2:$C$9,3,FALSE)</f>
        <v>2</v>
      </c>
      <c r="AG1687" t="str">
        <f t="shared" si="79"/>
        <v>2-DPC (Doméstico de pelo corto o DSH)</v>
      </c>
      <c r="AH1687">
        <f>VLOOKUP('Fichas clínicas'!AG1687,razas!$A$2:$D$66,3,FALSE)</f>
        <v>51</v>
      </c>
      <c r="AI1687" t="str">
        <f t="shared" si="80"/>
        <v>H</v>
      </c>
    </row>
    <row r="1688" spans="1:35" x14ac:dyDescent="0.2">
      <c r="A1688">
        <v>1690</v>
      </c>
      <c r="B1688" t="s">
        <v>3727</v>
      </c>
      <c r="C1688" t="s">
        <v>3728</v>
      </c>
      <c r="D1688" t="s">
        <v>32</v>
      </c>
      <c r="E1688" t="s">
        <v>33</v>
      </c>
      <c r="F1688" t="s">
        <v>47</v>
      </c>
      <c r="G1688" t="s">
        <v>300</v>
      </c>
      <c r="J1688" t="s">
        <v>3729</v>
      </c>
      <c r="K1688" t="s">
        <v>38</v>
      </c>
      <c r="L1688" t="s">
        <v>38</v>
      </c>
      <c r="M1688" t="s">
        <v>38</v>
      </c>
      <c r="N1688" t="s">
        <v>38</v>
      </c>
      <c r="O1688" t="s">
        <v>38</v>
      </c>
      <c r="Q1688">
        <v>0</v>
      </c>
      <c r="T1688" t="s">
        <v>38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f t="shared" si="78"/>
        <v>1</v>
      </c>
      <c r="AF1688">
        <f>VLOOKUP(D1688,especies!$A$2:$C$9,3,FALSE)</f>
        <v>1</v>
      </c>
      <c r="AG1688" t="str">
        <f t="shared" si="79"/>
        <v>1-Mestizo</v>
      </c>
      <c r="AH1688">
        <f>VLOOKUP('Fichas clínicas'!AG1688,razas!$A$2:$D$66,3,FALSE)</f>
        <v>1</v>
      </c>
      <c r="AI1688" t="str">
        <f t="shared" si="80"/>
        <v>M</v>
      </c>
    </row>
    <row r="1689" spans="1:35" x14ac:dyDescent="0.2">
      <c r="A1689">
        <v>1691</v>
      </c>
      <c r="B1689" t="s">
        <v>3730</v>
      </c>
      <c r="C1689" t="s">
        <v>3731</v>
      </c>
      <c r="D1689" t="s">
        <v>1650</v>
      </c>
      <c r="E1689" t="s">
        <v>1651</v>
      </c>
      <c r="F1689" t="s">
        <v>47</v>
      </c>
      <c r="G1689" t="s">
        <v>73</v>
      </c>
      <c r="J1689" t="s">
        <v>3732</v>
      </c>
      <c r="K1689" t="s">
        <v>38</v>
      </c>
      <c r="L1689" t="s">
        <v>38</v>
      </c>
      <c r="M1689" t="s">
        <v>38</v>
      </c>
      <c r="N1689" t="s">
        <v>38</v>
      </c>
      <c r="O1689" t="s">
        <v>38</v>
      </c>
      <c r="T1689" t="s">
        <v>38</v>
      </c>
      <c r="U1689">
        <v>0</v>
      </c>
      <c r="W1689">
        <v>0</v>
      </c>
      <c r="X1689">
        <v>0</v>
      </c>
      <c r="Y1689">
        <v>0</v>
      </c>
      <c r="AE1689">
        <f t="shared" si="78"/>
        <v>1</v>
      </c>
      <c r="AF1689">
        <f>VLOOKUP(D1689,especies!$A$2:$C$9,3,FALSE)</f>
        <v>4</v>
      </c>
      <c r="AG1689" t="str">
        <f t="shared" si="79"/>
        <v>4-Erizo de Tierra</v>
      </c>
      <c r="AH1689">
        <f>VLOOKUP('Fichas clínicas'!AG1689,razas!$A$2:$D$66,3,FALSE)</f>
        <v>56</v>
      </c>
      <c r="AI1689" t="str">
        <f t="shared" si="80"/>
        <v>M</v>
      </c>
    </row>
    <row r="1690" spans="1:35" x14ac:dyDescent="0.2">
      <c r="A1690">
        <v>1692</v>
      </c>
      <c r="B1690" t="s">
        <v>3452</v>
      </c>
      <c r="C1690" t="s">
        <v>3315</v>
      </c>
      <c r="D1690" t="s">
        <v>41</v>
      </c>
      <c r="E1690" t="s">
        <v>42</v>
      </c>
      <c r="F1690" t="s">
        <v>47</v>
      </c>
      <c r="G1690" t="s">
        <v>2047</v>
      </c>
      <c r="J1690" t="s">
        <v>3733</v>
      </c>
      <c r="K1690" t="s">
        <v>38</v>
      </c>
      <c r="L1690" t="s">
        <v>38</v>
      </c>
      <c r="M1690" t="s">
        <v>38</v>
      </c>
      <c r="N1690" t="s">
        <v>38</v>
      </c>
      <c r="O1690" t="s">
        <v>38</v>
      </c>
      <c r="T1690" t="s">
        <v>38</v>
      </c>
      <c r="U1690">
        <v>0</v>
      </c>
      <c r="W1690">
        <v>0</v>
      </c>
      <c r="X1690">
        <v>0</v>
      </c>
      <c r="Y1690">
        <v>0</v>
      </c>
      <c r="AE1690">
        <f t="shared" si="78"/>
        <v>1</v>
      </c>
      <c r="AF1690">
        <f>VLOOKUP(D1690,especies!$A$2:$C$9,3,FALSE)</f>
        <v>2</v>
      </c>
      <c r="AG1690" t="str">
        <f t="shared" si="79"/>
        <v>2-DPC (Doméstico de pelo corto o DSH)</v>
      </c>
      <c r="AH1690">
        <f>VLOOKUP('Fichas clínicas'!AG1690,razas!$A$2:$D$66,3,FALSE)</f>
        <v>51</v>
      </c>
      <c r="AI1690" t="str">
        <f t="shared" si="80"/>
        <v>M</v>
      </c>
    </row>
    <row r="1691" spans="1:35" x14ac:dyDescent="0.2">
      <c r="A1691">
        <v>1693</v>
      </c>
      <c r="B1691" t="s">
        <v>3734</v>
      </c>
      <c r="C1691" t="s">
        <v>3735</v>
      </c>
      <c r="D1691" t="s">
        <v>32</v>
      </c>
      <c r="E1691" t="s">
        <v>33</v>
      </c>
      <c r="F1691" t="s">
        <v>47</v>
      </c>
      <c r="G1691" t="s">
        <v>526</v>
      </c>
      <c r="J1691" t="s">
        <v>519</v>
      </c>
      <c r="K1691" t="s">
        <v>38</v>
      </c>
      <c r="L1691" t="s">
        <v>38</v>
      </c>
      <c r="M1691" t="s">
        <v>38</v>
      </c>
      <c r="N1691" t="s">
        <v>38</v>
      </c>
      <c r="O1691" t="s">
        <v>38</v>
      </c>
      <c r="T1691" t="s">
        <v>38</v>
      </c>
      <c r="U1691">
        <v>0</v>
      </c>
      <c r="W1691">
        <v>0</v>
      </c>
      <c r="X1691">
        <v>0</v>
      </c>
      <c r="Y1691">
        <v>0</v>
      </c>
      <c r="AE1691">
        <f t="shared" si="78"/>
        <v>1</v>
      </c>
      <c r="AF1691">
        <f>VLOOKUP(D1691,especies!$A$2:$C$9,3,FALSE)</f>
        <v>1</v>
      </c>
      <c r="AG1691" t="str">
        <f t="shared" si="79"/>
        <v>1-Mestizo</v>
      </c>
      <c r="AH1691">
        <f>VLOOKUP('Fichas clínicas'!AG1691,razas!$A$2:$D$66,3,FALSE)</f>
        <v>1</v>
      </c>
      <c r="AI1691" t="str">
        <f t="shared" si="80"/>
        <v>M</v>
      </c>
    </row>
    <row r="1692" spans="1:35" x14ac:dyDescent="0.2">
      <c r="A1692">
        <v>1694</v>
      </c>
      <c r="B1692" t="s">
        <v>3736</v>
      </c>
      <c r="C1692" t="s">
        <v>3737</v>
      </c>
      <c r="D1692" t="s">
        <v>41</v>
      </c>
      <c r="E1692" t="s">
        <v>42</v>
      </c>
      <c r="F1692" t="s">
        <v>47</v>
      </c>
      <c r="G1692" t="s">
        <v>1656</v>
      </c>
      <c r="J1692" t="s">
        <v>3738</v>
      </c>
      <c r="K1692" t="s">
        <v>38</v>
      </c>
      <c r="L1692" t="s">
        <v>38</v>
      </c>
      <c r="M1692" t="s">
        <v>38</v>
      </c>
      <c r="N1692" t="s">
        <v>38</v>
      </c>
      <c r="O1692" t="s">
        <v>38</v>
      </c>
      <c r="T1692" t="s">
        <v>38</v>
      </c>
      <c r="U1692">
        <v>0</v>
      </c>
      <c r="W1692">
        <v>0</v>
      </c>
      <c r="X1692">
        <v>0</v>
      </c>
      <c r="Y1692">
        <v>0</v>
      </c>
      <c r="AE1692">
        <f t="shared" si="78"/>
        <v>1</v>
      </c>
      <c r="AF1692">
        <f>VLOOKUP(D1692,especies!$A$2:$C$9,3,FALSE)</f>
        <v>2</v>
      </c>
      <c r="AG1692" t="str">
        <f t="shared" si="79"/>
        <v>2-DPC (Doméstico de pelo corto o DSH)</v>
      </c>
      <c r="AH1692">
        <f>VLOOKUP('Fichas clínicas'!AG1692,razas!$A$2:$D$66,3,FALSE)</f>
        <v>51</v>
      </c>
      <c r="AI1692" t="str">
        <f t="shared" si="80"/>
        <v>M</v>
      </c>
    </row>
    <row r="1693" spans="1:35" x14ac:dyDescent="0.2">
      <c r="A1693">
        <v>1695</v>
      </c>
      <c r="B1693" t="s">
        <v>3739</v>
      </c>
      <c r="C1693" t="s">
        <v>3740</v>
      </c>
      <c r="D1693" t="s">
        <v>41</v>
      </c>
      <c r="E1693" t="s">
        <v>42</v>
      </c>
      <c r="F1693" t="s">
        <v>34</v>
      </c>
      <c r="G1693" t="s">
        <v>3741</v>
      </c>
      <c r="J1693" t="s">
        <v>3625</v>
      </c>
      <c r="K1693" t="s">
        <v>38</v>
      </c>
      <c r="L1693" t="s">
        <v>38</v>
      </c>
      <c r="M1693" t="s">
        <v>38</v>
      </c>
      <c r="N1693" t="s">
        <v>38</v>
      </c>
      <c r="O1693" t="s">
        <v>38</v>
      </c>
      <c r="T1693" t="s">
        <v>38</v>
      </c>
      <c r="U1693">
        <v>0</v>
      </c>
      <c r="W1693">
        <v>0</v>
      </c>
      <c r="X1693">
        <v>0</v>
      </c>
      <c r="Y1693">
        <v>0</v>
      </c>
      <c r="AE1693">
        <f t="shared" si="78"/>
        <v>1</v>
      </c>
      <c r="AF1693">
        <f>VLOOKUP(D1693,especies!$A$2:$C$9,3,FALSE)</f>
        <v>2</v>
      </c>
      <c r="AG1693" t="str">
        <f t="shared" si="79"/>
        <v>2-DPC (Doméstico de pelo corto o DSH)</v>
      </c>
      <c r="AH1693">
        <f>VLOOKUP('Fichas clínicas'!AG1693,razas!$A$2:$D$66,3,FALSE)</f>
        <v>51</v>
      </c>
      <c r="AI1693" t="str">
        <f t="shared" si="80"/>
        <v>H</v>
      </c>
    </row>
    <row r="1694" spans="1:35" x14ac:dyDescent="0.2">
      <c r="A1694">
        <v>1696</v>
      </c>
      <c r="B1694" t="s">
        <v>3742</v>
      </c>
      <c r="C1694" t="s">
        <v>3743</v>
      </c>
      <c r="D1694" t="s">
        <v>32</v>
      </c>
      <c r="E1694" t="s">
        <v>508</v>
      </c>
      <c r="F1694" t="s">
        <v>34</v>
      </c>
      <c r="G1694" t="s">
        <v>2819</v>
      </c>
      <c r="J1694" t="s">
        <v>797</v>
      </c>
      <c r="K1694" t="s">
        <v>38</v>
      </c>
      <c r="L1694" t="s">
        <v>38</v>
      </c>
      <c r="M1694" t="s">
        <v>38</v>
      </c>
      <c r="N1694" t="s">
        <v>38</v>
      </c>
      <c r="O1694" t="s">
        <v>38</v>
      </c>
      <c r="T1694" t="s">
        <v>38</v>
      </c>
      <c r="U1694">
        <v>0</v>
      </c>
      <c r="W1694">
        <v>0</v>
      </c>
      <c r="X1694">
        <v>0</v>
      </c>
      <c r="Y1694">
        <v>0</v>
      </c>
      <c r="AE1694">
        <f t="shared" si="78"/>
        <v>1</v>
      </c>
      <c r="AF1694">
        <f>VLOOKUP(D1694,especies!$A$2:$C$9,3,FALSE)</f>
        <v>1</v>
      </c>
      <c r="AG1694" t="str">
        <f t="shared" si="79"/>
        <v>1-Akita Americano</v>
      </c>
      <c r="AH1694">
        <f>VLOOKUP('Fichas clínicas'!AG1694,razas!$A$2:$D$66,3,FALSE)</f>
        <v>15</v>
      </c>
      <c r="AI1694" t="str">
        <f t="shared" si="80"/>
        <v>H</v>
      </c>
    </row>
    <row r="1695" spans="1:35" x14ac:dyDescent="0.2">
      <c r="A1695">
        <v>1697</v>
      </c>
      <c r="B1695" t="s">
        <v>3744</v>
      </c>
      <c r="C1695" t="s">
        <v>378</v>
      </c>
      <c r="D1695" t="s">
        <v>41</v>
      </c>
      <c r="E1695" t="s">
        <v>42</v>
      </c>
      <c r="F1695" t="s">
        <v>34</v>
      </c>
      <c r="G1695" t="s">
        <v>2308</v>
      </c>
      <c r="J1695" t="s">
        <v>61</v>
      </c>
      <c r="K1695" t="s">
        <v>38</v>
      </c>
      <c r="L1695" t="s">
        <v>38</v>
      </c>
      <c r="M1695" t="s">
        <v>38</v>
      </c>
      <c r="N1695" t="s">
        <v>38</v>
      </c>
      <c r="O1695" t="s">
        <v>38</v>
      </c>
      <c r="Q1695">
        <v>0</v>
      </c>
      <c r="T1695" t="s">
        <v>38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f t="shared" si="78"/>
        <v>1</v>
      </c>
      <c r="AF1695">
        <f>VLOOKUP(D1695,especies!$A$2:$C$9,3,FALSE)</f>
        <v>2</v>
      </c>
      <c r="AG1695" t="str">
        <f t="shared" si="79"/>
        <v>2-DPC (Doméstico de pelo corto o DSH)</v>
      </c>
      <c r="AH1695">
        <f>VLOOKUP('Fichas clínicas'!AG1695,razas!$A$2:$D$66,3,FALSE)</f>
        <v>51</v>
      </c>
      <c r="AI1695" t="str">
        <f t="shared" si="80"/>
        <v>H</v>
      </c>
    </row>
    <row r="1696" spans="1:35" x14ac:dyDescent="0.2">
      <c r="A1696">
        <v>1698</v>
      </c>
      <c r="B1696" t="s">
        <v>3744</v>
      </c>
      <c r="C1696" t="s">
        <v>3305</v>
      </c>
      <c r="D1696" t="s">
        <v>41</v>
      </c>
      <c r="E1696" t="s">
        <v>93</v>
      </c>
      <c r="F1696" t="s">
        <v>47</v>
      </c>
      <c r="G1696" t="s">
        <v>616</v>
      </c>
      <c r="J1696" t="s">
        <v>2224</v>
      </c>
      <c r="K1696" t="s">
        <v>38</v>
      </c>
      <c r="L1696" t="s">
        <v>38</v>
      </c>
      <c r="M1696" t="s">
        <v>38</v>
      </c>
      <c r="N1696" t="s">
        <v>38</v>
      </c>
      <c r="O1696" t="s">
        <v>38</v>
      </c>
      <c r="T1696" t="s">
        <v>38</v>
      </c>
      <c r="U1696">
        <v>0</v>
      </c>
      <c r="W1696">
        <v>0</v>
      </c>
      <c r="X1696">
        <v>0</v>
      </c>
      <c r="Y1696">
        <v>0</v>
      </c>
      <c r="AE1696">
        <f t="shared" si="78"/>
        <v>1</v>
      </c>
      <c r="AF1696">
        <f>VLOOKUP(D1696,especies!$A$2:$C$9,3,FALSE)</f>
        <v>2</v>
      </c>
      <c r="AG1696" t="str">
        <f t="shared" si="79"/>
        <v>2-DPL (Doméstico de pelo Largo o DLH)</v>
      </c>
      <c r="AH1696">
        <f>VLOOKUP('Fichas clínicas'!AG1696,razas!$A$2:$D$66,3,FALSE)</f>
        <v>52</v>
      </c>
      <c r="AI1696" t="str">
        <f t="shared" si="80"/>
        <v>M</v>
      </c>
    </row>
    <row r="1697" spans="1:35" x14ac:dyDescent="0.2">
      <c r="A1697">
        <v>1699</v>
      </c>
      <c r="B1697" t="s">
        <v>3620</v>
      </c>
      <c r="C1697" t="s">
        <v>2107</v>
      </c>
      <c r="D1697" t="s">
        <v>41</v>
      </c>
      <c r="E1697" t="s">
        <v>93</v>
      </c>
      <c r="F1697" t="s">
        <v>34</v>
      </c>
      <c r="G1697" t="s">
        <v>526</v>
      </c>
      <c r="J1697" t="s">
        <v>533</v>
      </c>
      <c r="K1697" t="s">
        <v>38</v>
      </c>
      <c r="L1697" t="s">
        <v>38</v>
      </c>
      <c r="M1697" t="s">
        <v>38</v>
      </c>
      <c r="N1697" t="s">
        <v>38</v>
      </c>
      <c r="O1697" t="s">
        <v>38</v>
      </c>
      <c r="Q1697">
        <v>0</v>
      </c>
      <c r="T1697" t="s">
        <v>38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f t="shared" si="78"/>
        <v>1</v>
      </c>
      <c r="AF1697">
        <f>VLOOKUP(D1697,especies!$A$2:$C$9,3,FALSE)</f>
        <v>2</v>
      </c>
      <c r="AG1697" t="str">
        <f t="shared" si="79"/>
        <v>2-DPL (Doméstico de pelo Largo o DLH)</v>
      </c>
      <c r="AH1697">
        <f>VLOOKUP('Fichas clínicas'!AG1697,razas!$A$2:$D$66,3,FALSE)</f>
        <v>52</v>
      </c>
      <c r="AI1697" t="str">
        <f t="shared" si="80"/>
        <v>H</v>
      </c>
    </row>
    <row r="1698" spans="1:35" x14ac:dyDescent="0.2">
      <c r="A1698">
        <v>1700</v>
      </c>
      <c r="B1698" t="s">
        <v>2856</v>
      </c>
      <c r="C1698" t="s">
        <v>3745</v>
      </c>
      <c r="D1698" t="s">
        <v>32</v>
      </c>
      <c r="E1698" t="s">
        <v>33</v>
      </c>
      <c r="F1698" t="s">
        <v>47</v>
      </c>
      <c r="G1698" t="s">
        <v>1915</v>
      </c>
      <c r="J1698" t="s">
        <v>3746</v>
      </c>
      <c r="K1698" t="s">
        <v>38</v>
      </c>
      <c r="L1698" t="s">
        <v>38</v>
      </c>
      <c r="M1698" t="s">
        <v>38</v>
      </c>
      <c r="N1698" t="s">
        <v>38</v>
      </c>
      <c r="O1698" t="s">
        <v>38</v>
      </c>
      <c r="Q1698">
        <v>0</v>
      </c>
      <c r="T1698" t="s">
        <v>38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f t="shared" si="78"/>
        <v>1</v>
      </c>
      <c r="AF1698">
        <f>VLOOKUP(D1698,especies!$A$2:$C$9,3,FALSE)</f>
        <v>1</v>
      </c>
      <c r="AG1698" t="str">
        <f t="shared" si="79"/>
        <v>1-Mestizo</v>
      </c>
      <c r="AH1698">
        <f>VLOOKUP('Fichas clínicas'!AG1698,razas!$A$2:$D$66,3,FALSE)</f>
        <v>1</v>
      </c>
      <c r="AI1698" t="str">
        <f t="shared" si="80"/>
        <v>M</v>
      </c>
    </row>
    <row r="1699" spans="1:35" x14ac:dyDescent="0.2">
      <c r="A1699">
        <v>1701</v>
      </c>
      <c r="B1699" t="s">
        <v>3747</v>
      </c>
      <c r="C1699" t="s">
        <v>3748</v>
      </c>
      <c r="D1699" t="s">
        <v>32</v>
      </c>
      <c r="E1699" t="s">
        <v>545</v>
      </c>
      <c r="F1699" t="s">
        <v>34</v>
      </c>
      <c r="G1699" t="s">
        <v>1515</v>
      </c>
      <c r="J1699" t="s">
        <v>3749</v>
      </c>
      <c r="K1699" t="s">
        <v>38</v>
      </c>
      <c r="L1699" t="s">
        <v>38</v>
      </c>
      <c r="M1699" t="s">
        <v>38</v>
      </c>
      <c r="N1699" t="s">
        <v>38</v>
      </c>
      <c r="O1699" t="s">
        <v>38</v>
      </c>
      <c r="T1699" t="s">
        <v>38</v>
      </c>
      <c r="U1699">
        <v>0</v>
      </c>
      <c r="W1699">
        <v>0</v>
      </c>
      <c r="X1699">
        <v>0</v>
      </c>
      <c r="Y1699">
        <v>0</v>
      </c>
      <c r="AE1699">
        <f t="shared" si="78"/>
        <v>1</v>
      </c>
      <c r="AF1699">
        <f>VLOOKUP(D1699,especies!$A$2:$C$9,3,FALSE)</f>
        <v>1</v>
      </c>
      <c r="AG1699" t="str">
        <f t="shared" si="79"/>
        <v>1-Golden Retriever</v>
      </c>
      <c r="AH1699">
        <f>VLOOKUP('Fichas clínicas'!AG1699,razas!$A$2:$D$66,3,FALSE)</f>
        <v>16</v>
      </c>
      <c r="AI1699" t="str">
        <f t="shared" si="80"/>
        <v>H</v>
      </c>
    </row>
    <row r="1700" spans="1:35" x14ac:dyDescent="0.2">
      <c r="A1700">
        <v>1702</v>
      </c>
      <c r="B1700" t="s">
        <v>3750</v>
      </c>
      <c r="C1700" t="s">
        <v>3341</v>
      </c>
      <c r="D1700" t="s">
        <v>41</v>
      </c>
      <c r="E1700" t="s">
        <v>93</v>
      </c>
      <c r="F1700" t="s">
        <v>47</v>
      </c>
      <c r="G1700" t="s">
        <v>616</v>
      </c>
      <c r="J1700" t="s">
        <v>3643</v>
      </c>
      <c r="K1700" t="s">
        <v>38</v>
      </c>
      <c r="L1700" t="s">
        <v>38</v>
      </c>
      <c r="M1700" t="s">
        <v>38</v>
      </c>
      <c r="N1700" t="s">
        <v>38</v>
      </c>
      <c r="O1700" t="s">
        <v>38</v>
      </c>
      <c r="T1700" t="s">
        <v>38</v>
      </c>
      <c r="U1700">
        <v>0</v>
      </c>
      <c r="V1700">
        <v>1</v>
      </c>
      <c r="W1700">
        <v>0</v>
      </c>
      <c r="X1700">
        <v>0</v>
      </c>
      <c r="Y1700">
        <v>0</v>
      </c>
      <c r="AE1700">
        <f t="shared" si="78"/>
        <v>1</v>
      </c>
      <c r="AF1700">
        <f>VLOOKUP(D1700,especies!$A$2:$C$9,3,FALSE)</f>
        <v>2</v>
      </c>
      <c r="AG1700" t="str">
        <f t="shared" si="79"/>
        <v>2-DPL (Doméstico de pelo Largo o DLH)</v>
      </c>
      <c r="AH1700">
        <f>VLOOKUP('Fichas clínicas'!AG1700,razas!$A$2:$D$66,3,FALSE)</f>
        <v>52</v>
      </c>
      <c r="AI1700" t="str">
        <f t="shared" si="80"/>
        <v>M</v>
      </c>
    </row>
    <row r="1701" spans="1:35" x14ac:dyDescent="0.2">
      <c r="A1701">
        <v>1703</v>
      </c>
      <c r="B1701" t="s">
        <v>3751</v>
      </c>
      <c r="C1701" t="s">
        <v>2526</v>
      </c>
      <c r="D1701" t="s">
        <v>32</v>
      </c>
      <c r="E1701" t="s">
        <v>3752</v>
      </c>
      <c r="F1701" t="s">
        <v>47</v>
      </c>
      <c r="G1701" t="s">
        <v>2308</v>
      </c>
      <c r="J1701" t="s">
        <v>58</v>
      </c>
      <c r="K1701" t="s">
        <v>38</v>
      </c>
      <c r="L1701" t="s">
        <v>38</v>
      </c>
      <c r="M1701" t="s">
        <v>38</v>
      </c>
      <c r="N1701" t="s">
        <v>38</v>
      </c>
      <c r="O1701" t="s">
        <v>38</v>
      </c>
      <c r="T1701" t="s">
        <v>38</v>
      </c>
      <c r="U1701">
        <v>0</v>
      </c>
      <c r="W1701">
        <v>0</v>
      </c>
      <c r="X1701">
        <v>0</v>
      </c>
      <c r="Y1701">
        <v>0</v>
      </c>
      <c r="AE1701">
        <f t="shared" si="78"/>
        <v>1</v>
      </c>
      <c r="AF1701">
        <f>VLOOKUP(D1701,especies!$A$2:$C$9,3,FALSE)</f>
        <v>1</v>
      </c>
      <c r="AG1701" t="str">
        <f t="shared" si="79"/>
        <v>1-Schnauzer Miniatura</v>
      </c>
      <c r="AH1701">
        <f>VLOOKUP('Fichas clínicas'!AG1701,razas!$A$2:$D$66,3,FALSE)</f>
        <v>45</v>
      </c>
      <c r="AI1701" t="str">
        <f t="shared" si="80"/>
        <v>M</v>
      </c>
    </row>
    <row r="1702" spans="1:35" x14ac:dyDescent="0.2">
      <c r="A1702">
        <v>1704</v>
      </c>
      <c r="B1702" t="s">
        <v>3753</v>
      </c>
      <c r="C1702" t="s">
        <v>2653</v>
      </c>
      <c r="D1702" t="s">
        <v>32</v>
      </c>
      <c r="E1702" t="s">
        <v>970</v>
      </c>
      <c r="F1702" t="s">
        <v>47</v>
      </c>
      <c r="G1702" t="s">
        <v>452</v>
      </c>
      <c r="J1702" t="s">
        <v>3754</v>
      </c>
      <c r="K1702" t="s">
        <v>38</v>
      </c>
      <c r="L1702" t="s">
        <v>38</v>
      </c>
      <c r="M1702" t="s">
        <v>38</v>
      </c>
      <c r="N1702" t="s">
        <v>38</v>
      </c>
      <c r="O1702" t="s">
        <v>38</v>
      </c>
      <c r="T1702" t="s">
        <v>38</v>
      </c>
      <c r="U1702">
        <v>0</v>
      </c>
      <c r="W1702">
        <v>0</v>
      </c>
      <c r="X1702">
        <v>0</v>
      </c>
      <c r="Y1702">
        <v>0</v>
      </c>
      <c r="AE1702">
        <f t="shared" si="78"/>
        <v>1</v>
      </c>
      <c r="AF1702">
        <f>VLOOKUP(D1702,especies!$A$2:$C$9,3,FALSE)</f>
        <v>1</v>
      </c>
      <c r="AG1702" t="str">
        <f t="shared" si="79"/>
        <v>1-American Pit Bull Terrier</v>
      </c>
      <c r="AH1702">
        <f>VLOOKUP('Fichas clínicas'!AG1702,razas!$A$2:$D$66,3,FALSE)</f>
        <v>25</v>
      </c>
      <c r="AI1702" t="str">
        <f t="shared" si="80"/>
        <v>M</v>
      </c>
    </row>
    <row r="1703" spans="1:35" x14ac:dyDescent="0.2">
      <c r="A1703">
        <v>1705</v>
      </c>
      <c r="B1703" t="s">
        <v>3755</v>
      </c>
      <c r="C1703" t="s">
        <v>3467</v>
      </c>
      <c r="D1703" t="s">
        <v>41</v>
      </c>
      <c r="E1703" t="s">
        <v>42</v>
      </c>
      <c r="F1703" t="s">
        <v>47</v>
      </c>
      <c r="G1703" t="s">
        <v>3756</v>
      </c>
      <c r="J1703" t="s">
        <v>3757</v>
      </c>
      <c r="K1703" t="s">
        <v>38</v>
      </c>
      <c r="L1703" t="s">
        <v>38</v>
      </c>
      <c r="M1703" t="s">
        <v>38</v>
      </c>
      <c r="N1703" t="s">
        <v>38</v>
      </c>
      <c r="O1703" t="s">
        <v>38</v>
      </c>
      <c r="T1703" t="s">
        <v>38</v>
      </c>
      <c r="U1703">
        <v>0</v>
      </c>
      <c r="W1703">
        <v>0</v>
      </c>
      <c r="X1703">
        <v>0</v>
      </c>
      <c r="Y1703">
        <v>0</v>
      </c>
      <c r="AE1703">
        <f t="shared" si="78"/>
        <v>1</v>
      </c>
      <c r="AF1703">
        <f>VLOOKUP(D1703,especies!$A$2:$C$9,3,FALSE)</f>
        <v>2</v>
      </c>
      <c r="AG1703" t="str">
        <f t="shared" si="79"/>
        <v>2-DPC (Doméstico de pelo corto o DSH)</v>
      </c>
      <c r="AH1703">
        <f>VLOOKUP('Fichas clínicas'!AG1703,razas!$A$2:$D$66,3,FALSE)</f>
        <v>51</v>
      </c>
      <c r="AI1703" t="str">
        <f t="shared" si="80"/>
        <v>M</v>
      </c>
    </row>
    <row r="1704" spans="1:35" x14ac:dyDescent="0.2">
      <c r="A1704">
        <v>1706</v>
      </c>
      <c r="B1704" t="s">
        <v>3758</v>
      </c>
      <c r="C1704" t="s">
        <v>3759</v>
      </c>
      <c r="D1704" t="s">
        <v>41</v>
      </c>
      <c r="E1704" t="s">
        <v>93</v>
      </c>
      <c r="F1704" t="s">
        <v>34</v>
      </c>
      <c r="G1704" t="s">
        <v>452</v>
      </c>
      <c r="J1704" t="s">
        <v>3760</v>
      </c>
      <c r="K1704" t="s">
        <v>38</v>
      </c>
      <c r="L1704" t="s">
        <v>38</v>
      </c>
      <c r="M1704" t="s">
        <v>38</v>
      </c>
      <c r="N1704" t="s">
        <v>38</v>
      </c>
      <c r="O1704" t="s">
        <v>38</v>
      </c>
      <c r="Q1704">
        <v>0</v>
      </c>
      <c r="T1704" t="s">
        <v>38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f t="shared" si="78"/>
        <v>1</v>
      </c>
      <c r="AF1704">
        <f>VLOOKUP(D1704,especies!$A$2:$C$9,3,FALSE)</f>
        <v>2</v>
      </c>
      <c r="AG1704" t="str">
        <f t="shared" si="79"/>
        <v>2-DPL (Doméstico de pelo Largo o DLH)</v>
      </c>
      <c r="AH1704">
        <f>VLOOKUP('Fichas clínicas'!AG1704,razas!$A$2:$D$66,3,FALSE)</f>
        <v>52</v>
      </c>
      <c r="AI1704" t="str">
        <f t="shared" si="80"/>
        <v>H</v>
      </c>
    </row>
    <row r="1705" spans="1:35" x14ac:dyDescent="0.2">
      <c r="A1705">
        <v>1707</v>
      </c>
      <c r="B1705" t="s">
        <v>3310</v>
      </c>
      <c r="C1705" t="s">
        <v>3761</v>
      </c>
      <c r="D1705" t="s">
        <v>32</v>
      </c>
      <c r="E1705" t="s">
        <v>823</v>
      </c>
      <c r="F1705" t="s">
        <v>47</v>
      </c>
      <c r="G1705" t="s">
        <v>1547</v>
      </c>
      <c r="J1705" t="s">
        <v>3762</v>
      </c>
      <c r="K1705" t="s">
        <v>38</v>
      </c>
      <c r="L1705" t="s">
        <v>38</v>
      </c>
      <c r="M1705" t="s">
        <v>38</v>
      </c>
      <c r="N1705" t="s">
        <v>38</v>
      </c>
      <c r="O1705" t="s">
        <v>38</v>
      </c>
      <c r="T1705" t="s">
        <v>38</v>
      </c>
      <c r="U1705">
        <v>0</v>
      </c>
      <c r="W1705">
        <v>0</v>
      </c>
      <c r="X1705">
        <v>0</v>
      </c>
      <c r="Y1705">
        <v>0</v>
      </c>
      <c r="AE1705">
        <f t="shared" si="78"/>
        <v>1</v>
      </c>
      <c r="AF1705">
        <f>VLOOKUP(D1705,especies!$A$2:$C$9,3,FALSE)</f>
        <v>1</v>
      </c>
      <c r="AG1705" t="str">
        <f t="shared" si="79"/>
        <v>1-Dogo Argentino</v>
      </c>
      <c r="AH1705">
        <f>VLOOKUP('Fichas clínicas'!AG1705,razas!$A$2:$D$66,3,FALSE)</f>
        <v>19</v>
      </c>
      <c r="AI1705" t="str">
        <f t="shared" si="80"/>
        <v>M</v>
      </c>
    </row>
    <row r="1706" spans="1:35" x14ac:dyDescent="0.2">
      <c r="A1706">
        <v>1708</v>
      </c>
      <c r="B1706" t="s">
        <v>3763</v>
      </c>
      <c r="C1706" t="s">
        <v>2644</v>
      </c>
      <c r="D1706" t="s">
        <v>32</v>
      </c>
      <c r="E1706" t="s">
        <v>994</v>
      </c>
      <c r="F1706" t="s">
        <v>47</v>
      </c>
      <c r="G1706" t="s">
        <v>3764</v>
      </c>
      <c r="J1706" t="s">
        <v>3765</v>
      </c>
      <c r="K1706" t="s">
        <v>38</v>
      </c>
      <c r="L1706" t="s">
        <v>38</v>
      </c>
      <c r="M1706" t="s">
        <v>38</v>
      </c>
      <c r="N1706" t="s">
        <v>38</v>
      </c>
      <c r="O1706" t="s">
        <v>38</v>
      </c>
      <c r="Q1706">
        <v>0</v>
      </c>
      <c r="T1706" t="s">
        <v>38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f t="shared" si="78"/>
        <v>1</v>
      </c>
      <c r="AF1706">
        <f>VLOOKUP(D1706,especies!$A$2:$C$9,3,FALSE)</f>
        <v>1</v>
      </c>
      <c r="AG1706" t="str">
        <f t="shared" si="79"/>
        <v>1-Bulldog Francés</v>
      </c>
      <c r="AH1706">
        <f>VLOOKUP('Fichas clínicas'!AG1706,razas!$A$2:$D$66,3,FALSE)</f>
        <v>26</v>
      </c>
      <c r="AI1706" t="str">
        <f t="shared" si="80"/>
        <v>M</v>
      </c>
    </row>
    <row r="1707" spans="1:35" x14ac:dyDescent="0.2">
      <c r="A1707">
        <v>1709</v>
      </c>
      <c r="B1707" t="s">
        <v>3766</v>
      </c>
      <c r="C1707" t="s">
        <v>3767</v>
      </c>
      <c r="D1707" t="s">
        <v>32</v>
      </c>
      <c r="E1707" t="s">
        <v>33</v>
      </c>
      <c r="F1707" t="s">
        <v>47</v>
      </c>
      <c r="G1707" t="s">
        <v>102</v>
      </c>
      <c r="J1707" t="s">
        <v>489</v>
      </c>
      <c r="K1707" t="s">
        <v>38</v>
      </c>
      <c r="L1707" t="s">
        <v>38</v>
      </c>
      <c r="M1707" t="s">
        <v>38</v>
      </c>
      <c r="N1707" t="s">
        <v>38</v>
      </c>
      <c r="O1707" t="s">
        <v>38</v>
      </c>
      <c r="T1707" t="s">
        <v>38</v>
      </c>
      <c r="U1707">
        <v>0</v>
      </c>
      <c r="V1707">
        <v>1</v>
      </c>
      <c r="W1707">
        <v>0</v>
      </c>
      <c r="X1707">
        <v>0</v>
      </c>
      <c r="Y1707">
        <v>0</v>
      </c>
      <c r="AE1707">
        <f t="shared" si="78"/>
        <v>1</v>
      </c>
      <c r="AF1707">
        <f>VLOOKUP(D1707,especies!$A$2:$C$9,3,FALSE)</f>
        <v>1</v>
      </c>
      <c r="AG1707" t="str">
        <f t="shared" si="79"/>
        <v>1-Mestizo</v>
      </c>
      <c r="AH1707">
        <f>VLOOKUP('Fichas clínicas'!AG1707,razas!$A$2:$D$66,3,FALSE)</f>
        <v>1</v>
      </c>
      <c r="AI1707" t="str">
        <f t="shared" si="80"/>
        <v>M</v>
      </c>
    </row>
    <row r="1708" spans="1:35" x14ac:dyDescent="0.2">
      <c r="A1708">
        <v>1710</v>
      </c>
      <c r="B1708" t="s">
        <v>3766</v>
      </c>
      <c r="C1708" t="s">
        <v>2144</v>
      </c>
      <c r="D1708" t="s">
        <v>32</v>
      </c>
      <c r="E1708" t="s">
        <v>309</v>
      </c>
      <c r="F1708" t="s">
        <v>47</v>
      </c>
      <c r="G1708" t="s">
        <v>1915</v>
      </c>
      <c r="J1708" t="s">
        <v>493</v>
      </c>
      <c r="K1708" t="s">
        <v>38</v>
      </c>
      <c r="L1708" t="s">
        <v>38</v>
      </c>
      <c r="M1708" t="s">
        <v>38</v>
      </c>
      <c r="N1708" t="s">
        <v>38</v>
      </c>
      <c r="O1708" t="s">
        <v>38</v>
      </c>
      <c r="T1708" t="s">
        <v>38</v>
      </c>
      <c r="U1708">
        <v>0</v>
      </c>
      <c r="W1708">
        <v>0</v>
      </c>
      <c r="X1708">
        <v>0</v>
      </c>
      <c r="Y1708">
        <v>0</v>
      </c>
      <c r="AE1708">
        <f t="shared" si="78"/>
        <v>1</v>
      </c>
      <c r="AF1708">
        <f>VLOOKUP(D1708,especies!$A$2:$C$9,3,FALSE)</f>
        <v>1</v>
      </c>
      <c r="AG1708" t="str">
        <f t="shared" si="79"/>
        <v>1-Pug</v>
      </c>
      <c r="AH1708">
        <f>VLOOKUP('Fichas clínicas'!AG1708,razas!$A$2:$D$66,3,FALSE)</f>
        <v>11</v>
      </c>
      <c r="AI1708" t="str">
        <f t="shared" si="80"/>
        <v>M</v>
      </c>
    </row>
    <row r="1709" spans="1:35" x14ac:dyDescent="0.2">
      <c r="A1709">
        <v>1711</v>
      </c>
      <c r="B1709" t="s">
        <v>1882</v>
      </c>
      <c r="C1709" t="s">
        <v>3768</v>
      </c>
      <c r="D1709" t="s">
        <v>41</v>
      </c>
      <c r="E1709" t="s">
        <v>42</v>
      </c>
      <c r="F1709" t="s">
        <v>47</v>
      </c>
      <c r="G1709" t="s">
        <v>2047</v>
      </c>
      <c r="J1709" t="s">
        <v>3769</v>
      </c>
      <c r="K1709" t="s">
        <v>38</v>
      </c>
      <c r="L1709" t="s">
        <v>38</v>
      </c>
      <c r="M1709" t="s">
        <v>38</v>
      </c>
      <c r="N1709" t="s">
        <v>38</v>
      </c>
      <c r="O1709" t="s">
        <v>38</v>
      </c>
      <c r="T1709" t="s">
        <v>38</v>
      </c>
      <c r="U1709">
        <v>0</v>
      </c>
      <c r="W1709">
        <v>0</v>
      </c>
      <c r="X1709">
        <v>0</v>
      </c>
      <c r="Y1709">
        <v>0</v>
      </c>
      <c r="AE1709">
        <f t="shared" si="78"/>
        <v>1</v>
      </c>
      <c r="AF1709">
        <f>VLOOKUP(D1709,especies!$A$2:$C$9,3,FALSE)</f>
        <v>2</v>
      </c>
      <c r="AG1709" t="str">
        <f t="shared" si="79"/>
        <v>2-DPC (Doméstico de pelo corto o DSH)</v>
      </c>
      <c r="AH1709">
        <f>VLOOKUP('Fichas clínicas'!AG1709,razas!$A$2:$D$66,3,FALSE)</f>
        <v>51</v>
      </c>
      <c r="AI1709" t="str">
        <f t="shared" si="80"/>
        <v>M</v>
      </c>
    </row>
    <row r="1710" spans="1:35" x14ac:dyDescent="0.2">
      <c r="A1710">
        <v>1712</v>
      </c>
      <c r="B1710" t="s">
        <v>3770</v>
      </c>
      <c r="C1710" t="s">
        <v>3771</v>
      </c>
      <c r="D1710" t="s">
        <v>32</v>
      </c>
      <c r="E1710" t="s">
        <v>458</v>
      </c>
      <c r="F1710" t="s">
        <v>47</v>
      </c>
      <c r="G1710" t="s">
        <v>526</v>
      </c>
      <c r="J1710" t="s">
        <v>489</v>
      </c>
      <c r="K1710" t="s">
        <v>38</v>
      </c>
      <c r="L1710" t="s">
        <v>38</v>
      </c>
      <c r="M1710" t="s">
        <v>38</v>
      </c>
      <c r="N1710" t="s">
        <v>38</v>
      </c>
      <c r="O1710" t="s">
        <v>38</v>
      </c>
      <c r="Q1710">
        <v>0</v>
      </c>
      <c r="T1710" t="s">
        <v>38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f t="shared" si="78"/>
        <v>1</v>
      </c>
      <c r="AF1710">
        <f>VLOOKUP(D1710,especies!$A$2:$C$9,3,FALSE)</f>
        <v>1</v>
      </c>
      <c r="AG1710" t="str">
        <f t="shared" si="79"/>
        <v>1-Beagle</v>
      </c>
      <c r="AH1710">
        <f>VLOOKUP('Fichas clínicas'!AG1710,razas!$A$2:$D$66,3,FALSE)</f>
        <v>13</v>
      </c>
      <c r="AI1710" t="str">
        <f t="shared" si="80"/>
        <v>M</v>
      </c>
    </row>
    <row r="1711" spans="1:35" x14ac:dyDescent="0.2">
      <c r="A1711">
        <v>1713</v>
      </c>
      <c r="B1711" t="s">
        <v>3772</v>
      </c>
      <c r="C1711" t="s">
        <v>3773</v>
      </c>
      <c r="D1711" t="s">
        <v>41</v>
      </c>
      <c r="E1711" t="s">
        <v>42</v>
      </c>
      <c r="F1711" t="s">
        <v>34</v>
      </c>
      <c r="G1711" t="s">
        <v>3774</v>
      </c>
      <c r="J1711" t="s">
        <v>3775</v>
      </c>
      <c r="K1711" t="s">
        <v>38</v>
      </c>
      <c r="L1711" t="s">
        <v>38</v>
      </c>
      <c r="M1711" t="s">
        <v>38</v>
      </c>
      <c r="N1711" t="s">
        <v>38</v>
      </c>
      <c r="O1711" t="s">
        <v>38</v>
      </c>
      <c r="T1711" t="s">
        <v>38</v>
      </c>
      <c r="U1711">
        <v>0</v>
      </c>
      <c r="W1711">
        <v>0</v>
      </c>
      <c r="X1711">
        <v>0</v>
      </c>
      <c r="Y1711">
        <v>0</v>
      </c>
      <c r="AE1711">
        <f t="shared" si="78"/>
        <v>1</v>
      </c>
      <c r="AF1711">
        <f>VLOOKUP(D1711,especies!$A$2:$C$9,3,FALSE)</f>
        <v>2</v>
      </c>
      <c r="AG1711" t="str">
        <f t="shared" si="79"/>
        <v>2-DPC (Doméstico de pelo corto o DSH)</v>
      </c>
      <c r="AH1711">
        <f>VLOOKUP('Fichas clínicas'!AG1711,razas!$A$2:$D$66,3,FALSE)</f>
        <v>51</v>
      </c>
      <c r="AI1711" t="str">
        <f t="shared" si="80"/>
        <v>H</v>
      </c>
    </row>
    <row r="1712" spans="1:35" x14ac:dyDescent="0.2">
      <c r="A1712">
        <v>1714</v>
      </c>
      <c r="B1712" t="s">
        <v>2896</v>
      </c>
      <c r="C1712" t="s">
        <v>3776</v>
      </c>
      <c r="D1712" t="s">
        <v>41</v>
      </c>
      <c r="E1712" t="s">
        <v>42</v>
      </c>
      <c r="F1712" t="s">
        <v>34</v>
      </c>
      <c r="G1712" t="s">
        <v>3572</v>
      </c>
      <c r="J1712" t="s">
        <v>3777</v>
      </c>
      <c r="K1712" t="s">
        <v>38</v>
      </c>
      <c r="L1712" t="s">
        <v>38</v>
      </c>
      <c r="M1712" t="s">
        <v>38</v>
      </c>
      <c r="N1712" t="s">
        <v>38</v>
      </c>
      <c r="O1712" t="s">
        <v>38</v>
      </c>
      <c r="Q1712">
        <v>0</v>
      </c>
      <c r="T1712" t="s">
        <v>38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f t="shared" si="78"/>
        <v>1</v>
      </c>
      <c r="AF1712">
        <f>VLOOKUP(D1712,especies!$A$2:$C$9,3,FALSE)</f>
        <v>2</v>
      </c>
      <c r="AG1712" t="str">
        <f t="shared" si="79"/>
        <v>2-DPC (Doméstico de pelo corto o DSH)</v>
      </c>
      <c r="AH1712">
        <f>VLOOKUP('Fichas clínicas'!AG1712,razas!$A$2:$D$66,3,FALSE)</f>
        <v>51</v>
      </c>
      <c r="AI1712" t="str">
        <f t="shared" si="80"/>
        <v>H</v>
      </c>
    </row>
    <row r="1713" spans="1:35" x14ac:dyDescent="0.2">
      <c r="A1713">
        <v>1715</v>
      </c>
      <c r="B1713" t="s">
        <v>3614</v>
      </c>
      <c r="C1713" t="s">
        <v>3778</v>
      </c>
      <c r="D1713" t="s">
        <v>41</v>
      </c>
      <c r="E1713" t="s">
        <v>42</v>
      </c>
      <c r="F1713" t="s">
        <v>34</v>
      </c>
      <c r="G1713" t="s">
        <v>3572</v>
      </c>
      <c r="J1713" t="s">
        <v>3210</v>
      </c>
      <c r="K1713" t="s">
        <v>38</v>
      </c>
      <c r="L1713" t="s">
        <v>38</v>
      </c>
      <c r="M1713" t="s">
        <v>38</v>
      </c>
      <c r="N1713" t="s">
        <v>38</v>
      </c>
      <c r="O1713" t="s">
        <v>38</v>
      </c>
      <c r="T1713" t="s">
        <v>38</v>
      </c>
      <c r="U1713">
        <v>0</v>
      </c>
      <c r="V1713">
        <v>1</v>
      </c>
      <c r="W1713">
        <v>0</v>
      </c>
      <c r="X1713">
        <v>0</v>
      </c>
      <c r="Y1713">
        <v>0</v>
      </c>
      <c r="AE1713">
        <f t="shared" si="78"/>
        <v>1</v>
      </c>
      <c r="AF1713">
        <f>VLOOKUP(D1713,especies!$A$2:$C$9,3,FALSE)</f>
        <v>2</v>
      </c>
      <c r="AG1713" t="str">
        <f t="shared" si="79"/>
        <v>2-DPC (Doméstico de pelo corto o DSH)</v>
      </c>
      <c r="AH1713">
        <f>VLOOKUP('Fichas clínicas'!AG1713,razas!$A$2:$D$66,3,FALSE)</f>
        <v>51</v>
      </c>
      <c r="AI1713" t="str">
        <f t="shared" si="80"/>
        <v>H</v>
      </c>
    </row>
    <row r="1714" spans="1:35" x14ac:dyDescent="0.2">
      <c r="A1714">
        <v>1716</v>
      </c>
      <c r="B1714" t="s">
        <v>1736</v>
      </c>
      <c r="C1714" t="s">
        <v>3779</v>
      </c>
      <c r="D1714" t="s">
        <v>32</v>
      </c>
      <c r="E1714" t="s">
        <v>438</v>
      </c>
      <c r="F1714" t="s">
        <v>34</v>
      </c>
      <c r="G1714" t="s">
        <v>2267</v>
      </c>
      <c r="I1714">
        <v>991001002932402</v>
      </c>
      <c r="J1714" t="s">
        <v>3780</v>
      </c>
      <c r="K1714" t="s">
        <v>38</v>
      </c>
      <c r="L1714" t="s">
        <v>38</v>
      </c>
      <c r="M1714" t="s">
        <v>38</v>
      </c>
      <c r="N1714" t="s">
        <v>38</v>
      </c>
      <c r="O1714" t="s">
        <v>38</v>
      </c>
      <c r="Q1714">
        <v>0</v>
      </c>
      <c r="T1714" t="s">
        <v>38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f t="shared" si="78"/>
        <v>1</v>
      </c>
      <c r="AF1714">
        <f>VLOOKUP(D1714,especies!$A$2:$C$9,3,FALSE)</f>
        <v>1</v>
      </c>
      <c r="AG1714" t="str">
        <f t="shared" si="79"/>
        <v>1-Ovejero Alemán</v>
      </c>
      <c r="AH1714">
        <f>VLOOKUP('Fichas clínicas'!AG1714,razas!$A$2:$D$66,3,FALSE)</f>
        <v>12</v>
      </c>
      <c r="AI1714" t="str">
        <f t="shared" si="80"/>
        <v>H</v>
      </c>
    </row>
    <row r="1715" spans="1:35" x14ac:dyDescent="0.2">
      <c r="A1715">
        <v>1717</v>
      </c>
      <c r="B1715" t="s">
        <v>3781</v>
      </c>
      <c r="C1715" t="s">
        <v>3782</v>
      </c>
      <c r="D1715" t="s">
        <v>32</v>
      </c>
      <c r="E1715" t="s">
        <v>164</v>
      </c>
      <c r="F1715" t="s">
        <v>34</v>
      </c>
      <c r="G1715" t="s">
        <v>694</v>
      </c>
      <c r="J1715" t="s">
        <v>3783</v>
      </c>
      <c r="K1715" t="s">
        <v>38</v>
      </c>
      <c r="L1715" t="s">
        <v>38</v>
      </c>
      <c r="M1715" t="s">
        <v>38</v>
      </c>
      <c r="N1715" t="s">
        <v>38</v>
      </c>
      <c r="O1715" t="s">
        <v>38</v>
      </c>
      <c r="Q1715">
        <v>0</v>
      </c>
      <c r="T1715" t="s">
        <v>38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f t="shared" si="78"/>
        <v>1</v>
      </c>
      <c r="AF1715">
        <f>VLOOKUP(D1715,especies!$A$2:$C$9,3,FALSE)</f>
        <v>1</v>
      </c>
      <c r="AG1715" t="str">
        <f t="shared" si="79"/>
        <v>1-Teckel</v>
      </c>
      <c r="AH1715">
        <f>VLOOKUP('Fichas clínicas'!AG1715,razas!$A$2:$D$66,3,FALSE)</f>
        <v>8</v>
      </c>
      <c r="AI1715" t="str">
        <f t="shared" si="80"/>
        <v>H</v>
      </c>
    </row>
    <row r="1716" spans="1:35" x14ac:dyDescent="0.2">
      <c r="A1716">
        <v>1718</v>
      </c>
      <c r="B1716" t="s">
        <v>3784</v>
      </c>
      <c r="C1716" t="s">
        <v>3785</v>
      </c>
      <c r="D1716" t="s">
        <v>1650</v>
      </c>
      <c r="E1716" t="s">
        <v>1651</v>
      </c>
      <c r="F1716" t="s">
        <v>47</v>
      </c>
      <c r="G1716" t="s">
        <v>2851</v>
      </c>
      <c r="J1716" t="s">
        <v>3786</v>
      </c>
      <c r="K1716" t="s">
        <v>38</v>
      </c>
      <c r="L1716" t="s">
        <v>38</v>
      </c>
      <c r="M1716" t="s">
        <v>38</v>
      </c>
      <c r="N1716" t="s">
        <v>38</v>
      </c>
      <c r="O1716" t="s">
        <v>38</v>
      </c>
      <c r="T1716" t="s">
        <v>38</v>
      </c>
      <c r="U1716">
        <v>0</v>
      </c>
      <c r="W1716">
        <v>0</v>
      </c>
      <c r="X1716">
        <v>0</v>
      </c>
      <c r="Y1716">
        <v>0</v>
      </c>
      <c r="AE1716">
        <f t="shared" si="78"/>
        <v>1</v>
      </c>
      <c r="AF1716">
        <f>VLOOKUP(D1716,especies!$A$2:$C$9,3,FALSE)</f>
        <v>4</v>
      </c>
      <c r="AG1716" t="str">
        <f t="shared" si="79"/>
        <v>4-Erizo de Tierra</v>
      </c>
      <c r="AH1716">
        <f>VLOOKUP('Fichas clínicas'!AG1716,razas!$A$2:$D$66,3,FALSE)</f>
        <v>56</v>
      </c>
      <c r="AI1716" t="str">
        <f t="shared" si="80"/>
        <v>M</v>
      </c>
    </row>
    <row r="1717" spans="1:35" x14ac:dyDescent="0.2">
      <c r="A1717">
        <v>1719</v>
      </c>
      <c r="B1717" t="s">
        <v>3787</v>
      </c>
      <c r="C1717" t="s">
        <v>2144</v>
      </c>
      <c r="D1717" t="s">
        <v>1650</v>
      </c>
      <c r="E1717" t="s">
        <v>1651</v>
      </c>
      <c r="F1717" t="s">
        <v>47</v>
      </c>
      <c r="G1717" t="s">
        <v>2851</v>
      </c>
      <c r="J1717" t="s">
        <v>3788</v>
      </c>
      <c r="K1717" t="s">
        <v>38</v>
      </c>
      <c r="L1717" t="s">
        <v>38</v>
      </c>
      <c r="M1717" t="s">
        <v>38</v>
      </c>
      <c r="N1717" t="s">
        <v>38</v>
      </c>
      <c r="O1717" t="s">
        <v>38</v>
      </c>
      <c r="T1717" t="s">
        <v>38</v>
      </c>
      <c r="U1717">
        <v>0</v>
      </c>
      <c r="W1717">
        <v>0</v>
      </c>
      <c r="X1717">
        <v>0</v>
      </c>
      <c r="Y1717">
        <v>0</v>
      </c>
      <c r="AE1717">
        <f t="shared" si="78"/>
        <v>1</v>
      </c>
      <c r="AF1717">
        <f>VLOOKUP(D1717,especies!$A$2:$C$9,3,FALSE)</f>
        <v>4</v>
      </c>
      <c r="AG1717" t="str">
        <f t="shared" si="79"/>
        <v>4-Erizo de Tierra</v>
      </c>
      <c r="AH1717">
        <f>VLOOKUP('Fichas clínicas'!AG1717,razas!$A$2:$D$66,3,FALSE)</f>
        <v>56</v>
      </c>
      <c r="AI1717" t="str">
        <f t="shared" si="80"/>
        <v>M</v>
      </c>
    </row>
    <row r="1718" spans="1:35" x14ac:dyDescent="0.2">
      <c r="A1718">
        <v>1720</v>
      </c>
      <c r="B1718" t="s">
        <v>3789</v>
      </c>
      <c r="C1718" t="s">
        <v>2089</v>
      </c>
      <c r="D1718" t="s">
        <v>32</v>
      </c>
      <c r="E1718" t="s">
        <v>63</v>
      </c>
      <c r="F1718" t="s">
        <v>34</v>
      </c>
      <c r="G1718" t="s">
        <v>526</v>
      </c>
      <c r="I1718">
        <v>939000007228552</v>
      </c>
      <c r="J1718" t="s">
        <v>3790</v>
      </c>
      <c r="K1718" t="s">
        <v>38</v>
      </c>
      <c r="L1718" t="s">
        <v>38</v>
      </c>
      <c r="M1718" t="s">
        <v>38</v>
      </c>
      <c r="N1718" t="s">
        <v>38</v>
      </c>
      <c r="O1718" t="s">
        <v>38</v>
      </c>
      <c r="Q1718">
        <v>0</v>
      </c>
      <c r="T1718" t="s">
        <v>38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f t="shared" si="78"/>
        <v>1</v>
      </c>
      <c r="AF1718">
        <f>VLOOKUP(D1718,especies!$A$2:$C$9,3,FALSE)</f>
        <v>1</v>
      </c>
      <c r="AG1718" t="str">
        <f t="shared" si="79"/>
        <v>1-Fox Terrier Pelo Corto</v>
      </c>
      <c r="AH1718">
        <f>VLOOKUP('Fichas clínicas'!AG1718,razas!$A$2:$D$66,3,FALSE)</f>
        <v>2</v>
      </c>
      <c r="AI1718" t="str">
        <f t="shared" si="80"/>
        <v>H</v>
      </c>
    </row>
    <row r="1719" spans="1:35" x14ac:dyDescent="0.2">
      <c r="A1719">
        <v>1721</v>
      </c>
      <c r="B1719" t="s">
        <v>3791</v>
      </c>
      <c r="C1719" t="s">
        <v>3792</v>
      </c>
      <c r="D1719" t="s">
        <v>32</v>
      </c>
      <c r="E1719" t="s">
        <v>33</v>
      </c>
      <c r="F1719" t="s">
        <v>34</v>
      </c>
      <c r="G1719" t="s">
        <v>694</v>
      </c>
      <c r="J1719" t="s">
        <v>3749</v>
      </c>
      <c r="K1719" t="s">
        <v>38</v>
      </c>
      <c r="L1719" t="s">
        <v>38</v>
      </c>
      <c r="M1719" t="s">
        <v>38</v>
      </c>
      <c r="N1719" t="s">
        <v>38</v>
      </c>
      <c r="O1719" t="s">
        <v>38</v>
      </c>
      <c r="Q1719">
        <v>0</v>
      </c>
      <c r="T1719" t="s">
        <v>38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f t="shared" si="78"/>
        <v>1</v>
      </c>
      <c r="AF1719">
        <f>VLOOKUP(D1719,especies!$A$2:$C$9,3,FALSE)</f>
        <v>1</v>
      </c>
      <c r="AG1719" t="str">
        <f t="shared" si="79"/>
        <v>1-Mestizo</v>
      </c>
      <c r="AH1719">
        <f>VLOOKUP('Fichas clínicas'!AG1719,razas!$A$2:$D$66,3,FALSE)</f>
        <v>1</v>
      </c>
      <c r="AI1719" t="str">
        <f t="shared" si="80"/>
        <v>H</v>
      </c>
    </row>
    <row r="1720" spans="1:35" x14ac:dyDescent="0.2">
      <c r="A1720">
        <v>1722</v>
      </c>
      <c r="B1720" t="s">
        <v>3793</v>
      </c>
      <c r="C1720" t="s">
        <v>1056</v>
      </c>
      <c r="D1720" t="s">
        <v>32</v>
      </c>
      <c r="E1720" t="s">
        <v>33</v>
      </c>
      <c r="F1720" t="s">
        <v>34</v>
      </c>
      <c r="G1720" t="s">
        <v>694</v>
      </c>
      <c r="J1720" t="s">
        <v>3749</v>
      </c>
      <c r="K1720" t="s">
        <v>38</v>
      </c>
      <c r="L1720" t="s">
        <v>38</v>
      </c>
      <c r="M1720" t="s">
        <v>38</v>
      </c>
      <c r="N1720" t="s">
        <v>38</v>
      </c>
      <c r="O1720" t="s">
        <v>38</v>
      </c>
      <c r="Q1720">
        <v>0</v>
      </c>
      <c r="T1720" t="s">
        <v>38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f t="shared" si="78"/>
        <v>1</v>
      </c>
      <c r="AF1720">
        <f>VLOOKUP(D1720,especies!$A$2:$C$9,3,FALSE)</f>
        <v>1</v>
      </c>
      <c r="AG1720" t="str">
        <f t="shared" si="79"/>
        <v>1-Mestizo</v>
      </c>
      <c r="AH1720">
        <f>VLOOKUP('Fichas clínicas'!AG1720,razas!$A$2:$D$66,3,FALSE)</f>
        <v>1</v>
      </c>
      <c r="AI1720" t="str">
        <f t="shared" si="80"/>
        <v>H</v>
      </c>
    </row>
    <row r="1721" spans="1:35" x14ac:dyDescent="0.2">
      <c r="A1721">
        <v>1723</v>
      </c>
      <c r="B1721" t="s">
        <v>3793</v>
      </c>
      <c r="C1721" t="s">
        <v>3794</v>
      </c>
      <c r="D1721" t="s">
        <v>32</v>
      </c>
      <c r="E1721" t="s">
        <v>33</v>
      </c>
      <c r="F1721" t="s">
        <v>34</v>
      </c>
      <c r="G1721" t="s">
        <v>2819</v>
      </c>
      <c r="J1721" t="s">
        <v>3749</v>
      </c>
      <c r="K1721" t="s">
        <v>38</v>
      </c>
      <c r="L1721" t="s">
        <v>38</v>
      </c>
      <c r="M1721" t="s">
        <v>38</v>
      </c>
      <c r="N1721" t="s">
        <v>38</v>
      </c>
      <c r="O1721" t="s">
        <v>38</v>
      </c>
      <c r="T1721" t="s">
        <v>38</v>
      </c>
      <c r="U1721">
        <v>0</v>
      </c>
      <c r="W1721">
        <v>0</v>
      </c>
      <c r="X1721">
        <v>0</v>
      </c>
      <c r="Y1721">
        <v>0</v>
      </c>
      <c r="AE1721">
        <f t="shared" si="78"/>
        <v>1</v>
      </c>
      <c r="AF1721">
        <f>VLOOKUP(D1721,especies!$A$2:$C$9,3,FALSE)</f>
        <v>1</v>
      </c>
      <c r="AG1721" t="str">
        <f t="shared" si="79"/>
        <v>1-Mestizo</v>
      </c>
      <c r="AH1721">
        <f>VLOOKUP('Fichas clínicas'!AG1721,razas!$A$2:$D$66,3,FALSE)</f>
        <v>1</v>
      </c>
      <c r="AI1721" t="str">
        <f t="shared" si="80"/>
        <v>H</v>
      </c>
    </row>
    <row r="1722" spans="1:35" x14ac:dyDescent="0.2">
      <c r="A1722">
        <v>1724</v>
      </c>
      <c r="B1722" t="s">
        <v>3793</v>
      </c>
      <c r="C1722" t="s">
        <v>3795</v>
      </c>
      <c r="D1722" t="s">
        <v>32</v>
      </c>
      <c r="E1722" t="s">
        <v>33</v>
      </c>
      <c r="F1722" t="s">
        <v>34</v>
      </c>
      <c r="G1722" t="s">
        <v>1054</v>
      </c>
      <c r="J1722" t="s">
        <v>3749</v>
      </c>
      <c r="K1722" t="s">
        <v>38</v>
      </c>
      <c r="L1722" t="s">
        <v>38</v>
      </c>
      <c r="M1722" t="s">
        <v>38</v>
      </c>
      <c r="N1722" t="s">
        <v>38</v>
      </c>
      <c r="O1722" t="s">
        <v>38</v>
      </c>
      <c r="T1722" t="s">
        <v>38</v>
      </c>
      <c r="U1722">
        <v>0</v>
      </c>
      <c r="W1722">
        <v>0</v>
      </c>
      <c r="X1722">
        <v>0</v>
      </c>
      <c r="Y1722">
        <v>0</v>
      </c>
      <c r="AE1722">
        <f t="shared" si="78"/>
        <v>1</v>
      </c>
      <c r="AF1722">
        <f>VLOOKUP(D1722,especies!$A$2:$C$9,3,FALSE)</f>
        <v>1</v>
      </c>
      <c r="AG1722" t="str">
        <f t="shared" si="79"/>
        <v>1-Mestizo</v>
      </c>
      <c r="AH1722">
        <f>VLOOKUP('Fichas clínicas'!AG1722,razas!$A$2:$D$66,3,FALSE)</f>
        <v>1</v>
      </c>
      <c r="AI1722" t="str">
        <f t="shared" si="80"/>
        <v>H</v>
      </c>
    </row>
    <row r="1723" spans="1:35" x14ac:dyDescent="0.2">
      <c r="A1723">
        <v>1725</v>
      </c>
      <c r="B1723" t="s">
        <v>3796</v>
      </c>
      <c r="C1723" t="s">
        <v>1584</v>
      </c>
      <c r="D1723" t="s">
        <v>32</v>
      </c>
      <c r="E1723" t="s">
        <v>33</v>
      </c>
      <c r="F1723" t="s">
        <v>47</v>
      </c>
      <c r="G1723" t="s">
        <v>1547</v>
      </c>
      <c r="J1723" t="s">
        <v>3301</v>
      </c>
      <c r="K1723" t="s">
        <v>38</v>
      </c>
      <c r="L1723" t="s">
        <v>38</v>
      </c>
      <c r="M1723" t="s">
        <v>38</v>
      </c>
      <c r="N1723" t="s">
        <v>38</v>
      </c>
      <c r="O1723" t="s">
        <v>38</v>
      </c>
      <c r="T1723" t="s">
        <v>38</v>
      </c>
      <c r="U1723">
        <v>0</v>
      </c>
      <c r="W1723">
        <v>0</v>
      </c>
      <c r="X1723">
        <v>0</v>
      </c>
      <c r="Y1723">
        <v>0</v>
      </c>
      <c r="AE1723">
        <f t="shared" si="78"/>
        <v>1</v>
      </c>
      <c r="AF1723">
        <f>VLOOKUP(D1723,especies!$A$2:$C$9,3,FALSE)</f>
        <v>1</v>
      </c>
      <c r="AG1723" t="str">
        <f t="shared" si="79"/>
        <v>1-Mestizo</v>
      </c>
      <c r="AH1723">
        <f>VLOOKUP('Fichas clínicas'!AG1723,razas!$A$2:$D$66,3,FALSE)</f>
        <v>1</v>
      </c>
      <c r="AI1723" t="str">
        <f t="shared" si="80"/>
        <v>M</v>
      </c>
    </row>
    <row r="1724" spans="1:35" x14ac:dyDescent="0.2">
      <c r="A1724">
        <v>1726</v>
      </c>
      <c r="B1724" t="s">
        <v>3797</v>
      </c>
      <c r="C1724" t="s">
        <v>1940</v>
      </c>
      <c r="D1724" t="s">
        <v>32</v>
      </c>
      <c r="E1724" t="s">
        <v>33</v>
      </c>
      <c r="F1724" t="s">
        <v>47</v>
      </c>
      <c r="G1724" t="s">
        <v>694</v>
      </c>
      <c r="H1724">
        <v>900215000319194</v>
      </c>
      <c r="J1724" t="s">
        <v>841</v>
      </c>
      <c r="K1724" t="s">
        <v>38</v>
      </c>
      <c r="L1724" t="s">
        <v>38</v>
      </c>
      <c r="M1724" t="s">
        <v>38</v>
      </c>
      <c r="N1724" t="s">
        <v>38</v>
      </c>
      <c r="O1724" t="s">
        <v>38</v>
      </c>
      <c r="Q1724">
        <v>0</v>
      </c>
      <c r="T1724" t="s">
        <v>38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f t="shared" si="78"/>
        <v>1</v>
      </c>
      <c r="AF1724">
        <f>VLOOKUP(D1724,especies!$A$2:$C$9,3,FALSE)</f>
        <v>1</v>
      </c>
      <c r="AG1724" t="str">
        <f t="shared" si="79"/>
        <v>1-Mestizo</v>
      </c>
      <c r="AH1724">
        <f>VLOOKUP('Fichas clínicas'!AG1724,razas!$A$2:$D$66,3,FALSE)</f>
        <v>1</v>
      </c>
      <c r="AI1724" t="str">
        <f t="shared" si="80"/>
        <v>M</v>
      </c>
    </row>
    <row r="1725" spans="1:35" x14ac:dyDescent="0.2">
      <c r="A1725">
        <v>1727</v>
      </c>
      <c r="B1725" t="s">
        <v>3798</v>
      </c>
      <c r="C1725" t="s">
        <v>3799</v>
      </c>
      <c r="D1725" t="s">
        <v>41</v>
      </c>
      <c r="E1725" t="s">
        <v>93</v>
      </c>
      <c r="F1725" t="s">
        <v>34</v>
      </c>
      <c r="G1725" t="s">
        <v>825</v>
      </c>
      <c r="J1725" t="s">
        <v>3800</v>
      </c>
      <c r="K1725" t="s">
        <v>38</v>
      </c>
      <c r="L1725" t="s">
        <v>38</v>
      </c>
      <c r="M1725" t="s">
        <v>38</v>
      </c>
      <c r="N1725" t="s">
        <v>38</v>
      </c>
      <c r="O1725" t="s">
        <v>38</v>
      </c>
      <c r="T1725" t="s">
        <v>38</v>
      </c>
      <c r="U1725">
        <v>0</v>
      </c>
      <c r="V1725">
        <v>1</v>
      </c>
      <c r="W1725">
        <v>0</v>
      </c>
      <c r="X1725">
        <v>0</v>
      </c>
      <c r="Y1725">
        <v>0</v>
      </c>
      <c r="AE1725">
        <f t="shared" si="78"/>
        <v>1</v>
      </c>
      <c r="AF1725">
        <f>VLOOKUP(D1725,especies!$A$2:$C$9,3,FALSE)</f>
        <v>2</v>
      </c>
      <c r="AG1725" t="str">
        <f t="shared" si="79"/>
        <v>2-DPL (Doméstico de pelo Largo o DLH)</v>
      </c>
      <c r="AH1725">
        <f>VLOOKUP('Fichas clínicas'!AG1725,razas!$A$2:$D$66,3,FALSE)</f>
        <v>52</v>
      </c>
      <c r="AI1725" t="str">
        <f t="shared" si="80"/>
        <v>H</v>
      </c>
    </row>
    <row r="1726" spans="1:35" x14ac:dyDescent="0.2">
      <c r="A1726">
        <v>1728</v>
      </c>
      <c r="B1726" t="s">
        <v>179</v>
      </c>
      <c r="C1726" t="s">
        <v>559</v>
      </c>
      <c r="D1726" t="s">
        <v>41</v>
      </c>
      <c r="E1726" t="s">
        <v>42</v>
      </c>
      <c r="F1726" t="s">
        <v>34</v>
      </c>
      <c r="G1726" t="s">
        <v>3801</v>
      </c>
      <c r="J1726" t="s">
        <v>348</v>
      </c>
      <c r="K1726" t="s">
        <v>38</v>
      </c>
      <c r="L1726" t="s">
        <v>38</v>
      </c>
      <c r="M1726" t="s">
        <v>38</v>
      </c>
      <c r="N1726" t="s">
        <v>38</v>
      </c>
      <c r="O1726" t="s">
        <v>38</v>
      </c>
      <c r="T1726" t="s">
        <v>38</v>
      </c>
      <c r="U1726">
        <v>0</v>
      </c>
      <c r="V1726">
        <v>1</v>
      </c>
      <c r="W1726">
        <v>0</v>
      </c>
      <c r="X1726">
        <v>0</v>
      </c>
      <c r="Y1726">
        <v>0</v>
      </c>
      <c r="AE1726">
        <f t="shared" si="78"/>
        <v>1</v>
      </c>
      <c r="AF1726">
        <f>VLOOKUP(D1726,especies!$A$2:$C$9,3,FALSE)</f>
        <v>2</v>
      </c>
      <c r="AG1726" t="str">
        <f t="shared" si="79"/>
        <v>2-DPC (Doméstico de pelo corto o DSH)</v>
      </c>
      <c r="AH1726">
        <f>VLOOKUP('Fichas clínicas'!AG1726,razas!$A$2:$D$66,3,FALSE)</f>
        <v>51</v>
      </c>
      <c r="AI1726" t="str">
        <f t="shared" si="80"/>
        <v>H</v>
      </c>
    </row>
    <row r="1727" spans="1:35" x14ac:dyDescent="0.2">
      <c r="A1727">
        <v>1729</v>
      </c>
      <c r="B1727" t="s">
        <v>3802</v>
      </c>
      <c r="C1727" t="s">
        <v>2056</v>
      </c>
      <c r="D1727" t="s">
        <v>32</v>
      </c>
      <c r="E1727" t="s">
        <v>150</v>
      </c>
      <c r="F1727" t="s">
        <v>47</v>
      </c>
      <c r="G1727" t="s">
        <v>102</v>
      </c>
      <c r="J1727" t="s">
        <v>3803</v>
      </c>
      <c r="K1727" t="s">
        <v>38</v>
      </c>
      <c r="L1727" t="s">
        <v>38</v>
      </c>
      <c r="M1727" t="s">
        <v>38</v>
      </c>
      <c r="N1727" t="s">
        <v>38</v>
      </c>
      <c r="O1727" t="s">
        <v>38</v>
      </c>
      <c r="T1727" t="s">
        <v>38</v>
      </c>
      <c r="U1727">
        <v>0</v>
      </c>
      <c r="W1727">
        <v>0</v>
      </c>
      <c r="X1727">
        <v>0</v>
      </c>
      <c r="Y1727">
        <v>0</v>
      </c>
      <c r="AE1727">
        <f t="shared" si="78"/>
        <v>1</v>
      </c>
      <c r="AF1727">
        <f>VLOOKUP(D1727,especies!$A$2:$C$9,3,FALSE)</f>
        <v>1</v>
      </c>
      <c r="AG1727" t="str">
        <f t="shared" si="79"/>
        <v>1-Poodle</v>
      </c>
      <c r="AH1727">
        <f>VLOOKUP('Fichas clínicas'!AG1727,razas!$A$2:$D$66,3,FALSE)</f>
        <v>6</v>
      </c>
      <c r="AI1727" t="str">
        <f t="shared" si="80"/>
        <v>M</v>
      </c>
    </row>
    <row r="1728" spans="1:35" x14ac:dyDescent="0.2">
      <c r="A1728">
        <v>1730</v>
      </c>
      <c r="B1728" t="s">
        <v>3804</v>
      </c>
      <c r="C1728" t="s">
        <v>3805</v>
      </c>
      <c r="D1728" t="s">
        <v>32</v>
      </c>
      <c r="E1728" t="s">
        <v>545</v>
      </c>
      <c r="F1728" t="s">
        <v>34</v>
      </c>
      <c r="G1728" t="s">
        <v>1515</v>
      </c>
      <c r="J1728" t="s">
        <v>2422</v>
      </c>
      <c r="K1728" t="s">
        <v>38</v>
      </c>
      <c r="L1728" t="s">
        <v>38</v>
      </c>
      <c r="M1728" t="s">
        <v>38</v>
      </c>
      <c r="N1728" t="s">
        <v>38</v>
      </c>
      <c r="O1728" t="s">
        <v>38</v>
      </c>
      <c r="T1728" t="s">
        <v>38</v>
      </c>
      <c r="U1728">
        <v>0</v>
      </c>
      <c r="W1728">
        <v>0</v>
      </c>
      <c r="X1728">
        <v>0</v>
      </c>
      <c r="Y1728">
        <v>0</v>
      </c>
      <c r="AE1728">
        <f t="shared" si="78"/>
        <v>1</v>
      </c>
      <c r="AF1728">
        <f>VLOOKUP(D1728,especies!$A$2:$C$9,3,FALSE)</f>
        <v>1</v>
      </c>
      <c r="AG1728" t="str">
        <f t="shared" si="79"/>
        <v>1-Golden Retriever</v>
      </c>
      <c r="AH1728">
        <f>VLOOKUP('Fichas clínicas'!AG1728,razas!$A$2:$D$66,3,FALSE)</f>
        <v>16</v>
      </c>
      <c r="AI1728" t="str">
        <f t="shared" si="80"/>
        <v>H</v>
      </c>
    </row>
    <row r="1729" spans="1:35" x14ac:dyDescent="0.2">
      <c r="A1729">
        <v>1731</v>
      </c>
      <c r="B1729" t="s">
        <v>3806</v>
      </c>
      <c r="C1729" t="s">
        <v>3807</v>
      </c>
      <c r="D1729" t="s">
        <v>32</v>
      </c>
      <c r="E1729" t="s">
        <v>309</v>
      </c>
      <c r="F1729" t="s">
        <v>47</v>
      </c>
      <c r="G1729" t="s">
        <v>351</v>
      </c>
      <c r="J1729" t="s">
        <v>649</v>
      </c>
      <c r="K1729" t="s">
        <v>38</v>
      </c>
      <c r="L1729" t="s">
        <v>38</v>
      </c>
      <c r="M1729" t="s">
        <v>38</v>
      </c>
      <c r="N1729" t="s">
        <v>38</v>
      </c>
      <c r="O1729" t="s">
        <v>38</v>
      </c>
      <c r="T1729" t="s">
        <v>38</v>
      </c>
      <c r="U1729">
        <v>0</v>
      </c>
      <c r="W1729">
        <v>0</v>
      </c>
      <c r="X1729">
        <v>0</v>
      </c>
      <c r="Y1729">
        <v>0</v>
      </c>
      <c r="AE1729">
        <f t="shared" si="78"/>
        <v>1</v>
      </c>
      <c r="AF1729">
        <f>VLOOKUP(D1729,especies!$A$2:$C$9,3,FALSE)</f>
        <v>1</v>
      </c>
      <c r="AG1729" t="str">
        <f t="shared" si="79"/>
        <v>1-Pug</v>
      </c>
      <c r="AH1729">
        <f>VLOOKUP('Fichas clínicas'!AG1729,razas!$A$2:$D$66,3,FALSE)</f>
        <v>11</v>
      </c>
      <c r="AI1729" t="str">
        <f t="shared" si="80"/>
        <v>M</v>
      </c>
    </row>
    <row r="1730" spans="1:35" x14ac:dyDescent="0.2">
      <c r="A1730">
        <v>1732</v>
      </c>
      <c r="B1730" t="s">
        <v>3806</v>
      </c>
      <c r="C1730" t="s">
        <v>3808</v>
      </c>
      <c r="D1730" t="s">
        <v>32</v>
      </c>
      <c r="E1730" t="s">
        <v>309</v>
      </c>
      <c r="F1730" t="s">
        <v>47</v>
      </c>
      <c r="G1730" t="s">
        <v>351</v>
      </c>
      <c r="J1730" t="s">
        <v>3809</v>
      </c>
      <c r="K1730" t="s">
        <v>38</v>
      </c>
      <c r="L1730" t="s">
        <v>38</v>
      </c>
      <c r="M1730" t="s">
        <v>38</v>
      </c>
      <c r="N1730" t="s">
        <v>38</v>
      </c>
      <c r="O1730" t="s">
        <v>38</v>
      </c>
      <c r="T1730" t="s">
        <v>38</v>
      </c>
      <c r="U1730">
        <v>0</v>
      </c>
      <c r="W1730">
        <v>0</v>
      </c>
      <c r="X1730">
        <v>0</v>
      </c>
      <c r="Y1730">
        <v>0</v>
      </c>
      <c r="AE1730">
        <f t="shared" si="78"/>
        <v>1</v>
      </c>
      <c r="AF1730">
        <f>VLOOKUP(D1730,especies!$A$2:$C$9,3,FALSE)</f>
        <v>1</v>
      </c>
      <c r="AG1730" t="str">
        <f t="shared" si="79"/>
        <v>1-Pug</v>
      </c>
      <c r="AH1730">
        <f>VLOOKUP('Fichas clínicas'!AG1730,razas!$A$2:$D$66,3,FALSE)</f>
        <v>11</v>
      </c>
      <c r="AI1730" t="str">
        <f t="shared" si="80"/>
        <v>M</v>
      </c>
    </row>
    <row r="1731" spans="1:35" x14ac:dyDescent="0.2">
      <c r="A1731">
        <v>1733</v>
      </c>
      <c r="B1731" t="s">
        <v>536</v>
      </c>
      <c r="C1731" t="s">
        <v>3810</v>
      </c>
      <c r="D1731" t="s">
        <v>41</v>
      </c>
      <c r="E1731" t="s">
        <v>42</v>
      </c>
      <c r="F1731" t="s">
        <v>47</v>
      </c>
      <c r="G1731" t="s">
        <v>1073</v>
      </c>
      <c r="J1731" t="s">
        <v>3623</v>
      </c>
      <c r="K1731" t="s">
        <v>38</v>
      </c>
      <c r="L1731" t="s">
        <v>38</v>
      </c>
      <c r="M1731" t="s">
        <v>38</v>
      </c>
      <c r="N1731" t="s">
        <v>38</v>
      </c>
      <c r="O1731" t="s">
        <v>38</v>
      </c>
      <c r="T1731" t="s">
        <v>38</v>
      </c>
      <c r="U1731">
        <v>0</v>
      </c>
      <c r="W1731">
        <v>0</v>
      </c>
      <c r="X1731">
        <v>0</v>
      </c>
      <c r="Y1731">
        <v>0</v>
      </c>
      <c r="AE1731">
        <f t="shared" ref="AE1731:AE1794" si="81">SUBTOTAL(103,E1731)</f>
        <v>1</v>
      </c>
      <c r="AF1731">
        <f>VLOOKUP(D1731,especies!$A$2:$C$9,3,FALSE)</f>
        <v>2</v>
      </c>
      <c r="AG1731" t="str">
        <f t="shared" ref="AG1731:AG1794" si="82">AF1731&amp;"-"&amp;E1731</f>
        <v>2-DPC (Doméstico de pelo corto o DSH)</v>
      </c>
      <c r="AH1731">
        <f>VLOOKUP('Fichas clínicas'!AG1731,razas!$A$2:$D$66,3,FALSE)</f>
        <v>51</v>
      </c>
      <c r="AI1731" t="str">
        <f t="shared" ref="AI1731:AI1794" si="83">IF(F1731="Hembra","H","M")</f>
        <v>M</v>
      </c>
    </row>
    <row r="1732" spans="1:35" x14ac:dyDescent="0.2">
      <c r="A1732">
        <v>1734</v>
      </c>
      <c r="B1732" t="s">
        <v>2585</v>
      </c>
      <c r="C1732" t="s">
        <v>3811</v>
      </c>
      <c r="D1732" t="s">
        <v>41</v>
      </c>
      <c r="E1732" t="s">
        <v>93</v>
      </c>
      <c r="F1732" t="s">
        <v>47</v>
      </c>
      <c r="G1732" t="s">
        <v>587</v>
      </c>
      <c r="J1732" t="s">
        <v>3812</v>
      </c>
      <c r="K1732" t="s">
        <v>38</v>
      </c>
      <c r="L1732" t="s">
        <v>38</v>
      </c>
      <c r="M1732" t="s">
        <v>38</v>
      </c>
      <c r="N1732" t="s">
        <v>38</v>
      </c>
      <c r="O1732" t="s">
        <v>38</v>
      </c>
      <c r="T1732" t="s">
        <v>38</v>
      </c>
      <c r="U1732">
        <v>0</v>
      </c>
      <c r="W1732">
        <v>0</v>
      </c>
      <c r="X1732">
        <v>0</v>
      </c>
      <c r="Y1732">
        <v>0</v>
      </c>
      <c r="AE1732">
        <f t="shared" si="81"/>
        <v>1</v>
      </c>
      <c r="AF1732">
        <f>VLOOKUP(D1732,especies!$A$2:$C$9,3,FALSE)</f>
        <v>2</v>
      </c>
      <c r="AG1732" t="str">
        <f t="shared" si="82"/>
        <v>2-DPL (Doméstico de pelo Largo o DLH)</v>
      </c>
      <c r="AH1732">
        <f>VLOOKUP('Fichas clínicas'!AG1732,razas!$A$2:$D$66,3,FALSE)</f>
        <v>52</v>
      </c>
      <c r="AI1732" t="str">
        <f t="shared" si="83"/>
        <v>M</v>
      </c>
    </row>
    <row r="1733" spans="1:35" x14ac:dyDescent="0.2">
      <c r="A1733">
        <v>1735</v>
      </c>
      <c r="B1733" t="s">
        <v>3813</v>
      </c>
      <c r="C1733" t="s">
        <v>3814</v>
      </c>
      <c r="D1733" t="s">
        <v>32</v>
      </c>
      <c r="E1733" t="s">
        <v>33</v>
      </c>
      <c r="F1733" t="s">
        <v>34</v>
      </c>
      <c r="G1733" t="s">
        <v>694</v>
      </c>
      <c r="J1733" t="s">
        <v>3381</v>
      </c>
      <c r="K1733" t="s">
        <v>38</v>
      </c>
      <c r="L1733" t="s">
        <v>38</v>
      </c>
      <c r="M1733" t="s">
        <v>38</v>
      </c>
      <c r="N1733" t="s">
        <v>38</v>
      </c>
      <c r="O1733" t="s">
        <v>38</v>
      </c>
      <c r="T1733" t="s">
        <v>38</v>
      </c>
      <c r="U1733">
        <v>0</v>
      </c>
      <c r="W1733">
        <v>0</v>
      </c>
      <c r="X1733">
        <v>0</v>
      </c>
      <c r="Y1733">
        <v>0</v>
      </c>
      <c r="AE1733">
        <f t="shared" si="81"/>
        <v>1</v>
      </c>
      <c r="AF1733">
        <f>VLOOKUP(D1733,especies!$A$2:$C$9,3,FALSE)</f>
        <v>1</v>
      </c>
      <c r="AG1733" t="str">
        <f t="shared" si="82"/>
        <v>1-Mestizo</v>
      </c>
      <c r="AH1733">
        <f>VLOOKUP('Fichas clínicas'!AG1733,razas!$A$2:$D$66,3,FALSE)</f>
        <v>1</v>
      </c>
      <c r="AI1733" t="str">
        <f t="shared" si="83"/>
        <v>H</v>
      </c>
    </row>
    <row r="1734" spans="1:35" x14ac:dyDescent="0.2">
      <c r="A1734">
        <v>1736</v>
      </c>
      <c r="B1734" t="s">
        <v>3813</v>
      </c>
      <c r="C1734" t="s">
        <v>1800</v>
      </c>
      <c r="D1734" t="s">
        <v>32</v>
      </c>
      <c r="E1734" t="s">
        <v>33</v>
      </c>
      <c r="F1734" t="s">
        <v>34</v>
      </c>
      <c r="G1734" t="s">
        <v>351</v>
      </c>
      <c r="J1734" t="s">
        <v>3803</v>
      </c>
      <c r="K1734" t="s">
        <v>38</v>
      </c>
      <c r="L1734" t="s">
        <v>38</v>
      </c>
      <c r="M1734" t="s">
        <v>38</v>
      </c>
      <c r="N1734" t="s">
        <v>38</v>
      </c>
      <c r="O1734" t="s">
        <v>38</v>
      </c>
      <c r="T1734" t="s">
        <v>38</v>
      </c>
      <c r="U1734">
        <v>0</v>
      </c>
      <c r="W1734">
        <v>0</v>
      </c>
      <c r="X1734">
        <v>0</v>
      </c>
      <c r="Y1734">
        <v>0</v>
      </c>
      <c r="AE1734">
        <f t="shared" si="81"/>
        <v>1</v>
      </c>
      <c r="AF1734">
        <f>VLOOKUP(D1734,especies!$A$2:$C$9,3,FALSE)</f>
        <v>1</v>
      </c>
      <c r="AG1734" t="str">
        <f t="shared" si="82"/>
        <v>1-Mestizo</v>
      </c>
      <c r="AH1734">
        <f>VLOOKUP('Fichas clínicas'!AG1734,razas!$A$2:$D$66,3,FALSE)</f>
        <v>1</v>
      </c>
      <c r="AI1734" t="str">
        <f t="shared" si="83"/>
        <v>H</v>
      </c>
    </row>
    <row r="1735" spans="1:35" x14ac:dyDescent="0.2">
      <c r="A1735">
        <v>1737</v>
      </c>
      <c r="B1735" t="s">
        <v>3815</v>
      </c>
      <c r="C1735" t="s">
        <v>3816</v>
      </c>
      <c r="D1735" t="s">
        <v>41</v>
      </c>
      <c r="E1735" t="s">
        <v>42</v>
      </c>
      <c r="F1735" t="s">
        <v>47</v>
      </c>
      <c r="G1735" t="s">
        <v>3817</v>
      </c>
      <c r="J1735" t="s">
        <v>3818</v>
      </c>
      <c r="K1735" t="s">
        <v>38</v>
      </c>
      <c r="L1735" t="s">
        <v>38</v>
      </c>
      <c r="M1735" t="s">
        <v>38</v>
      </c>
      <c r="N1735" t="s">
        <v>38</v>
      </c>
      <c r="O1735" t="s">
        <v>38</v>
      </c>
      <c r="Q1735">
        <v>0</v>
      </c>
      <c r="T1735" t="s">
        <v>38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f t="shared" si="81"/>
        <v>1</v>
      </c>
      <c r="AF1735">
        <f>VLOOKUP(D1735,especies!$A$2:$C$9,3,FALSE)</f>
        <v>2</v>
      </c>
      <c r="AG1735" t="str">
        <f t="shared" si="82"/>
        <v>2-DPC (Doméstico de pelo corto o DSH)</v>
      </c>
      <c r="AH1735">
        <f>VLOOKUP('Fichas clínicas'!AG1735,razas!$A$2:$D$66,3,FALSE)</f>
        <v>51</v>
      </c>
      <c r="AI1735" t="str">
        <f t="shared" si="83"/>
        <v>M</v>
      </c>
    </row>
    <row r="1736" spans="1:35" x14ac:dyDescent="0.2">
      <c r="A1736">
        <v>1738</v>
      </c>
      <c r="B1736" t="s">
        <v>3819</v>
      </c>
      <c r="C1736" t="s">
        <v>3820</v>
      </c>
      <c r="D1736" t="s">
        <v>41</v>
      </c>
      <c r="E1736" t="s">
        <v>42</v>
      </c>
      <c r="F1736" t="s">
        <v>34</v>
      </c>
      <c r="G1736" t="s">
        <v>3821</v>
      </c>
      <c r="J1736" t="s">
        <v>1745</v>
      </c>
      <c r="K1736" t="s">
        <v>38</v>
      </c>
      <c r="L1736" t="s">
        <v>38</v>
      </c>
      <c r="M1736" t="s">
        <v>38</v>
      </c>
      <c r="N1736" t="s">
        <v>38</v>
      </c>
      <c r="O1736" t="s">
        <v>38</v>
      </c>
      <c r="T1736" t="s">
        <v>38</v>
      </c>
      <c r="U1736">
        <v>0</v>
      </c>
      <c r="V1736">
        <v>1</v>
      </c>
      <c r="W1736">
        <v>0</v>
      </c>
      <c r="X1736">
        <v>0</v>
      </c>
      <c r="Y1736">
        <v>0</v>
      </c>
      <c r="AE1736">
        <f t="shared" si="81"/>
        <v>1</v>
      </c>
      <c r="AF1736">
        <f>VLOOKUP(D1736,especies!$A$2:$C$9,3,FALSE)</f>
        <v>2</v>
      </c>
      <c r="AG1736" t="str">
        <f t="shared" si="82"/>
        <v>2-DPC (Doméstico de pelo corto o DSH)</v>
      </c>
      <c r="AH1736">
        <f>VLOOKUP('Fichas clínicas'!AG1736,razas!$A$2:$D$66,3,FALSE)</f>
        <v>51</v>
      </c>
      <c r="AI1736" t="str">
        <f t="shared" si="83"/>
        <v>H</v>
      </c>
    </row>
    <row r="1737" spans="1:35" x14ac:dyDescent="0.2">
      <c r="A1737">
        <v>1739</v>
      </c>
      <c r="B1737" t="s">
        <v>589</v>
      </c>
      <c r="C1737" t="s">
        <v>2107</v>
      </c>
      <c r="D1737" t="s">
        <v>32</v>
      </c>
      <c r="E1737" t="s">
        <v>33</v>
      </c>
      <c r="F1737" t="s">
        <v>34</v>
      </c>
      <c r="G1737" t="s">
        <v>297</v>
      </c>
      <c r="J1737" t="s">
        <v>1810</v>
      </c>
      <c r="K1737" t="s">
        <v>38</v>
      </c>
      <c r="L1737" t="s">
        <v>38</v>
      </c>
      <c r="M1737" t="s">
        <v>38</v>
      </c>
      <c r="N1737" t="s">
        <v>38</v>
      </c>
      <c r="O1737" t="s">
        <v>38</v>
      </c>
      <c r="T1737" t="s">
        <v>38</v>
      </c>
      <c r="U1737">
        <v>0</v>
      </c>
      <c r="W1737">
        <v>0</v>
      </c>
      <c r="X1737">
        <v>0</v>
      </c>
      <c r="Y1737">
        <v>0</v>
      </c>
      <c r="AE1737">
        <f t="shared" si="81"/>
        <v>1</v>
      </c>
      <c r="AF1737">
        <f>VLOOKUP(D1737,especies!$A$2:$C$9,3,FALSE)</f>
        <v>1</v>
      </c>
      <c r="AG1737" t="str">
        <f t="shared" si="82"/>
        <v>1-Mestizo</v>
      </c>
      <c r="AH1737">
        <f>VLOOKUP('Fichas clínicas'!AG1737,razas!$A$2:$D$66,3,FALSE)</f>
        <v>1</v>
      </c>
      <c r="AI1737" t="str">
        <f t="shared" si="83"/>
        <v>H</v>
      </c>
    </row>
    <row r="1738" spans="1:35" x14ac:dyDescent="0.2">
      <c r="A1738">
        <v>1740</v>
      </c>
      <c r="B1738" t="s">
        <v>3155</v>
      </c>
      <c r="C1738" t="s">
        <v>3822</v>
      </c>
      <c r="D1738" t="s">
        <v>1650</v>
      </c>
      <c r="E1738" t="s">
        <v>1651</v>
      </c>
      <c r="F1738" t="s">
        <v>34</v>
      </c>
      <c r="G1738" t="s">
        <v>1656</v>
      </c>
      <c r="J1738" t="s">
        <v>2246</v>
      </c>
      <c r="K1738" t="s">
        <v>38</v>
      </c>
      <c r="L1738" t="s">
        <v>38</v>
      </c>
      <c r="M1738" t="s">
        <v>38</v>
      </c>
      <c r="N1738" t="s">
        <v>38</v>
      </c>
      <c r="O1738" t="s">
        <v>38</v>
      </c>
      <c r="Q1738">
        <v>0</v>
      </c>
      <c r="T1738" t="s">
        <v>38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f t="shared" si="81"/>
        <v>1</v>
      </c>
      <c r="AF1738">
        <f>VLOOKUP(D1738,especies!$A$2:$C$9,3,FALSE)</f>
        <v>4</v>
      </c>
      <c r="AG1738" t="str">
        <f t="shared" si="82"/>
        <v>4-Erizo de Tierra</v>
      </c>
      <c r="AH1738">
        <f>VLOOKUP('Fichas clínicas'!AG1738,razas!$A$2:$D$66,3,FALSE)</f>
        <v>56</v>
      </c>
      <c r="AI1738" t="str">
        <f t="shared" si="83"/>
        <v>H</v>
      </c>
    </row>
    <row r="1739" spans="1:35" x14ac:dyDescent="0.2">
      <c r="A1739">
        <v>1741</v>
      </c>
      <c r="B1739" t="s">
        <v>3823</v>
      </c>
      <c r="C1739" t="s">
        <v>3824</v>
      </c>
      <c r="D1739" t="s">
        <v>32</v>
      </c>
      <c r="E1739" t="s">
        <v>150</v>
      </c>
      <c r="F1739" t="s">
        <v>34</v>
      </c>
      <c r="G1739" t="s">
        <v>2047</v>
      </c>
      <c r="J1739" t="s">
        <v>3825</v>
      </c>
      <c r="K1739" t="s">
        <v>38</v>
      </c>
      <c r="L1739" t="s">
        <v>38</v>
      </c>
      <c r="M1739" t="s">
        <v>38</v>
      </c>
      <c r="N1739" t="s">
        <v>38</v>
      </c>
      <c r="O1739" t="s">
        <v>38</v>
      </c>
      <c r="T1739" t="s">
        <v>38</v>
      </c>
      <c r="U1739">
        <v>0</v>
      </c>
      <c r="W1739">
        <v>0</v>
      </c>
      <c r="X1739">
        <v>0</v>
      </c>
      <c r="Y1739">
        <v>0</v>
      </c>
      <c r="AE1739">
        <f t="shared" si="81"/>
        <v>1</v>
      </c>
      <c r="AF1739">
        <f>VLOOKUP(D1739,especies!$A$2:$C$9,3,FALSE)</f>
        <v>1</v>
      </c>
      <c r="AG1739" t="str">
        <f t="shared" si="82"/>
        <v>1-Poodle</v>
      </c>
      <c r="AH1739">
        <f>VLOOKUP('Fichas clínicas'!AG1739,razas!$A$2:$D$66,3,FALSE)</f>
        <v>6</v>
      </c>
      <c r="AI1739" t="str">
        <f t="shared" si="83"/>
        <v>H</v>
      </c>
    </row>
    <row r="1740" spans="1:35" x14ac:dyDescent="0.2">
      <c r="A1740">
        <v>1742</v>
      </c>
      <c r="B1740" t="s">
        <v>3826</v>
      </c>
      <c r="C1740" t="s">
        <v>3827</v>
      </c>
      <c r="D1740" t="s">
        <v>32</v>
      </c>
      <c r="E1740" t="s">
        <v>33</v>
      </c>
      <c r="F1740" t="s">
        <v>47</v>
      </c>
      <c r="G1740" t="s">
        <v>3828</v>
      </c>
      <c r="J1740" t="s">
        <v>3829</v>
      </c>
      <c r="K1740" t="s">
        <v>38</v>
      </c>
      <c r="L1740" t="s">
        <v>38</v>
      </c>
      <c r="M1740" t="s">
        <v>38</v>
      </c>
      <c r="N1740" t="s">
        <v>38</v>
      </c>
      <c r="O1740" t="s">
        <v>38</v>
      </c>
      <c r="T1740" t="s">
        <v>38</v>
      </c>
      <c r="U1740">
        <v>0</v>
      </c>
      <c r="W1740">
        <v>0</v>
      </c>
      <c r="X1740">
        <v>0</v>
      </c>
      <c r="Y1740">
        <v>0</v>
      </c>
      <c r="AE1740">
        <f t="shared" si="81"/>
        <v>1</v>
      </c>
      <c r="AF1740">
        <f>VLOOKUP(D1740,especies!$A$2:$C$9,3,FALSE)</f>
        <v>1</v>
      </c>
      <c r="AG1740" t="str">
        <f t="shared" si="82"/>
        <v>1-Mestizo</v>
      </c>
      <c r="AH1740">
        <f>VLOOKUP('Fichas clínicas'!AG1740,razas!$A$2:$D$66,3,FALSE)</f>
        <v>1</v>
      </c>
      <c r="AI1740" t="str">
        <f t="shared" si="83"/>
        <v>M</v>
      </c>
    </row>
    <row r="1741" spans="1:35" x14ac:dyDescent="0.2">
      <c r="A1741">
        <v>1743</v>
      </c>
      <c r="B1741" t="s">
        <v>3830</v>
      </c>
      <c r="C1741" t="s">
        <v>1391</v>
      </c>
      <c r="D1741" t="s">
        <v>32</v>
      </c>
      <c r="E1741" t="s">
        <v>33</v>
      </c>
      <c r="F1741" t="s">
        <v>34</v>
      </c>
      <c r="G1741" t="s">
        <v>1402</v>
      </c>
      <c r="J1741" t="s">
        <v>3831</v>
      </c>
      <c r="K1741" t="s">
        <v>38</v>
      </c>
      <c r="L1741" t="s">
        <v>38</v>
      </c>
      <c r="M1741" t="s">
        <v>38</v>
      </c>
      <c r="N1741" t="s">
        <v>38</v>
      </c>
      <c r="O1741" t="s">
        <v>38</v>
      </c>
      <c r="T1741" t="s">
        <v>38</v>
      </c>
      <c r="U1741">
        <v>0</v>
      </c>
      <c r="V1741">
        <v>1</v>
      </c>
      <c r="W1741">
        <v>0</v>
      </c>
      <c r="X1741">
        <v>0</v>
      </c>
      <c r="Y1741">
        <v>0</v>
      </c>
      <c r="AE1741">
        <f t="shared" si="81"/>
        <v>1</v>
      </c>
      <c r="AF1741">
        <f>VLOOKUP(D1741,especies!$A$2:$C$9,3,FALSE)</f>
        <v>1</v>
      </c>
      <c r="AG1741" t="str">
        <f t="shared" si="82"/>
        <v>1-Mestizo</v>
      </c>
      <c r="AH1741">
        <f>VLOOKUP('Fichas clínicas'!AG1741,razas!$A$2:$D$66,3,FALSE)</f>
        <v>1</v>
      </c>
      <c r="AI1741" t="str">
        <f t="shared" si="83"/>
        <v>H</v>
      </c>
    </row>
    <row r="1742" spans="1:35" x14ac:dyDescent="0.2">
      <c r="A1742">
        <v>1744</v>
      </c>
      <c r="B1742" t="s">
        <v>3832</v>
      </c>
      <c r="C1742" t="s">
        <v>3833</v>
      </c>
      <c r="D1742" t="s">
        <v>41</v>
      </c>
      <c r="E1742" t="s">
        <v>42</v>
      </c>
      <c r="F1742" t="s">
        <v>34</v>
      </c>
      <c r="G1742" t="s">
        <v>2696</v>
      </c>
      <c r="J1742" t="s">
        <v>3834</v>
      </c>
      <c r="K1742" t="s">
        <v>38</v>
      </c>
      <c r="L1742" t="s">
        <v>38</v>
      </c>
      <c r="M1742" t="s">
        <v>38</v>
      </c>
      <c r="N1742" t="s">
        <v>38</v>
      </c>
      <c r="O1742" t="s">
        <v>38</v>
      </c>
      <c r="Q1742">
        <v>1</v>
      </c>
      <c r="T1742" t="s">
        <v>38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f t="shared" si="81"/>
        <v>1</v>
      </c>
      <c r="AF1742">
        <f>VLOOKUP(D1742,especies!$A$2:$C$9,3,FALSE)</f>
        <v>2</v>
      </c>
      <c r="AG1742" t="str">
        <f t="shared" si="82"/>
        <v>2-DPC (Doméstico de pelo corto o DSH)</v>
      </c>
      <c r="AH1742">
        <f>VLOOKUP('Fichas clínicas'!AG1742,razas!$A$2:$D$66,3,FALSE)</f>
        <v>51</v>
      </c>
      <c r="AI1742" t="str">
        <f t="shared" si="83"/>
        <v>H</v>
      </c>
    </row>
    <row r="1743" spans="1:35" x14ac:dyDescent="0.2">
      <c r="A1743">
        <v>1745</v>
      </c>
      <c r="B1743" t="s">
        <v>3416</v>
      </c>
      <c r="C1743" t="s">
        <v>378</v>
      </c>
      <c r="D1743" t="s">
        <v>32</v>
      </c>
      <c r="E1743" t="s">
        <v>33</v>
      </c>
      <c r="F1743" t="s">
        <v>34</v>
      </c>
      <c r="G1743" t="s">
        <v>2267</v>
      </c>
      <c r="J1743" t="s">
        <v>3720</v>
      </c>
      <c r="K1743" t="s">
        <v>38</v>
      </c>
      <c r="L1743" t="s">
        <v>38</v>
      </c>
      <c r="M1743" t="s">
        <v>38</v>
      </c>
      <c r="N1743" t="s">
        <v>38</v>
      </c>
      <c r="O1743" t="s">
        <v>38</v>
      </c>
      <c r="T1743" t="s">
        <v>38</v>
      </c>
      <c r="U1743">
        <v>0</v>
      </c>
      <c r="W1743">
        <v>0</v>
      </c>
      <c r="X1743">
        <v>0</v>
      </c>
      <c r="Y1743">
        <v>0</v>
      </c>
      <c r="AE1743">
        <f t="shared" si="81"/>
        <v>1</v>
      </c>
      <c r="AF1743">
        <f>VLOOKUP(D1743,especies!$A$2:$C$9,3,FALSE)</f>
        <v>1</v>
      </c>
      <c r="AG1743" t="str">
        <f t="shared" si="82"/>
        <v>1-Mestizo</v>
      </c>
      <c r="AH1743">
        <f>VLOOKUP('Fichas clínicas'!AG1743,razas!$A$2:$D$66,3,FALSE)</f>
        <v>1</v>
      </c>
      <c r="AI1743" t="str">
        <f t="shared" si="83"/>
        <v>H</v>
      </c>
    </row>
    <row r="1744" spans="1:35" x14ac:dyDescent="0.2">
      <c r="A1744">
        <v>1746</v>
      </c>
      <c r="B1744" t="s">
        <v>3835</v>
      </c>
      <c r="C1744" t="s">
        <v>3836</v>
      </c>
      <c r="D1744" t="s">
        <v>41</v>
      </c>
      <c r="E1744" t="s">
        <v>42</v>
      </c>
      <c r="F1744" t="s">
        <v>47</v>
      </c>
      <c r="G1744" t="s">
        <v>3569</v>
      </c>
      <c r="J1744" t="s">
        <v>3837</v>
      </c>
      <c r="K1744" t="s">
        <v>38</v>
      </c>
      <c r="L1744" t="s">
        <v>38</v>
      </c>
      <c r="M1744" t="s">
        <v>38</v>
      </c>
      <c r="N1744" t="s">
        <v>38</v>
      </c>
      <c r="O1744" t="s">
        <v>38</v>
      </c>
      <c r="T1744" t="s">
        <v>38</v>
      </c>
      <c r="U1744">
        <v>0</v>
      </c>
      <c r="W1744">
        <v>0</v>
      </c>
      <c r="X1744">
        <v>0</v>
      </c>
      <c r="Y1744">
        <v>0</v>
      </c>
      <c r="AE1744">
        <f t="shared" si="81"/>
        <v>1</v>
      </c>
      <c r="AF1744">
        <f>VLOOKUP(D1744,especies!$A$2:$C$9,3,FALSE)</f>
        <v>2</v>
      </c>
      <c r="AG1744" t="str">
        <f t="shared" si="82"/>
        <v>2-DPC (Doméstico de pelo corto o DSH)</v>
      </c>
      <c r="AH1744">
        <f>VLOOKUP('Fichas clínicas'!AG1744,razas!$A$2:$D$66,3,FALSE)</f>
        <v>51</v>
      </c>
      <c r="AI1744" t="str">
        <f t="shared" si="83"/>
        <v>M</v>
      </c>
    </row>
    <row r="1745" spans="1:35" x14ac:dyDescent="0.2">
      <c r="A1745">
        <v>1747</v>
      </c>
      <c r="B1745" t="s">
        <v>3838</v>
      </c>
      <c r="C1745" t="s">
        <v>3839</v>
      </c>
      <c r="D1745" t="s">
        <v>32</v>
      </c>
      <c r="E1745" t="s">
        <v>33</v>
      </c>
      <c r="F1745" t="s">
        <v>47</v>
      </c>
      <c r="G1745" t="s">
        <v>2696</v>
      </c>
      <c r="J1745" t="s">
        <v>3840</v>
      </c>
      <c r="K1745" t="s">
        <v>38</v>
      </c>
      <c r="L1745" t="s">
        <v>38</v>
      </c>
      <c r="M1745" t="s">
        <v>38</v>
      </c>
      <c r="N1745" t="s">
        <v>38</v>
      </c>
      <c r="O1745" t="s">
        <v>38</v>
      </c>
      <c r="T1745" t="s">
        <v>38</v>
      </c>
      <c r="U1745">
        <v>0</v>
      </c>
      <c r="W1745">
        <v>0</v>
      </c>
      <c r="X1745">
        <v>0</v>
      </c>
      <c r="Y1745">
        <v>0</v>
      </c>
      <c r="AE1745">
        <f t="shared" si="81"/>
        <v>1</v>
      </c>
      <c r="AF1745">
        <f>VLOOKUP(D1745,especies!$A$2:$C$9,3,FALSE)</f>
        <v>1</v>
      </c>
      <c r="AG1745" t="str">
        <f t="shared" si="82"/>
        <v>1-Mestizo</v>
      </c>
      <c r="AH1745">
        <f>VLOOKUP('Fichas clínicas'!AG1745,razas!$A$2:$D$66,3,FALSE)</f>
        <v>1</v>
      </c>
      <c r="AI1745" t="str">
        <f t="shared" si="83"/>
        <v>M</v>
      </c>
    </row>
    <row r="1746" spans="1:35" x14ac:dyDescent="0.2">
      <c r="A1746">
        <v>1748</v>
      </c>
      <c r="B1746" t="s">
        <v>3841</v>
      </c>
      <c r="C1746" t="s">
        <v>378</v>
      </c>
      <c r="D1746" t="s">
        <v>32</v>
      </c>
      <c r="E1746" t="s">
        <v>257</v>
      </c>
      <c r="F1746" t="s">
        <v>34</v>
      </c>
      <c r="G1746" t="s">
        <v>3163</v>
      </c>
      <c r="J1746" t="s">
        <v>3047</v>
      </c>
      <c r="K1746" t="s">
        <v>38</v>
      </c>
      <c r="L1746" t="s">
        <v>38</v>
      </c>
      <c r="M1746" t="s">
        <v>38</v>
      </c>
      <c r="N1746" t="s">
        <v>38</v>
      </c>
      <c r="O1746" t="s">
        <v>38</v>
      </c>
      <c r="Q1746">
        <v>0</v>
      </c>
      <c r="T1746" t="s">
        <v>38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f t="shared" si="81"/>
        <v>1</v>
      </c>
      <c r="AF1746">
        <f>VLOOKUP(D1746,especies!$A$2:$C$9,3,FALSE)</f>
        <v>1</v>
      </c>
      <c r="AG1746" t="str">
        <f t="shared" si="82"/>
        <v>1-Terrier Chileno</v>
      </c>
      <c r="AH1746">
        <f>VLOOKUP('Fichas clínicas'!AG1746,razas!$A$2:$D$66,3,FALSE)</f>
        <v>10</v>
      </c>
      <c r="AI1746" t="str">
        <f t="shared" si="83"/>
        <v>H</v>
      </c>
    </row>
    <row r="1747" spans="1:35" x14ac:dyDescent="0.2">
      <c r="A1747">
        <v>1749</v>
      </c>
      <c r="B1747" t="s">
        <v>3426</v>
      </c>
      <c r="C1747" t="s">
        <v>1584</v>
      </c>
      <c r="D1747" t="s">
        <v>32</v>
      </c>
      <c r="E1747" t="s">
        <v>309</v>
      </c>
      <c r="F1747" t="s">
        <v>47</v>
      </c>
      <c r="G1747" t="s">
        <v>3842</v>
      </c>
      <c r="J1747" t="s">
        <v>3843</v>
      </c>
      <c r="K1747" t="s">
        <v>38</v>
      </c>
      <c r="L1747" t="s">
        <v>38</v>
      </c>
      <c r="M1747" t="s">
        <v>38</v>
      </c>
      <c r="N1747" t="s">
        <v>38</v>
      </c>
      <c r="O1747" t="s">
        <v>38</v>
      </c>
      <c r="T1747" t="s">
        <v>38</v>
      </c>
      <c r="U1747">
        <v>0</v>
      </c>
      <c r="W1747">
        <v>0</v>
      </c>
      <c r="X1747">
        <v>0</v>
      </c>
      <c r="Y1747">
        <v>0</v>
      </c>
      <c r="AE1747">
        <f t="shared" si="81"/>
        <v>1</v>
      </c>
      <c r="AF1747">
        <f>VLOOKUP(D1747,especies!$A$2:$C$9,3,FALSE)</f>
        <v>1</v>
      </c>
      <c r="AG1747" t="str">
        <f t="shared" si="82"/>
        <v>1-Pug</v>
      </c>
      <c r="AH1747">
        <f>VLOOKUP('Fichas clínicas'!AG1747,razas!$A$2:$D$66,3,FALSE)</f>
        <v>11</v>
      </c>
      <c r="AI1747" t="str">
        <f t="shared" si="83"/>
        <v>M</v>
      </c>
    </row>
    <row r="1748" spans="1:35" x14ac:dyDescent="0.2">
      <c r="A1748">
        <v>1750</v>
      </c>
      <c r="B1748" t="s">
        <v>3844</v>
      </c>
      <c r="C1748" t="s">
        <v>3845</v>
      </c>
      <c r="D1748" t="s">
        <v>32</v>
      </c>
      <c r="E1748" t="s">
        <v>33</v>
      </c>
      <c r="F1748" t="s">
        <v>34</v>
      </c>
      <c r="G1748" t="s">
        <v>351</v>
      </c>
      <c r="J1748" t="s">
        <v>3846</v>
      </c>
      <c r="K1748" t="s">
        <v>38</v>
      </c>
      <c r="L1748" t="s">
        <v>38</v>
      </c>
      <c r="M1748" t="s">
        <v>38</v>
      </c>
      <c r="N1748" t="s">
        <v>38</v>
      </c>
      <c r="O1748" t="s">
        <v>38</v>
      </c>
      <c r="T1748" t="s">
        <v>38</v>
      </c>
      <c r="U1748">
        <v>0</v>
      </c>
      <c r="W1748">
        <v>0</v>
      </c>
      <c r="X1748">
        <v>0</v>
      </c>
      <c r="Y1748">
        <v>0</v>
      </c>
      <c r="AE1748">
        <f t="shared" si="81"/>
        <v>1</v>
      </c>
      <c r="AF1748">
        <f>VLOOKUP(D1748,especies!$A$2:$C$9,3,FALSE)</f>
        <v>1</v>
      </c>
      <c r="AG1748" t="str">
        <f t="shared" si="82"/>
        <v>1-Mestizo</v>
      </c>
      <c r="AH1748">
        <f>VLOOKUP('Fichas clínicas'!AG1748,razas!$A$2:$D$66,3,FALSE)</f>
        <v>1</v>
      </c>
      <c r="AI1748" t="str">
        <f t="shared" si="83"/>
        <v>H</v>
      </c>
    </row>
    <row r="1749" spans="1:35" x14ac:dyDescent="0.2">
      <c r="A1749">
        <v>1751</v>
      </c>
      <c r="B1749" t="s">
        <v>3847</v>
      </c>
      <c r="C1749" t="s">
        <v>3848</v>
      </c>
      <c r="D1749" t="s">
        <v>32</v>
      </c>
      <c r="E1749" t="s">
        <v>994</v>
      </c>
      <c r="F1749" t="s">
        <v>47</v>
      </c>
      <c r="G1749" t="s">
        <v>3849</v>
      </c>
      <c r="J1749" t="s">
        <v>3850</v>
      </c>
      <c r="K1749" t="s">
        <v>38</v>
      </c>
      <c r="L1749" t="s">
        <v>38</v>
      </c>
      <c r="M1749" t="s">
        <v>38</v>
      </c>
      <c r="N1749" t="s">
        <v>38</v>
      </c>
      <c r="O1749" t="s">
        <v>38</v>
      </c>
      <c r="T1749" t="s">
        <v>38</v>
      </c>
      <c r="U1749">
        <v>0</v>
      </c>
      <c r="W1749">
        <v>0</v>
      </c>
      <c r="X1749">
        <v>0</v>
      </c>
      <c r="Y1749">
        <v>0</v>
      </c>
      <c r="AE1749">
        <f t="shared" si="81"/>
        <v>1</v>
      </c>
      <c r="AF1749">
        <f>VLOOKUP(D1749,especies!$A$2:$C$9,3,FALSE)</f>
        <v>1</v>
      </c>
      <c r="AG1749" t="str">
        <f t="shared" si="82"/>
        <v>1-Bulldog Francés</v>
      </c>
      <c r="AH1749">
        <f>VLOOKUP('Fichas clínicas'!AG1749,razas!$A$2:$D$66,3,FALSE)</f>
        <v>26</v>
      </c>
      <c r="AI1749" t="str">
        <f t="shared" si="83"/>
        <v>M</v>
      </c>
    </row>
    <row r="1750" spans="1:35" x14ac:dyDescent="0.2">
      <c r="A1750">
        <v>1752</v>
      </c>
      <c r="B1750" t="s">
        <v>995</v>
      </c>
      <c r="C1750" t="s">
        <v>3851</v>
      </c>
      <c r="D1750" t="s">
        <v>41</v>
      </c>
      <c r="E1750" t="s">
        <v>42</v>
      </c>
      <c r="F1750" t="s">
        <v>47</v>
      </c>
      <c r="G1750" t="s">
        <v>1007</v>
      </c>
      <c r="J1750" t="s">
        <v>3829</v>
      </c>
      <c r="K1750" t="s">
        <v>38</v>
      </c>
      <c r="L1750" t="s">
        <v>38</v>
      </c>
      <c r="M1750" t="s">
        <v>38</v>
      </c>
      <c r="N1750" t="s">
        <v>38</v>
      </c>
      <c r="O1750" t="s">
        <v>38</v>
      </c>
      <c r="Q1750">
        <v>0</v>
      </c>
      <c r="T1750" t="s">
        <v>38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f t="shared" si="81"/>
        <v>1</v>
      </c>
      <c r="AF1750">
        <f>VLOOKUP(D1750,especies!$A$2:$C$9,3,FALSE)</f>
        <v>2</v>
      </c>
      <c r="AG1750" t="str">
        <f t="shared" si="82"/>
        <v>2-DPC (Doméstico de pelo corto o DSH)</v>
      </c>
      <c r="AH1750">
        <f>VLOOKUP('Fichas clínicas'!AG1750,razas!$A$2:$D$66,3,FALSE)</f>
        <v>51</v>
      </c>
      <c r="AI1750" t="str">
        <f t="shared" si="83"/>
        <v>M</v>
      </c>
    </row>
    <row r="1751" spans="1:35" x14ac:dyDescent="0.2">
      <c r="A1751">
        <v>1753</v>
      </c>
      <c r="B1751" t="s">
        <v>3852</v>
      </c>
      <c r="C1751" t="s">
        <v>2599</v>
      </c>
      <c r="D1751" t="s">
        <v>32</v>
      </c>
      <c r="E1751" t="s">
        <v>823</v>
      </c>
      <c r="F1751" t="s">
        <v>34</v>
      </c>
      <c r="G1751" t="s">
        <v>3853</v>
      </c>
      <c r="J1751" t="s">
        <v>3850</v>
      </c>
      <c r="K1751" t="s">
        <v>38</v>
      </c>
      <c r="L1751" t="s">
        <v>38</v>
      </c>
      <c r="M1751" t="s">
        <v>38</v>
      </c>
      <c r="N1751" t="s">
        <v>38</v>
      </c>
      <c r="O1751" t="s">
        <v>38</v>
      </c>
      <c r="T1751" t="s">
        <v>38</v>
      </c>
      <c r="U1751">
        <v>0</v>
      </c>
      <c r="W1751">
        <v>0</v>
      </c>
      <c r="X1751">
        <v>0</v>
      </c>
      <c r="Y1751">
        <v>0</v>
      </c>
      <c r="AE1751">
        <f t="shared" si="81"/>
        <v>1</v>
      </c>
      <c r="AF1751">
        <f>VLOOKUP(D1751,especies!$A$2:$C$9,3,FALSE)</f>
        <v>1</v>
      </c>
      <c r="AG1751" t="str">
        <f t="shared" si="82"/>
        <v>1-Dogo Argentino</v>
      </c>
      <c r="AH1751">
        <f>VLOOKUP('Fichas clínicas'!AG1751,razas!$A$2:$D$66,3,FALSE)</f>
        <v>19</v>
      </c>
      <c r="AI1751" t="str">
        <f t="shared" si="83"/>
        <v>H</v>
      </c>
    </row>
    <row r="1752" spans="1:35" x14ac:dyDescent="0.2">
      <c r="A1752">
        <v>1754</v>
      </c>
      <c r="B1752" t="s">
        <v>3854</v>
      </c>
      <c r="C1752" t="s">
        <v>3467</v>
      </c>
      <c r="D1752" t="s">
        <v>32</v>
      </c>
      <c r="E1752" t="s">
        <v>458</v>
      </c>
      <c r="F1752" t="s">
        <v>47</v>
      </c>
      <c r="G1752" t="s">
        <v>3855</v>
      </c>
      <c r="J1752" t="s">
        <v>3856</v>
      </c>
      <c r="K1752" t="s">
        <v>38</v>
      </c>
      <c r="L1752" t="s">
        <v>38</v>
      </c>
      <c r="M1752" t="s">
        <v>38</v>
      </c>
      <c r="N1752" t="s">
        <v>38</v>
      </c>
      <c r="O1752" t="s">
        <v>38</v>
      </c>
      <c r="T1752" t="s">
        <v>38</v>
      </c>
      <c r="U1752">
        <v>0</v>
      </c>
      <c r="W1752">
        <v>0</v>
      </c>
      <c r="X1752">
        <v>0</v>
      </c>
      <c r="Y1752">
        <v>0</v>
      </c>
      <c r="AE1752">
        <f t="shared" si="81"/>
        <v>1</v>
      </c>
      <c r="AF1752">
        <f>VLOOKUP(D1752,especies!$A$2:$C$9,3,FALSE)</f>
        <v>1</v>
      </c>
      <c r="AG1752" t="str">
        <f t="shared" si="82"/>
        <v>1-Beagle</v>
      </c>
      <c r="AH1752">
        <f>VLOOKUP('Fichas clínicas'!AG1752,razas!$A$2:$D$66,3,FALSE)</f>
        <v>13</v>
      </c>
      <c r="AI1752" t="str">
        <f t="shared" si="83"/>
        <v>M</v>
      </c>
    </row>
    <row r="1753" spans="1:35" x14ac:dyDescent="0.2">
      <c r="A1753">
        <v>1755</v>
      </c>
      <c r="B1753" t="s">
        <v>1168</v>
      </c>
      <c r="C1753" t="s">
        <v>2553</v>
      </c>
      <c r="D1753" t="s">
        <v>41</v>
      </c>
      <c r="E1753" t="s">
        <v>42</v>
      </c>
      <c r="F1753" t="s">
        <v>47</v>
      </c>
      <c r="G1753" t="s">
        <v>2726</v>
      </c>
      <c r="J1753" t="s">
        <v>3857</v>
      </c>
      <c r="K1753" t="s">
        <v>38</v>
      </c>
      <c r="L1753" t="s">
        <v>38</v>
      </c>
      <c r="M1753" t="s">
        <v>38</v>
      </c>
      <c r="N1753" t="s">
        <v>38</v>
      </c>
      <c r="O1753" t="s">
        <v>38</v>
      </c>
      <c r="Q1753">
        <v>0</v>
      </c>
      <c r="T1753" t="s">
        <v>38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f t="shared" si="81"/>
        <v>1</v>
      </c>
      <c r="AF1753">
        <f>VLOOKUP(D1753,especies!$A$2:$C$9,3,FALSE)</f>
        <v>2</v>
      </c>
      <c r="AG1753" t="str">
        <f t="shared" si="82"/>
        <v>2-DPC (Doméstico de pelo corto o DSH)</v>
      </c>
      <c r="AH1753">
        <f>VLOOKUP('Fichas clínicas'!AG1753,razas!$A$2:$D$66,3,FALSE)</f>
        <v>51</v>
      </c>
      <c r="AI1753" t="str">
        <f t="shared" si="83"/>
        <v>M</v>
      </c>
    </row>
    <row r="1754" spans="1:35" x14ac:dyDescent="0.2">
      <c r="A1754">
        <v>1756</v>
      </c>
      <c r="B1754" t="s">
        <v>3858</v>
      </c>
      <c r="C1754" t="s">
        <v>2526</v>
      </c>
      <c r="D1754" t="s">
        <v>32</v>
      </c>
      <c r="E1754" t="s">
        <v>33</v>
      </c>
      <c r="F1754" t="s">
        <v>47</v>
      </c>
      <c r="G1754" t="s">
        <v>694</v>
      </c>
      <c r="J1754" t="s">
        <v>3859</v>
      </c>
      <c r="K1754" t="s">
        <v>38</v>
      </c>
      <c r="L1754" t="s">
        <v>38</v>
      </c>
      <c r="M1754" t="s">
        <v>38</v>
      </c>
      <c r="N1754" t="s">
        <v>38</v>
      </c>
      <c r="O1754" t="s">
        <v>38</v>
      </c>
      <c r="T1754" t="s">
        <v>38</v>
      </c>
      <c r="U1754">
        <v>0</v>
      </c>
      <c r="W1754">
        <v>0</v>
      </c>
      <c r="X1754">
        <v>0</v>
      </c>
      <c r="Y1754">
        <v>0</v>
      </c>
      <c r="AE1754">
        <f t="shared" si="81"/>
        <v>1</v>
      </c>
      <c r="AF1754">
        <f>VLOOKUP(D1754,especies!$A$2:$C$9,3,FALSE)</f>
        <v>1</v>
      </c>
      <c r="AG1754" t="str">
        <f t="shared" si="82"/>
        <v>1-Mestizo</v>
      </c>
      <c r="AH1754">
        <f>VLOOKUP('Fichas clínicas'!AG1754,razas!$A$2:$D$66,3,FALSE)</f>
        <v>1</v>
      </c>
      <c r="AI1754" t="str">
        <f t="shared" si="83"/>
        <v>M</v>
      </c>
    </row>
    <row r="1755" spans="1:35" x14ac:dyDescent="0.2">
      <c r="A1755">
        <v>1757</v>
      </c>
      <c r="B1755" t="s">
        <v>3860</v>
      </c>
      <c r="C1755" t="s">
        <v>1584</v>
      </c>
      <c r="D1755" t="s">
        <v>32</v>
      </c>
      <c r="E1755" t="s">
        <v>33</v>
      </c>
      <c r="F1755" t="s">
        <v>47</v>
      </c>
      <c r="G1755" t="s">
        <v>560</v>
      </c>
      <c r="J1755" t="s">
        <v>3210</v>
      </c>
      <c r="K1755" t="s">
        <v>38</v>
      </c>
      <c r="L1755" t="s">
        <v>38</v>
      </c>
      <c r="M1755" t="s">
        <v>38</v>
      </c>
      <c r="N1755" t="s">
        <v>38</v>
      </c>
      <c r="O1755" t="s">
        <v>38</v>
      </c>
      <c r="T1755" t="s">
        <v>38</v>
      </c>
      <c r="U1755">
        <v>0</v>
      </c>
      <c r="W1755">
        <v>0</v>
      </c>
      <c r="X1755">
        <v>0</v>
      </c>
      <c r="Y1755">
        <v>0</v>
      </c>
      <c r="AE1755">
        <f t="shared" si="81"/>
        <v>1</v>
      </c>
      <c r="AF1755">
        <f>VLOOKUP(D1755,especies!$A$2:$C$9,3,FALSE)</f>
        <v>1</v>
      </c>
      <c r="AG1755" t="str">
        <f t="shared" si="82"/>
        <v>1-Mestizo</v>
      </c>
      <c r="AH1755">
        <f>VLOOKUP('Fichas clínicas'!AG1755,razas!$A$2:$D$66,3,FALSE)</f>
        <v>1</v>
      </c>
      <c r="AI1755" t="str">
        <f t="shared" si="83"/>
        <v>M</v>
      </c>
    </row>
    <row r="1756" spans="1:35" x14ac:dyDescent="0.2">
      <c r="A1756">
        <v>1758</v>
      </c>
      <c r="B1756" t="s">
        <v>3861</v>
      </c>
      <c r="C1756" t="s">
        <v>3862</v>
      </c>
      <c r="D1756" t="s">
        <v>41</v>
      </c>
      <c r="E1756" t="s">
        <v>93</v>
      </c>
      <c r="F1756" t="s">
        <v>47</v>
      </c>
      <c r="G1756" t="s">
        <v>2122</v>
      </c>
      <c r="J1756" t="s">
        <v>2903</v>
      </c>
      <c r="K1756" t="s">
        <v>38</v>
      </c>
      <c r="L1756" t="s">
        <v>38</v>
      </c>
      <c r="M1756" t="s">
        <v>38</v>
      </c>
      <c r="N1756" t="s">
        <v>38</v>
      </c>
      <c r="O1756" t="s">
        <v>38</v>
      </c>
      <c r="T1756" t="s">
        <v>38</v>
      </c>
      <c r="U1756">
        <v>0</v>
      </c>
      <c r="V1756">
        <v>1</v>
      </c>
      <c r="W1756">
        <v>0</v>
      </c>
      <c r="X1756">
        <v>0</v>
      </c>
      <c r="Y1756">
        <v>0</v>
      </c>
      <c r="AE1756">
        <f t="shared" si="81"/>
        <v>1</v>
      </c>
      <c r="AF1756">
        <f>VLOOKUP(D1756,especies!$A$2:$C$9,3,FALSE)</f>
        <v>2</v>
      </c>
      <c r="AG1756" t="str">
        <f t="shared" si="82"/>
        <v>2-DPL (Doméstico de pelo Largo o DLH)</v>
      </c>
      <c r="AH1756">
        <f>VLOOKUP('Fichas clínicas'!AG1756,razas!$A$2:$D$66,3,FALSE)</f>
        <v>52</v>
      </c>
      <c r="AI1756" t="str">
        <f t="shared" si="83"/>
        <v>M</v>
      </c>
    </row>
    <row r="1757" spans="1:35" x14ac:dyDescent="0.2">
      <c r="A1757">
        <v>1759</v>
      </c>
      <c r="B1757" t="s">
        <v>3863</v>
      </c>
      <c r="C1757" t="s">
        <v>3864</v>
      </c>
      <c r="D1757" t="s">
        <v>41</v>
      </c>
      <c r="E1757" t="s">
        <v>93</v>
      </c>
      <c r="F1757" t="s">
        <v>47</v>
      </c>
      <c r="G1757" t="s">
        <v>3865</v>
      </c>
      <c r="J1757" t="s">
        <v>3786</v>
      </c>
      <c r="K1757" t="s">
        <v>38</v>
      </c>
      <c r="L1757" t="s">
        <v>38</v>
      </c>
      <c r="M1757" t="s">
        <v>38</v>
      </c>
      <c r="N1757" t="s">
        <v>38</v>
      </c>
      <c r="O1757" t="s">
        <v>38</v>
      </c>
      <c r="Q1757">
        <v>0</v>
      </c>
      <c r="T1757" t="s">
        <v>38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f t="shared" si="81"/>
        <v>1</v>
      </c>
      <c r="AF1757">
        <f>VLOOKUP(D1757,especies!$A$2:$C$9,3,FALSE)</f>
        <v>2</v>
      </c>
      <c r="AG1757" t="str">
        <f t="shared" si="82"/>
        <v>2-DPL (Doméstico de pelo Largo o DLH)</v>
      </c>
      <c r="AH1757">
        <f>VLOOKUP('Fichas clínicas'!AG1757,razas!$A$2:$D$66,3,FALSE)</f>
        <v>52</v>
      </c>
      <c r="AI1757" t="str">
        <f t="shared" si="83"/>
        <v>M</v>
      </c>
    </row>
    <row r="1758" spans="1:35" x14ac:dyDescent="0.2">
      <c r="A1758">
        <v>1760</v>
      </c>
      <c r="B1758" t="s">
        <v>3866</v>
      </c>
      <c r="C1758" t="s">
        <v>3867</v>
      </c>
      <c r="D1758" t="s">
        <v>32</v>
      </c>
      <c r="E1758" t="s">
        <v>33</v>
      </c>
      <c r="F1758" t="s">
        <v>47</v>
      </c>
      <c r="G1758" t="s">
        <v>73</v>
      </c>
      <c r="J1758" t="s">
        <v>1485</v>
      </c>
      <c r="K1758" t="s">
        <v>38</v>
      </c>
      <c r="L1758" t="s">
        <v>38</v>
      </c>
      <c r="M1758" t="s">
        <v>38</v>
      </c>
      <c r="N1758" t="s">
        <v>38</v>
      </c>
      <c r="O1758" t="s">
        <v>38</v>
      </c>
      <c r="T1758" t="s">
        <v>38</v>
      </c>
      <c r="U1758">
        <v>0</v>
      </c>
      <c r="W1758">
        <v>0</v>
      </c>
      <c r="X1758">
        <v>0</v>
      </c>
      <c r="Y1758">
        <v>0</v>
      </c>
      <c r="AE1758">
        <f t="shared" si="81"/>
        <v>1</v>
      </c>
      <c r="AF1758">
        <f>VLOOKUP(D1758,especies!$A$2:$C$9,3,FALSE)</f>
        <v>1</v>
      </c>
      <c r="AG1758" t="str">
        <f t="shared" si="82"/>
        <v>1-Mestizo</v>
      </c>
      <c r="AH1758">
        <f>VLOOKUP('Fichas clínicas'!AG1758,razas!$A$2:$D$66,3,FALSE)</f>
        <v>1</v>
      </c>
      <c r="AI1758" t="str">
        <f t="shared" si="83"/>
        <v>M</v>
      </c>
    </row>
    <row r="1759" spans="1:35" x14ac:dyDescent="0.2">
      <c r="A1759">
        <v>1761</v>
      </c>
      <c r="B1759" t="s">
        <v>3868</v>
      </c>
      <c r="C1759" t="s">
        <v>2292</v>
      </c>
      <c r="D1759" t="s">
        <v>32</v>
      </c>
      <c r="E1759" t="s">
        <v>33</v>
      </c>
      <c r="F1759" t="s">
        <v>47</v>
      </c>
      <c r="G1759" t="s">
        <v>1543</v>
      </c>
      <c r="J1759" t="s">
        <v>1485</v>
      </c>
      <c r="K1759" t="s">
        <v>38</v>
      </c>
      <c r="L1759" t="s">
        <v>38</v>
      </c>
      <c r="M1759" t="s">
        <v>38</v>
      </c>
      <c r="N1759" t="s">
        <v>38</v>
      </c>
      <c r="O1759" t="s">
        <v>38</v>
      </c>
      <c r="T1759" t="s">
        <v>38</v>
      </c>
      <c r="U1759">
        <v>0</v>
      </c>
      <c r="W1759">
        <v>0</v>
      </c>
      <c r="X1759">
        <v>0</v>
      </c>
      <c r="Y1759">
        <v>0</v>
      </c>
      <c r="AE1759">
        <f t="shared" si="81"/>
        <v>1</v>
      </c>
      <c r="AF1759">
        <f>VLOOKUP(D1759,especies!$A$2:$C$9,3,FALSE)</f>
        <v>1</v>
      </c>
      <c r="AG1759" t="str">
        <f t="shared" si="82"/>
        <v>1-Mestizo</v>
      </c>
      <c r="AH1759">
        <f>VLOOKUP('Fichas clínicas'!AG1759,razas!$A$2:$D$66,3,FALSE)</f>
        <v>1</v>
      </c>
      <c r="AI1759" t="str">
        <f t="shared" si="83"/>
        <v>M</v>
      </c>
    </row>
    <row r="1760" spans="1:35" x14ac:dyDescent="0.2">
      <c r="A1760">
        <v>1762</v>
      </c>
      <c r="B1760" t="s">
        <v>3869</v>
      </c>
      <c r="C1760" t="s">
        <v>3870</v>
      </c>
      <c r="D1760" t="s">
        <v>32</v>
      </c>
      <c r="E1760" t="s">
        <v>164</v>
      </c>
      <c r="F1760" t="s">
        <v>47</v>
      </c>
      <c r="G1760" t="s">
        <v>560</v>
      </c>
      <c r="J1760" t="s">
        <v>3783</v>
      </c>
      <c r="K1760" t="s">
        <v>38</v>
      </c>
      <c r="L1760" t="s">
        <v>38</v>
      </c>
      <c r="M1760" t="s">
        <v>38</v>
      </c>
      <c r="N1760" t="s">
        <v>38</v>
      </c>
      <c r="O1760" t="s">
        <v>38</v>
      </c>
      <c r="T1760" t="s">
        <v>38</v>
      </c>
      <c r="U1760">
        <v>0</v>
      </c>
      <c r="W1760">
        <v>0</v>
      </c>
      <c r="X1760">
        <v>0</v>
      </c>
      <c r="Y1760">
        <v>0</v>
      </c>
      <c r="AE1760">
        <f t="shared" si="81"/>
        <v>1</v>
      </c>
      <c r="AF1760">
        <f>VLOOKUP(D1760,especies!$A$2:$C$9,3,FALSE)</f>
        <v>1</v>
      </c>
      <c r="AG1760" t="str">
        <f t="shared" si="82"/>
        <v>1-Teckel</v>
      </c>
      <c r="AH1760">
        <f>VLOOKUP('Fichas clínicas'!AG1760,razas!$A$2:$D$66,3,FALSE)</f>
        <v>8</v>
      </c>
      <c r="AI1760" t="str">
        <f t="shared" si="83"/>
        <v>M</v>
      </c>
    </row>
    <row r="1761" spans="1:35" x14ac:dyDescent="0.2">
      <c r="A1761">
        <v>1763</v>
      </c>
      <c r="B1761" t="s">
        <v>3871</v>
      </c>
      <c r="C1761" t="s">
        <v>2642</v>
      </c>
      <c r="D1761" t="s">
        <v>32</v>
      </c>
      <c r="E1761" t="s">
        <v>33</v>
      </c>
      <c r="F1761" t="s">
        <v>47</v>
      </c>
      <c r="G1761" t="s">
        <v>587</v>
      </c>
      <c r="J1761" t="s">
        <v>3872</v>
      </c>
      <c r="K1761" t="s">
        <v>38</v>
      </c>
      <c r="L1761" t="s">
        <v>38</v>
      </c>
      <c r="M1761" t="s">
        <v>38</v>
      </c>
      <c r="N1761" t="s">
        <v>38</v>
      </c>
      <c r="O1761" t="s">
        <v>38</v>
      </c>
      <c r="Q1761">
        <v>0</v>
      </c>
      <c r="T1761" t="s">
        <v>38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f t="shared" si="81"/>
        <v>1</v>
      </c>
      <c r="AF1761">
        <f>VLOOKUP(D1761,especies!$A$2:$C$9,3,FALSE)</f>
        <v>1</v>
      </c>
      <c r="AG1761" t="str">
        <f t="shared" si="82"/>
        <v>1-Mestizo</v>
      </c>
      <c r="AH1761">
        <f>VLOOKUP('Fichas clínicas'!AG1761,razas!$A$2:$D$66,3,FALSE)</f>
        <v>1</v>
      </c>
      <c r="AI1761" t="str">
        <f t="shared" si="83"/>
        <v>M</v>
      </c>
    </row>
    <row r="1762" spans="1:35" x14ac:dyDescent="0.2">
      <c r="A1762">
        <v>1764</v>
      </c>
      <c r="B1762" t="s">
        <v>3873</v>
      </c>
      <c r="C1762" t="s">
        <v>3874</v>
      </c>
      <c r="D1762" t="s">
        <v>32</v>
      </c>
      <c r="E1762" t="s">
        <v>3875</v>
      </c>
      <c r="F1762" t="s">
        <v>47</v>
      </c>
      <c r="G1762" t="s">
        <v>3116</v>
      </c>
      <c r="J1762" t="s">
        <v>3876</v>
      </c>
      <c r="K1762" t="s">
        <v>38</v>
      </c>
      <c r="L1762" t="s">
        <v>38</v>
      </c>
      <c r="M1762" t="s">
        <v>38</v>
      </c>
      <c r="N1762" t="s">
        <v>38</v>
      </c>
      <c r="O1762" t="s">
        <v>38</v>
      </c>
      <c r="T1762" t="s">
        <v>38</v>
      </c>
      <c r="U1762">
        <v>0</v>
      </c>
      <c r="W1762">
        <v>0</v>
      </c>
      <c r="X1762">
        <v>0</v>
      </c>
      <c r="Y1762">
        <v>0</v>
      </c>
      <c r="AE1762">
        <f t="shared" si="81"/>
        <v>1</v>
      </c>
      <c r="AF1762">
        <f>VLOOKUP(D1762,especies!$A$2:$C$9,3,FALSE)</f>
        <v>1</v>
      </c>
      <c r="AG1762" t="str">
        <f t="shared" si="82"/>
        <v>1-Jack Russell terrier</v>
      </c>
      <c r="AH1762">
        <f>VLOOKUP('Fichas clínicas'!AG1762,razas!$A$2:$D$66,3,FALSE)</f>
        <v>46</v>
      </c>
      <c r="AI1762" t="str">
        <f t="shared" si="83"/>
        <v>M</v>
      </c>
    </row>
    <row r="1763" spans="1:35" x14ac:dyDescent="0.2">
      <c r="A1763">
        <v>1765</v>
      </c>
      <c r="B1763" t="s">
        <v>3877</v>
      </c>
      <c r="C1763" t="s">
        <v>378</v>
      </c>
      <c r="D1763" t="s">
        <v>32</v>
      </c>
      <c r="E1763" t="s">
        <v>33</v>
      </c>
      <c r="F1763" t="s">
        <v>34</v>
      </c>
      <c r="G1763" t="s">
        <v>351</v>
      </c>
      <c r="J1763" t="s">
        <v>1346</v>
      </c>
      <c r="K1763" t="s">
        <v>38</v>
      </c>
      <c r="L1763" t="s">
        <v>38</v>
      </c>
      <c r="M1763" t="s">
        <v>38</v>
      </c>
      <c r="N1763" t="s">
        <v>38</v>
      </c>
      <c r="O1763" t="s">
        <v>38</v>
      </c>
      <c r="Q1763">
        <v>0</v>
      </c>
      <c r="T1763" t="s">
        <v>38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f t="shared" si="81"/>
        <v>1</v>
      </c>
      <c r="AF1763">
        <f>VLOOKUP(D1763,especies!$A$2:$C$9,3,FALSE)</f>
        <v>1</v>
      </c>
      <c r="AG1763" t="str">
        <f t="shared" si="82"/>
        <v>1-Mestizo</v>
      </c>
      <c r="AH1763">
        <f>VLOOKUP('Fichas clínicas'!AG1763,razas!$A$2:$D$66,3,FALSE)</f>
        <v>1</v>
      </c>
      <c r="AI1763" t="str">
        <f t="shared" si="83"/>
        <v>H</v>
      </c>
    </row>
    <row r="1764" spans="1:35" x14ac:dyDescent="0.2">
      <c r="A1764">
        <v>1766</v>
      </c>
      <c r="B1764" t="s">
        <v>3878</v>
      </c>
      <c r="C1764" t="s">
        <v>3563</v>
      </c>
      <c r="D1764" t="s">
        <v>32</v>
      </c>
      <c r="E1764" t="s">
        <v>33</v>
      </c>
      <c r="F1764" t="s">
        <v>47</v>
      </c>
      <c r="G1764" t="s">
        <v>740</v>
      </c>
      <c r="J1764" t="s">
        <v>3783</v>
      </c>
      <c r="K1764" t="s">
        <v>38</v>
      </c>
      <c r="L1764" t="s">
        <v>38</v>
      </c>
      <c r="M1764" t="s">
        <v>38</v>
      </c>
      <c r="N1764" t="s">
        <v>38</v>
      </c>
      <c r="O1764" t="s">
        <v>38</v>
      </c>
      <c r="T1764" t="s">
        <v>38</v>
      </c>
      <c r="U1764">
        <v>0</v>
      </c>
      <c r="W1764">
        <v>0</v>
      </c>
      <c r="X1764">
        <v>0</v>
      </c>
      <c r="Y1764">
        <v>0</v>
      </c>
      <c r="AE1764">
        <f t="shared" si="81"/>
        <v>1</v>
      </c>
      <c r="AF1764">
        <f>VLOOKUP(D1764,especies!$A$2:$C$9,3,FALSE)</f>
        <v>1</v>
      </c>
      <c r="AG1764" t="str">
        <f t="shared" si="82"/>
        <v>1-Mestizo</v>
      </c>
      <c r="AH1764">
        <f>VLOOKUP('Fichas clínicas'!AG1764,razas!$A$2:$D$66,3,FALSE)</f>
        <v>1</v>
      </c>
      <c r="AI1764" t="str">
        <f t="shared" si="83"/>
        <v>M</v>
      </c>
    </row>
    <row r="1765" spans="1:35" x14ac:dyDescent="0.2">
      <c r="A1765">
        <v>1767</v>
      </c>
      <c r="B1765" t="s">
        <v>3879</v>
      </c>
      <c r="C1765" t="s">
        <v>3880</v>
      </c>
      <c r="D1765" t="s">
        <v>32</v>
      </c>
      <c r="E1765" t="s">
        <v>1067</v>
      </c>
      <c r="F1765" t="s">
        <v>34</v>
      </c>
      <c r="G1765" t="s">
        <v>73</v>
      </c>
      <c r="J1765" t="s">
        <v>3881</v>
      </c>
      <c r="K1765" t="s">
        <v>38</v>
      </c>
      <c r="L1765" t="s">
        <v>38</v>
      </c>
      <c r="M1765" t="s">
        <v>38</v>
      </c>
      <c r="N1765" t="s">
        <v>38</v>
      </c>
      <c r="O1765" t="s">
        <v>38</v>
      </c>
      <c r="T1765" t="s">
        <v>38</v>
      </c>
      <c r="U1765">
        <v>0</v>
      </c>
      <c r="W1765">
        <v>0</v>
      </c>
      <c r="X1765">
        <v>0</v>
      </c>
      <c r="Y1765">
        <v>0</v>
      </c>
      <c r="AE1765">
        <f t="shared" si="81"/>
        <v>1</v>
      </c>
      <c r="AF1765">
        <f>VLOOKUP(D1765,especies!$A$2:$C$9,3,FALSE)</f>
        <v>1</v>
      </c>
      <c r="AG1765" t="str">
        <f t="shared" si="82"/>
        <v>1-Chihuahua</v>
      </c>
      <c r="AH1765">
        <f>VLOOKUP('Fichas clínicas'!AG1765,razas!$A$2:$D$66,3,FALSE)</f>
        <v>27</v>
      </c>
      <c r="AI1765" t="str">
        <f t="shared" si="83"/>
        <v>H</v>
      </c>
    </row>
    <row r="1766" spans="1:35" x14ac:dyDescent="0.2">
      <c r="A1766">
        <v>1768</v>
      </c>
      <c r="B1766" t="s">
        <v>3879</v>
      </c>
      <c r="C1766" t="s">
        <v>3882</v>
      </c>
      <c r="D1766" t="s">
        <v>32</v>
      </c>
      <c r="E1766" t="s">
        <v>1067</v>
      </c>
      <c r="F1766" t="s">
        <v>47</v>
      </c>
      <c r="G1766" t="s">
        <v>351</v>
      </c>
      <c r="J1766" t="s">
        <v>3881</v>
      </c>
      <c r="K1766" t="s">
        <v>38</v>
      </c>
      <c r="L1766" t="s">
        <v>38</v>
      </c>
      <c r="M1766" t="s">
        <v>38</v>
      </c>
      <c r="N1766" t="s">
        <v>38</v>
      </c>
      <c r="O1766" t="s">
        <v>38</v>
      </c>
      <c r="T1766" t="s">
        <v>38</v>
      </c>
      <c r="U1766">
        <v>0</v>
      </c>
      <c r="W1766">
        <v>0</v>
      </c>
      <c r="X1766">
        <v>0</v>
      </c>
      <c r="Y1766">
        <v>0</v>
      </c>
      <c r="AE1766">
        <f t="shared" si="81"/>
        <v>1</v>
      </c>
      <c r="AF1766">
        <f>VLOOKUP(D1766,especies!$A$2:$C$9,3,FALSE)</f>
        <v>1</v>
      </c>
      <c r="AG1766" t="str">
        <f t="shared" si="82"/>
        <v>1-Chihuahua</v>
      </c>
      <c r="AH1766">
        <f>VLOOKUP('Fichas clínicas'!AG1766,razas!$A$2:$D$66,3,FALSE)</f>
        <v>27</v>
      </c>
      <c r="AI1766" t="str">
        <f t="shared" si="83"/>
        <v>M</v>
      </c>
    </row>
    <row r="1767" spans="1:35" x14ac:dyDescent="0.2">
      <c r="A1767">
        <v>1769</v>
      </c>
      <c r="B1767" t="s">
        <v>3879</v>
      </c>
      <c r="C1767" t="s">
        <v>3883</v>
      </c>
      <c r="D1767" t="s">
        <v>32</v>
      </c>
      <c r="E1767" t="s">
        <v>1067</v>
      </c>
      <c r="F1767" t="s">
        <v>47</v>
      </c>
      <c r="G1767" t="s">
        <v>73</v>
      </c>
      <c r="J1767" t="s">
        <v>3881</v>
      </c>
      <c r="K1767" t="s">
        <v>38</v>
      </c>
      <c r="L1767" t="s">
        <v>38</v>
      </c>
      <c r="M1767" t="s">
        <v>38</v>
      </c>
      <c r="N1767" t="s">
        <v>38</v>
      </c>
      <c r="O1767" t="s">
        <v>38</v>
      </c>
      <c r="T1767" t="s">
        <v>38</v>
      </c>
      <c r="U1767">
        <v>0</v>
      </c>
      <c r="W1767">
        <v>0</v>
      </c>
      <c r="X1767">
        <v>0</v>
      </c>
      <c r="Y1767">
        <v>0</v>
      </c>
      <c r="AE1767">
        <f t="shared" si="81"/>
        <v>1</v>
      </c>
      <c r="AF1767">
        <f>VLOOKUP(D1767,especies!$A$2:$C$9,3,FALSE)</f>
        <v>1</v>
      </c>
      <c r="AG1767" t="str">
        <f t="shared" si="82"/>
        <v>1-Chihuahua</v>
      </c>
      <c r="AH1767">
        <f>VLOOKUP('Fichas clínicas'!AG1767,razas!$A$2:$D$66,3,FALSE)</f>
        <v>27</v>
      </c>
      <c r="AI1767" t="str">
        <f t="shared" si="83"/>
        <v>M</v>
      </c>
    </row>
    <row r="1768" spans="1:35" x14ac:dyDescent="0.2">
      <c r="A1768">
        <v>1770</v>
      </c>
      <c r="B1768" t="s">
        <v>3884</v>
      </c>
      <c r="C1768" t="s">
        <v>3885</v>
      </c>
      <c r="D1768" t="s">
        <v>32</v>
      </c>
      <c r="E1768" t="s">
        <v>33</v>
      </c>
      <c r="F1768" t="s">
        <v>34</v>
      </c>
      <c r="G1768" t="s">
        <v>587</v>
      </c>
      <c r="J1768" t="s">
        <v>3886</v>
      </c>
      <c r="K1768" t="s">
        <v>38</v>
      </c>
      <c r="L1768" t="s">
        <v>38</v>
      </c>
      <c r="M1768" t="s">
        <v>38</v>
      </c>
      <c r="N1768" t="s">
        <v>38</v>
      </c>
      <c r="O1768" t="s">
        <v>38</v>
      </c>
      <c r="T1768" t="s">
        <v>38</v>
      </c>
      <c r="U1768">
        <v>0</v>
      </c>
      <c r="V1768">
        <v>1</v>
      </c>
      <c r="W1768">
        <v>0</v>
      </c>
      <c r="X1768">
        <v>0</v>
      </c>
      <c r="Y1768">
        <v>0</v>
      </c>
      <c r="AE1768">
        <f t="shared" si="81"/>
        <v>1</v>
      </c>
      <c r="AF1768">
        <f>VLOOKUP(D1768,especies!$A$2:$C$9,3,FALSE)</f>
        <v>1</v>
      </c>
      <c r="AG1768" t="str">
        <f t="shared" si="82"/>
        <v>1-Mestizo</v>
      </c>
      <c r="AH1768">
        <f>VLOOKUP('Fichas clínicas'!AG1768,razas!$A$2:$D$66,3,FALSE)</f>
        <v>1</v>
      </c>
      <c r="AI1768" t="str">
        <f t="shared" si="83"/>
        <v>H</v>
      </c>
    </row>
    <row r="1769" spans="1:35" x14ac:dyDescent="0.2">
      <c r="A1769">
        <v>1771</v>
      </c>
      <c r="B1769" t="s">
        <v>3887</v>
      </c>
      <c r="C1769" t="s">
        <v>2064</v>
      </c>
      <c r="D1769" t="s">
        <v>32</v>
      </c>
      <c r="E1769" t="s">
        <v>150</v>
      </c>
      <c r="F1769" t="s">
        <v>34</v>
      </c>
      <c r="G1769" t="s">
        <v>2047</v>
      </c>
      <c r="J1769" t="s">
        <v>3783</v>
      </c>
      <c r="K1769" t="s">
        <v>38</v>
      </c>
      <c r="L1769" t="s">
        <v>38</v>
      </c>
      <c r="M1769" t="s">
        <v>38</v>
      </c>
      <c r="N1769" t="s">
        <v>38</v>
      </c>
      <c r="O1769" t="s">
        <v>38</v>
      </c>
      <c r="Q1769">
        <v>0</v>
      </c>
      <c r="T1769" t="s">
        <v>38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f t="shared" si="81"/>
        <v>1</v>
      </c>
      <c r="AF1769">
        <f>VLOOKUP(D1769,especies!$A$2:$C$9,3,FALSE)</f>
        <v>1</v>
      </c>
      <c r="AG1769" t="str">
        <f t="shared" si="82"/>
        <v>1-Poodle</v>
      </c>
      <c r="AH1769">
        <f>VLOOKUP('Fichas clínicas'!AG1769,razas!$A$2:$D$66,3,FALSE)</f>
        <v>6</v>
      </c>
      <c r="AI1769" t="str">
        <f t="shared" si="83"/>
        <v>H</v>
      </c>
    </row>
    <row r="1770" spans="1:35" x14ac:dyDescent="0.2">
      <c r="A1770">
        <v>1772</v>
      </c>
      <c r="B1770" t="s">
        <v>1644</v>
      </c>
      <c r="C1770" t="s">
        <v>3888</v>
      </c>
      <c r="D1770" t="s">
        <v>41</v>
      </c>
      <c r="E1770" t="s">
        <v>42</v>
      </c>
      <c r="F1770" t="s">
        <v>34</v>
      </c>
      <c r="G1770" t="s">
        <v>2726</v>
      </c>
      <c r="J1770" t="s">
        <v>3889</v>
      </c>
      <c r="K1770" t="s">
        <v>38</v>
      </c>
      <c r="L1770" t="s">
        <v>38</v>
      </c>
      <c r="M1770" t="s">
        <v>38</v>
      </c>
      <c r="N1770" t="s">
        <v>38</v>
      </c>
      <c r="O1770" t="s">
        <v>38</v>
      </c>
      <c r="T1770" t="s">
        <v>38</v>
      </c>
      <c r="U1770">
        <v>0</v>
      </c>
      <c r="W1770">
        <v>0</v>
      </c>
      <c r="X1770">
        <v>0</v>
      </c>
      <c r="Y1770">
        <v>0</v>
      </c>
      <c r="AE1770">
        <f t="shared" si="81"/>
        <v>1</v>
      </c>
      <c r="AF1770">
        <f>VLOOKUP(D1770,especies!$A$2:$C$9,3,FALSE)</f>
        <v>2</v>
      </c>
      <c r="AG1770" t="str">
        <f t="shared" si="82"/>
        <v>2-DPC (Doméstico de pelo corto o DSH)</v>
      </c>
      <c r="AH1770">
        <f>VLOOKUP('Fichas clínicas'!AG1770,razas!$A$2:$D$66,3,FALSE)</f>
        <v>51</v>
      </c>
      <c r="AI1770" t="str">
        <f t="shared" si="83"/>
        <v>H</v>
      </c>
    </row>
    <row r="1771" spans="1:35" x14ac:dyDescent="0.2">
      <c r="A1771">
        <v>1773</v>
      </c>
      <c r="B1771" t="s">
        <v>572</v>
      </c>
      <c r="C1771" t="s">
        <v>3890</v>
      </c>
      <c r="D1771" t="s">
        <v>41</v>
      </c>
      <c r="E1771" t="s">
        <v>42</v>
      </c>
      <c r="F1771" t="s">
        <v>47</v>
      </c>
      <c r="G1771" t="s">
        <v>199</v>
      </c>
      <c r="J1771" t="s">
        <v>3891</v>
      </c>
      <c r="K1771" t="s">
        <v>38</v>
      </c>
      <c r="L1771" t="s">
        <v>38</v>
      </c>
      <c r="M1771" t="s">
        <v>38</v>
      </c>
      <c r="N1771" t="s">
        <v>38</v>
      </c>
      <c r="O1771" t="s">
        <v>38</v>
      </c>
      <c r="T1771" t="s">
        <v>38</v>
      </c>
      <c r="U1771">
        <v>0</v>
      </c>
      <c r="W1771">
        <v>0</v>
      </c>
      <c r="X1771">
        <v>0</v>
      </c>
      <c r="Y1771">
        <v>0</v>
      </c>
      <c r="AE1771">
        <f t="shared" si="81"/>
        <v>1</v>
      </c>
      <c r="AF1771">
        <f>VLOOKUP(D1771,especies!$A$2:$C$9,3,FALSE)</f>
        <v>2</v>
      </c>
      <c r="AG1771" t="str">
        <f t="shared" si="82"/>
        <v>2-DPC (Doméstico de pelo corto o DSH)</v>
      </c>
      <c r="AH1771">
        <f>VLOOKUP('Fichas clínicas'!AG1771,razas!$A$2:$D$66,3,FALSE)</f>
        <v>51</v>
      </c>
      <c r="AI1771" t="str">
        <f t="shared" si="83"/>
        <v>M</v>
      </c>
    </row>
    <row r="1772" spans="1:35" x14ac:dyDescent="0.2">
      <c r="A1772">
        <v>1774</v>
      </c>
      <c r="B1772" t="s">
        <v>3041</v>
      </c>
      <c r="C1772" t="s">
        <v>3892</v>
      </c>
      <c r="D1772" t="s">
        <v>32</v>
      </c>
      <c r="E1772" t="s">
        <v>257</v>
      </c>
      <c r="F1772" t="s">
        <v>34</v>
      </c>
      <c r="G1772" t="s">
        <v>3853</v>
      </c>
      <c r="J1772" t="s">
        <v>3893</v>
      </c>
      <c r="K1772" t="s">
        <v>38</v>
      </c>
      <c r="L1772" t="s">
        <v>38</v>
      </c>
      <c r="M1772" t="s">
        <v>38</v>
      </c>
      <c r="N1772" t="s">
        <v>38</v>
      </c>
      <c r="O1772" t="s">
        <v>38</v>
      </c>
      <c r="T1772" t="s">
        <v>38</v>
      </c>
      <c r="U1772">
        <v>0</v>
      </c>
      <c r="W1772">
        <v>0</v>
      </c>
      <c r="X1772">
        <v>0</v>
      </c>
      <c r="Y1772">
        <v>0</v>
      </c>
      <c r="AE1772">
        <f t="shared" si="81"/>
        <v>1</v>
      </c>
      <c r="AF1772">
        <f>VLOOKUP(D1772,especies!$A$2:$C$9,3,FALSE)</f>
        <v>1</v>
      </c>
      <c r="AG1772" t="str">
        <f t="shared" si="82"/>
        <v>1-Terrier Chileno</v>
      </c>
      <c r="AH1772">
        <f>VLOOKUP('Fichas clínicas'!AG1772,razas!$A$2:$D$66,3,FALSE)</f>
        <v>10</v>
      </c>
      <c r="AI1772" t="str">
        <f t="shared" si="83"/>
        <v>H</v>
      </c>
    </row>
    <row r="1773" spans="1:35" x14ac:dyDescent="0.2">
      <c r="A1773">
        <v>1775</v>
      </c>
      <c r="B1773" t="s">
        <v>3894</v>
      </c>
      <c r="C1773" t="s">
        <v>3895</v>
      </c>
      <c r="D1773" t="s">
        <v>32</v>
      </c>
      <c r="E1773" t="s">
        <v>33</v>
      </c>
      <c r="F1773" t="s">
        <v>47</v>
      </c>
      <c r="G1773" t="s">
        <v>199</v>
      </c>
      <c r="J1773" t="s">
        <v>3896</v>
      </c>
      <c r="K1773" t="s">
        <v>38</v>
      </c>
      <c r="L1773" t="s">
        <v>38</v>
      </c>
      <c r="M1773" t="s">
        <v>38</v>
      </c>
      <c r="N1773" t="s">
        <v>38</v>
      </c>
      <c r="O1773" t="s">
        <v>38</v>
      </c>
      <c r="T1773" t="s">
        <v>38</v>
      </c>
      <c r="U1773">
        <v>0</v>
      </c>
      <c r="V1773">
        <v>1</v>
      </c>
      <c r="W1773">
        <v>0</v>
      </c>
      <c r="X1773">
        <v>0</v>
      </c>
      <c r="Y1773">
        <v>0</v>
      </c>
      <c r="AE1773">
        <f t="shared" si="81"/>
        <v>1</v>
      </c>
      <c r="AF1773">
        <f>VLOOKUP(D1773,especies!$A$2:$C$9,3,FALSE)</f>
        <v>1</v>
      </c>
      <c r="AG1773" t="str">
        <f t="shared" si="82"/>
        <v>1-Mestizo</v>
      </c>
      <c r="AH1773">
        <f>VLOOKUP('Fichas clínicas'!AG1773,razas!$A$2:$D$66,3,FALSE)</f>
        <v>1</v>
      </c>
      <c r="AI1773" t="str">
        <f t="shared" si="83"/>
        <v>M</v>
      </c>
    </row>
    <row r="1774" spans="1:35" x14ac:dyDescent="0.2">
      <c r="A1774">
        <v>1776</v>
      </c>
      <c r="B1774" t="s">
        <v>3894</v>
      </c>
      <c r="C1774" t="s">
        <v>3897</v>
      </c>
      <c r="D1774" t="s">
        <v>32</v>
      </c>
      <c r="E1774" t="s">
        <v>33</v>
      </c>
      <c r="F1774" t="s">
        <v>47</v>
      </c>
      <c r="G1774" t="s">
        <v>587</v>
      </c>
      <c r="J1774" t="s">
        <v>1518</v>
      </c>
      <c r="K1774" t="s">
        <v>38</v>
      </c>
      <c r="L1774" t="s">
        <v>38</v>
      </c>
      <c r="M1774" t="s">
        <v>38</v>
      </c>
      <c r="N1774" t="s">
        <v>38</v>
      </c>
      <c r="O1774" t="s">
        <v>38</v>
      </c>
      <c r="T1774" t="s">
        <v>38</v>
      </c>
      <c r="U1774">
        <v>0</v>
      </c>
      <c r="W1774">
        <v>0</v>
      </c>
      <c r="X1774">
        <v>0</v>
      </c>
      <c r="Y1774">
        <v>0</v>
      </c>
      <c r="AE1774">
        <f t="shared" si="81"/>
        <v>1</v>
      </c>
      <c r="AF1774">
        <f>VLOOKUP(D1774,especies!$A$2:$C$9,3,FALSE)</f>
        <v>1</v>
      </c>
      <c r="AG1774" t="str">
        <f t="shared" si="82"/>
        <v>1-Mestizo</v>
      </c>
      <c r="AH1774">
        <f>VLOOKUP('Fichas clínicas'!AG1774,razas!$A$2:$D$66,3,FALSE)</f>
        <v>1</v>
      </c>
      <c r="AI1774" t="str">
        <f t="shared" si="83"/>
        <v>M</v>
      </c>
    </row>
    <row r="1775" spans="1:35" x14ac:dyDescent="0.2">
      <c r="A1775">
        <v>1777</v>
      </c>
      <c r="B1775" t="s">
        <v>3894</v>
      </c>
      <c r="C1775" t="s">
        <v>300</v>
      </c>
      <c r="D1775" t="s">
        <v>32</v>
      </c>
      <c r="E1775" t="s">
        <v>33</v>
      </c>
      <c r="F1775" t="s">
        <v>47</v>
      </c>
      <c r="G1775" t="s">
        <v>587</v>
      </c>
      <c r="J1775" t="s">
        <v>3898</v>
      </c>
      <c r="K1775" t="s">
        <v>38</v>
      </c>
      <c r="L1775" t="s">
        <v>38</v>
      </c>
      <c r="M1775" t="s">
        <v>38</v>
      </c>
      <c r="N1775" t="s">
        <v>38</v>
      </c>
      <c r="O1775" t="s">
        <v>38</v>
      </c>
      <c r="T1775" t="s">
        <v>38</v>
      </c>
      <c r="U1775">
        <v>0</v>
      </c>
      <c r="W1775">
        <v>0</v>
      </c>
      <c r="X1775">
        <v>0</v>
      </c>
      <c r="Y1775">
        <v>0</v>
      </c>
      <c r="AE1775">
        <f t="shared" si="81"/>
        <v>1</v>
      </c>
      <c r="AF1775">
        <f>VLOOKUP(D1775,especies!$A$2:$C$9,3,FALSE)</f>
        <v>1</v>
      </c>
      <c r="AG1775" t="str">
        <f t="shared" si="82"/>
        <v>1-Mestizo</v>
      </c>
      <c r="AH1775">
        <f>VLOOKUP('Fichas clínicas'!AG1775,razas!$A$2:$D$66,3,FALSE)</f>
        <v>1</v>
      </c>
      <c r="AI1775" t="str">
        <f t="shared" si="83"/>
        <v>M</v>
      </c>
    </row>
    <row r="1776" spans="1:35" x14ac:dyDescent="0.2">
      <c r="A1776">
        <v>1778</v>
      </c>
      <c r="B1776" t="s">
        <v>3899</v>
      </c>
      <c r="C1776" t="s">
        <v>1781</v>
      </c>
      <c r="D1776" t="s">
        <v>32</v>
      </c>
      <c r="E1776" t="s">
        <v>33</v>
      </c>
      <c r="F1776" t="s">
        <v>47</v>
      </c>
      <c r="G1776" t="s">
        <v>3900</v>
      </c>
      <c r="J1776" t="s">
        <v>3901</v>
      </c>
      <c r="K1776" t="s">
        <v>38</v>
      </c>
      <c r="L1776" t="s">
        <v>38</v>
      </c>
      <c r="M1776" t="s">
        <v>38</v>
      </c>
      <c r="N1776" t="s">
        <v>38</v>
      </c>
      <c r="O1776" t="s">
        <v>38</v>
      </c>
      <c r="T1776" t="s">
        <v>38</v>
      </c>
      <c r="U1776">
        <v>0</v>
      </c>
      <c r="W1776">
        <v>0</v>
      </c>
      <c r="X1776">
        <v>0</v>
      </c>
      <c r="Y1776">
        <v>0</v>
      </c>
      <c r="AE1776">
        <f t="shared" si="81"/>
        <v>1</v>
      </c>
      <c r="AF1776">
        <f>VLOOKUP(D1776,especies!$A$2:$C$9,3,FALSE)</f>
        <v>1</v>
      </c>
      <c r="AG1776" t="str">
        <f t="shared" si="82"/>
        <v>1-Mestizo</v>
      </c>
      <c r="AH1776">
        <f>VLOOKUP('Fichas clínicas'!AG1776,razas!$A$2:$D$66,3,FALSE)</f>
        <v>1</v>
      </c>
      <c r="AI1776" t="str">
        <f t="shared" si="83"/>
        <v>M</v>
      </c>
    </row>
    <row r="1777" spans="1:35" x14ac:dyDescent="0.2">
      <c r="A1777">
        <v>1779</v>
      </c>
      <c r="B1777" t="s">
        <v>3902</v>
      </c>
      <c r="C1777" t="s">
        <v>1573</v>
      </c>
      <c r="D1777" t="s">
        <v>32</v>
      </c>
      <c r="E1777" t="s">
        <v>33</v>
      </c>
      <c r="F1777" t="s">
        <v>34</v>
      </c>
      <c r="G1777" t="s">
        <v>1054</v>
      </c>
      <c r="J1777" t="s">
        <v>3903</v>
      </c>
      <c r="K1777" t="s">
        <v>38</v>
      </c>
      <c r="L1777" t="s">
        <v>38</v>
      </c>
      <c r="M1777" t="s">
        <v>38</v>
      </c>
      <c r="N1777" t="s">
        <v>38</v>
      </c>
      <c r="O1777" t="s">
        <v>38</v>
      </c>
      <c r="T1777" t="s">
        <v>38</v>
      </c>
      <c r="U1777">
        <v>0</v>
      </c>
      <c r="W1777">
        <v>0</v>
      </c>
      <c r="X1777">
        <v>0</v>
      </c>
      <c r="Y1777">
        <v>0</v>
      </c>
      <c r="AE1777">
        <f t="shared" si="81"/>
        <v>1</v>
      </c>
      <c r="AF1777">
        <f>VLOOKUP(D1777,especies!$A$2:$C$9,3,FALSE)</f>
        <v>1</v>
      </c>
      <c r="AG1777" t="str">
        <f t="shared" si="82"/>
        <v>1-Mestizo</v>
      </c>
      <c r="AH1777">
        <f>VLOOKUP('Fichas clínicas'!AG1777,razas!$A$2:$D$66,3,FALSE)</f>
        <v>1</v>
      </c>
      <c r="AI1777" t="str">
        <f t="shared" si="83"/>
        <v>H</v>
      </c>
    </row>
    <row r="1778" spans="1:35" x14ac:dyDescent="0.2">
      <c r="A1778">
        <v>1780</v>
      </c>
      <c r="B1778" t="s">
        <v>1832</v>
      </c>
      <c r="C1778" t="s">
        <v>3904</v>
      </c>
      <c r="D1778" t="s">
        <v>32</v>
      </c>
      <c r="E1778" t="s">
        <v>33</v>
      </c>
      <c r="F1778" t="s">
        <v>47</v>
      </c>
      <c r="G1778" t="s">
        <v>102</v>
      </c>
      <c r="J1778" t="s">
        <v>3905</v>
      </c>
      <c r="K1778" t="s">
        <v>38</v>
      </c>
      <c r="L1778" t="s">
        <v>38</v>
      </c>
      <c r="M1778" t="s">
        <v>38</v>
      </c>
      <c r="N1778" t="s">
        <v>38</v>
      </c>
      <c r="O1778" t="s">
        <v>38</v>
      </c>
      <c r="Q1778">
        <v>0</v>
      </c>
      <c r="T1778" t="s">
        <v>38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f t="shared" si="81"/>
        <v>1</v>
      </c>
      <c r="AF1778">
        <f>VLOOKUP(D1778,especies!$A$2:$C$9,3,FALSE)</f>
        <v>1</v>
      </c>
      <c r="AG1778" t="str">
        <f t="shared" si="82"/>
        <v>1-Mestizo</v>
      </c>
      <c r="AH1778">
        <f>VLOOKUP('Fichas clínicas'!AG1778,razas!$A$2:$D$66,3,FALSE)</f>
        <v>1</v>
      </c>
      <c r="AI1778" t="str">
        <f t="shared" si="83"/>
        <v>M</v>
      </c>
    </row>
    <row r="1779" spans="1:35" x14ac:dyDescent="0.2">
      <c r="A1779">
        <v>1781</v>
      </c>
      <c r="B1779" t="s">
        <v>3906</v>
      </c>
      <c r="C1779" t="s">
        <v>3907</v>
      </c>
      <c r="D1779" t="s">
        <v>41</v>
      </c>
      <c r="E1779" t="s">
        <v>93</v>
      </c>
      <c r="F1779" t="s">
        <v>34</v>
      </c>
      <c r="G1779" t="s">
        <v>2065</v>
      </c>
      <c r="J1779" t="s">
        <v>3672</v>
      </c>
      <c r="K1779" t="s">
        <v>38</v>
      </c>
      <c r="L1779" t="s">
        <v>38</v>
      </c>
      <c r="M1779" t="s">
        <v>38</v>
      </c>
      <c r="N1779" t="s">
        <v>38</v>
      </c>
      <c r="O1779" t="s">
        <v>38</v>
      </c>
      <c r="T1779" t="s">
        <v>38</v>
      </c>
      <c r="U1779">
        <v>0</v>
      </c>
      <c r="W1779">
        <v>0</v>
      </c>
      <c r="X1779">
        <v>0</v>
      </c>
      <c r="Y1779">
        <v>0</v>
      </c>
      <c r="AE1779">
        <f t="shared" si="81"/>
        <v>1</v>
      </c>
      <c r="AF1779">
        <f>VLOOKUP(D1779,especies!$A$2:$C$9,3,FALSE)</f>
        <v>2</v>
      </c>
      <c r="AG1779" t="str">
        <f t="shared" si="82"/>
        <v>2-DPL (Doméstico de pelo Largo o DLH)</v>
      </c>
      <c r="AH1779">
        <f>VLOOKUP('Fichas clínicas'!AG1779,razas!$A$2:$D$66,3,FALSE)</f>
        <v>52</v>
      </c>
      <c r="AI1779" t="str">
        <f t="shared" si="83"/>
        <v>H</v>
      </c>
    </row>
    <row r="1780" spans="1:35" x14ac:dyDescent="0.2">
      <c r="A1780">
        <v>1782</v>
      </c>
      <c r="B1780" t="s">
        <v>3908</v>
      </c>
      <c r="C1780" t="s">
        <v>1056</v>
      </c>
      <c r="D1780" t="s">
        <v>32</v>
      </c>
      <c r="E1780" t="s">
        <v>33</v>
      </c>
      <c r="F1780" t="s">
        <v>34</v>
      </c>
      <c r="G1780" t="s">
        <v>694</v>
      </c>
      <c r="J1780" t="s">
        <v>3749</v>
      </c>
      <c r="K1780" t="s">
        <v>38</v>
      </c>
      <c r="L1780" t="s">
        <v>38</v>
      </c>
      <c r="M1780" t="s">
        <v>38</v>
      </c>
      <c r="N1780" t="s">
        <v>38</v>
      </c>
      <c r="O1780" t="s">
        <v>38</v>
      </c>
      <c r="T1780" t="s">
        <v>38</v>
      </c>
      <c r="U1780">
        <v>0</v>
      </c>
      <c r="W1780">
        <v>0</v>
      </c>
      <c r="X1780">
        <v>0</v>
      </c>
      <c r="Y1780">
        <v>0</v>
      </c>
      <c r="AE1780">
        <f t="shared" si="81"/>
        <v>1</v>
      </c>
      <c r="AF1780">
        <f>VLOOKUP(D1780,especies!$A$2:$C$9,3,FALSE)</f>
        <v>1</v>
      </c>
      <c r="AG1780" t="str">
        <f t="shared" si="82"/>
        <v>1-Mestizo</v>
      </c>
      <c r="AH1780">
        <f>VLOOKUP('Fichas clínicas'!AG1780,razas!$A$2:$D$66,3,FALSE)</f>
        <v>1</v>
      </c>
      <c r="AI1780" t="str">
        <f t="shared" si="83"/>
        <v>H</v>
      </c>
    </row>
    <row r="1781" spans="1:35" x14ac:dyDescent="0.2">
      <c r="A1781">
        <v>1783</v>
      </c>
      <c r="B1781" t="s">
        <v>3815</v>
      </c>
      <c r="C1781" t="s">
        <v>3909</v>
      </c>
      <c r="D1781" t="s">
        <v>32</v>
      </c>
      <c r="E1781" t="s">
        <v>63</v>
      </c>
      <c r="F1781" t="s">
        <v>34</v>
      </c>
      <c r="G1781" t="s">
        <v>1676</v>
      </c>
      <c r="J1781" t="s">
        <v>3910</v>
      </c>
      <c r="K1781" t="s">
        <v>38</v>
      </c>
      <c r="L1781" t="s">
        <v>38</v>
      </c>
      <c r="M1781" t="s">
        <v>38</v>
      </c>
      <c r="N1781" t="s">
        <v>38</v>
      </c>
      <c r="O1781" t="s">
        <v>38</v>
      </c>
      <c r="T1781" t="s">
        <v>38</v>
      </c>
      <c r="U1781">
        <v>0</v>
      </c>
      <c r="W1781">
        <v>0</v>
      </c>
      <c r="X1781">
        <v>0</v>
      </c>
      <c r="Y1781">
        <v>0</v>
      </c>
      <c r="AE1781">
        <f t="shared" si="81"/>
        <v>1</v>
      </c>
      <c r="AF1781">
        <f>VLOOKUP(D1781,especies!$A$2:$C$9,3,FALSE)</f>
        <v>1</v>
      </c>
      <c r="AG1781" t="str">
        <f t="shared" si="82"/>
        <v>1-Fox Terrier Pelo Corto</v>
      </c>
      <c r="AH1781">
        <f>VLOOKUP('Fichas clínicas'!AG1781,razas!$A$2:$D$66,3,FALSE)</f>
        <v>2</v>
      </c>
      <c r="AI1781" t="str">
        <f t="shared" si="83"/>
        <v>H</v>
      </c>
    </row>
    <row r="1782" spans="1:35" x14ac:dyDescent="0.2">
      <c r="A1782">
        <v>1784</v>
      </c>
      <c r="B1782" t="s">
        <v>3911</v>
      </c>
      <c r="C1782" t="s">
        <v>2189</v>
      </c>
      <c r="D1782" t="s">
        <v>32</v>
      </c>
      <c r="E1782" t="s">
        <v>150</v>
      </c>
      <c r="F1782" t="s">
        <v>47</v>
      </c>
      <c r="G1782" t="s">
        <v>1547</v>
      </c>
      <c r="J1782" t="s">
        <v>3846</v>
      </c>
      <c r="K1782" t="s">
        <v>38</v>
      </c>
      <c r="L1782" t="s">
        <v>38</v>
      </c>
      <c r="M1782" t="s">
        <v>38</v>
      </c>
      <c r="N1782" t="s">
        <v>38</v>
      </c>
      <c r="O1782" t="s">
        <v>38</v>
      </c>
      <c r="Q1782">
        <v>0</v>
      </c>
      <c r="T1782" t="s">
        <v>38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f t="shared" si="81"/>
        <v>1</v>
      </c>
      <c r="AF1782">
        <f>VLOOKUP(D1782,especies!$A$2:$C$9,3,FALSE)</f>
        <v>1</v>
      </c>
      <c r="AG1782" t="str">
        <f t="shared" si="82"/>
        <v>1-Poodle</v>
      </c>
      <c r="AH1782">
        <f>VLOOKUP('Fichas clínicas'!AG1782,razas!$A$2:$D$66,3,FALSE)</f>
        <v>6</v>
      </c>
      <c r="AI1782" t="str">
        <f t="shared" si="83"/>
        <v>M</v>
      </c>
    </row>
    <row r="1783" spans="1:35" x14ac:dyDescent="0.2">
      <c r="A1783">
        <v>1785</v>
      </c>
      <c r="B1783" t="s">
        <v>3912</v>
      </c>
      <c r="C1783" t="s">
        <v>3185</v>
      </c>
      <c r="D1783" t="s">
        <v>41</v>
      </c>
      <c r="E1783" t="s">
        <v>42</v>
      </c>
      <c r="F1783" t="s">
        <v>34</v>
      </c>
      <c r="G1783" t="s">
        <v>825</v>
      </c>
      <c r="J1783" t="s">
        <v>3381</v>
      </c>
      <c r="K1783" t="s">
        <v>38</v>
      </c>
      <c r="L1783" t="s">
        <v>38</v>
      </c>
      <c r="M1783" t="s">
        <v>38</v>
      </c>
      <c r="N1783" t="s">
        <v>38</v>
      </c>
      <c r="O1783" t="s">
        <v>38</v>
      </c>
      <c r="Q1783">
        <v>0</v>
      </c>
      <c r="T1783" t="s">
        <v>38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f t="shared" si="81"/>
        <v>1</v>
      </c>
      <c r="AF1783">
        <f>VLOOKUP(D1783,especies!$A$2:$C$9,3,FALSE)</f>
        <v>2</v>
      </c>
      <c r="AG1783" t="str">
        <f t="shared" si="82"/>
        <v>2-DPC (Doméstico de pelo corto o DSH)</v>
      </c>
      <c r="AH1783">
        <f>VLOOKUP('Fichas clínicas'!AG1783,razas!$A$2:$D$66,3,FALSE)</f>
        <v>51</v>
      </c>
      <c r="AI1783" t="str">
        <f t="shared" si="83"/>
        <v>H</v>
      </c>
    </row>
    <row r="1784" spans="1:35" x14ac:dyDescent="0.2">
      <c r="A1784">
        <v>1786</v>
      </c>
      <c r="B1784" t="s">
        <v>1033</v>
      </c>
      <c r="C1784" t="s">
        <v>2815</v>
      </c>
      <c r="D1784" t="s">
        <v>41</v>
      </c>
      <c r="E1784" t="s">
        <v>42</v>
      </c>
      <c r="F1784" t="s">
        <v>34</v>
      </c>
      <c r="G1784" t="s">
        <v>3913</v>
      </c>
      <c r="J1784" t="s">
        <v>3914</v>
      </c>
      <c r="K1784" t="s">
        <v>38</v>
      </c>
      <c r="L1784" t="s">
        <v>38</v>
      </c>
      <c r="M1784" t="s">
        <v>38</v>
      </c>
      <c r="N1784" t="s">
        <v>38</v>
      </c>
      <c r="O1784" t="s">
        <v>38</v>
      </c>
      <c r="T1784" t="s">
        <v>38</v>
      </c>
      <c r="U1784">
        <v>0</v>
      </c>
      <c r="W1784">
        <v>0</v>
      </c>
      <c r="X1784">
        <v>0</v>
      </c>
      <c r="Y1784">
        <v>0</v>
      </c>
      <c r="AE1784">
        <f t="shared" si="81"/>
        <v>1</v>
      </c>
      <c r="AF1784">
        <f>VLOOKUP(D1784,especies!$A$2:$C$9,3,FALSE)</f>
        <v>2</v>
      </c>
      <c r="AG1784" t="str">
        <f t="shared" si="82"/>
        <v>2-DPC (Doméstico de pelo corto o DSH)</v>
      </c>
      <c r="AH1784">
        <f>VLOOKUP('Fichas clínicas'!AG1784,razas!$A$2:$D$66,3,FALSE)</f>
        <v>51</v>
      </c>
      <c r="AI1784" t="str">
        <f t="shared" si="83"/>
        <v>H</v>
      </c>
    </row>
    <row r="1785" spans="1:35" x14ac:dyDescent="0.2">
      <c r="A1785">
        <v>1787</v>
      </c>
      <c r="B1785" t="s">
        <v>3915</v>
      </c>
      <c r="C1785" t="s">
        <v>3916</v>
      </c>
      <c r="D1785" t="s">
        <v>41</v>
      </c>
      <c r="E1785" t="s">
        <v>42</v>
      </c>
      <c r="F1785" t="s">
        <v>34</v>
      </c>
      <c r="G1785" t="s">
        <v>2797</v>
      </c>
      <c r="J1785" t="s">
        <v>3917</v>
      </c>
      <c r="K1785" t="s">
        <v>38</v>
      </c>
      <c r="L1785" t="s">
        <v>38</v>
      </c>
      <c r="M1785" t="s">
        <v>38</v>
      </c>
      <c r="N1785" t="s">
        <v>38</v>
      </c>
      <c r="O1785" t="s">
        <v>38</v>
      </c>
      <c r="T1785" t="s">
        <v>38</v>
      </c>
      <c r="U1785">
        <v>0</v>
      </c>
      <c r="W1785">
        <v>0</v>
      </c>
      <c r="X1785">
        <v>0</v>
      </c>
      <c r="Y1785">
        <v>0</v>
      </c>
      <c r="AE1785">
        <f t="shared" si="81"/>
        <v>1</v>
      </c>
      <c r="AF1785">
        <f>VLOOKUP(D1785,especies!$A$2:$C$9,3,FALSE)</f>
        <v>2</v>
      </c>
      <c r="AG1785" t="str">
        <f t="shared" si="82"/>
        <v>2-DPC (Doméstico de pelo corto o DSH)</v>
      </c>
      <c r="AH1785">
        <f>VLOOKUP('Fichas clínicas'!AG1785,razas!$A$2:$D$66,3,FALSE)</f>
        <v>51</v>
      </c>
      <c r="AI1785" t="str">
        <f t="shared" si="83"/>
        <v>H</v>
      </c>
    </row>
    <row r="1786" spans="1:35" x14ac:dyDescent="0.2">
      <c r="A1786">
        <v>1788</v>
      </c>
      <c r="B1786" t="s">
        <v>3918</v>
      </c>
      <c r="C1786" t="s">
        <v>3596</v>
      </c>
      <c r="D1786" t="s">
        <v>32</v>
      </c>
      <c r="E1786" t="s">
        <v>143</v>
      </c>
      <c r="F1786" t="s">
        <v>34</v>
      </c>
      <c r="G1786" t="s">
        <v>3919</v>
      </c>
      <c r="J1786" t="s">
        <v>1211</v>
      </c>
      <c r="K1786" t="s">
        <v>38</v>
      </c>
      <c r="L1786" t="s">
        <v>38</v>
      </c>
      <c r="M1786" t="s">
        <v>38</v>
      </c>
      <c r="N1786" t="s">
        <v>38</v>
      </c>
      <c r="O1786" t="s">
        <v>38</v>
      </c>
      <c r="T1786" t="s">
        <v>38</v>
      </c>
      <c r="U1786">
        <v>0</v>
      </c>
      <c r="W1786">
        <v>0</v>
      </c>
      <c r="X1786">
        <v>0</v>
      </c>
      <c r="Y1786">
        <v>0</v>
      </c>
      <c r="AE1786">
        <f t="shared" si="81"/>
        <v>1</v>
      </c>
      <c r="AF1786">
        <f>VLOOKUP(D1786,especies!$A$2:$C$9,3,FALSE)</f>
        <v>1</v>
      </c>
      <c r="AG1786" t="str">
        <f t="shared" si="82"/>
        <v>1-Yorkshire Terrier</v>
      </c>
      <c r="AH1786">
        <f>VLOOKUP('Fichas clínicas'!AG1786,razas!$A$2:$D$66,3,FALSE)</f>
        <v>5</v>
      </c>
      <c r="AI1786" t="str">
        <f t="shared" si="83"/>
        <v>H</v>
      </c>
    </row>
    <row r="1787" spans="1:35" x14ac:dyDescent="0.2">
      <c r="A1787">
        <v>1789</v>
      </c>
      <c r="B1787" t="s">
        <v>3920</v>
      </c>
      <c r="C1787" t="s">
        <v>3921</v>
      </c>
      <c r="D1787" t="s">
        <v>32</v>
      </c>
      <c r="E1787" t="s">
        <v>33</v>
      </c>
      <c r="F1787" t="s">
        <v>47</v>
      </c>
      <c r="G1787" t="s">
        <v>2088</v>
      </c>
      <c r="H1787">
        <v>900223000269666</v>
      </c>
      <c r="J1787" t="s">
        <v>3662</v>
      </c>
      <c r="K1787" t="s">
        <v>38</v>
      </c>
      <c r="L1787" t="s">
        <v>38</v>
      </c>
      <c r="M1787" t="s">
        <v>38</v>
      </c>
      <c r="N1787" t="s">
        <v>38</v>
      </c>
      <c r="O1787" t="s">
        <v>38</v>
      </c>
      <c r="Q1787">
        <v>0</v>
      </c>
      <c r="T1787" t="s">
        <v>38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f t="shared" si="81"/>
        <v>1</v>
      </c>
      <c r="AF1787">
        <f>VLOOKUP(D1787,especies!$A$2:$C$9,3,FALSE)</f>
        <v>1</v>
      </c>
      <c r="AG1787" t="str">
        <f t="shared" si="82"/>
        <v>1-Mestizo</v>
      </c>
      <c r="AH1787">
        <f>VLOOKUP('Fichas clínicas'!AG1787,razas!$A$2:$D$66,3,FALSE)</f>
        <v>1</v>
      </c>
      <c r="AI1787" t="str">
        <f t="shared" si="83"/>
        <v>M</v>
      </c>
    </row>
    <row r="1788" spans="1:35" x14ac:dyDescent="0.2">
      <c r="A1788">
        <v>1790</v>
      </c>
      <c r="B1788" t="s">
        <v>3922</v>
      </c>
      <c r="C1788" t="s">
        <v>3923</v>
      </c>
      <c r="D1788" t="s">
        <v>32</v>
      </c>
      <c r="E1788" t="s">
        <v>33</v>
      </c>
      <c r="F1788" t="s">
        <v>47</v>
      </c>
      <c r="G1788" t="s">
        <v>560</v>
      </c>
      <c r="J1788" t="s">
        <v>3812</v>
      </c>
      <c r="K1788" t="s">
        <v>38</v>
      </c>
      <c r="L1788" t="s">
        <v>38</v>
      </c>
      <c r="M1788" t="s">
        <v>38</v>
      </c>
      <c r="N1788" t="s">
        <v>38</v>
      </c>
      <c r="O1788" t="s">
        <v>38</v>
      </c>
      <c r="T1788" t="s">
        <v>38</v>
      </c>
      <c r="U1788">
        <v>0</v>
      </c>
      <c r="W1788">
        <v>0</v>
      </c>
      <c r="X1788">
        <v>0</v>
      </c>
      <c r="Y1788">
        <v>0</v>
      </c>
      <c r="AE1788">
        <f t="shared" si="81"/>
        <v>1</v>
      </c>
      <c r="AF1788">
        <f>VLOOKUP(D1788,especies!$A$2:$C$9,3,FALSE)</f>
        <v>1</v>
      </c>
      <c r="AG1788" t="str">
        <f t="shared" si="82"/>
        <v>1-Mestizo</v>
      </c>
      <c r="AH1788">
        <f>VLOOKUP('Fichas clínicas'!AG1788,razas!$A$2:$D$66,3,FALSE)</f>
        <v>1</v>
      </c>
      <c r="AI1788" t="str">
        <f t="shared" si="83"/>
        <v>M</v>
      </c>
    </row>
    <row r="1789" spans="1:35" x14ac:dyDescent="0.2">
      <c r="A1789">
        <v>1791</v>
      </c>
      <c r="B1789" t="s">
        <v>3924</v>
      </c>
      <c r="C1789" t="s">
        <v>3925</v>
      </c>
      <c r="D1789" t="s">
        <v>32</v>
      </c>
      <c r="E1789" t="s">
        <v>33</v>
      </c>
      <c r="F1789" t="s">
        <v>47</v>
      </c>
      <c r="G1789" t="s">
        <v>587</v>
      </c>
      <c r="J1789" t="s">
        <v>741</v>
      </c>
      <c r="K1789" t="s">
        <v>38</v>
      </c>
      <c r="L1789" t="s">
        <v>38</v>
      </c>
      <c r="M1789" t="s">
        <v>38</v>
      </c>
      <c r="N1789" t="s">
        <v>38</v>
      </c>
      <c r="O1789" t="s">
        <v>38</v>
      </c>
      <c r="T1789" t="s">
        <v>38</v>
      </c>
      <c r="U1789">
        <v>0</v>
      </c>
      <c r="W1789">
        <v>0</v>
      </c>
      <c r="X1789">
        <v>0</v>
      </c>
      <c r="Y1789">
        <v>0</v>
      </c>
      <c r="AE1789">
        <f t="shared" si="81"/>
        <v>1</v>
      </c>
      <c r="AF1789">
        <f>VLOOKUP(D1789,especies!$A$2:$C$9,3,FALSE)</f>
        <v>1</v>
      </c>
      <c r="AG1789" t="str">
        <f t="shared" si="82"/>
        <v>1-Mestizo</v>
      </c>
      <c r="AH1789">
        <f>VLOOKUP('Fichas clínicas'!AG1789,razas!$A$2:$D$66,3,FALSE)</f>
        <v>1</v>
      </c>
      <c r="AI1789" t="str">
        <f t="shared" si="83"/>
        <v>M</v>
      </c>
    </row>
    <row r="1790" spans="1:35" x14ac:dyDescent="0.2">
      <c r="A1790">
        <v>1792</v>
      </c>
      <c r="B1790" t="s">
        <v>3926</v>
      </c>
      <c r="C1790" t="s">
        <v>3927</v>
      </c>
      <c r="D1790" t="s">
        <v>32</v>
      </c>
      <c r="E1790" t="s">
        <v>33</v>
      </c>
      <c r="F1790" t="s">
        <v>34</v>
      </c>
      <c r="G1790" t="s">
        <v>68</v>
      </c>
      <c r="J1790" t="s">
        <v>3928</v>
      </c>
      <c r="K1790" t="s">
        <v>38</v>
      </c>
      <c r="L1790" t="s">
        <v>38</v>
      </c>
      <c r="M1790" t="s">
        <v>38</v>
      </c>
      <c r="N1790" t="s">
        <v>38</v>
      </c>
      <c r="O1790" t="s">
        <v>38</v>
      </c>
      <c r="T1790" t="s">
        <v>38</v>
      </c>
      <c r="U1790">
        <v>0</v>
      </c>
      <c r="V1790">
        <v>1</v>
      </c>
      <c r="W1790">
        <v>0</v>
      </c>
      <c r="X1790">
        <v>0</v>
      </c>
      <c r="Y1790">
        <v>0</v>
      </c>
      <c r="AE1790">
        <f t="shared" si="81"/>
        <v>1</v>
      </c>
      <c r="AF1790">
        <f>VLOOKUP(D1790,especies!$A$2:$C$9,3,FALSE)</f>
        <v>1</v>
      </c>
      <c r="AG1790" t="str">
        <f t="shared" si="82"/>
        <v>1-Mestizo</v>
      </c>
      <c r="AH1790">
        <f>VLOOKUP('Fichas clínicas'!AG1790,razas!$A$2:$D$66,3,FALSE)</f>
        <v>1</v>
      </c>
      <c r="AI1790" t="str">
        <f t="shared" si="83"/>
        <v>H</v>
      </c>
    </row>
    <row r="1791" spans="1:35" x14ac:dyDescent="0.2">
      <c r="A1791">
        <v>1793</v>
      </c>
      <c r="B1791" t="s">
        <v>3929</v>
      </c>
      <c r="C1791" t="s">
        <v>3930</v>
      </c>
      <c r="D1791" t="s">
        <v>32</v>
      </c>
      <c r="E1791" t="s">
        <v>33</v>
      </c>
      <c r="F1791" t="s">
        <v>47</v>
      </c>
      <c r="G1791" t="s">
        <v>560</v>
      </c>
      <c r="J1791" t="s">
        <v>3917</v>
      </c>
      <c r="K1791" t="s">
        <v>38</v>
      </c>
      <c r="L1791" t="s">
        <v>38</v>
      </c>
      <c r="M1791" t="s">
        <v>38</v>
      </c>
      <c r="N1791" t="s">
        <v>38</v>
      </c>
      <c r="O1791" t="s">
        <v>38</v>
      </c>
      <c r="T1791" t="s">
        <v>38</v>
      </c>
      <c r="U1791">
        <v>0</v>
      </c>
      <c r="W1791">
        <v>0</v>
      </c>
      <c r="X1791">
        <v>0</v>
      </c>
      <c r="Y1791">
        <v>0</v>
      </c>
      <c r="AE1791">
        <f t="shared" si="81"/>
        <v>1</v>
      </c>
      <c r="AF1791">
        <f>VLOOKUP(D1791,especies!$A$2:$C$9,3,FALSE)</f>
        <v>1</v>
      </c>
      <c r="AG1791" t="str">
        <f t="shared" si="82"/>
        <v>1-Mestizo</v>
      </c>
      <c r="AH1791">
        <f>VLOOKUP('Fichas clínicas'!AG1791,razas!$A$2:$D$66,3,FALSE)</f>
        <v>1</v>
      </c>
      <c r="AI1791" t="str">
        <f t="shared" si="83"/>
        <v>M</v>
      </c>
    </row>
    <row r="1792" spans="1:35" x14ac:dyDescent="0.2">
      <c r="A1792">
        <v>1794</v>
      </c>
      <c r="B1792" t="s">
        <v>3929</v>
      </c>
      <c r="C1792" t="s">
        <v>3851</v>
      </c>
      <c r="D1792" t="s">
        <v>32</v>
      </c>
      <c r="E1792" t="s">
        <v>33</v>
      </c>
      <c r="F1792" t="s">
        <v>47</v>
      </c>
      <c r="G1792" t="s">
        <v>560</v>
      </c>
      <c r="J1792" t="s">
        <v>3917</v>
      </c>
      <c r="K1792" t="s">
        <v>38</v>
      </c>
      <c r="L1792" t="s">
        <v>38</v>
      </c>
      <c r="M1792" t="s">
        <v>38</v>
      </c>
      <c r="N1792" t="s">
        <v>38</v>
      </c>
      <c r="O1792" t="s">
        <v>38</v>
      </c>
      <c r="T1792" t="s">
        <v>38</v>
      </c>
      <c r="U1792">
        <v>0</v>
      </c>
      <c r="W1792">
        <v>0</v>
      </c>
      <c r="X1792">
        <v>0</v>
      </c>
      <c r="Y1792">
        <v>0</v>
      </c>
      <c r="AE1792">
        <f t="shared" si="81"/>
        <v>1</v>
      </c>
      <c r="AF1792">
        <f>VLOOKUP(D1792,especies!$A$2:$C$9,3,FALSE)</f>
        <v>1</v>
      </c>
      <c r="AG1792" t="str">
        <f t="shared" si="82"/>
        <v>1-Mestizo</v>
      </c>
      <c r="AH1792">
        <f>VLOOKUP('Fichas clínicas'!AG1792,razas!$A$2:$D$66,3,FALSE)</f>
        <v>1</v>
      </c>
      <c r="AI1792" t="str">
        <f t="shared" si="83"/>
        <v>M</v>
      </c>
    </row>
    <row r="1793" spans="1:35" x14ac:dyDescent="0.2">
      <c r="A1793">
        <v>1795</v>
      </c>
      <c r="B1793" t="s">
        <v>3931</v>
      </c>
      <c r="C1793" t="s">
        <v>3932</v>
      </c>
      <c r="D1793" t="s">
        <v>32</v>
      </c>
      <c r="E1793" t="s">
        <v>33</v>
      </c>
      <c r="F1793" t="s">
        <v>34</v>
      </c>
      <c r="G1793" t="s">
        <v>351</v>
      </c>
      <c r="J1793" t="s">
        <v>3933</v>
      </c>
      <c r="K1793" t="s">
        <v>38</v>
      </c>
      <c r="L1793" t="s">
        <v>38</v>
      </c>
      <c r="M1793" t="s">
        <v>38</v>
      </c>
      <c r="N1793" t="s">
        <v>38</v>
      </c>
      <c r="O1793" t="s">
        <v>38</v>
      </c>
      <c r="T1793" t="s">
        <v>38</v>
      </c>
      <c r="U1793">
        <v>0</v>
      </c>
      <c r="W1793">
        <v>0</v>
      </c>
      <c r="X1793">
        <v>0</v>
      </c>
      <c r="Y1793">
        <v>0</v>
      </c>
      <c r="AE1793">
        <f t="shared" si="81"/>
        <v>1</v>
      </c>
      <c r="AF1793">
        <f>VLOOKUP(D1793,especies!$A$2:$C$9,3,FALSE)</f>
        <v>1</v>
      </c>
      <c r="AG1793" t="str">
        <f t="shared" si="82"/>
        <v>1-Mestizo</v>
      </c>
      <c r="AH1793">
        <f>VLOOKUP('Fichas clínicas'!AG1793,razas!$A$2:$D$66,3,FALSE)</f>
        <v>1</v>
      </c>
      <c r="AI1793" t="str">
        <f t="shared" si="83"/>
        <v>H</v>
      </c>
    </row>
    <row r="1794" spans="1:35" x14ac:dyDescent="0.2">
      <c r="A1794">
        <v>1796</v>
      </c>
      <c r="B1794" t="s">
        <v>3838</v>
      </c>
      <c r="C1794" t="s">
        <v>3934</v>
      </c>
      <c r="D1794" t="s">
        <v>32</v>
      </c>
      <c r="E1794" t="s">
        <v>33</v>
      </c>
      <c r="F1794" t="s">
        <v>34</v>
      </c>
      <c r="G1794" t="s">
        <v>1054</v>
      </c>
      <c r="J1794" t="s">
        <v>3840</v>
      </c>
      <c r="K1794" t="s">
        <v>38</v>
      </c>
      <c r="L1794" t="s">
        <v>38</v>
      </c>
      <c r="M1794" t="s">
        <v>38</v>
      </c>
      <c r="N1794" t="s">
        <v>38</v>
      </c>
      <c r="O1794" t="s">
        <v>38</v>
      </c>
      <c r="T1794" t="s">
        <v>38</v>
      </c>
      <c r="U1794">
        <v>0</v>
      </c>
      <c r="W1794">
        <v>0</v>
      </c>
      <c r="X1794">
        <v>0</v>
      </c>
      <c r="Y1794">
        <v>0</v>
      </c>
      <c r="AE1794">
        <f t="shared" si="81"/>
        <v>1</v>
      </c>
      <c r="AF1794">
        <f>VLOOKUP(D1794,especies!$A$2:$C$9,3,FALSE)</f>
        <v>1</v>
      </c>
      <c r="AG1794" t="str">
        <f t="shared" si="82"/>
        <v>1-Mestizo</v>
      </c>
      <c r="AH1794">
        <f>VLOOKUP('Fichas clínicas'!AG1794,razas!$A$2:$D$66,3,FALSE)</f>
        <v>1</v>
      </c>
      <c r="AI1794" t="str">
        <f t="shared" si="83"/>
        <v>H</v>
      </c>
    </row>
    <row r="1795" spans="1:35" x14ac:dyDescent="0.2">
      <c r="A1795">
        <v>1797</v>
      </c>
      <c r="B1795" t="s">
        <v>3935</v>
      </c>
      <c r="C1795" t="s">
        <v>2189</v>
      </c>
      <c r="D1795" t="s">
        <v>32</v>
      </c>
      <c r="E1795" t="s">
        <v>150</v>
      </c>
      <c r="F1795" t="s">
        <v>47</v>
      </c>
      <c r="G1795" t="s">
        <v>102</v>
      </c>
      <c r="J1795" t="s">
        <v>3936</v>
      </c>
      <c r="K1795" t="s">
        <v>38</v>
      </c>
      <c r="L1795" t="s">
        <v>38</v>
      </c>
      <c r="M1795" t="s">
        <v>38</v>
      </c>
      <c r="N1795" t="s">
        <v>38</v>
      </c>
      <c r="O1795" t="s">
        <v>38</v>
      </c>
      <c r="T1795" t="s">
        <v>38</v>
      </c>
      <c r="U1795">
        <v>0</v>
      </c>
      <c r="W1795">
        <v>0</v>
      </c>
      <c r="X1795">
        <v>0</v>
      </c>
      <c r="Y1795">
        <v>0</v>
      </c>
      <c r="AE1795">
        <f t="shared" ref="AE1795:AE1858" si="84">SUBTOTAL(103,E1795)</f>
        <v>1</v>
      </c>
      <c r="AF1795">
        <f>VLOOKUP(D1795,especies!$A$2:$C$9,3,FALSE)</f>
        <v>1</v>
      </c>
      <c r="AG1795" t="str">
        <f t="shared" ref="AG1795:AG1858" si="85">AF1795&amp;"-"&amp;E1795</f>
        <v>1-Poodle</v>
      </c>
      <c r="AH1795">
        <f>VLOOKUP('Fichas clínicas'!AG1795,razas!$A$2:$D$66,3,FALSE)</f>
        <v>6</v>
      </c>
      <c r="AI1795" t="str">
        <f t="shared" ref="AI1795:AI1858" si="86">IF(F1795="Hembra","H","M")</f>
        <v>M</v>
      </c>
    </row>
    <row r="1796" spans="1:35" x14ac:dyDescent="0.2">
      <c r="A1796">
        <v>1798</v>
      </c>
      <c r="B1796" t="s">
        <v>3937</v>
      </c>
      <c r="C1796" t="s">
        <v>3938</v>
      </c>
      <c r="D1796" t="s">
        <v>32</v>
      </c>
      <c r="E1796" t="s">
        <v>150</v>
      </c>
      <c r="F1796" t="s">
        <v>47</v>
      </c>
      <c r="G1796" t="s">
        <v>102</v>
      </c>
      <c r="J1796" t="s">
        <v>3803</v>
      </c>
      <c r="K1796" t="s">
        <v>38</v>
      </c>
      <c r="L1796" t="s">
        <v>38</v>
      </c>
      <c r="M1796" t="s">
        <v>38</v>
      </c>
      <c r="N1796" t="s">
        <v>38</v>
      </c>
      <c r="O1796" t="s">
        <v>38</v>
      </c>
      <c r="T1796" t="s">
        <v>38</v>
      </c>
      <c r="U1796">
        <v>0</v>
      </c>
      <c r="W1796">
        <v>0</v>
      </c>
      <c r="X1796">
        <v>0</v>
      </c>
      <c r="Y1796">
        <v>0</v>
      </c>
      <c r="AE1796">
        <f t="shared" si="84"/>
        <v>1</v>
      </c>
      <c r="AF1796">
        <f>VLOOKUP(D1796,especies!$A$2:$C$9,3,FALSE)</f>
        <v>1</v>
      </c>
      <c r="AG1796" t="str">
        <f t="shared" si="85"/>
        <v>1-Poodle</v>
      </c>
      <c r="AH1796">
        <f>VLOOKUP('Fichas clínicas'!AG1796,razas!$A$2:$D$66,3,FALSE)</f>
        <v>6</v>
      </c>
      <c r="AI1796" t="str">
        <f t="shared" si="86"/>
        <v>M</v>
      </c>
    </row>
    <row r="1797" spans="1:35" x14ac:dyDescent="0.2">
      <c r="A1797">
        <v>1799</v>
      </c>
      <c r="B1797" t="s">
        <v>3939</v>
      </c>
      <c r="C1797" t="s">
        <v>3940</v>
      </c>
      <c r="D1797" t="s">
        <v>32</v>
      </c>
      <c r="E1797" t="s">
        <v>160</v>
      </c>
      <c r="F1797" t="s">
        <v>47</v>
      </c>
      <c r="G1797" t="s">
        <v>3941</v>
      </c>
      <c r="J1797" t="s">
        <v>3942</v>
      </c>
      <c r="K1797" t="s">
        <v>38</v>
      </c>
      <c r="L1797" t="s">
        <v>38</v>
      </c>
      <c r="M1797" t="s">
        <v>38</v>
      </c>
      <c r="N1797" t="s">
        <v>38</v>
      </c>
      <c r="O1797" t="s">
        <v>38</v>
      </c>
      <c r="T1797" t="s">
        <v>38</v>
      </c>
      <c r="U1797">
        <v>0</v>
      </c>
      <c r="W1797">
        <v>0</v>
      </c>
      <c r="X1797">
        <v>0</v>
      </c>
      <c r="Y1797">
        <v>0</v>
      </c>
      <c r="AE1797">
        <f t="shared" si="84"/>
        <v>1</v>
      </c>
      <c r="AF1797">
        <f>VLOOKUP(D1797,especies!$A$2:$C$9,3,FALSE)</f>
        <v>1</v>
      </c>
      <c r="AG1797" t="str">
        <f t="shared" si="85"/>
        <v>1-Shih Tzu</v>
      </c>
      <c r="AH1797">
        <f>VLOOKUP('Fichas clínicas'!AG1797,razas!$A$2:$D$66,3,FALSE)</f>
        <v>7</v>
      </c>
      <c r="AI1797" t="str">
        <f t="shared" si="86"/>
        <v>M</v>
      </c>
    </row>
    <row r="1798" spans="1:35" x14ac:dyDescent="0.2">
      <c r="A1798">
        <v>1800</v>
      </c>
      <c r="B1798" t="s">
        <v>3943</v>
      </c>
      <c r="C1798" t="s">
        <v>1781</v>
      </c>
      <c r="D1798" t="s">
        <v>32</v>
      </c>
      <c r="E1798" t="s">
        <v>2375</v>
      </c>
      <c r="F1798" t="s">
        <v>47</v>
      </c>
      <c r="G1798" t="s">
        <v>3944</v>
      </c>
      <c r="J1798" t="s">
        <v>3945</v>
      </c>
      <c r="K1798" t="s">
        <v>38</v>
      </c>
      <c r="L1798" t="s">
        <v>38</v>
      </c>
      <c r="M1798" t="s">
        <v>38</v>
      </c>
      <c r="N1798" t="s">
        <v>38</v>
      </c>
      <c r="O1798" t="s">
        <v>38</v>
      </c>
      <c r="T1798" t="s">
        <v>38</v>
      </c>
      <c r="U1798">
        <v>0</v>
      </c>
      <c r="W1798">
        <v>0</v>
      </c>
      <c r="X1798">
        <v>0</v>
      </c>
      <c r="Y1798">
        <v>0</v>
      </c>
      <c r="AE1798">
        <f t="shared" si="84"/>
        <v>1</v>
      </c>
      <c r="AF1798">
        <f>VLOOKUP(D1798,especies!$A$2:$C$9,3,FALSE)</f>
        <v>1</v>
      </c>
      <c r="AG1798" t="str">
        <f t="shared" si="85"/>
        <v>1-Border Collie</v>
      </c>
      <c r="AH1798">
        <f>VLOOKUP('Fichas clínicas'!AG1798,razas!$A$2:$D$66,3,FALSE)</f>
        <v>39</v>
      </c>
      <c r="AI1798" t="str">
        <f t="shared" si="86"/>
        <v>M</v>
      </c>
    </row>
    <row r="1799" spans="1:35" x14ac:dyDescent="0.2">
      <c r="A1799">
        <v>1801</v>
      </c>
      <c r="B1799" t="s">
        <v>3946</v>
      </c>
      <c r="C1799" t="s">
        <v>3947</v>
      </c>
      <c r="D1799" t="s">
        <v>41</v>
      </c>
      <c r="E1799" t="s">
        <v>42</v>
      </c>
      <c r="F1799" t="s">
        <v>47</v>
      </c>
      <c r="G1799" t="s">
        <v>199</v>
      </c>
      <c r="J1799" t="s">
        <v>3948</v>
      </c>
      <c r="K1799" t="s">
        <v>38</v>
      </c>
      <c r="L1799" t="s">
        <v>38</v>
      </c>
      <c r="M1799" t="s">
        <v>38</v>
      </c>
      <c r="N1799" t="s">
        <v>38</v>
      </c>
      <c r="O1799" t="s">
        <v>38</v>
      </c>
      <c r="T1799" t="s">
        <v>38</v>
      </c>
      <c r="U1799">
        <v>0</v>
      </c>
      <c r="W1799">
        <v>0</v>
      </c>
      <c r="X1799">
        <v>0</v>
      </c>
      <c r="Y1799">
        <v>0</v>
      </c>
      <c r="AE1799">
        <f t="shared" si="84"/>
        <v>1</v>
      </c>
      <c r="AF1799">
        <f>VLOOKUP(D1799,especies!$A$2:$C$9,3,FALSE)</f>
        <v>2</v>
      </c>
      <c r="AG1799" t="str">
        <f t="shared" si="85"/>
        <v>2-DPC (Doméstico de pelo corto o DSH)</v>
      </c>
      <c r="AH1799">
        <f>VLOOKUP('Fichas clínicas'!AG1799,razas!$A$2:$D$66,3,FALSE)</f>
        <v>51</v>
      </c>
      <c r="AI1799" t="str">
        <f t="shared" si="86"/>
        <v>M</v>
      </c>
    </row>
    <row r="1800" spans="1:35" x14ac:dyDescent="0.2">
      <c r="A1800">
        <v>1802</v>
      </c>
      <c r="B1800" t="s">
        <v>3949</v>
      </c>
      <c r="C1800" t="s">
        <v>3950</v>
      </c>
      <c r="D1800" t="s">
        <v>32</v>
      </c>
      <c r="E1800" t="s">
        <v>150</v>
      </c>
      <c r="F1800" t="s">
        <v>34</v>
      </c>
      <c r="G1800" t="s">
        <v>102</v>
      </c>
      <c r="J1800" t="s">
        <v>3803</v>
      </c>
      <c r="K1800" t="s">
        <v>38</v>
      </c>
      <c r="L1800" t="s">
        <v>38</v>
      </c>
      <c r="M1800" t="s">
        <v>38</v>
      </c>
      <c r="N1800" t="s">
        <v>38</v>
      </c>
      <c r="O1800" t="s">
        <v>38</v>
      </c>
      <c r="T1800" t="s">
        <v>38</v>
      </c>
      <c r="U1800">
        <v>0</v>
      </c>
      <c r="W1800">
        <v>0</v>
      </c>
      <c r="X1800">
        <v>0</v>
      </c>
      <c r="Y1800">
        <v>0</v>
      </c>
      <c r="AE1800">
        <f t="shared" si="84"/>
        <v>1</v>
      </c>
      <c r="AF1800">
        <f>VLOOKUP(D1800,especies!$A$2:$C$9,3,FALSE)</f>
        <v>1</v>
      </c>
      <c r="AG1800" t="str">
        <f t="shared" si="85"/>
        <v>1-Poodle</v>
      </c>
      <c r="AH1800">
        <f>VLOOKUP('Fichas clínicas'!AG1800,razas!$A$2:$D$66,3,FALSE)</f>
        <v>6</v>
      </c>
      <c r="AI1800" t="str">
        <f t="shared" si="86"/>
        <v>H</v>
      </c>
    </row>
    <row r="1801" spans="1:35" x14ac:dyDescent="0.2">
      <c r="A1801">
        <v>1803</v>
      </c>
      <c r="B1801" t="s">
        <v>282</v>
      </c>
      <c r="C1801" t="s">
        <v>3951</v>
      </c>
      <c r="D1801" t="s">
        <v>41</v>
      </c>
      <c r="E1801" t="s">
        <v>42</v>
      </c>
      <c r="F1801" t="s">
        <v>47</v>
      </c>
      <c r="G1801" t="s">
        <v>2726</v>
      </c>
      <c r="J1801" t="s">
        <v>3952</v>
      </c>
      <c r="K1801" t="s">
        <v>38</v>
      </c>
      <c r="L1801" t="s">
        <v>38</v>
      </c>
      <c r="M1801" t="s">
        <v>38</v>
      </c>
      <c r="N1801" t="s">
        <v>38</v>
      </c>
      <c r="O1801" t="s">
        <v>38</v>
      </c>
      <c r="Q1801">
        <v>1</v>
      </c>
      <c r="T1801" t="s">
        <v>38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f t="shared" si="84"/>
        <v>1</v>
      </c>
      <c r="AF1801">
        <f>VLOOKUP(D1801,especies!$A$2:$C$9,3,FALSE)</f>
        <v>2</v>
      </c>
      <c r="AG1801" t="str">
        <f t="shared" si="85"/>
        <v>2-DPC (Doméstico de pelo corto o DSH)</v>
      </c>
      <c r="AH1801">
        <f>VLOOKUP('Fichas clínicas'!AG1801,razas!$A$2:$D$66,3,FALSE)</f>
        <v>51</v>
      </c>
      <c r="AI1801" t="str">
        <f t="shared" si="86"/>
        <v>M</v>
      </c>
    </row>
    <row r="1802" spans="1:35" x14ac:dyDescent="0.2">
      <c r="A1802">
        <v>1804</v>
      </c>
      <c r="B1802" t="s">
        <v>3614</v>
      </c>
      <c r="C1802" t="s">
        <v>3953</v>
      </c>
      <c r="D1802" t="s">
        <v>32</v>
      </c>
      <c r="E1802" t="s">
        <v>33</v>
      </c>
      <c r="F1802" t="s">
        <v>47</v>
      </c>
      <c r="G1802" t="s">
        <v>587</v>
      </c>
      <c r="J1802" t="s">
        <v>2251</v>
      </c>
      <c r="K1802" t="s">
        <v>38</v>
      </c>
      <c r="L1802" t="s">
        <v>38</v>
      </c>
      <c r="M1802" t="s">
        <v>38</v>
      </c>
      <c r="N1802" t="s">
        <v>38</v>
      </c>
      <c r="O1802" t="s">
        <v>38</v>
      </c>
      <c r="T1802" t="s">
        <v>38</v>
      </c>
      <c r="U1802">
        <v>0</v>
      </c>
      <c r="V1802">
        <v>1</v>
      </c>
      <c r="W1802">
        <v>0</v>
      </c>
      <c r="X1802">
        <v>0</v>
      </c>
      <c r="Y1802">
        <v>0</v>
      </c>
      <c r="AE1802">
        <f t="shared" si="84"/>
        <v>1</v>
      </c>
      <c r="AF1802">
        <f>VLOOKUP(D1802,especies!$A$2:$C$9,3,FALSE)</f>
        <v>1</v>
      </c>
      <c r="AG1802" t="str">
        <f t="shared" si="85"/>
        <v>1-Mestizo</v>
      </c>
      <c r="AH1802">
        <f>VLOOKUP('Fichas clínicas'!AG1802,razas!$A$2:$D$66,3,FALSE)</f>
        <v>1</v>
      </c>
      <c r="AI1802" t="str">
        <f t="shared" si="86"/>
        <v>M</v>
      </c>
    </row>
    <row r="1803" spans="1:35" x14ac:dyDescent="0.2">
      <c r="A1803">
        <v>1805</v>
      </c>
      <c r="B1803" t="s">
        <v>3954</v>
      </c>
      <c r="C1803" t="s">
        <v>3955</v>
      </c>
      <c r="D1803" t="s">
        <v>41</v>
      </c>
      <c r="E1803" t="s">
        <v>42</v>
      </c>
      <c r="F1803" t="s">
        <v>47</v>
      </c>
      <c r="G1803" t="s">
        <v>1007</v>
      </c>
      <c r="J1803" t="s">
        <v>3651</v>
      </c>
      <c r="K1803" t="s">
        <v>38</v>
      </c>
      <c r="L1803" t="s">
        <v>38</v>
      </c>
      <c r="M1803" t="s">
        <v>38</v>
      </c>
      <c r="N1803" t="s">
        <v>38</v>
      </c>
      <c r="O1803" t="s">
        <v>38</v>
      </c>
      <c r="T1803" t="s">
        <v>38</v>
      </c>
      <c r="U1803">
        <v>0</v>
      </c>
      <c r="V1803">
        <v>1</v>
      </c>
      <c r="W1803">
        <v>0</v>
      </c>
      <c r="X1803">
        <v>0</v>
      </c>
      <c r="Y1803">
        <v>0</v>
      </c>
      <c r="AE1803">
        <f t="shared" si="84"/>
        <v>1</v>
      </c>
      <c r="AF1803">
        <f>VLOOKUP(D1803,especies!$A$2:$C$9,3,FALSE)</f>
        <v>2</v>
      </c>
      <c r="AG1803" t="str">
        <f t="shared" si="85"/>
        <v>2-DPC (Doméstico de pelo corto o DSH)</v>
      </c>
      <c r="AH1803">
        <f>VLOOKUP('Fichas clínicas'!AG1803,razas!$A$2:$D$66,3,FALSE)</f>
        <v>51</v>
      </c>
      <c r="AI1803" t="str">
        <f t="shared" si="86"/>
        <v>M</v>
      </c>
    </row>
    <row r="1804" spans="1:35" x14ac:dyDescent="0.2">
      <c r="A1804">
        <v>1806</v>
      </c>
      <c r="B1804" t="s">
        <v>3956</v>
      </c>
      <c r="C1804" t="s">
        <v>3957</v>
      </c>
      <c r="D1804" t="s">
        <v>32</v>
      </c>
      <c r="E1804" t="s">
        <v>33</v>
      </c>
      <c r="F1804" t="s">
        <v>34</v>
      </c>
      <c r="G1804" t="s">
        <v>199</v>
      </c>
      <c r="J1804" t="s">
        <v>3559</v>
      </c>
      <c r="K1804" t="s">
        <v>38</v>
      </c>
      <c r="L1804" t="s">
        <v>38</v>
      </c>
      <c r="M1804" t="s">
        <v>38</v>
      </c>
      <c r="N1804" t="s">
        <v>38</v>
      </c>
      <c r="O1804" t="s">
        <v>38</v>
      </c>
      <c r="T1804" t="s">
        <v>38</v>
      </c>
      <c r="U1804">
        <v>0</v>
      </c>
      <c r="W1804">
        <v>0</v>
      </c>
      <c r="X1804">
        <v>0</v>
      </c>
      <c r="Y1804">
        <v>0</v>
      </c>
      <c r="AE1804">
        <f t="shared" si="84"/>
        <v>1</v>
      </c>
      <c r="AF1804">
        <f>VLOOKUP(D1804,especies!$A$2:$C$9,3,FALSE)</f>
        <v>1</v>
      </c>
      <c r="AG1804" t="str">
        <f t="shared" si="85"/>
        <v>1-Mestizo</v>
      </c>
      <c r="AH1804">
        <f>VLOOKUP('Fichas clínicas'!AG1804,razas!$A$2:$D$66,3,FALSE)</f>
        <v>1</v>
      </c>
      <c r="AI1804" t="str">
        <f t="shared" si="86"/>
        <v>H</v>
      </c>
    </row>
    <row r="1805" spans="1:35" x14ac:dyDescent="0.2">
      <c r="A1805">
        <v>1807</v>
      </c>
      <c r="B1805" t="s">
        <v>3958</v>
      </c>
      <c r="C1805" t="s">
        <v>3959</v>
      </c>
      <c r="D1805" t="s">
        <v>32</v>
      </c>
      <c r="E1805" t="s">
        <v>33</v>
      </c>
      <c r="F1805" t="s">
        <v>47</v>
      </c>
      <c r="G1805" t="s">
        <v>1054</v>
      </c>
      <c r="J1805" t="s">
        <v>3000</v>
      </c>
      <c r="K1805" t="s">
        <v>38</v>
      </c>
      <c r="L1805" t="s">
        <v>38</v>
      </c>
      <c r="M1805" t="s">
        <v>38</v>
      </c>
      <c r="N1805" t="s">
        <v>38</v>
      </c>
      <c r="O1805" t="s">
        <v>38</v>
      </c>
      <c r="T1805" t="s">
        <v>38</v>
      </c>
      <c r="U1805">
        <v>0</v>
      </c>
      <c r="V1805">
        <v>1</v>
      </c>
      <c r="W1805">
        <v>0</v>
      </c>
      <c r="X1805">
        <v>0</v>
      </c>
      <c r="Y1805">
        <v>0</v>
      </c>
      <c r="AE1805">
        <f t="shared" si="84"/>
        <v>1</v>
      </c>
      <c r="AF1805">
        <f>VLOOKUP(D1805,especies!$A$2:$C$9,3,FALSE)</f>
        <v>1</v>
      </c>
      <c r="AG1805" t="str">
        <f t="shared" si="85"/>
        <v>1-Mestizo</v>
      </c>
      <c r="AH1805">
        <f>VLOOKUP('Fichas clínicas'!AG1805,razas!$A$2:$D$66,3,FALSE)</f>
        <v>1</v>
      </c>
      <c r="AI1805" t="str">
        <f t="shared" si="86"/>
        <v>M</v>
      </c>
    </row>
    <row r="1806" spans="1:35" x14ac:dyDescent="0.2">
      <c r="A1806">
        <v>1808</v>
      </c>
      <c r="B1806" t="s">
        <v>3960</v>
      </c>
      <c r="C1806" t="s">
        <v>3951</v>
      </c>
      <c r="D1806" t="s">
        <v>41</v>
      </c>
      <c r="E1806" t="s">
        <v>42</v>
      </c>
      <c r="F1806" t="s">
        <v>34</v>
      </c>
      <c r="G1806" t="s">
        <v>3397</v>
      </c>
      <c r="J1806" t="s">
        <v>3961</v>
      </c>
      <c r="K1806" t="s">
        <v>38</v>
      </c>
      <c r="L1806" t="s">
        <v>3962</v>
      </c>
      <c r="M1806" t="s">
        <v>38</v>
      </c>
      <c r="N1806" t="s">
        <v>38</v>
      </c>
      <c r="O1806" t="s">
        <v>38</v>
      </c>
      <c r="Q1806">
        <v>0</v>
      </c>
      <c r="T1806" t="s">
        <v>38</v>
      </c>
      <c r="U1806">
        <v>0</v>
      </c>
      <c r="V1806">
        <v>0</v>
      </c>
      <c r="W1806">
        <v>0</v>
      </c>
      <c r="X1806">
        <v>0</v>
      </c>
      <c r="Y1806">
        <v>7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f t="shared" si="84"/>
        <v>1</v>
      </c>
      <c r="AF1806">
        <f>VLOOKUP(D1806,especies!$A$2:$C$9,3,FALSE)</f>
        <v>2</v>
      </c>
      <c r="AG1806" t="str">
        <f t="shared" si="85"/>
        <v>2-DPC (Doméstico de pelo corto o DSH)</v>
      </c>
      <c r="AH1806">
        <f>VLOOKUP('Fichas clínicas'!AG1806,razas!$A$2:$D$66,3,FALSE)</f>
        <v>51</v>
      </c>
      <c r="AI1806" t="str">
        <f t="shared" si="86"/>
        <v>H</v>
      </c>
    </row>
    <row r="1807" spans="1:35" x14ac:dyDescent="0.2">
      <c r="A1807">
        <v>1809</v>
      </c>
      <c r="B1807" t="s">
        <v>3963</v>
      </c>
      <c r="C1807" t="s">
        <v>1584</v>
      </c>
      <c r="D1807" t="s">
        <v>32</v>
      </c>
      <c r="E1807" t="s">
        <v>33</v>
      </c>
      <c r="F1807" t="s">
        <v>47</v>
      </c>
      <c r="G1807" t="s">
        <v>3913</v>
      </c>
      <c r="J1807" t="s">
        <v>3964</v>
      </c>
      <c r="K1807" t="s">
        <v>38</v>
      </c>
      <c r="L1807" t="s">
        <v>38</v>
      </c>
      <c r="M1807" t="s">
        <v>38</v>
      </c>
      <c r="N1807" t="s">
        <v>38</v>
      </c>
      <c r="O1807" t="s">
        <v>38</v>
      </c>
      <c r="Q1807">
        <v>0</v>
      </c>
      <c r="T1807" t="s">
        <v>38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f t="shared" si="84"/>
        <v>1</v>
      </c>
      <c r="AF1807">
        <f>VLOOKUP(D1807,especies!$A$2:$C$9,3,FALSE)</f>
        <v>1</v>
      </c>
      <c r="AG1807" t="str">
        <f t="shared" si="85"/>
        <v>1-Mestizo</v>
      </c>
      <c r="AH1807">
        <f>VLOOKUP('Fichas clínicas'!AG1807,razas!$A$2:$D$66,3,FALSE)</f>
        <v>1</v>
      </c>
      <c r="AI1807" t="str">
        <f t="shared" si="86"/>
        <v>M</v>
      </c>
    </row>
    <row r="1808" spans="1:35" x14ac:dyDescent="0.2">
      <c r="A1808">
        <v>1810</v>
      </c>
      <c r="B1808" t="s">
        <v>3963</v>
      </c>
      <c r="C1808" t="s">
        <v>2331</v>
      </c>
      <c r="D1808" t="s">
        <v>32</v>
      </c>
      <c r="E1808" t="s">
        <v>33</v>
      </c>
      <c r="F1808" t="s">
        <v>34</v>
      </c>
      <c r="G1808" t="s">
        <v>560</v>
      </c>
      <c r="J1808" t="s">
        <v>3965</v>
      </c>
      <c r="K1808" t="s">
        <v>38</v>
      </c>
      <c r="L1808" t="s">
        <v>38</v>
      </c>
      <c r="M1808" t="s">
        <v>38</v>
      </c>
      <c r="N1808" t="s">
        <v>38</v>
      </c>
      <c r="O1808" t="s">
        <v>38</v>
      </c>
      <c r="T1808" t="s">
        <v>38</v>
      </c>
      <c r="U1808">
        <v>0</v>
      </c>
      <c r="V1808">
        <v>1</v>
      </c>
      <c r="W1808">
        <v>0</v>
      </c>
      <c r="X1808">
        <v>0</v>
      </c>
      <c r="Y1808">
        <v>0</v>
      </c>
      <c r="AE1808">
        <f t="shared" si="84"/>
        <v>1</v>
      </c>
      <c r="AF1808">
        <f>VLOOKUP(D1808,especies!$A$2:$C$9,3,FALSE)</f>
        <v>1</v>
      </c>
      <c r="AG1808" t="str">
        <f t="shared" si="85"/>
        <v>1-Mestizo</v>
      </c>
      <c r="AH1808">
        <f>VLOOKUP('Fichas clínicas'!AG1808,razas!$A$2:$D$66,3,FALSE)</f>
        <v>1</v>
      </c>
      <c r="AI1808" t="str">
        <f t="shared" si="86"/>
        <v>H</v>
      </c>
    </row>
    <row r="1809" spans="1:35" x14ac:dyDescent="0.2">
      <c r="A1809">
        <v>1811</v>
      </c>
      <c r="B1809" t="s">
        <v>3966</v>
      </c>
      <c r="C1809" t="s">
        <v>2167</v>
      </c>
      <c r="D1809" t="s">
        <v>41</v>
      </c>
      <c r="E1809" t="s">
        <v>42</v>
      </c>
      <c r="F1809" t="s">
        <v>47</v>
      </c>
      <c r="G1809" t="s">
        <v>566</v>
      </c>
      <c r="J1809" t="s">
        <v>2973</v>
      </c>
      <c r="K1809" t="s">
        <v>38</v>
      </c>
      <c r="L1809" t="s">
        <v>38</v>
      </c>
      <c r="M1809" t="s">
        <v>38</v>
      </c>
      <c r="N1809" t="s">
        <v>38</v>
      </c>
      <c r="O1809" t="s">
        <v>38</v>
      </c>
      <c r="T1809" t="s">
        <v>38</v>
      </c>
      <c r="U1809">
        <v>0</v>
      </c>
      <c r="W1809">
        <v>0</v>
      </c>
      <c r="X1809">
        <v>0</v>
      </c>
      <c r="Y1809">
        <v>0</v>
      </c>
      <c r="AE1809">
        <f t="shared" si="84"/>
        <v>1</v>
      </c>
      <c r="AF1809">
        <f>VLOOKUP(D1809,especies!$A$2:$C$9,3,FALSE)</f>
        <v>2</v>
      </c>
      <c r="AG1809" t="str">
        <f t="shared" si="85"/>
        <v>2-DPC (Doméstico de pelo corto o DSH)</v>
      </c>
      <c r="AH1809">
        <f>VLOOKUP('Fichas clínicas'!AG1809,razas!$A$2:$D$66,3,FALSE)</f>
        <v>51</v>
      </c>
      <c r="AI1809" t="str">
        <f t="shared" si="86"/>
        <v>M</v>
      </c>
    </row>
    <row r="1810" spans="1:35" x14ac:dyDescent="0.2">
      <c r="A1810">
        <v>1812</v>
      </c>
      <c r="B1810" t="s">
        <v>3815</v>
      </c>
      <c r="C1810" t="s">
        <v>3556</v>
      </c>
      <c r="D1810" t="s">
        <v>32</v>
      </c>
      <c r="E1810" t="s">
        <v>812</v>
      </c>
      <c r="F1810" t="s">
        <v>47</v>
      </c>
      <c r="G1810" t="s">
        <v>3967</v>
      </c>
      <c r="J1810" t="s">
        <v>2809</v>
      </c>
      <c r="K1810" t="s">
        <v>38</v>
      </c>
      <c r="L1810" t="s">
        <v>38</v>
      </c>
      <c r="M1810" t="s">
        <v>38</v>
      </c>
      <c r="N1810" t="s">
        <v>38</v>
      </c>
      <c r="O1810" t="s">
        <v>38</v>
      </c>
      <c r="Q1810">
        <v>0</v>
      </c>
      <c r="T1810" t="s">
        <v>38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f t="shared" si="84"/>
        <v>1</v>
      </c>
      <c r="AF1810">
        <f>VLOOKUP(D1810,especies!$A$2:$C$9,3,FALSE)</f>
        <v>1</v>
      </c>
      <c r="AG1810" t="str">
        <f t="shared" si="85"/>
        <v>1-Fox Terrier de Pelo Duro</v>
      </c>
      <c r="AH1810">
        <f>VLOOKUP('Fichas clínicas'!AG1810,razas!$A$2:$D$66,3,FALSE)</f>
        <v>18</v>
      </c>
      <c r="AI1810" t="str">
        <f t="shared" si="86"/>
        <v>M</v>
      </c>
    </row>
    <row r="1811" spans="1:35" x14ac:dyDescent="0.2">
      <c r="A1811">
        <v>1813</v>
      </c>
      <c r="B1811" t="s">
        <v>3968</v>
      </c>
      <c r="C1811" t="s">
        <v>3969</v>
      </c>
      <c r="D1811" t="s">
        <v>32</v>
      </c>
      <c r="E1811" t="s">
        <v>33</v>
      </c>
      <c r="F1811" t="s">
        <v>47</v>
      </c>
      <c r="G1811" t="s">
        <v>560</v>
      </c>
      <c r="J1811" t="s">
        <v>3970</v>
      </c>
      <c r="K1811" t="s">
        <v>38</v>
      </c>
      <c r="L1811" t="s">
        <v>38</v>
      </c>
      <c r="M1811" t="s">
        <v>38</v>
      </c>
      <c r="N1811" t="s">
        <v>38</v>
      </c>
      <c r="O1811" t="s">
        <v>38</v>
      </c>
      <c r="T1811" t="s">
        <v>38</v>
      </c>
      <c r="U1811">
        <v>0</v>
      </c>
      <c r="W1811">
        <v>0</v>
      </c>
      <c r="X1811">
        <v>0</v>
      </c>
      <c r="Y1811">
        <v>0</v>
      </c>
      <c r="AE1811">
        <f t="shared" si="84"/>
        <v>1</v>
      </c>
      <c r="AF1811">
        <f>VLOOKUP(D1811,especies!$A$2:$C$9,3,FALSE)</f>
        <v>1</v>
      </c>
      <c r="AG1811" t="str">
        <f t="shared" si="85"/>
        <v>1-Mestizo</v>
      </c>
      <c r="AH1811">
        <f>VLOOKUP('Fichas clínicas'!AG1811,razas!$A$2:$D$66,3,FALSE)</f>
        <v>1</v>
      </c>
      <c r="AI1811" t="str">
        <f t="shared" si="86"/>
        <v>M</v>
      </c>
    </row>
    <row r="1812" spans="1:35" x14ac:dyDescent="0.2">
      <c r="A1812">
        <v>1814</v>
      </c>
      <c r="B1812" t="s">
        <v>3971</v>
      </c>
      <c r="C1812" t="s">
        <v>3972</v>
      </c>
      <c r="D1812" t="s">
        <v>41</v>
      </c>
      <c r="E1812" t="s">
        <v>42</v>
      </c>
      <c r="F1812" t="s">
        <v>47</v>
      </c>
      <c r="G1812" t="s">
        <v>199</v>
      </c>
      <c r="J1812" t="s">
        <v>48</v>
      </c>
      <c r="K1812" t="s">
        <v>38</v>
      </c>
      <c r="L1812" t="s">
        <v>38</v>
      </c>
      <c r="M1812" t="s">
        <v>38</v>
      </c>
      <c r="N1812" t="s">
        <v>38</v>
      </c>
      <c r="O1812" t="s">
        <v>38</v>
      </c>
      <c r="T1812" t="s">
        <v>38</v>
      </c>
      <c r="U1812">
        <v>0</v>
      </c>
      <c r="V1812">
        <v>1</v>
      </c>
      <c r="W1812">
        <v>0</v>
      </c>
      <c r="X1812">
        <v>0</v>
      </c>
      <c r="Y1812">
        <v>0</v>
      </c>
      <c r="AE1812">
        <f t="shared" si="84"/>
        <v>1</v>
      </c>
      <c r="AF1812">
        <f>VLOOKUP(D1812,especies!$A$2:$C$9,3,FALSE)</f>
        <v>2</v>
      </c>
      <c r="AG1812" t="str">
        <f t="shared" si="85"/>
        <v>2-DPC (Doméstico de pelo corto o DSH)</v>
      </c>
      <c r="AH1812">
        <f>VLOOKUP('Fichas clínicas'!AG1812,razas!$A$2:$D$66,3,FALSE)</f>
        <v>51</v>
      </c>
      <c r="AI1812" t="str">
        <f t="shared" si="86"/>
        <v>M</v>
      </c>
    </row>
    <row r="1813" spans="1:35" x14ac:dyDescent="0.2">
      <c r="A1813">
        <v>1815</v>
      </c>
      <c r="B1813" t="s">
        <v>3973</v>
      </c>
      <c r="C1813" t="s">
        <v>3974</v>
      </c>
      <c r="D1813" t="s">
        <v>32</v>
      </c>
      <c r="E1813" t="s">
        <v>150</v>
      </c>
      <c r="F1813" t="s">
        <v>47</v>
      </c>
      <c r="G1813" t="s">
        <v>102</v>
      </c>
      <c r="J1813" t="s">
        <v>3975</v>
      </c>
      <c r="K1813" t="s">
        <v>38</v>
      </c>
      <c r="L1813" t="s">
        <v>38</v>
      </c>
      <c r="M1813" t="s">
        <v>38</v>
      </c>
      <c r="N1813" t="s">
        <v>38</v>
      </c>
      <c r="O1813" t="s">
        <v>38</v>
      </c>
      <c r="T1813" t="s">
        <v>38</v>
      </c>
      <c r="U1813">
        <v>0</v>
      </c>
      <c r="V1813">
        <v>1</v>
      </c>
      <c r="W1813">
        <v>0</v>
      </c>
      <c r="X1813">
        <v>0</v>
      </c>
      <c r="Y1813">
        <v>0</v>
      </c>
      <c r="AE1813">
        <f t="shared" si="84"/>
        <v>1</v>
      </c>
      <c r="AF1813">
        <f>VLOOKUP(D1813,especies!$A$2:$C$9,3,FALSE)</f>
        <v>1</v>
      </c>
      <c r="AG1813" t="str">
        <f t="shared" si="85"/>
        <v>1-Poodle</v>
      </c>
      <c r="AH1813">
        <f>VLOOKUP('Fichas clínicas'!AG1813,razas!$A$2:$D$66,3,FALSE)</f>
        <v>6</v>
      </c>
      <c r="AI1813" t="str">
        <f t="shared" si="86"/>
        <v>M</v>
      </c>
    </row>
    <row r="1814" spans="1:35" x14ac:dyDescent="0.2">
      <c r="A1814">
        <v>1816</v>
      </c>
      <c r="B1814" t="s">
        <v>3976</v>
      </c>
      <c r="C1814" t="s">
        <v>3249</v>
      </c>
      <c r="D1814" t="s">
        <v>32</v>
      </c>
      <c r="E1814" t="s">
        <v>3977</v>
      </c>
      <c r="F1814" t="s">
        <v>47</v>
      </c>
      <c r="G1814" t="s">
        <v>3853</v>
      </c>
      <c r="J1814" t="s">
        <v>3978</v>
      </c>
      <c r="K1814" t="s">
        <v>38</v>
      </c>
      <c r="L1814" t="s">
        <v>38</v>
      </c>
      <c r="M1814" t="s">
        <v>38</v>
      </c>
      <c r="N1814" t="s">
        <v>38</v>
      </c>
      <c r="O1814" t="s">
        <v>38</v>
      </c>
      <c r="T1814" t="s">
        <v>38</v>
      </c>
      <c r="U1814">
        <v>0</v>
      </c>
      <c r="V1814">
        <v>1</v>
      </c>
      <c r="W1814">
        <v>0</v>
      </c>
      <c r="X1814">
        <v>0</v>
      </c>
      <c r="Y1814">
        <v>0</v>
      </c>
      <c r="AE1814">
        <f t="shared" si="84"/>
        <v>1</v>
      </c>
      <c r="AF1814">
        <f>VLOOKUP(D1814,especies!$A$2:$C$9,3,FALSE)</f>
        <v>1</v>
      </c>
      <c r="AG1814" t="str">
        <f t="shared" si="85"/>
        <v>1-Braco de Ariege</v>
      </c>
      <c r="AH1814">
        <f>VLOOKUP('Fichas clínicas'!AG1814,razas!$A$2:$D$66,3,FALSE)</f>
        <v>47</v>
      </c>
      <c r="AI1814" t="str">
        <f t="shared" si="86"/>
        <v>M</v>
      </c>
    </row>
    <row r="1815" spans="1:35" x14ac:dyDescent="0.2">
      <c r="A1815">
        <v>1817</v>
      </c>
      <c r="B1815" t="s">
        <v>3979</v>
      </c>
      <c r="C1815" t="s">
        <v>3980</v>
      </c>
      <c r="D1815" t="s">
        <v>32</v>
      </c>
      <c r="E1815" t="s">
        <v>33</v>
      </c>
      <c r="F1815" t="s">
        <v>34</v>
      </c>
      <c r="G1815" t="s">
        <v>3842</v>
      </c>
      <c r="J1815" t="s">
        <v>3981</v>
      </c>
      <c r="K1815" t="s">
        <v>38</v>
      </c>
      <c r="L1815" t="s">
        <v>38</v>
      </c>
      <c r="M1815" t="s">
        <v>38</v>
      </c>
      <c r="N1815" t="s">
        <v>38</v>
      </c>
      <c r="O1815" t="s">
        <v>38</v>
      </c>
      <c r="T1815" t="s">
        <v>38</v>
      </c>
      <c r="U1815">
        <v>0</v>
      </c>
      <c r="V1815">
        <v>1</v>
      </c>
      <c r="W1815">
        <v>0</v>
      </c>
      <c r="X1815">
        <v>0</v>
      </c>
      <c r="Y1815">
        <v>0</v>
      </c>
      <c r="AE1815">
        <f t="shared" si="84"/>
        <v>1</v>
      </c>
      <c r="AF1815">
        <f>VLOOKUP(D1815,especies!$A$2:$C$9,3,FALSE)</f>
        <v>1</v>
      </c>
      <c r="AG1815" t="str">
        <f t="shared" si="85"/>
        <v>1-Mestizo</v>
      </c>
      <c r="AH1815">
        <f>VLOOKUP('Fichas clínicas'!AG1815,razas!$A$2:$D$66,3,FALSE)</f>
        <v>1</v>
      </c>
      <c r="AI1815" t="str">
        <f t="shared" si="86"/>
        <v>H</v>
      </c>
    </row>
    <row r="1816" spans="1:35" x14ac:dyDescent="0.2">
      <c r="A1816">
        <v>1818</v>
      </c>
      <c r="B1816" t="s">
        <v>3982</v>
      </c>
      <c r="C1816" t="s">
        <v>3983</v>
      </c>
      <c r="D1816" t="s">
        <v>32</v>
      </c>
      <c r="E1816" t="s">
        <v>33</v>
      </c>
      <c r="F1816" t="s">
        <v>47</v>
      </c>
      <c r="G1816" t="s">
        <v>3842</v>
      </c>
      <c r="J1816" t="s">
        <v>3984</v>
      </c>
      <c r="K1816" t="s">
        <v>38</v>
      </c>
      <c r="L1816" t="s">
        <v>38</v>
      </c>
      <c r="M1816" t="s">
        <v>38</v>
      </c>
      <c r="N1816" t="s">
        <v>38</v>
      </c>
      <c r="O1816" t="s">
        <v>38</v>
      </c>
      <c r="Q1816">
        <v>0</v>
      </c>
      <c r="T1816" t="s">
        <v>38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f t="shared" si="84"/>
        <v>1</v>
      </c>
      <c r="AF1816">
        <f>VLOOKUP(D1816,especies!$A$2:$C$9,3,FALSE)</f>
        <v>1</v>
      </c>
      <c r="AG1816" t="str">
        <f t="shared" si="85"/>
        <v>1-Mestizo</v>
      </c>
      <c r="AH1816">
        <f>VLOOKUP('Fichas clínicas'!AG1816,razas!$A$2:$D$66,3,FALSE)</f>
        <v>1</v>
      </c>
      <c r="AI1816" t="str">
        <f t="shared" si="86"/>
        <v>M</v>
      </c>
    </row>
    <row r="1817" spans="1:35" x14ac:dyDescent="0.2">
      <c r="A1817">
        <v>1819</v>
      </c>
      <c r="B1817" t="s">
        <v>3985</v>
      </c>
      <c r="C1817" t="s">
        <v>3467</v>
      </c>
      <c r="D1817" t="s">
        <v>41</v>
      </c>
      <c r="E1817" t="s">
        <v>42</v>
      </c>
      <c r="F1817" t="s">
        <v>47</v>
      </c>
      <c r="G1817" t="s">
        <v>3986</v>
      </c>
      <c r="J1817" t="s">
        <v>3987</v>
      </c>
      <c r="K1817" t="s">
        <v>38</v>
      </c>
      <c r="L1817" t="s">
        <v>38</v>
      </c>
      <c r="M1817" t="s">
        <v>38</v>
      </c>
      <c r="N1817" t="s">
        <v>38</v>
      </c>
      <c r="O1817" t="s">
        <v>38</v>
      </c>
      <c r="Q1817">
        <v>0</v>
      </c>
      <c r="T1817" t="s">
        <v>38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f t="shared" si="84"/>
        <v>1</v>
      </c>
      <c r="AF1817">
        <f>VLOOKUP(D1817,especies!$A$2:$C$9,3,FALSE)</f>
        <v>2</v>
      </c>
      <c r="AG1817" t="str">
        <f t="shared" si="85"/>
        <v>2-DPC (Doméstico de pelo corto o DSH)</v>
      </c>
      <c r="AH1817">
        <f>VLOOKUP('Fichas clínicas'!AG1817,razas!$A$2:$D$66,3,FALSE)</f>
        <v>51</v>
      </c>
      <c r="AI1817" t="str">
        <f t="shared" si="86"/>
        <v>M</v>
      </c>
    </row>
    <row r="1818" spans="1:35" x14ac:dyDescent="0.2">
      <c r="A1818">
        <v>1820</v>
      </c>
      <c r="B1818" t="s">
        <v>888</v>
      </c>
      <c r="C1818" t="s">
        <v>1619</v>
      </c>
      <c r="D1818" t="s">
        <v>32</v>
      </c>
      <c r="E1818" t="s">
        <v>508</v>
      </c>
      <c r="F1818" t="s">
        <v>34</v>
      </c>
      <c r="G1818" t="s">
        <v>1928</v>
      </c>
      <c r="J1818" t="s">
        <v>3988</v>
      </c>
      <c r="K1818" t="s">
        <v>38</v>
      </c>
      <c r="L1818" t="s">
        <v>38</v>
      </c>
      <c r="M1818" t="s">
        <v>38</v>
      </c>
      <c r="N1818" t="s">
        <v>38</v>
      </c>
      <c r="O1818" t="s">
        <v>38</v>
      </c>
      <c r="T1818" t="s">
        <v>38</v>
      </c>
      <c r="U1818">
        <v>0</v>
      </c>
      <c r="W1818">
        <v>0</v>
      </c>
      <c r="X1818">
        <v>0</v>
      </c>
      <c r="Y1818">
        <v>0</v>
      </c>
      <c r="AE1818">
        <f t="shared" si="84"/>
        <v>1</v>
      </c>
      <c r="AF1818">
        <f>VLOOKUP(D1818,especies!$A$2:$C$9,3,FALSE)</f>
        <v>1</v>
      </c>
      <c r="AG1818" t="str">
        <f t="shared" si="85"/>
        <v>1-Akita Americano</v>
      </c>
      <c r="AH1818">
        <f>VLOOKUP('Fichas clínicas'!AG1818,razas!$A$2:$D$66,3,FALSE)</f>
        <v>15</v>
      </c>
      <c r="AI1818" t="str">
        <f t="shared" si="86"/>
        <v>H</v>
      </c>
    </row>
    <row r="1819" spans="1:35" x14ac:dyDescent="0.2">
      <c r="A1819">
        <v>1821</v>
      </c>
      <c r="B1819" t="s">
        <v>2989</v>
      </c>
      <c r="C1819" t="s">
        <v>3989</v>
      </c>
      <c r="D1819" t="s">
        <v>41</v>
      </c>
      <c r="E1819" t="s">
        <v>42</v>
      </c>
      <c r="F1819" t="s">
        <v>34</v>
      </c>
      <c r="G1819" t="s">
        <v>2851</v>
      </c>
      <c r="J1819" t="s">
        <v>3990</v>
      </c>
      <c r="K1819" t="s">
        <v>38</v>
      </c>
      <c r="L1819" t="s">
        <v>38</v>
      </c>
      <c r="M1819" t="s">
        <v>38</v>
      </c>
      <c r="N1819" t="s">
        <v>38</v>
      </c>
      <c r="O1819" t="s">
        <v>38</v>
      </c>
      <c r="Q1819">
        <v>0</v>
      </c>
      <c r="T1819" t="s">
        <v>38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f t="shared" si="84"/>
        <v>1</v>
      </c>
      <c r="AF1819">
        <f>VLOOKUP(D1819,especies!$A$2:$C$9,3,FALSE)</f>
        <v>2</v>
      </c>
      <c r="AG1819" t="str">
        <f t="shared" si="85"/>
        <v>2-DPC (Doméstico de pelo corto o DSH)</v>
      </c>
      <c r="AH1819">
        <f>VLOOKUP('Fichas clínicas'!AG1819,razas!$A$2:$D$66,3,FALSE)</f>
        <v>51</v>
      </c>
      <c r="AI1819" t="str">
        <f t="shared" si="86"/>
        <v>H</v>
      </c>
    </row>
    <row r="1820" spans="1:35" x14ac:dyDescent="0.2">
      <c r="A1820">
        <v>1822</v>
      </c>
      <c r="B1820" t="s">
        <v>3991</v>
      </c>
      <c r="C1820" t="s">
        <v>3992</v>
      </c>
      <c r="D1820" t="s">
        <v>32</v>
      </c>
      <c r="E1820" t="s">
        <v>143</v>
      </c>
      <c r="F1820" t="s">
        <v>47</v>
      </c>
      <c r="G1820" t="s">
        <v>1543</v>
      </c>
      <c r="J1820" t="s">
        <v>304</v>
      </c>
      <c r="K1820" t="s">
        <v>38</v>
      </c>
      <c r="L1820" t="s">
        <v>38</v>
      </c>
      <c r="M1820" t="s">
        <v>38</v>
      </c>
      <c r="N1820" t="s">
        <v>38</v>
      </c>
      <c r="O1820" t="s">
        <v>38</v>
      </c>
      <c r="T1820" t="s">
        <v>38</v>
      </c>
      <c r="U1820">
        <v>0</v>
      </c>
      <c r="W1820">
        <v>0</v>
      </c>
      <c r="X1820">
        <v>0</v>
      </c>
      <c r="Y1820">
        <v>0</v>
      </c>
      <c r="AE1820">
        <f t="shared" si="84"/>
        <v>1</v>
      </c>
      <c r="AF1820">
        <f>VLOOKUP(D1820,especies!$A$2:$C$9,3,FALSE)</f>
        <v>1</v>
      </c>
      <c r="AG1820" t="str">
        <f t="shared" si="85"/>
        <v>1-Yorkshire Terrier</v>
      </c>
      <c r="AH1820">
        <f>VLOOKUP('Fichas clínicas'!AG1820,razas!$A$2:$D$66,3,FALSE)</f>
        <v>5</v>
      </c>
      <c r="AI1820" t="str">
        <f t="shared" si="86"/>
        <v>M</v>
      </c>
    </row>
    <row r="1821" spans="1:35" x14ac:dyDescent="0.2">
      <c r="A1821">
        <v>1823</v>
      </c>
      <c r="B1821" t="s">
        <v>2525</v>
      </c>
      <c r="C1821" t="s">
        <v>378</v>
      </c>
      <c r="D1821" t="s">
        <v>41</v>
      </c>
      <c r="E1821" t="s">
        <v>93</v>
      </c>
      <c r="F1821" t="s">
        <v>34</v>
      </c>
      <c r="G1821" t="s">
        <v>300</v>
      </c>
      <c r="J1821" t="s">
        <v>3993</v>
      </c>
      <c r="K1821" t="s">
        <v>38</v>
      </c>
      <c r="L1821" t="s">
        <v>38</v>
      </c>
      <c r="M1821" t="s">
        <v>38</v>
      </c>
      <c r="N1821" t="s">
        <v>38</v>
      </c>
      <c r="O1821" t="s">
        <v>38</v>
      </c>
      <c r="Q1821">
        <v>0</v>
      </c>
      <c r="T1821" t="s">
        <v>38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f t="shared" si="84"/>
        <v>1</v>
      </c>
      <c r="AF1821">
        <f>VLOOKUP(D1821,especies!$A$2:$C$9,3,FALSE)</f>
        <v>2</v>
      </c>
      <c r="AG1821" t="str">
        <f t="shared" si="85"/>
        <v>2-DPL (Doméstico de pelo Largo o DLH)</v>
      </c>
      <c r="AH1821">
        <f>VLOOKUP('Fichas clínicas'!AG1821,razas!$A$2:$D$66,3,FALSE)</f>
        <v>52</v>
      </c>
      <c r="AI1821" t="str">
        <f t="shared" si="86"/>
        <v>H</v>
      </c>
    </row>
    <row r="1822" spans="1:35" x14ac:dyDescent="0.2">
      <c r="A1822">
        <v>1824</v>
      </c>
      <c r="B1822" t="s">
        <v>642</v>
      </c>
      <c r="C1822" t="s">
        <v>3994</v>
      </c>
      <c r="D1822" t="s">
        <v>41</v>
      </c>
      <c r="E1822" t="s">
        <v>42</v>
      </c>
      <c r="F1822" t="s">
        <v>47</v>
      </c>
      <c r="G1822" t="s">
        <v>1543</v>
      </c>
      <c r="J1822" t="s">
        <v>3674</v>
      </c>
      <c r="K1822" t="s">
        <v>38</v>
      </c>
      <c r="L1822" t="s">
        <v>38</v>
      </c>
      <c r="M1822" t="s">
        <v>38</v>
      </c>
      <c r="N1822" t="s">
        <v>38</v>
      </c>
      <c r="O1822" t="s">
        <v>38</v>
      </c>
      <c r="T1822" t="s">
        <v>38</v>
      </c>
      <c r="U1822">
        <v>0</v>
      </c>
      <c r="V1822">
        <v>1</v>
      </c>
      <c r="W1822">
        <v>0</v>
      </c>
      <c r="X1822">
        <v>0</v>
      </c>
      <c r="Y1822">
        <v>0</v>
      </c>
      <c r="AE1822">
        <f t="shared" si="84"/>
        <v>1</v>
      </c>
      <c r="AF1822">
        <f>VLOOKUP(D1822,especies!$A$2:$C$9,3,FALSE)</f>
        <v>2</v>
      </c>
      <c r="AG1822" t="str">
        <f t="shared" si="85"/>
        <v>2-DPC (Doméstico de pelo corto o DSH)</v>
      </c>
      <c r="AH1822">
        <f>VLOOKUP('Fichas clínicas'!AG1822,razas!$A$2:$D$66,3,FALSE)</f>
        <v>51</v>
      </c>
      <c r="AI1822" t="str">
        <f t="shared" si="86"/>
        <v>M</v>
      </c>
    </row>
    <row r="1823" spans="1:35" x14ac:dyDescent="0.2">
      <c r="A1823">
        <v>1825</v>
      </c>
      <c r="B1823" t="s">
        <v>3995</v>
      </c>
      <c r="C1823" t="s">
        <v>2690</v>
      </c>
      <c r="D1823" t="s">
        <v>32</v>
      </c>
      <c r="E1823" t="s">
        <v>33</v>
      </c>
      <c r="F1823" t="s">
        <v>47</v>
      </c>
      <c r="G1823" t="s">
        <v>199</v>
      </c>
      <c r="J1823" t="s">
        <v>3996</v>
      </c>
      <c r="K1823" t="s">
        <v>38</v>
      </c>
      <c r="L1823" t="s">
        <v>38</v>
      </c>
      <c r="M1823" t="s">
        <v>38</v>
      </c>
      <c r="N1823" t="s">
        <v>38</v>
      </c>
      <c r="O1823" t="s">
        <v>38</v>
      </c>
      <c r="T1823" t="s">
        <v>38</v>
      </c>
      <c r="U1823">
        <v>0</v>
      </c>
      <c r="W1823">
        <v>0</v>
      </c>
      <c r="X1823">
        <v>0</v>
      </c>
      <c r="Y1823">
        <v>0</v>
      </c>
      <c r="AE1823">
        <f t="shared" si="84"/>
        <v>1</v>
      </c>
      <c r="AF1823">
        <f>VLOOKUP(D1823,especies!$A$2:$C$9,3,FALSE)</f>
        <v>1</v>
      </c>
      <c r="AG1823" t="str">
        <f t="shared" si="85"/>
        <v>1-Mestizo</v>
      </c>
      <c r="AH1823">
        <f>VLOOKUP('Fichas clínicas'!AG1823,razas!$A$2:$D$66,3,FALSE)</f>
        <v>1</v>
      </c>
      <c r="AI1823" t="str">
        <f t="shared" si="86"/>
        <v>M</v>
      </c>
    </row>
    <row r="1824" spans="1:35" x14ac:dyDescent="0.2">
      <c r="A1824">
        <v>1826</v>
      </c>
      <c r="B1824" t="s">
        <v>3997</v>
      </c>
      <c r="C1824" t="s">
        <v>3998</v>
      </c>
      <c r="D1824" t="s">
        <v>41</v>
      </c>
      <c r="E1824" t="s">
        <v>42</v>
      </c>
      <c r="F1824" t="s">
        <v>47</v>
      </c>
      <c r="G1824" t="s">
        <v>2122</v>
      </c>
      <c r="J1824" t="s">
        <v>3632</v>
      </c>
      <c r="K1824" t="s">
        <v>38</v>
      </c>
      <c r="L1824" t="s">
        <v>38</v>
      </c>
      <c r="M1824" t="s">
        <v>38</v>
      </c>
      <c r="N1824" t="s">
        <v>38</v>
      </c>
      <c r="O1824" t="s">
        <v>38</v>
      </c>
      <c r="T1824" t="s">
        <v>38</v>
      </c>
      <c r="U1824">
        <v>0</v>
      </c>
      <c r="W1824">
        <v>0</v>
      </c>
      <c r="X1824">
        <v>0</v>
      </c>
      <c r="Y1824">
        <v>0</v>
      </c>
      <c r="AE1824">
        <f t="shared" si="84"/>
        <v>1</v>
      </c>
      <c r="AF1824">
        <f>VLOOKUP(D1824,especies!$A$2:$C$9,3,FALSE)</f>
        <v>2</v>
      </c>
      <c r="AG1824" t="str">
        <f t="shared" si="85"/>
        <v>2-DPC (Doméstico de pelo corto o DSH)</v>
      </c>
      <c r="AH1824">
        <f>VLOOKUP('Fichas clínicas'!AG1824,razas!$A$2:$D$66,3,FALSE)</f>
        <v>51</v>
      </c>
      <c r="AI1824" t="str">
        <f t="shared" si="86"/>
        <v>M</v>
      </c>
    </row>
    <row r="1825" spans="1:35" x14ac:dyDescent="0.2">
      <c r="A1825">
        <v>1827</v>
      </c>
      <c r="B1825" t="s">
        <v>3997</v>
      </c>
      <c r="C1825" t="s">
        <v>3999</v>
      </c>
      <c r="D1825" t="s">
        <v>41</v>
      </c>
      <c r="E1825" t="s">
        <v>42</v>
      </c>
      <c r="F1825" t="s">
        <v>34</v>
      </c>
      <c r="G1825" t="s">
        <v>587</v>
      </c>
      <c r="J1825" t="s">
        <v>3632</v>
      </c>
      <c r="K1825" t="s">
        <v>38</v>
      </c>
      <c r="L1825" t="s">
        <v>38</v>
      </c>
      <c r="M1825" t="s">
        <v>38</v>
      </c>
      <c r="N1825" t="s">
        <v>38</v>
      </c>
      <c r="O1825" t="s">
        <v>38</v>
      </c>
      <c r="Q1825">
        <v>0</v>
      </c>
      <c r="T1825" t="s">
        <v>38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f t="shared" si="84"/>
        <v>1</v>
      </c>
      <c r="AF1825">
        <f>VLOOKUP(D1825,especies!$A$2:$C$9,3,FALSE)</f>
        <v>2</v>
      </c>
      <c r="AG1825" t="str">
        <f t="shared" si="85"/>
        <v>2-DPC (Doméstico de pelo corto o DSH)</v>
      </c>
      <c r="AH1825">
        <f>VLOOKUP('Fichas clínicas'!AG1825,razas!$A$2:$D$66,3,FALSE)</f>
        <v>51</v>
      </c>
      <c r="AI1825" t="str">
        <f t="shared" si="86"/>
        <v>H</v>
      </c>
    </row>
    <row r="1826" spans="1:35" x14ac:dyDescent="0.2">
      <c r="A1826">
        <v>1828</v>
      </c>
      <c r="B1826" t="s">
        <v>836</v>
      </c>
      <c r="C1826" t="s">
        <v>4000</v>
      </c>
      <c r="D1826" t="s">
        <v>32</v>
      </c>
      <c r="E1826" t="s">
        <v>309</v>
      </c>
      <c r="F1826" t="s">
        <v>47</v>
      </c>
      <c r="G1826" t="s">
        <v>351</v>
      </c>
      <c r="J1826" t="s">
        <v>4001</v>
      </c>
      <c r="K1826" t="s">
        <v>38</v>
      </c>
      <c r="L1826" t="s">
        <v>38</v>
      </c>
      <c r="M1826" t="s">
        <v>38</v>
      </c>
      <c r="N1826" t="s">
        <v>38</v>
      </c>
      <c r="O1826" t="s">
        <v>38</v>
      </c>
      <c r="T1826" t="s">
        <v>38</v>
      </c>
      <c r="U1826">
        <v>0</v>
      </c>
      <c r="W1826">
        <v>0</v>
      </c>
      <c r="X1826">
        <v>0</v>
      </c>
      <c r="Y1826">
        <v>0</v>
      </c>
      <c r="AE1826">
        <f t="shared" si="84"/>
        <v>1</v>
      </c>
      <c r="AF1826">
        <f>VLOOKUP(D1826,especies!$A$2:$C$9,3,FALSE)</f>
        <v>1</v>
      </c>
      <c r="AG1826" t="str">
        <f t="shared" si="85"/>
        <v>1-Pug</v>
      </c>
      <c r="AH1826">
        <f>VLOOKUP('Fichas clínicas'!AG1826,razas!$A$2:$D$66,3,FALSE)</f>
        <v>11</v>
      </c>
      <c r="AI1826" t="str">
        <f t="shared" si="86"/>
        <v>M</v>
      </c>
    </row>
    <row r="1827" spans="1:35" x14ac:dyDescent="0.2">
      <c r="A1827">
        <v>1829</v>
      </c>
      <c r="B1827" t="s">
        <v>2084</v>
      </c>
      <c r="C1827" t="s">
        <v>4002</v>
      </c>
      <c r="D1827" t="s">
        <v>32</v>
      </c>
      <c r="E1827" t="s">
        <v>33</v>
      </c>
      <c r="F1827" t="s">
        <v>47</v>
      </c>
      <c r="G1827" t="s">
        <v>64</v>
      </c>
      <c r="J1827" t="s">
        <v>4003</v>
      </c>
      <c r="K1827" t="s">
        <v>38</v>
      </c>
      <c r="L1827" t="s">
        <v>38</v>
      </c>
      <c r="M1827" t="s">
        <v>38</v>
      </c>
      <c r="N1827" t="s">
        <v>38</v>
      </c>
      <c r="O1827" t="s">
        <v>38</v>
      </c>
      <c r="T1827" t="s">
        <v>38</v>
      </c>
      <c r="U1827">
        <v>0</v>
      </c>
      <c r="W1827">
        <v>0</v>
      </c>
      <c r="X1827">
        <v>0</v>
      </c>
      <c r="Y1827">
        <v>0</v>
      </c>
      <c r="AE1827">
        <f t="shared" si="84"/>
        <v>1</v>
      </c>
      <c r="AF1827">
        <f>VLOOKUP(D1827,especies!$A$2:$C$9,3,FALSE)</f>
        <v>1</v>
      </c>
      <c r="AG1827" t="str">
        <f t="shared" si="85"/>
        <v>1-Mestizo</v>
      </c>
      <c r="AH1827">
        <f>VLOOKUP('Fichas clínicas'!AG1827,razas!$A$2:$D$66,3,FALSE)</f>
        <v>1</v>
      </c>
      <c r="AI1827" t="str">
        <f t="shared" si="86"/>
        <v>M</v>
      </c>
    </row>
    <row r="1828" spans="1:35" x14ac:dyDescent="0.2">
      <c r="A1828">
        <v>1830</v>
      </c>
      <c r="B1828" t="s">
        <v>3997</v>
      </c>
      <c r="C1828" t="s">
        <v>4004</v>
      </c>
      <c r="D1828" t="s">
        <v>41</v>
      </c>
      <c r="E1828" t="s">
        <v>42</v>
      </c>
      <c r="F1828" t="s">
        <v>34</v>
      </c>
      <c r="G1828" t="s">
        <v>1604</v>
      </c>
      <c r="J1828" t="s">
        <v>4005</v>
      </c>
      <c r="K1828" t="s">
        <v>38</v>
      </c>
      <c r="L1828" t="s">
        <v>38</v>
      </c>
      <c r="M1828" t="s">
        <v>38</v>
      </c>
      <c r="N1828" t="s">
        <v>38</v>
      </c>
      <c r="O1828" t="s">
        <v>38</v>
      </c>
      <c r="Q1828">
        <v>0</v>
      </c>
      <c r="T1828" t="s">
        <v>38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f t="shared" si="84"/>
        <v>1</v>
      </c>
      <c r="AF1828">
        <f>VLOOKUP(D1828,especies!$A$2:$C$9,3,FALSE)</f>
        <v>2</v>
      </c>
      <c r="AG1828" t="str">
        <f t="shared" si="85"/>
        <v>2-DPC (Doméstico de pelo corto o DSH)</v>
      </c>
      <c r="AH1828">
        <f>VLOOKUP('Fichas clínicas'!AG1828,razas!$A$2:$D$66,3,FALSE)</f>
        <v>51</v>
      </c>
      <c r="AI1828" t="str">
        <f t="shared" si="86"/>
        <v>H</v>
      </c>
    </row>
    <row r="1829" spans="1:35" x14ac:dyDescent="0.2">
      <c r="A1829">
        <v>1831</v>
      </c>
      <c r="B1829" t="s">
        <v>1322</v>
      </c>
      <c r="C1829" t="s">
        <v>4006</v>
      </c>
      <c r="D1829" t="s">
        <v>32</v>
      </c>
      <c r="E1829" t="s">
        <v>545</v>
      </c>
      <c r="F1829" t="s">
        <v>34</v>
      </c>
      <c r="G1829" t="s">
        <v>1515</v>
      </c>
      <c r="J1829" t="s">
        <v>3993</v>
      </c>
      <c r="K1829" t="s">
        <v>38</v>
      </c>
      <c r="L1829" t="s">
        <v>38</v>
      </c>
      <c r="M1829" t="s">
        <v>38</v>
      </c>
      <c r="N1829" t="s">
        <v>38</v>
      </c>
      <c r="O1829" t="s">
        <v>38</v>
      </c>
      <c r="T1829" t="s">
        <v>38</v>
      </c>
      <c r="U1829">
        <v>0</v>
      </c>
      <c r="W1829">
        <v>0</v>
      </c>
      <c r="X1829">
        <v>0</v>
      </c>
      <c r="Y1829">
        <v>0</v>
      </c>
      <c r="AE1829">
        <f t="shared" si="84"/>
        <v>1</v>
      </c>
      <c r="AF1829">
        <f>VLOOKUP(D1829,especies!$A$2:$C$9,3,FALSE)</f>
        <v>1</v>
      </c>
      <c r="AG1829" t="str">
        <f t="shared" si="85"/>
        <v>1-Golden Retriever</v>
      </c>
      <c r="AH1829">
        <f>VLOOKUP('Fichas clínicas'!AG1829,razas!$A$2:$D$66,3,FALSE)</f>
        <v>16</v>
      </c>
      <c r="AI1829" t="str">
        <f t="shared" si="86"/>
        <v>H</v>
      </c>
    </row>
    <row r="1830" spans="1:35" x14ac:dyDescent="0.2">
      <c r="A1830">
        <v>1832</v>
      </c>
      <c r="B1830" t="s">
        <v>3736</v>
      </c>
      <c r="C1830" t="s">
        <v>4007</v>
      </c>
      <c r="D1830" t="s">
        <v>32</v>
      </c>
      <c r="E1830" t="s">
        <v>33</v>
      </c>
      <c r="F1830" t="s">
        <v>34</v>
      </c>
      <c r="G1830" t="s">
        <v>1656</v>
      </c>
      <c r="J1830" t="s">
        <v>4008</v>
      </c>
      <c r="K1830" t="s">
        <v>38</v>
      </c>
      <c r="L1830" t="s">
        <v>38</v>
      </c>
      <c r="M1830" t="s">
        <v>38</v>
      </c>
      <c r="N1830" t="s">
        <v>38</v>
      </c>
      <c r="O1830" t="s">
        <v>38</v>
      </c>
      <c r="T1830" t="s">
        <v>38</v>
      </c>
      <c r="U1830">
        <v>0</v>
      </c>
      <c r="V1830">
        <v>1</v>
      </c>
      <c r="W1830">
        <v>0</v>
      </c>
      <c r="X1830">
        <v>0</v>
      </c>
      <c r="Y1830">
        <v>0</v>
      </c>
      <c r="AE1830">
        <f t="shared" si="84"/>
        <v>1</v>
      </c>
      <c r="AF1830">
        <f>VLOOKUP(D1830,especies!$A$2:$C$9,3,FALSE)</f>
        <v>1</v>
      </c>
      <c r="AG1830" t="str">
        <f t="shared" si="85"/>
        <v>1-Mestizo</v>
      </c>
      <c r="AH1830">
        <f>VLOOKUP('Fichas clínicas'!AG1830,razas!$A$2:$D$66,3,FALSE)</f>
        <v>1</v>
      </c>
      <c r="AI1830" t="str">
        <f t="shared" si="86"/>
        <v>H</v>
      </c>
    </row>
    <row r="1831" spans="1:35" x14ac:dyDescent="0.2">
      <c r="A1831">
        <v>1833</v>
      </c>
      <c r="B1831" t="s">
        <v>4009</v>
      </c>
      <c r="C1831" t="s">
        <v>2338</v>
      </c>
      <c r="D1831" t="s">
        <v>32</v>
      </c>
      <c r="E1831" t="s">
        <v>33</v>
      </c>
      <c r="F1831" t="s">
        <v>34</v>
      </c>
      <c r="G1831" t="s">
        <v>351</v>
      </c>
      <c r="J1831" t="s">
        <v>3905</v>
      </c>
      <c r="K1831" t="s">
        <v>38</v>
      </c>
      <c r="L1831" t="s">
        <v>38</v>
      </c>
      <c r="M1831" t="s">
        <v>38</v>
      </c>
      <c r="N1831" t="s">
        <v>38</v>
      </c>
      <c r="O1831" t="s">
        <v>38</v>
      </c>
      <c r="T1831" t="s">
        <v>38</v>
      </c>
      <c r="U1831">
        <v>0</v>
      </c>
      <c r="W1831">
        <v>0</v>
      </c>
      <c r="X1831">
        <v>0</v>
      </c>
      <c r="Y1831">
        <v>0</v>
      </c>
      <c r="AE1831">
        <f t="shared" si="84"/>
        <v>1</v>
      </c>
      <c r="AF1831">
        <f>VLOOKUP(D1831,especies!$A$2:$C$9,3,FALSE)</f>
        <v>1</v>
      </c>
      <c r="AG1831" t="str">
        <f t="shared" si="85"/>
        <v>1-Mestizo</v>
      </c>
      <c r="AH1831">
        <f>VLOOKUP('Fichas clínicas'!AG1831,razas!$A$2:$D$66,3,FALSE)</f>
        <v>1</v>
      </c>
      <c r="AI1831" t="str">
        <f t="shared" si="86"/>
        <v>H</v>
      </c>
    </row>
    <row r="1832" spans="1:35" x14ac:dyDescent="0.2">
      <c r="A1832">
        <v>1834</v>
      </c>
      <c r="B1832" t="s">
        <v>4010</v>
      </c>
      <c r="C1832" t="s">
        <v>2829</v>
      </c>
      <c r="D1832" t="s">
        <v>41</v>
      </c>
      <c r="E1832" t="s">
        <v>42</v>
      </c>
      <c r="F1832" t="s">
        <v>47</v>
      </c>
      <c r="G1832" t="s">
        <v>1515</v>
      </c>
      <c r="J1832" t="s">
        <v>4011</v>
      </c>
      <c r="K1832" t="s">
        <v>38</v>
      </c>
      <c r="L1832" t="s">
        <v>38</v>
      </c>
      <c r="M1832" t="s">
        <v>38</v>
      </c>
      <c r="N1832" t="s">
        <v>38</v>
      </c>
      <c r="O1832" t="s">
        <v>38</v>
      </c>
      <c r="T1832" t="s">
        <v>38</v>
      </c>
      <c r="U1832">
        <v>0</v>
      </c>
      <c r="W1832">
        <v>0</v>
      </c>
      <c r="X1832">
        <v>0</v>
      </c>
      <c r="Y1832">
        <v>0</v>
      </c>
      <c r="AE1832">
        <f t="shared" si="84"/>
        <v>1</v>
      </c>
      <c r="AF1832">
        <f>VLOOKUP(D1832,especies!$A$2:$C$9,3,FALSE)</f>
        <v>2</v>
      </c>
      <c r="AG1832" t="str">
        <f t="shared" si="85"/>
        <v>2-DPC (Doméstico de pelo corto o DSH)</v>
      </c>
      <c r="AH1832">
        <f>VLOOKUP('Fichas clínicas'!AG1832,razas!$A$2:$D$66,3,FALSE)</f>
        <v>51</v>
      </c>
      <c r="AI1832" t="str">
        <f t="shared" si="86"/>
        <v>M</v>
      </c>
    </row>
    <row r="1833" spans="1:35" x14ac:dyDescent="0.2">
      <c r="A1833">
        <v>1835</v>
      </c>
      <c r="B1833" t="s">
        <v>3879</v>
      </c>
      <c r="C1833" t="s">
        <v>4012</v>
      </c>
      <c r="D1833" t="s">
        <v>32</v>
      </c>
      <c r="E1833" t="s">
        <v>1067</v>
      </c>
      <c r="F1833" t="s">
        <v>34</v>
      </c>
      <c r="G1833" t="s">
        <v>560</v>
      </c>
      <c r="J1833" t="s">
        <v>4013</v>
      </c>
      <c r="K1833" t="s">
        <v>38</v>
      </c>
      <c r="L1833" t="s">
        <v>38</v>
      </c>
      <c r="M1833" t="s">
        <v>38</v>
      </c>
      <c r="N1833" t="s">
        <v>38</v>
      </c>
      <c r="O1833" t="s">
        <v>38</v>
      </c>
      <c r="T1833" t="s">
        <v>38</v>
      </c>
      <c r="U1833">
        <v>0</v>
      </c>
      <c r="W1833">
        <v>0</v>
      </c>
      <c r="X1833">
        <v>0</v>
      </c>
      <c r="Y1833">
        <v>0</v>
      </c>
      <c r="AE1833">
        <f t="shared" si="84"/>
        <v>1</v>
      </c>
      <c r="AF1833">
        <f>VLOOKUP(D1833,especies!$A$2:$C$9,3,FALSE)</f>
        <v>1</v>
      </c>
      <c r="AG1833" t="str">
        <f t="shared" si="85"/>
        <v>1-Chihuahua</v>
      </c>
      <c r="AH1833">
        <f>VLOOKUP('Fichas clínicas'!AG1833,razas!$A$2:$D$66,3,FALSE)</f>
        <v>27</v>
      </c>
      <c r="AI1833" t="str">
        <f t="shared" si="86"/>
        <v>H</v>
      </c>
    </row>
    <row r="1834" spans="1:35" x14ac:dyDescent="0.2">
      <c r="A1834">
        <v>1836</v>
      </c>
      <c r="B1834" t="s">
        <v>4014</v>
      </c>
      <c r="C1834" t="s">
        <v>4015</v>
      </c>
      <c r="D1834" t="s">
        <v>32</v>
      </c>
      <c r="E1834" t="s">
        <v>994</v>
      </c>
      <c r="F1834" t="s">
        <v>34</v>
      </c>
      <c r="G1834" t="s">
        <v>102</v>
      </c>
      <c r="J1834" t="s">
        <v>4001</v>
      </c>
      <c r="K1834" t="s">
        <v>38</v>
      </c>
      <c r="L1834" t="s">
        <v>38</v>
      </c>
      <c r="M1834" t="s">
        <v>38</v>
      </c>
      <c r="N1834" t="s">
        <v>38</v>
      </c>
      <c r="O1834" t="s">
        <v>38</v>
      </c>
      <c r="Q1834">
        <v>0</v>
      </c>
      <c r="T1834" t="s">
        <v>38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f t="shared" si="84"/>
        <v>1</v>
      </c>
      <c r="AF1834">
        <f>VLOOKUP(D1834,especies!$A$2:$C$9,3,FALSE)</f>
        <v>1</v>
      </c>
      <c r="AG1834" t="str">
        <f t="shared" si="85"/>
        <v>1-Bulldog Francés</v>
      </c>
      <c r="AH1834">
        <f>VLOOKUP('Fichas clínicas'!AG1834,razas!$A$2:$D$66,3,FALSE)</f>
        <v>26</v>
      </c>
      <c r="AI1834" t="str">
        <f t="shared" si="86"/>
        <v>H</v>
      </c>
    </row>
    <row r="1835" spans="1:35" x14ac:dyDescent="0.2">
      <c r="A1835">
        <v>1837</v>
      </c>
      <c r="B1835" t="s">
        <v>4014</v>
      </c>
      <c r="C1835" t="s">
        <v>4016</v>
      </c>
      <c r="D1835" t="s">
        <v>32</v>
      </c>
      <c r="E1835" t="s">
        <v>994</v>
      </c>
      <c r="F1835" t="s">
        <v>47</v>
      </c>
      <c r="G1835" t="s">
        <v>587</v>
      </c>
      <c r="J1835" t="s">
        <v>4001</v>
      </c>
      <c r="K1835" t="s">
        <v>38</v>
      </c>
      <c r="L1835" t="s">
        <v>38</v>
      </c>
      <c r="M1835" t="s">
        <v>38</v>
      </c>
      <c r="N1835" t="s">
        <v>38</v>
      </c>
      <c r="O1835" t="s">
        <v>38</v>
      </c>
      <c r="Q1835">
        <v>0</v>
      </c>
      <c r="T1835" t="s">
        <v>38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f t="shared" si="84"/>
        <v>1</v>
      </c>
      <c r="AF1835">
        <f>VLOOKUP(D1835,especies!$A$2:$C$9,3,FALSE)</f>
        <v>1</v>
      </c>
      <c r="AG1835" t="str">
        <f t="shared" si="85"/>
        <v>1-Bulldog Francés</v>
      </c>
      <c r="AH1835">
        <f>VLOOKUP('Fichas clínicas'!AG1835,razas!$A$2:$D$66,3,FALSE)</f>
        <v>26</v>
      </c>
      <c r="AI1835" t="str">
        <f t="shared" si="86"/>
        <v>M</v>
      </c>
    </row>
    <row r="1836" spans="1:35" x14ac:dyDescent="0.2">
      <c r="A1836">
        <v>1838</v>
      </c>
      <c r="B1836" t="s">
        <v>2852</v>
      </c>
      <c r="C1836" t="s">
        <v>1505</v>
      </c>
      <c r="D1836" t="s">
        <v>32</v>
      </c>
      <c r="E1836" t="s">
        <v>33</v>
      </c>
      <c r="F1836" t="s">
        <v>47</v>
      </c>
      <c r="G1836" t="s">
        <v>1402</v>
      </c>
      <c r="J1836" t="s">
        <v>4017</v>
      </c>
      <c r="K1836" t="s">
        <v>38</v>
      </c>
      <c r="L1836" t="s">
        <v>38</v>
      </c>
      <c r="M1836" t="s">
        <v>38</v>
      </c>
      <c r="N1836" t="s">
        <v>38</v>
      </c>
      <c r="O1836" t="s">
        <v>38</v>
      </c>
      <c r="Q1836">
        <v>0</v>
      </c>
      <c r="T1836" t="s">
        <v>38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f t="shared" si="84"/>
        <v>1</v>
      </c>
      <c r="AF1836">
        <f>VLOOKUP(D1836,especies!$A$2:$C$9,3,FALSE)</f>
        <v>1</v>
      </c>
      <c r="AG1836" t="str">
        <f t="shared" si="85"/>
        <v>1-Mestizo</v>
      </c>
      <c r="AH1836">
        <f>VLOOKUP('Fichas clínicas'!AG1836,razas!$A$2:$D$66,3,FALSE)</f>
        <v>1</v>
      </c>
      <c r="AI1836" t="str">
        <f t="shared" si="86"/>
        <v>M</v>
      </c>
    </row>
    <row r="1837" spans="1:35" x14ac:dyDescent="0.2">
      <c r="A1837">
        <v>1839</v>
      </c>
      <c r="B1837" t="s">
        <v>3304</v>
      </c>
      <c r="C1837" t="s">
        <v>4018</v>
      </c>
      <c r="D1837" t="s">
        <v>32</v>
      </c>
      <c r="E1837" t="s">
        <v>309</v>
      </c>
      <c r="F1837" t="s">
        <v>47</v>
      </c>
      <c r="G1837" t="s">
        <v>165</v>
      </c>
      <c r="J1837" t="s">
        <v>3988</v>
      </c>
      <c r="K1837" t="s">
        <v>38</v>
      </c>
      <c r="L1837" t="s">
        <v>38</v>
      </c>
      <c r="M1837" t="s">
        <v>38</v>
      </c>
      <c r="N1837" t="s">
        <v>38</v>
      </c>
      <c r="O1837" t="s">
        <v>38</v>
      </c>
      <c r="Q1837">
        <v>0</v>
      </c>
      <c r="T1837" t="s">
        <v>38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f t="shared" si="84"/>
        <v>1</v>
      </c>
      <c r="AF1837">
        <f>VLOOKUP(D1837,especies!$A$2:$C$9,3,FALSE)</f>
        <v>1</v>
      </c>
      <c r="AG1837" t="str">
        <f t="shared" si="85"/>
        <v>1-Pug</v>
      </c>
      <c r="AH1837">
        <f>VLOOKUP('Fichas clínicas'!AG1837,razas!$A$2:$D$66,3,FALSE)</f>
        <v>11</v>
      </c>
      <c r="AI1837" t="str">
        <f t="shared" si="86"/>
        <v>M</v>
      </c>
    </row>
    <row r="1838" spans="1:35" x14ac:dyDescent="0.2">
      <c r="A1838">
        <v>1840</v>
      </c>
      <c r="B1838" t="s">
        <v>4019</v>
      </c>
      <c r="C1838" t="s">
        <v>4020</v>
      </c>
      <c r="D1838" t="s">
        <v>32</v>
      </c>
      <c r="E1838" t="s">
        <v>33</v>
      </c>
      <c r="F1838" t="s">
        <v>47</v>
      </c>
      <c r="G1838" t="s">
        <v>4021</v>
      </c>
      <c r="J1838" t="s">
        <v>4022</v>
      </c>
      <c r="K1838" t="s">
        <v>38</v>
      </c>
      <c r="L1838" t="s">
        <v>38</v>
      </c>
      <c r="M1838" t="s">
        <v>38</v>
      </c>
      <c r="N1838" t="s">
        <v>38</v>
      </c>
      <c r="O1838" t="s">
        <v>38</v>
      </c>
      <c r="T1838" t="s">
        <v>38</v>
      </c>
      <c r="U1838">
        <v>0</v>
      </c>
      <c r="W1838">
        <v>0</v>
      </c>
      <c r="X1838">
        <v>0</v>
      </c>
      <c r="Y1838">
        <v>0</v>
      </c>
      <c r="AE1838">
        <f t="shared" si="84"/>
        <v>1</v>
      </c>
      <c r="AF1838">
        <f>VLOOKUP(D1838,especies!$A$2:$C$9,3,FALSE)</f>
        <v>1</v>
      </c>
      <c r="AG1838" t="str">
        <f t="shared" si="85"/>
        <v>1-Mestizo</v>
      </c>
      <c r="AH1838">
        <f>VLOOKUP('Fichas clínicas'!AG1838,razas!$A$2:$D$66,3,FALSE)</f>
        <v>1</v>
      </c>
      <c r="AI1838" t="str">
        <f t="shared" si="86"/>
        <v>M</v>
      </c>
    </row>
    <row r="1839" spans="1:35" x14ac:dyDescent="0.2">
      <c r="A1839">
        <v>1841</v>
      </c>
      <c r="B1839" t="s">
        <v>1767</v>
      </c>
      <c r="C1839" t="s">
        <v>2107</v>
      </c>
      <c r="D1839" t="s">
        <v>32</v>
      </c>
      <c r="E1839" t="s">
        <v>150</v>
      </c>
      <c r="F1839" t="s">
        <v>34</v>
      </c>
      <c r="G1839" t="s">
        <v>102</v>
      </c>
      <c r="J1839" t="s">
        <v>4023</v>
      </c>
      <c r="K1839" t="s">
        <v>38</v>
      </c>
      <c r="L1839" t="s">
        <v>38</v>
      </c>
      <c r="M1839" t="s">
        <v>38</v>
      </c>
      <c r="N1839" t="s">
        <v>38</v>
      </c>
      <c r="O1839" t="s">
        <v>38</v>
      </c>
      <c r="T1839" t="s">
        <v>38</v>
      </c>
      <c r="U1839">
        <v>0</v>
      </c>
      <c r="W1839">
        <v>0</v>
      </c>
      <c r="X1839">
        <v>0</v>
      </c>
      <c r="Y1839">
        <v>0</v>
      </c>
      <c r="AE1839">
        <f t="shared" si="84"/>
        <v>1</v>
      </c>
      <c r="AF1839">
        <f>VLOOKUP(D1839,especies!$A$2:$C$9,3,FALSE)</f>
        <v>1</v>
      </c>
      <c r="AG1839" t="str">
        <f t="shared" si="85"/>
        <v>1-Poodle</v>
      </c>
      <c r="AH1839">
        <f>VLOOKUP('Fichas clínicas'!AG1839,razas!$A$2:$D$66,3,FALSE)</f>
        <v>6</v>
      </c>
      <c r="AI1839" t="str">
        <f t="shared" si="86"/>
        <v>H</v>
      </c>
    </row>
    <row r="1840" spans="1:35" x14ac:dyDescent="0.2">
      <c r="A1840">
        <v>1842</v>
      </c>
      <c r="B1840" t="s">
        <v>2333</v>
      </c>
      <c r="C1840" t="s">
        <v>4024</v>
      </c>
      <c r="D1840" t="s">
        <v>41</v>
      </c>
      <c r="E1840" t="s">
        <v>42</v>
      </c>
      <c r="F1840" t="s">
        <v>34</v>
      </c>
      <c r="G1840" t="s">
        <v>1598</v>
      </c>
      <c r="J1840" t="s">
        <v>4025</v>
      </c>
      <c r="K1840" t="s">
        <v>38</v>
      </c>
      <c r="L1840" t="s">
        <v>38</v>
      </c>
      <c r="M1840" t="s">
        <v>38</v>
      </c>
      <c r="N1840" t="s">
        <v>38</v>
      </c>
      <c r="O1840" t="s">
        <v>38</v>
      </c>
      <c r="T1840" t="s">
        <v>38</v>
      </c>
      <c r="U1840">
        <v>0</v>
      </c>
      <c r="W1840">
        <v>0</v>
      </c>
      <c r="X1840">
        <v>0</v>
      </c>
      <c r="Y1840">
        <v>0</v>
      </c>
      <c r="AE1840">
        <f t="shared" si="84"/>
        <v>1</v>
      </c>
      <c r="AF1840">
        <f>VLOOKUP(D1840,especies!$A$2:$C$9,3,FALSE)</f>
        <v>2</v>
      </c>
      <c r="AG1840" t="str">
        <f t="shared" si="85"/>
        <v>2-DPC (Doméstico de pelo corto o DSH)</v>
      </c>
      <c r="AH1840">
        <f>VLOOKUP('Fichas clínicas'!AG1840,razas!$A$2:$D$66,3,FALSE)</f>
        <v>51</v>
      </c>
      <c r="AI1840" t="str">
        <f t="shared" si="86"/>
        <v>H</v>
      </c>
    </row>
    <row r="1841" spans="1:35" x14ac:dyDescent="0.2">
      <c r="A1841">
        <v>1843</v>
      </c>
      <c r="B1841" t="s">
        <v>1511</v>
      </c>
      <c r="C1841" t="s">
        <v>1438</v>
      </c>
      <c r="D1841" t="s">
        <v>41</v>
      </c>
      <c r="E1841" t="s">
        <v>93</v>
      </c>
      <c r="F1841" t="s">
        <v>34</v>
      </c>
      <c r="G1841" t="s">
        <v>4026</v>
      </c>
      <c r="J1841" t="s">
        <v>4027</v>
      </c>
      <c r="K1841" t="s">
        <v>38</v>
      </c>
      <c r="L1841" t="s">
        <v>38</v>
      </c>
      <c r="M1841" t="s">
        <v>38</v>
      </c>
      <c r="N1841" t="s">
        <v>38</v>
      </c>
      <c r="O1841" t="s">
        <v>38</v>
      </c>
      <c r="T1841" t="s">
        <v>38</v>
      </c>
      <c r="U1841">
        <v>0</v>
      </c>
      <c r="W1841">
        <v>0</v>
      </c>
      <c r="X1841">
        <v>0</v>
      </c>
      <c r="Y1841">
        <v>0</v>
      </c>
      <c r="AE1841">
        <f t="shared" si="84"/>
        <v>1</v>
      </c>
      <c r="AF1841">
        <f>VLOOKUP(D1841,especies!$A$2:$C$9,3,FALSE)</f>
        <v>2</v>
      </c>
      <c r="AG1841" t="str">
        <f t="shared" si="85"/>
        <v>2-DPL (Doméstico de pelo Largo o DLH)</v>
      </c>
      <c r="AH1841">
        <f>VLOOKUP('Fichas clínicas'!AG1841,razas!$A$2:$D$66,3,FALSE)</f>
        <v>52</v>
      </c>
      <c r="AI1841" t="str">
        <f t="shared" si="86"/>
        <v>H</v>
      </c>
    </row>
    <row r="1842" spans="1:35" x14ac:dyDescent="0.2">
      <c r="A1842">
        <v>1844</v>
      </c>
      <c r="B1842" t="s">
        <v>4028</v>
      </c>
      <c r="C1842" t="s">
        <v>4029</v>
      </c>
      <c r="D1842" t="s">
        <v>32</v>
      </c>
      <c r="E1842" t="s">
        <v>63</v>
      </c>
      <c r="F1842" t="s">
        <v>34</v>
      </c>
      <c r="G1842" t="s">
        <v>526</v>
      </c>
      <c r="J1842" t="s">
        <v>113</v>
      </c>
      <c r="K1842" t="s">
        <v>38</v>
      </c>
      <c r="L1842" t="s">
        <v>38</v>
      </c>
      <c r="M1842" t="s">
        <v>38</v>
      </c>
      <c r="N1842" t="s">
        <v>38</v>
      </c>
      <c r="O1842" t="s">
        <v>38</v>
      </c>
      <c r="T1842" t="s">
        <v>38</v>
      </c>
      <c r="U1842">
        <v>0</v>
      </c>
      <c r="V1842">
        <v>1</v>
      </c>
      <c r="W1842">
        <v>0</v>
      </c>
      <c r="X1842">
        <v>0</v>
      </c>
      <c r="Y1842">
        <v>0</v>
      </c>
      <c r="AE1842">
        <f t="shared" si="84"/>
        <v>1</v>
      </c>
      <c r="AF1842">
        <f>VLOOKUP(D1842,especies!$A$2:$C$9,3,FALSE)</f>
        <v>1</v>
      </c>
      <c r="AG1842" t="str">
        <f t="shared" si="85"/>
        <v>1-Fox Terrier Pelo Corto</v>
      </c>
      <c r="AH1842">
        <f>VLOOKUP('Fichas clínicas'!AG1842,razas!$A$2:$D$66,3,FALSE)</f>
        <v>2</v>
      </c>
      <c r="AI1842" t="str">
        <f t="shared" si="86"/>
        <v>H</v>
      </c>
    </row>
    <row r="1843" spans="1:35" x14ac:dyDescent="0.2">
      <c r="A1843">
        <v>1845</v>
      </c>
      <c r="B1843" t="s">
        <v>831</v>
      </c>
      <c r="C1843" t="s">
        <v>4030</v>
      </c>
      <c r="D1843" t="s">
        <v>41</v>
      </c>
      <c r="E1843" t="s">
        <v>42</v>
      </c>
      <c r="F1843" t="s">
        <v>47</v>
      </c>
      <c r="G1843" t="s">
        <v>2047</v>
      </c>
      <c r="J1843" t="s">
        <v>489</v>
      </c>
      <c r="K1843" t="s">
        <v>38</v>
      </c>
      <c r="L1843" t="s">
        <v>38</v>
      </c>
      <c r="M1843" t="s">
        <v>38</v>
      </c>
      <c r="N1843" t="s">
        <v>38</v>
      </c>
      <c r="O1843" t="s">
        <v>38</v>
      </c>
      <c r="T1843" t="s">
        <v>38</v>
      </c>
      <c r="U1843">
        <v>0</v>
      </c>
      <c r="V1843">
        <v>1</v>
      </c>
      <c r="W1843">
        <v>0</v>
      </c>
      <c r="X1843">
        <v>0</v>
      </c>
      <c r="Y1843">
        <v>0</v>
      </c>
      <c r="AE1843">
        <f t="shared" si="84"/>
        <v>1</v>
      </c>
      <c r="AF1843">
        <f>VLOOKUP(D1843,especies!$A$2:$C$9,3,FALSE)</f>
        <v>2</v>
      </c>
      <c r="AG1843" t="str">
        <f t="shared" si="85"/>
        <v>2-DPC (Doméstico de pelo corto o DSH)</v>
      </c>
      <c r="AH1843">
        <f>VLOOKUP('Fichas clínicas'!AG1843,razas!$A$2:$D$66,3,FALSE)</f>
        <v>51</v>
      </c>
      <c r="AI1843" t="str">
        <f t="shared" si="86"/>
        <v>M</v>
      </c>
    </row>
    <row r="1844" spans="1:35" x14ac:dyDescent="0.2">
      <c r="A1844">
        <v>1846</v>
      </c>
      <c r="B1844" t="s">
        <v>4031</v>
      </c>
      <c r="C1844" t="s">
        <v>2551</v>
      </c>
      <c r="D1844" t="s">
        <v>32</v>
      </c>
      <c r="E1844" t="s">
        <v>33</v>
      </c>
      <c r="F1844" t="s">
        <v>47</v>
      </c>
      <c r="G1844" t="s">
        <v>4032</v>
      </c>
      <c r="J1844" t="s">
        <v>4033</v>
      </c>
      <c r="K1844" t="s">
        <v>38</v>
      </c>
      <c r="L1844" t="s">
        <v>38</v>
      </c>
      <c r="M1844" t="s">
        <v>38</v>
      </c>
      <c r="N1844" t="s">
        <v>38</v>
      </c>
      <c r="O1844" t="s">
        <v>38</v>
      </c>
      <c r="T1844" t="s">
        <v>38</v>
      </c>
      <c r="U1844">
        <v>0</v>
      </c>
      <c r="W1844">
        <v>0</v>
      </c>
      <c r="X1844">
        <v>0</v>
      </c>
      <c r="Y1844">
        <v>0</v>
      </c>
      <c r="AE1844">
        <f t="shared" si="84"/>
        <v>1</v>
      </c>
      <c r="AF1844">
        <f>VLOOKUP(D1844,especies!$A$2:$C$9,3,FALSE)</f>
        <v>1</v>
      </c>
      <c r="AG1844" t="str">
        <f t="shared" si="85"/>
        <v>1-Mestizo</v>
      </c>
      <c r="AH1844">
        <f>VLOOKUP('Fichas clínicas'!AG1844,razas!$A$2:$D$66,3,FALSE)</f>
        <v>1</v>
      </c>
      <c r="AI1844" t="str">
        <f t="shared" si="86"/>
        <v>M</v>
      </c>
    </row>
    <row r="1845" spans="1:35" x14ac:dyDescent="0.2">
      <c r="A1845">
        <v>1847</v>
      </c>
      <c r="B1845" t="s">
        <v>4034</v>
      </c>
      <c r="C1845" t="s">
        <v>4035</v>
      </c>
      <c r="D1845" t="s">
        <v>32</v>
      </c>
      <c r="E1845" t="s">
        <v>33</v>
      </c>
      <c r="F1845" t="s">
        <v>47</v>
      </c>
      <c r="G1845" t="s">
        <v>4036</v>
      </c>
      <c r="J1845" t="s">
        <v>3213</v>
      </c>
      <c r="K1845" t="s">
        <v>38</v>
      </c>
      <c r="L1845" t="s">
        <v>38</v>
      </c>
      <c r="M1845" t="s">
        <v>38</v>
      </c>
      <c r="N1845" t="s">
        <v>38</v>
      </c>
      <c r="O1845" t="s">
        <v>38</v>
      </c>
      <c r="T1845" t="s">
        <v>38</v>
      </c>
      <c r="U1845">
        <v>0</v>
      </c>
      <c r="V1845">
        <v>1</v>
      </c>
      <c r="W1845">
        <v>0</v>
      </c>
      <c r="X1845">
        <v>0</v>
      </c>
      <c r="Y1845">
        <v>0</v>
      </c>
      <c r="AE1845">
        <f t="shared" si="84"/>
        <v>1</v>
      </c>
      <c r="AF1845">
        <f>VLOOKUP(D1845,especies!$A$2:$C$9,3,FALSE)</f>
        <v>1</v>
      </c>
      <c r="AG1845" t="str">
        <f t="shared" si="85"/>
        <v>1-Mestizo</v>
      </c>
      <c r="AH1845">
        <f>VLOOKUP('Fichas clínicas'!AG1845,razas!$A$2:$D$66,3,FALSE)</f>
        <v>1</v>
      </c>
      <c r="AI1845" t="str">
        <f t="shared" si="86"/>
        <v>M</v>
      </c>
    </row>
    <row r="1846" spans="1:35" x14ac:dyDescent="0.2">
      <c r="A1846">
        <v>1848</v>
      </c>
      <c r="B1846" t="s">
        <v>4037</v>
      </c>
      <c r="C1846" t="s">
        <v>4038</v>
      </c>
      <c r="D1846" t="s">
        <v>32</v>
      </c>
      <c r="E1846" t="s">
        <v>545</v>
      </c>
      <c r="F1846" t="s">
        <v>47</v>
      </c>
      <c r="G1846" t="s">
        <v>1515</v>
      </c>
      <c r="J1846" t="s">
        <v>4039</v>
      </c>
      <c r="K1846" t="s">
        <v>38</v>
      </c>
      <c r="L1846" t="s">
        <v>38</v>
      </c>
      <c r="M1846" t="s">
        <v>38</v>
      </c>
      <c r="N1846" t="s">
        <v>38</v>
      </c>
      <c r="O1846" t="s">
        <v>38</v>
      </c>
      <c r="Q1846">
        <v>0</v>
      </c>
      <c r="T1846" t="s">
        <v>38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f t="shared" si="84"/>
        <v>1</v>
      </c>
      <c r="AF1846">
        <f>VLOOKUP(D1846,especies!$A$2:$C$9,3,FALSE)</f>
        <v>1</v>
      </c>
      <c r="AG1846" t="str">
        <f t="shared" si="85"/>
        <v>1-Golden Retriever</v>
      </c>
      <c r="AH1846">
        <f>VLOOKUP('Fichas clínicas'!AG1846,razas!$A$2:$D$66,3,FALSE)</f>
        <v>16</v>
      </c>
      <c r="AI1846" t="str">
        <f t="shared" si="86"/>
        <v>M</v>
      </c>
    </row>
    <row r="1847" spans="1:35" x14ac:dyDescent="0.2">
      <c r="A1847">
        <v>1849</v>
      </c>
      <c r="B1847" t="s">
        <v>3568</v>
      </c>
      <c r="C1847" t="s">
        <v>4040</v>
      </c>
      <c r="D1847" t="s">
        <v>41</v>
      </c>
      <c r="E1847" t="s">
        <v>42</v>
      </c>
      <c r="F1847" t="s">
        <v>47</v>
      </c>
      <c r="G1847" t="s">
        <v>4041</v>
      </c>
      <c r="J1847" t="s">
        <v>4042</v>
      </c>
      <c r="K1847" t="s">
        <v>38</v>
      </c>
      <c r="L1847" t="s">
        <v>38</v>
      </c>
      <c r="M1847" t="s">
        <v>38</v>
      </c>
      <c r="N1847" t="s">
        <v>38</v>
      </c>
      <c r="O1847" t="s">
        <v>38</v>
      </c>
      <c r="Q1847">
        <v>0</v>
      </c>
      <c r="T1847" t="s">
        <v>38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f t="shared" si="84"/>
        <v>1</v>
      </c>
      <c r="AF1847">
        <f>VLOOKUP(D1847,especies!$A$2:$C$9,3,FALSE)</f>
        <v>2</v>
      </c>
      <c r="AG1847" t="str">
        <f t="shared" si="85"/>
        <v>2-DPC (Doméstico de pelo corto o DSH)</v>
      </c>
      <c r="AH1847">
        <f>VLOOKUP('Fichas clínicas'!AG1847,razas!$A$2:$D$66,3,FALSE)</f>
        <v>51</v>
      </c>
      <c r="AI1847" t="str">
        <f t="shared" si="86"/>
        <v>M</v>
      </c>
    </row>
    <row r="1848" spans="1:35" x14ac:dyDescent="0.2">
      <c r="A1848">
        <v>1850</v>
      </c>
      <c r="B1848" t="s">
        <v>2275</v>
      </c>
      <c r="C1848" t="s">
        <v>4043</v>
      </c>
      <c r="D1848" t="s">
        <v>32</v>
      </c>
      <c r="E1848" t="s">
        <v>1731</v>
      </c>
      <c r="F1848" t="s">
        <v>34</v>
      </c>
      <c r="G1848" t="s">
        <v>4044</v>
      </c>
      <c r="H1848">
        <v>991001002932417</v>
      </c>
      <c r="J1848" t="s">
        <v>4045</v>
      </c>
      <c r="K1848" t="s">
        <v>38</v>
      </c>
      <c r="L1848" t="s">
        <v>38</v>
      </c>
      <c r="M1848" t="s">
        <v>38</v>
      </c>
      <c r="N1848" t="s">
        <v>38</v>
      </c>
      <c r="O1848" t="s">
        <v>38</v>
      </c>
      <c r="Q1848">
        <v>0</v>
      </c>
      <c r="T1848" t="s">
        <v>38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f t="shared" si="84"/>
        <v>1</v>
      </c>
      <c r="AF1848">
        <f>VLOOKUP(D1848,especies!$A$2:$C$9,3,FALSE)</f>
        <v>1</v>
      </c>
      <c r="AG1848" t="str">
        <f t="shared" si="85"/>
        <v>1-Basset Hound</v>
      </c>
      <c r="AH1848">
        <f>VLOOKUP('Fichas clínicas'!AG1848,razas!$A$2:$D$66,3,FALSE)</f>
        <v>33</v>
      </c>
      <c r="AI1848" t="str">
        <f t="shared" si="86"/>
        <v>H</v>
      </c>
    </row>
    <row r="1849" spans="1:35" x14ac:dyDescent="0.2">
      <c r="A1849">
        <v>1851</v>
      </c>
      <c r="B1849" t="s">
        <v>4046</v>
      </c>
      <c r="C1849" t="s">
        <v>1781</v>
      </c>
      <c r="D1849" t="s">
        <v>32</v>
      </c>
      <c r="E1849" t="s">
        <v>33</v>
      </c>
      <c r="F1849" t="s">
        <v>47</v>
      </c>
      <c r="G1849" t="s">
        <v>587</v>
      </c>
      <c r="J1849" t="s">
        <v>4047</v>
      </c>
      <c r="K1849" t="s">
        <v>38</v>
      </c>
      <c r="L1849" t="s">
        <v>38</v>
      </c>
      <c r="M1849" t="s">
        <v>38</v>
      </c>
      <c r="N1849" t="s">
        <v>38</v>
      </c>
      <c r="O1849" t="s">
        <v>38</v>
      </c>
      <c r="T1849" t="s">
        <v>38</v>
      </c>
      <c r="U1849">
        <v>0</v>
      </c>
      <c r="W1849">
        <v>0</v>
      </c>
      <c r="X1849">
        <v>0</v>
      </c>
      <c r="Y1849">
        <v>0</v>
      </c>
      <c r="AE1849">
        <f t="shared" si="84"/>
        <v>1</v>
      </c>
      <c r="AF1849">
        <f>VLOOKUP(D1849,especies!$A$2:$C$9,3,FALSE)</f>
        <v>1</v>
      </c>
      <c r="AG1849" t="str">
        <f t="shared" si="85"/>
        <v>1-Mestizo</v>
      </c>
      <c r="AH1849">
        <f>VLOOKUP('Fichas clínicas'!AG1849,razas!$A$2:$D$66,3,FALSE)</f>
        <v>1</v>
      </c>
      <c r="AI1849" t="str">
        <f t="shared" si="86"/>
        <v>M</v>
      </c>
    </row>
    <row r="1850" spans="1:35" x14ac:dyDescent="0.2">
      <c r="A1850">
        <v>1852</v>
      </c>
      <c r="B1850" t="s">
        <v>3287</v>
      </c>
      <c r="C1850" t="s">
        <v>4048</v>
      </c>
      <c r="D1850" t="s">
        <v>41</v>
      </c>
      <c r="E1850" t="s">
        <v>42</v>
      </c>
      <c r="F1850" t="s">
        <v>34</v>
      </c>
      <c r="G1850" t="s">
        <v>2797</v>
      </c>
      <c r="J1850" t="s">
        <v>130</v>
      </c>
      <c r="K1850" t="s">
        <v>38</v>
      </c>
      <c r="L1850" t="s">
        <v>38</v>
      </c>
      <c r="M1850" t="s">
        <v>38</v>
      </c>
      <c r="N1850" t="s">
        <v>38</v>
      </c>
      <c r="O1850" t="s">
        <v>38</v>
      </c>
      <c r="Q1850">
        <v>0</v>
      </c>
      <c r="T1850" t="s">
        <v>38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f t="shared" si="84"/>
        <v>1</v>
      </c>
      <c r="AF1850">
        <f>VLOOKUP(D1850,especies!$A$2:$C$9,3,FALSE)</f>
        <v>2</v>
      </c>
      <c r="AG1850" t="str">
        <f t="shared" si="85"/>
        <v>2-DPC (Doméstico de pelo corto o DSH)</v>
      </c>
      <c r="AH1850">
        <f>VLOOKUP('Fichas clínicas'!AG1850,razas!$A$2:$D$66,3,FALSE)</f>
        <v>51</v>
      </c>
      <c r="AI1850" t="str">
        <f t="shared" si="86"/>
        <v>H</v>
      </c>
    </row>
    <row r="1851" spans="1:35" x14ac:dyDescent="0.2">
      <c r="A1851">
        <v>1853</v>
      </c>
      <c r="B1851" t="s">
        <v>4049</v>
      </c>
      <c r="C1851" t="s">
        <v>3418</v>
      </c>
      <c r="D1851" t="s">
        <v>32</v>
      </c>
      <c r="E1851" t="s">
        <v>150</v>
      </c>
      <c r="F1851" t="s">
        <v>47</v>
      </c>
      <c r="G1851" t="s">
        <v>102</v>
      </c>
      <c r="J1851" t="s">
        <v>4050</v>
      </c>
      <c r="K1851" t="s">
        <v>38</v>
      </c>
      <c r="L1851" t="s">
        <v>38</v>
      </c>
      <c r="M1851" t="s">
        <v>38</v>
      </c>
      <c r="N1851" t="s">
        <v>38</v>
      </c>
      <c r="O1851" t="s">
        <v>38</v>
      </c>
      <c r="T1851" t="s">
        <v>38</v>
      </c>
      <c r="U1851">
        <v>0</v>
      </c>
      <c r="V1851">
        <v>1</v>
      </c>
      <c r="W1851">
        <v>0</v>
      </c>
      <c r="X1851">
        <v>0</v>
      </c>
      <c r="Y1851">
        <v>0</v>
      </c>
      <c r="AE1851">
        <f t="shared" si="84"/>
        <v>1</v>
      </c>
      <c r="AF1851">
        <f>VLOOKUP(D1851,especies!$A$2:$C$9,3,FALSE)</f>
        <v>1</v>
      </c>
      <c r="AG1851" t="str">
        <f t="shared" si="85"/>
        <v>1-Poodle</v>
      </c>
      <c r="AH1851">
        <f>VLOOKUP('Fichas clínicas'!AG1851,razas!$A$2:$D$66,3,FALSE)</f>
        <v>6</v>
      </c>
      <c r="AI1851" t="str">
        <f t="shared" si="86"/>
        <v>M</v>
      </c>
    </row>
    <row r="1852" spans="1:35" x14ac:dyDescent="0.2">
      <c r="A1852">
        <v>1854</v>
      </c>
      <c r="B1852" t="s">
        <v>4051</v>
      </c>
      <c r="C1852" t="s">
        <v>4052</v>
      </c>
      <c r="D1852" t="s">
        <v>41</v>
      </c>
      <c r="E1852" t="s">
        <v>93</v>
      </c>
      <c r="F1852" t="s">
        <v>47</v>
      </c>
      <c r="G1852" t="s">
        <v>4053</v>
      </c>
      <c r="J1852" t="s">
        <v>4017</v>
      </c>
      <c r="K1852" t="s">
        <v>38</v>
      </c>
      <c r="L1852" t="s">
        <v>38</v>
      </c>
      <c r="M1852" t="s">
        <v>38</v>
      </c>
      <c r="N1852" t="s">
        <v>38</v>
      </c>
      <c r="O1852" t="s">
        <v>38</v>
      </c>
      <c r="T1852" t="s">
        <v>38</v>
      </c>
      <c r="U1852">
        <v>0</v>
      </c>
      <c r="W1852">
        <v>0</v>
      </c>
      <c r="X1852">
        <v>0</v>
      </c>
      <c r="Y1852">
        <v>0</v>
      </c>
      <c r="AE1852">
        <f t="shared" si="84"/>
        <v>1</v>
      </c>
      <c r="AF1852">
        <f>VLOOKUP(D1852,especies!$A$2:$C$9,3,FALSE)</f>
        <v>2</v>
      </c>
      <c r="AG1852" t="str">
        <f t="shared" si="85"/>
        <v>2-DPL (Doméstico de pelo Largo o DLH)</v>
      </c>
      <c r="AH1852">
        <f>VLOOKUP('Fichas clínicas'!AG1852,razas!$A$2:$D$66,3,FALSE)</f>
        <v>52</v>
      </c>
      <c r="AI1852" t="str">
        <f t="shared" si="86"/>
        <v>M</v>
      </c>
    </row>
    <row r="1853" spans="1:35" x14ac:dyDescent="0.2">
      <c r="A1853">
        <v>1855</v>
      </c>
      <c r="B1853" t="s">
        <v>4054</v>
      </c>
      <c r="C1853" t="s">
        <v>4055</v>
      </c>
      <c r="D1853" t="s">
        <v>32</v>
      </c>
      <c r="E1853" t="s">
        <v>33</v>
      </c>
      <c r="F1853" t="s">
        <v>47</v>
      </c>
      <c r="G1853" t="s">
        <v>587</v>
      </c>
      <c r="J1853" t="s">
        <v>4056</v>
      </c>
      <c r="K1853" t="s">
        <v>38</v>
      </c>
      <c r="L1853" t="s">
        <v>38</v>
      </c>
      <c r="M1853" t="s">
        <v>38</v>
      </c>
      <c r="N1853" t="s">
        <v>38</v>
      </c>
      <c r="O1853" t="s">
        <v>38</v>
      </c>
      <c r="T1853" t="s">
        <v>38</v>
      </c>
      <c r="U1853">
        <v>0</v>
      </c>
      <c r="W1853">
        <v>0</v>
      </c>
      <c r="X1853">
        <v>0</v>
      </c>
      <c r="Y1853">
        <v>0</v>
      </c>
      <c r="AE1853">
        <f t="shared" si="84"/>
        <v>1</v>
      </c>
      <c r="AF1853">
        <f>VLOOKUP(D1853,especies!$A$2:$C$9,3,FALSE)</f>
        <v>1</v>
      </c>
      <c r="AG1853" t="str">
        <f t="shared" si="85"/>
        <v>1-Mestizo</v>
      </c>
      <c r="AH1853">
        <f>VLOOKUP('Fichas clínicas'!AG1853,razas!$A$2:$D$66,3,FALSE)</f>
        <v>1</v>
      </c>
      <c r="AI1853" t="str">
        <f t="shared" si="86"/>
        <v>M</v>
      </c>
    </row>
    <row r="1854" spans="1:35" x14ac:dyDescent="0.2">
      <c r="A1854">
        <v>1856</v>
      </c>
      <c r="B1854" t="s">
        <v>4057</v>
      </c>
      <c r="C1854" t="s">
        <v>4058</v>
      </c>
      <c r="D1854" t="s">
        <v>41</v>
      </c>
      <c r="E1854" t="s">
        <v>42</v>
      </c>
      <c r="F1854" t="s">
        <v>34</v>
      </c>
      <c r="G1854" t="s">
        <v>4059</v>
      </c>
      <c r="J1854" t="s">
        <v>459</v>
      </c>
      <c r="K1854" t="s">
        <v>38</v>
      </c>
      <c r="L1854" t="s">
        <v>38</v>
      </c>
      <c r="M1854" t="s">
        <v>38</v>
      </c>
      <c r="N1854" t="s">
        <v>38</v>
      </c>
      <c r="O1854" t="s">
        <v>38</v>
      </c>
      <c r="T1854" t="s">
        <v>38</v>
      </c>
      <c r="U1854">
        <v>0</v>
      </c>
      <c r="V1854">
        <v>1</v>
      </c>
      <c r="W1854">
        <v>0</v>
      </c>
      <c r="X1854">
        <v>0</v>
      </c>
      <c r="Y1854">
        <v>0</v>
      </c>
      <c r="AE1854">
        <f t="shared" si="84"/>
        <v>1</v>
      </c>
      <c r="AF1854">
        <f>VLOOKUP(D1854,especies!$A$2:$C$9,3,FALSE)</f>
        <v>2</v>
      </c>
      <c r="AG1854" t="str">
        <f t="shared" si="85"/>
        <v>2-DPC (Doméstico de pelo corto o DSH)</v>
      </c>
      <c r="AH1854">
        <f>VLOOKUP('Fichas clínicas'!AG1854,razas!$A$2:$D$66,3,FALSE)</f>
        <v>51</v>
      </c>
      <c r="AI1854" t="str">
        <f t="shared" si="86"/>
        <v>H</v>
      </c>
    </row>
    <row r="1855" spans="1:35" x14ac:dyDescent="0.2">
      <c r="A1855">
        <v>1857</v>
      </c>
      <c r="B1855" t="s">
        <v>4060</v>
      </c>
      <c r="C1855" t="s">
        <v>1800</v>
      </c>
      <c r="D1855" t="s">
        <v>32</v>
      </c>
      <c r="E1855" t="s">
        <v>33</v>
      </c>
      <c r="F1855" t="s">
        <v>34</v>
      </c>
      <c r="G1855" t="s">
        <v>452</v>
      </c>
      <c r="J1855" t="s">
        <v>4061</v>
      </c>
      <c r="K1855" t="s">
        <v>38</v>
      </c>
      <c r="L1855" t="s">
        <v>38</v>
      </c>
      <c r="M1855" t="s">
        <v>38</v>
      </c>
      <c r="N1855" t="s">
        <v>38</v>
      </c>
      <c r="O1855" t="s">
        <v>38</v>
      </c>
      <c r="T1855" t="s">
        <v>38</v>
      </c>
      <c r="U1855">
        <v>0</v>
      </c>
      <c r="W1855">
        <v>0</v>
      </c>
      <c r="X1855">
        <v>0</v>
      </c>
      <c r="Y1855">
        <v>0</v>
      </c>
      <c r="AE1855">
        <f t="shared" si="84"/>
        <v>1</v>
      </c>
      <c r="AF1855">
        <f>VLOOKUP(D1855,especies!$A$2:$C$9,3,FALSE)</f>
        <v>1</v>
      </c>
      <c r="AG1855" t="str">
        <f t="shared" si="85"/>
        <v>1-Mestizo</v>
      </c>
      <c r="AH1855">
        <f>VLOOKUP('Fichas clínicas'!AG1855,razas!$A$2:$D$66,3,FALSE)</f>
        <v>1</v>
      </c>
      <c r="AI1855" t="str">
        <f t="shared" si="86"/>
        <v>H</v>
      </c>
    </row>
    <row r="1856" spans="1:35" x14ac:dyDescent="0.2">
      <c r="A1856">
        <v>1858</v>
      </c>
      <c r="B1856" t="s">
        <v>4062</v>
      </c>
      <c r="C1856" t="s">
        <v>4035</v>
      </c>
      <c r="D1856" t="s">
        <v>32</v>
      </c>
      <c r="E1856" t="s">
        <v>33</v>
      </c>
      <c r="F1856" t="s">
        <v>47</v>
      </c>
      <c r="G1856" t="s">
        <v>3853</v>
      </c>
      <c r="J1856" t="s">
        <v>4063</v>
      </c>
      <c r="K1856" t="s">
        <v>38</v>
      </c>
      <c r="L1856" t="s">
        <v>38</v>
      </c>
      <c r="M1856" t="s">
        <v>38</v>
      </c>
      <c r="N1856" t="s">
        <v>38</v>
      </c>
      <c r="O1856" t="s">
        <v>38</v>
      </c>
      <c r="T1856" t="s">
        <v>38</v>
      </c>
      <c r="U1856">
        <v>0</v>
      </c>
      <c r="W1856">
        <v>0</v>
      </c>
      <c r="X1856">
        <v>0</v>
      </c>
      <c r="Y1856">
        <v>0</v>
      </c>
      <c r="AE1856">
        <f t="shared" si="84"/>
        <v>1</v>
      </c>
      <c r="AF1856">
        <f>VLOOKUP(D1856,especies!$A$2:$C$9,3,FALSE)</f>
        <v>1</v>
      </c>
      <c r="AG1856" t="str">
        <f t="shared" si="85"/>
        <v>1-Mestizo</v>
      </c>
      <c r="AH1856">
        <f>VLOOKUP('Fichas clínicas'!AG1856,razas!$A$2:$D$66,3,FALSE)</f>
        <v>1</v>
      </c>
      <c r="AI1856" t="str">
        <f t="shared" si="86"/>
        <v>M</v>
      </c>
    </row>
    <row r="1857" spans="1:35" x14ac:dyDescent="0.2">
      <c r="A1857">
        <v>1859</v>
      </c>
      <c r="B1857" t="s">
        <v>4064</v>
      </c>
      <c r="C1857" t="s">
        <v>4065</v>
      </c>
      <c r="D1857" t="s">
        <v>32</v>
      </c>
      <c r="E1857" t="s">
        <v>33</v>
      </c>
      <c r="F1857" t="s">
        <v>47</v>
      </c>
      <c r="G1857" t="s">
        <v>587</v>
      </c>
      <c r="J1857" t="s">
        <v>2442</v>
      </c>
      <c r="K1857" t="s">
        <v>38</v>
      </c>
      <c r="L1857" t="s">
        <v>38</v>
      </c>
      <c r="M1857" t="s">
        <v>38</v>
      </c>
      <c r="N1857" t="s">
        <v>38</v>
      </c>
      <c r="O1857" t="s">
        <v>38</v>
      </c>
      <c r="T1857" t="s">
        <v>38</v>
      </c>
      <c r="U1857">
        <v>0</v>
      </c>
      <c r="V1857">
        <v>1</v>
      </c>
      <c r="W1857">
        <v>0</v>
      </c>
      <c r="X1857">
        <v>0</v>
      </c>
      <c r="Y1857">
        <v>0</v>
      </c>
      <c r="AE1857">
        <f t="shared" si="84"/>
        <v>1</v>
      </c>
      <c r="AF1857">
        <f>VLOOKUP(D1857,especies!$A$2:$C$9,3,FALSE)</f>
        <v>1</v>
      </c>
      <c r="AG1857" t="str">
        <f t="shared" si="85"/>
        <v>1-Mestizo</v>
      </c>
      <c r="AH1857">
        <f>VLOOKUP('Fichas clínicas'!AG1857,razas!$A$2:$D$66,3,FALSE)</f>
        <v>1</v>
      </c>
      <c r="AI1857" t="str">
        <f t="shared" si="86"/>
        <v>M</v>
      </c>
    </row>
    <row r="1858" spans="1:35" x14ac:dyDescent="0.2">
      <c r="A1858">
        <v>1860</v>
      </c>
      <c r="B1858" t="s">
        <v>4049</v>
      </c>
      <c r="C1858" t="s">
        <v>4066</v>
      </c>
      <c r="D1858" t="s">
        <v>41</v>
      </c>
      <c r="E1858" t="s">
        <v>4067</v>
      </c>
      <c r="F1858" t="s">
        <v>47</v>
      </c>
      <c r="G1858" t="s">
        <v>2122</v>
      </c>
      <c r="J1858" t="s">
        <v>4068</v>
      </c>
      <c r="K1858" t="s">
        <v>38</v>
      </c>
      <c r="L1858" t="s">
        <v>38</v>
      </c>
      <c r="M1858" t="s">
        <v>38</v>
      </c>
      <c r="N1858" t="s">
        <v>38</v>
      </c>
      <c r="O1858" t="s">
        <v>38</v>
      </c>
      <c r="Q1858">
        <v>0</v>
      </c>
      <c r="T1858" t="s">
        <v>38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f t="shared" si="84"/>
        <v>1</v>
      </c>
      <c r="AF1858">
        <f>VLOOKUP(D1858,especies!$A$2:$C$9,3,FALSE)</f>
        <v>2</v>
      </c>
      <c r="AG1858" t="str">
        <f t="shared" si="85"/>
        <v>2-Persa</v>
      </c>
      <c r="AH1858">
        <f>VLOOKUP('Fichas clínicas'!AG1858,razas!$A$2:$D$66,3,FALSE)</f>
        <v>54</v>
      </c>
      <c r="AI1858" t="str">
        <f t="shared" si="86"/>
        <v>M</v>
      </c>
    </row>
    <row r="1859" spans="1:35" x14ac:dyDescent="0.2">
      <c r="A1859">
        <v>1861</v>
      </c>
      <c r="B1859" t="s">
        <v>4069</v>
      </c>
      <c r="C1859" t="s">
        <v>4070</v>
      </c>
      <c r="D1859" t="s">
        <v>32</v>
      </c>
      <c r="E1859" t="s">
        <v>143</v>
      </c>
      <c r="F1859" t="s">
        <v>34</v>
      </c>
      <c r="G1859" t="s">
        <v>1402</v>
      </c>
      <c r="J1859" t="s">
        <v>3638</v>
      </c>
      <c r="K1859" t="s">
        <v>38</v>
      </c>
      <c r="L1859" t="s">
        <v>38</v>
      </c>
      <c r="M1859" t="s">
        <v>38</v>
      </c>
      <c r="N1859" t="s">
        <v>38</v>
      </c>
      <c r="O1859" t="s">
        <v>38</v>
      </c>
      <c r="T1859" t="s">
        <v>38</v>
      </c>
      <c r="U1859">
        <v>0</v>
      </c>
      <c r="W1859">
        <v>0</v>
      </c>
      <c r="X1859">
        <v>0</v>
      </c>
      <c r="Y1859">
        <v>0</v>
      </c>
      <c r="AE1859">
        <f t="shared" ref="AE1859:AE1922" si="87">SUBTOTAL(103,E1859)</f>
        <v>1</v>
      </c>
      <c r="AF1859">
        <f>VLOOKUP(D1859,especies!$A$2:$C$9,3,FALSE)</f>
        <v>1</v>
      </c>
      <c r="AG1859" t="str">
        <f t="shared" ref="AG1859:AG1922" si="88">AF1859&amp;"-"&amp;E1859</f>
        <v>1-Yorkshire Terrier</v>
      </c>
      <c r="AH1859">
        <f>VLOOKUP('Fichas clínicas'!AG1859,razas!$A$2:$D$66,3,FALSE)</f>
        <v>5</v>
      </c>
      <c r="AI1859" t="str">
        <f t="shared" ref="AI1859:AI1922" si="89">IF(F1859="Hembra","H","M")</f>
        <v>H</v>
      </c>
    </row>
    <row r="1860" spans="1:35" x14ac:dyDescent="0.2">
      <c r="A1860">
        <v>1862</v>
      </c>
      <c r="B1860" t="s">
        <v>3912</v>
      </c>
      <c r="C1860" t="s">
        <v>4071</v>
      </c>
      <c r="D1860" t="s">
        <v>41</v>
      </c>
      <c r="E1860" t="s">
        <v>42</v>
      </c>
      <c r="F1860" t="s">
        <v>34</v>
      </c>
      <c r="G1860" t="s">
        <v>4072</v>
      </c>
      <c r="J1860" t="s">
        <v>4073</v>
      </c>
      <c r="K1860" t="s">
        <v>38</v>
      </c>
      <c r="L1860" t="s">
        <v>38</v>
      </c>
      <c r="M1860" t="s">
        <v>38</v>
      </c>
      <c r="N1860" t="s">
        <v>38</v>
      </c>
      <c r="O1860" t="s">
        <v>38</v>
      </c>
      <c r="T1860" t="s">
        <v>38</v>
      </c>
      <c r="U1860">
        <v>0</v>
      </c>
      <c r="W1860">
        <v>0</v>
      </c>
      <c r="X1860">
        <v>0</v>
      </c>
      <c r="Y1860">
        <v>0</v>
      </c>
      <c r="AE1860">
        <f t="shared" si="87"/>
        <v>1</v>
      </c>
      <c r="AF1860">
        <f>VLOOKUP(D1860,especies!$A$2:$C$9,3,FALSE)</f>
        <v>2</v>
      </c>
      <c r="AG1860" t="str">
        <f t="shared" si="88"/>
        <v>2-DPC (Doméstico de pelo corto o DSH)</v>
      </c>
      <c r="AH1860">
        <f>VLOOKUP('Fichas clínicas'!AG1860,razas!$A$2:$D$66,3,FALSE)</f>
        <v>51</v>
      </c>
      <c r="AI1860" t="str">
        <f t="shared" si="89"/>
        <v>H</v>
      </c>
    </row>
    <row r="1861" spans="1:35" x14ac:dyDescent="0.2">
      <c r="A1861">
        <v>1863</v>
      </c>
      <c r="B1861" t="s">
        <v>588</v>
      </c>
      <c r="C1861" t="s">
        <v>4074</v>
      </c>
      <c r="D1861" t="s">
        <v>41</v>
      </c>
      <c r="E1861" t="s">
        <v>42</v>
      </c>
      <c r="F1861" t="s">
        <v>34</v>
      </c>
      <c r="G1861" t="s">
        <v>2122</v>
      </c>
      <c r="J1861" t="s">
        <v>4075</v>
      </c>
      <c r="K1861" t="s">
        <v>38</v>
      </c>
      <c r="L1861" t="s">
        <v>38</v>
      </c>
      <c r="M1861" t="s">
        <v>38</v>
      </c>
      <c r="N1861" t="s">
        <v>38</v>
      </c>
      <c r="O1861" t="s">
        <v>38</v>
      </c>
      <c r="Q1861">
        <v>0</v>
      </c>
      <c r="T1861" t="s">
        <v>38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f t="shared" si="87"/>
        <v>1</v>
      </c>
      <c r="AF1861">
        <f>VLOOKUP(D1861,especies!$A$2:$C$9,3,FALSE)</f>
        <v>2</v>
      </c>
      <c r="AG1861" t="str">
        <f t="shared" si="88"/>
        <v>2-DPC (Doméstico de pelo corto o DSH)</v>
      </c>
      <c r="AH1861">
        <f>VLOOKUP('Fichas clínicas'!AG1861,razas!$A$2:$D$66,3,FALSE)</f>
        <v>51</v>
      </c>
      <c r="AI1861" t="str">
        <f t="shared" si="89"/>
        <v>H</v>
      </c>
    </row>
    <row r="1862" spans="1:35" x14ac:dyDescent="0.2">
      <c r="A1862">
        <v>1864</v>
      </c>
      <c r="B1862" t="s">
        <v>4076</v>
      </c>
      <c r="C1862" t="s">
        <v>4077</v>
      </c>
      <c r="D1862" t="s">
        <v>41</v>
      </c>
      <c r="E1862" t="s">
        <v>42</v>
      </c>
      <c r="F1862" t="s">
        <v>47</v>
      </c>
      <c r="G1862" t="s">
        <v>2065</v>
      </c>
      <c r="J1862" t="s">
        <v>4078</v>
      </c>
      <c r="K1862" t="s">
        <v>38</v>
      </c>
      <c r="L1862" t="s">
        <v>38</v>
      </c>
      <c r="M1862" t="s">
        <v>38</v>
      </c>
      <c r="N1862" t="s">
        <v>38</v>
      </c>
      <c r="O1862" t="s">
        <v>38</v>
      </c>
      <c r="T1862" t="s">
        <v>38</v>
      </c>
      <c r="U1862">
        <v>0</v>
      </c>
      <c r="V1862">
        <v>1</v>
      </c>
      <c r="W1862">
        <v>0</v>
      </c>
      <c r="X1862">
        <v>0</v>
      </c>
      <c r="Y1862">
        <v>0</v>
      </c>
      <c r="AE1862">
        <f t="shared" si="87"/>
        <v>1</v>
      </c>
      <c r="AF1862">
        <f>VLOOKUP(D1862,especies!$A$2:$C$9,3,FALSE)</f>
        <v>2</v>
      </c>
      <c r="AG1862" t="str">
        <f t="shared" si="88"/>
        <v>2-DPC (Doméstico de pelo corto o DSH)</v>
      </c>
      <c r="AH1862">
        <f>VLOOKUP('Fichas clínicas'!AG1862,razas!$A$2:$D$66,3,FALSE)</f>
        <v>51</v>
      </c>
      <c r="AI1862" t="str">
        <f t="shared" si="89"/>
        <v>M</v>
      </c>
    </row>
    <row r="1863" spans="1:35" x14ac:dyDescent="0.2">
      <c r="A1863">
        <v>1865</v>
      </c>
      <c r="B1863" t="s">
        <v>4079</v>
      </c>
      <c r="C1863" t="s">
        <v>4080</v>
      </c>
      <c r="D1863" t="s">
        <v>41</v>
      </c>
      <c r="E1863" t="s">
        <v>42</v>
      </c>
      <c r="F1863" t="s">
        <v>47</v>
      </c>
      <c r="G1863" t="s">
        <v>4081</v>
      </c>
      <c r="J1863" t="s">
        <v>2018</v>
      </c>
      <c r="K1863" t="s">
        <v>38</v>
      </c>
      <c r="L1863" t="s">
        <v>38</v>
      </c>
      <c r="M1863" t="s">
        <v>38</v>
      </c>
      <c r="N1863" t="s">
        <v>38</v>
      </c>
      <c r="O1863" t="s">
        <v>38</v>
      </c>
      <c r="T1863" t="s">
        <v>38</v>
      </c>
      <c r="U1863">
        <v>0</v>
      </c>
      <c r="V1863">
        <v>1</v>
      </c>
      <c r="W1863">
        <v>0</v>
      </c>
      <c r="X1863">
        <v>0</v>
      </c>
      <c r="Y1863">
        <v>0</v>
      </c>
      <c r="AE1863">
        <f t="shared" si="87"/>
        <v>1</v>
      </c>
      <c r="AF1863">
        <f>VLOOKUP(D1863,especies!$A$2:$C$9,3,FALSE)</f>
        <v>2</v>
      </c>
      <c r="AG1863" t="str">
        <f t="shared" si="88"/>
        <v>2-DPC (Doméstico de pelo corto o DSH)</v>
      </c>
      <c r="AH1863">
        <f>VLOOKUP('Fichas clínicas'!AG1863,razas!$A$2:$D$66,3,FALSE)</f>
        <v>51</v>
      </c>
      <c r="AI1863" t="str">
        <f t="shared" si="89"/>
        <v>M</v>
      </c>
    </row>
    <row r="1864" spans="1:35" x14ac:dyDescent="0.2">
      <c r="A1864">
        <v>1866</v>
      </c>
      <c r="B1864" t="s">
        <v>4082</v>
      </c>
      <c r="C1864" t="s">
        <v>2064</v>
      </c>
      <c r="D1864" t="s">
        <v>32</v>
      </c>
      <c r="E1864" t="s">
        <v>33</v>
      </c>
      <c r="F1864" t="s">
        <v>34</v>
      </c>
      <c r="G1864" t="s">
        <v>4021</v>
      </c>
      <c r="J1864" t="s">
        <v>820</v>
      </c>
      <c r="K1864" t="s">
        <v>38</v>
      </c>
      <c r="L1864" t="s">
        <v>38</v>
      </c>
      <c r="M1864" t="s">
        <v>38</v>
      </c>
      <c r="N1864" t="s">
        <v>38</v>
      </c>
      <c r="O1864" t="s">
        <v>38</v>
      </c>
      <c r="T1864" t="s">
        <v>38</v>
      </c>
      <c r="U1864">
        <v>0</v>
      </c>
      <c r="W1864">
        <v>0</v>
      </c>
      <c r="X1864">
        <v>0</v>
      </c>
      <c r="Y1864">
        <v>0</v>
      </c>
      <c r="AE1864">
        <f t="shared" si="87"/>
        <v>1</v>
      </c>
      <c r="AF1864">
        <f>VLOOKUP(D1864,especies!$A$2:$C$9,3,FALSE)</f>
        <v>1</v>
      </c>
      <c r="AG1864" t="str">
        <f t="shared" si="88"/>
        <v>1-Mestizo</v>
      </c>
      <c r="AH1864">
        <f>VLOOKUP('Fichas clínicas'!AG1864,razas!$A$2:$D$66,3,FALSE)</f>
        <v>1</v>
      </c>
      <c r="AI1864" t="str">
        <f t="shared" si="89"/>
        <v>H</v>
      </c>
    </row>
    <row r="1865" spans="1:35" x14ac:dyDescent="0.2">
      <c r="A1865">
        <v>1867</v>
      </c>
      <c r="B1865" t="s">
        <v>921</v>
      </c>
      <c r="C1865" t="s">
        <v>4083</v>
      </c>
      <c r="D1865" t="s">
        <v>41</v>
      </c>
      <c r="E1865" t="s">
        <v>42</v>
      </c>
      <c r="F1865" t="s">
        <v>47</v>
      </c>
      <c r="G1865" t="s">
        <v>1656</v>
      </c>
      <c r="J1865" t="s">
        <v>3889</v>
      </c>
      <c r="K1865" t="s">
        <v>38</v>
      </c>
      <c r="L1865" t="s">
        <v>38</v>
      </c>
      <c r="M1865" t="s">
        <v>38</v>
      </c>
      <c r="N1865" t="s">
        <v>38</v>
      </c>
      <c r="O1865" t="s">
        <v>38</v>
      </c>
      <c r="T1865" t="s">
        <v>38</v>
      </c>
      <c r="U1865">
        <v>0</v>
      </c>
      <c r="W1865">
        <v>0</v>
      </c>
      <c r="X1865">
        <v>0</v>
      </c>
      <c r="Y1865">
        <v>0</v>
      </c>
      <c r="AE1865">
        <f t="shared" si="87"/>
        <v>1</v>
      </c>
      <c r="AF1865">
        <f>VLOOKUP(D1865,especies!$A$2:$C$9,3,FALSE)</f>
        <v>2</v>
      </c>
      <c r="AG1865" t="str">
        <f t="shared" si="88"/>
        <v>2-DPC (Doméstico de pelo corto o DSH)</v>
      </c>
      <c r="AH1865">
        <f>VLOOKUP('Fichas clínicas'!AG1865,razas!$A$2:$D$66,3,FALSE)</f>
        <v>51</v>
      </c>
      <c r="AI1865" t="str">
        <f t="shared" si="89"/>
        <v>M</v>
      </c>
    </row>
    <row r="1866" spans="1:35" x14ac:dyDescent="0.2">
      <c r="A1866">
        <v>1868</v>
      </c>
      <c r="B1866" t="s">
        <v>4084</v>
      </c>
      <c r="C1866" t="s">
        <v>3249</v>
      </c>
      <c r="D1866" t="s">
        <v>41</v>
      </c>
      <c r="E1866" t="s">
        <v>42</v>
      </c>
      <c r="F1866" t="s">
        <v>47</v>
      </c>
      <c r="G1866" t="s">
        <v>3853</v>
      </c>
      <c r="J1866" t="s">
        <v>4085</v>
      </c>
      <c r="K1866" t="s">
        <v>38</v>
      </c>
      <c r="L1866" t="s">
        <v>38</v>
      </c>
      <c r="M1866" t="s">
        <v>38</v>
      </c>
      <c r="N1866" t="s">
        <v>38</v>
      </c>
      <c r="O1866" t="s">
        <v>38</v>
      </c>
      <c r="Q1866">
        <v>0</v>
      </c>
      <c r="T1866" t="s">
        <v>38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f t="shared" si="87"/>
        <v>1</v>
      </c>
      <c r="AF1866">
        <f>VLOOKUP(D1866,especies!$A$2:$C$9,3,FALSE)</f>
        <v>2</v>
      </c>
      <c r="AG1866" t="str">
        <f t="shared" si="88"/>
        <v>2-DPC (Doméstico de pelo corto o DSH)</v>
      </c>
      <c r="AH1866">
        <f>VLOOKUP('Fichas clínicas'!AG1866,razas!$A$2:$D$66,3,FALSE)</f>
        <v>51</v>
      </c>
      <c r="AI1866" t="str">
        <f t="shared" si="89"/>
        <v>M</v>
      </c>
    </row>
    <row r="1867" spans="1:35" x14ac:dyDescent="0.2">
      <c r="A1867">
        <v>1869</v>
      </c>
      <c r="B1867" t="s">
        <v>4086</v>
      </c>
      <c r="C1867" t="s">
        <v>4087</v>
      </c>
      <c r="D1867" t="s">
        <v>32</v>
      </c>
      <c r="E1867" t="s">
        <v>33</v>
      </c>
      <c r="F1867" t="s">
        <v>47</v>
      </c>
      <c r="G1867" t="s">
        <v>587</v>
      </c>
      <c r="J1867" t="s">
        <v>3597</v>
      </c>
      <c r="K1867" t="s">
        <v>38</v>
      </c>
      <c r="L1867" t="s">
        <v>38</v>
      </c>
      <c r="M1867" t="s">
        <v>38</v>
      </c>
      <c r="N1867" t="s">
        <v>38</v>
      </c>
      <c r="O1867" t="s">
        <v>38</v>
      </c>
      <c r="T1867" t="s">
        <v>38</v>
      </c>
      <c r="U1867">
        <v>0</v>
      </c>
      <c r="W1867">
        <v>0</v>
      </c>
      <c r="X1867">
        <v>0</v>
      </c>
      <c r="Y1867">
        <v>0</v>
      </c>
      <c r="AE1867">
        <f t="shared" si="87"/>
        <v>1</v>
      </c>
      <c r="AF1867">
        <f>VLOOKUP(D1867,especies!$A$2:$C$9,3,FALSE)</f>
        <v>1</v>
      </c>
      <c r="AG1867" t="str">
        <f t="shared" si="88"/>
        <v>1-Mestizo</v>
      </c>
      <c r="AH1867">
        <f>VLOOKUP('Fichas clínicas'!AG1867,razas!$A$2:$D$66,3,FALSE)</f>
        <v>1</v>
      </c>
      <c r="AI1867" t="str">
        <f t="shared" si="89"/>
        <v>M</v>
      </c>
    </row>
    <row r="1868" spans="1:35" x14ac:dyDescent="0.2">
      <c r="A1868">
        <v>1870</v>
      </c>
      <c r="B1868" t="s">
        <v>4088</v>
      </c>
      <c r="C1868" t="s">
        <v>4089</v>
      </c>
      <c r="D1868" t="s">
        <v>41</v>
      </c>
      <c r="E1868" t="s">
        <v>93</v>
      </c>
      <c r="F1868" t="s">
        <v>47</v>
      </c>
      <c r="G1868" t="s">
        <v>4032</v>
      </c>
      <c r="J1868" t="s">
        <v>867</v>
      </c>
      <c r="K1868" t="s">
        <v>38</v>
      </c>
      <c r="L1868" t="s">
        <v>38</v>
      </c>
      <c r="M1868" t="s">
        <v>38</v>
      </c>
      <c r="N1868" t="s">
        <v>38</v>
      </c>
      <c r="O1868" t="s">
        <v>38</v>
      </c>
      <c r="T1868" t="s">
        <v>38</v>
      </c>
      <c r="U1868">
        <v>0</v>
      </c>
      <c r="V1868">
        <v>1</v>
      </c>
      <c r="W1868">
        <v>0</v>
      </c>
      <c r="X1868">
        <v>0</v>
      </c>
      <c r="Y1868">
        <v>0</v>
      </c>
      <c r="AE1868">
        <f t="shared" si="87"/>
        <v>1</v>
      </c>
      <c r="AF1868">
        <f>VLOOKUP(D1868,especies!$A$2:$C$9,3,FALSE)</f>
        <v>2</v>
      </c>
      <c r="AG1868" t="str">
        <f t="shared" si="88"/>
        <v>2-DPL (Doméstico de pelo Largo o DLH)</v>
      </c>
      <c r="AH1868">
        <f>VLOOKUP('Fichas clínicas'!AG1868,razas!$A$2:$D$66,3,FALSE)</f>
        <v>52</v>
      </c>
      <c r="AI1868" t="str">
        <f t="shared" si="89"/>
        <v>M</v>
      </c>
    </row>
    <row r="1869" spans="1:35" x14ac:dyDescent="0.2">
      <c r="A1869">
        <v>1871</v>
      </c>
      <c r="B1869" t="s">
        <v>1962</v>
      </c>
      <c r="C1869" t="s">
        <v>4090</v>
      </c>
      <c r="D1869" t="s">
        <v>32</v>
      </c>
      <c r="E1869" t="s">
        <v>1963</v>
      </c>
      <c r="F1869" t="s">
        <v>47</v>
      </c>
      <c r="G1869" t="s">
        <v>102</v>
      </c>
      <c r="J1869" t="s">
        <v>841</v>
      </c>
      <c r="K1869" t="s">
        <v>38</v>
      </c>
      <c r="L1869" t="s">
        <v>38</v>
      </c>
      <c r="M1869" t="s">
        <v>38</v>
      </c>
      <c r="N1869" t="s">
        <v>38</v>
      </c>
      <c r="O1869" t="s">
        <v>38</v>
      </c>
      <c r="T1869" t="s">
        <v>38</v>
      </c>
      <c r="U1869">
        <v>0</v>
      </c>
      <c r="W1869">
        <v>0</v>
      </c>
      <c r="X1869">
        <v>0</v>
      </c>
      <c r="Y1869">
        <v>0</v>
      </c>
      <c r="AE1869">
        <f t="shared" si="87"/>
        <v>1</v>
      </c>
      <c r="AF1869">
        <f>VLOOKUP(D1869,especies!$A$2:$C$9,3,FALSE)</f>
        <v>1</v>
      </c>
      <c r="AG1869" t="str">
        <f t="shared" si="88"/>
        <v>1-Pastor de los Pirineos de pelo largo</v>
      </c>
      <c r="AH1869">
        <f>VLOOKUP('Fichas clínicas'!AG1869,razas!$A$2:$D$66,3,FALSE)</f>
        <v>34</v>
      </c>
      <c r="AI1869" t="str">
        <f t="shared" si="89"/>
        <v>M</v>
      </c>
    </row>
    <row r="1870" spans="1:35" x14ac:dyDescent="0.2">
      <c r="A1870">
        <v>1872</v>
      </c>
      <c r="B1870" t="s">
        <v>4091</v>
      </c>
      <c r="C1870" t="s">
        <v>2877</v>
      </c>
      <c r="D1870" t="s">
        <v>32</v>
      </c>
      <c r="E1870" t="s">
        <v>1963</v>
      </c>
      <c r="F1870" t="s">
        <v>47</v>
      </c>
      <c r="G1870" t="s">
        <v>1547</v>
      </c>
      <c r="J1870" t="s">
        <v>4092</v>
      </c>
      <c r="K1870" t="s">
        <v>38</v>
      </c>
      <c r="L1870" t="s">
        <v>38</v>
      </c>
      <c r="M1870" t="s">
        <v>38</v>
      </c>
      <c r="N1870" t="s">
        <v>38</v>
      </c>
      <c r="O1870" t="s">
        <v>38</v>
      </c>
      <c r="T1870" t="s">
        <v>38</v>
      </c>
      <c r="U1870">
        <v>0</v>
      </c>
      <c r="W1870">
        <v>0</v>
      </c>
      <c r="X1870">
        <v>0</v>
      </c>
      <c r="Y1870">
        <v>0</v>
      </c>
      <c r="AE1870">
        <f t="shared" si="87"/>
        <v>1</v>
      </c>
      <c r="AF1870">
        <f>VLOOKUP(D1870,especies!$A$2:$C$9,3,FALSE)</f>
        <v>1</v>
      </c>
      <c r="AG1870" t="str">
        <f t="shared" si="88"/>
        <v>1-Pastor de los Pirineos de pelo largo</v>
      </c>
      <c r="AH1870">
        <f>VLOOKUP('Fichas clínicas'!AG1870,razas!$A$2:$D$66,3,FALSE)</f>
        <v>34</v>
      </c>
      <c r="AI1870" t="str">
        <f t="shared" si="89"/>
        <v>M</v>
      </c>
    </row>
    <row r="1871" spans="1:35" x14ac:dyDescent="0.2">
      <c r="A1871">
        <v>1873</v>
      </c>
      <c r="B1871" t="s">
        <v>3094</v>
      </c>
      <c r="C1871" t="s">
        <v>3969</v>
      </c>
      <c r="D1871" t="s">
        <v>32</v>
      </c>
      <c r="E1871" t="s">
        <v>143</v>
      </c>
      <c r="F1871" t="s">
        <v>47</v>
      </c>
      <c r="G1871" t="s">
        <v>1492</v>
      </c>
      <c r="J1871" t="s">
        <v>4093</v>
      </c>
      <c r="K1871" t="s">
        <v>38</v>
      </c>
      <c r="L1871" t="s">
        <v>38</v>
      </c>
      <c r="M1871" t="s">
        <v>38</v>
      </c>
      <c r="N1871" t="s">
        <v>38</v>
      </c>
      <c r="O1871" t="s">
        <v>38</v>
      </c>
      <c r="T1871" t="s">
        <v>38</v>
      </c>
      <c r="U1871">
        <v>0</v>
      </c>
      <c r="W1871">
        <v>0</v>
      </c>
      <c r="X1871">
        <v>0</v>
      </c>
      <c r="Y1871">
        <v>0</v>
      </c>
      <c r="AE1871">
        <f t="shared" si="87"/>
        <v>1</v>
      </c>
      <c r="AF1871">
        <f>VLOOKUP(D1871,especies!$A$2:$C$9,3,FALSE)</f>
        <v>1</v>
      </c>
      <c r="AG1871" t="str">
        <f t="shared" si="88"/>
        <v>1-Yorkshire Terrier</v>
      </c>
      <c r="AH1871">
        <f>VLOOKUP('Fichas clínicas'!AG1871,razas!$A$2:$D$66,3,FALSE)</f>
        <v>5</v>
      </c>
      <c r="AI1871" t="str">
        <f t="shared" si="89"/>
        <v>M</v>
      </c>
    </row>
    <row r="1872" spans="1:35" x14ac:dyDescent="0.2">
      <c r="A1872">
        <v>1874</v>
      </c>
      <c r="B1872" t="s">
        <v>4094</v>
      </c>
      <c r="C1872" t="s">
        <v>4095</v>
      </c>
      <c r="D1872" t="s">
        <v>32</v>
      </c>
      <c r="E1872" t="s">
        <v>143</v>
      </c>
      <c r="F1872" t="s">
        <v>34</v>
      </c>
      <c r="G1872" t="s">
        <v>587</v>
      </c>
      <c r="J1872" t="s">
        <v>4096</v>
      </c>
      <c r="K1872" t="s">
        <v>38</v>
      </c>
      <c r="L1872" t="s">
        <v>38</v>
      </c>
      <c r="M1872" t="s">
        <v>38</v>
      </c>
      <c r="N1872" t="s">
        <v>38</v>
      </c>
      <c r="O1872" t="s">
        <v>38</v>
      </c>
      <c r="T1872" t="s">
        <v>38</v>
      </c>
      <c r="U1872">
        <v>0</v>
      </c>
      <c r="W1872">
        <v>0</v>
      </c>
      <c r="X1872">
        <v>0</v>
      </c>
      <c r="Y1872">
        <v>0</v>
      </c>
      <c r="AE1872">
        <f t="shared" si="87"/>
        <v>1</v>
      </c>
      <c r="AF1872">
        <f>VLOOKUP(D1872,especies!$A$2:$C$9,3,FALSE)</f>
        <v>1</v>
      </c>
      <c r="AG1872" t="str">
        <f t="shared" si="88"/>
        <v>1-Yorkshire Terrier</v>
      </c>
      <c r="AH1872">
        <f>VLOOKUP('Fichas clínicas'!AG1872,razas!$A$2:$D$66,3,FALSE)</f>
        <v>5</v>
      </c>
      <c r="AI1872" t="str">
        <f t="shared" si="89"/>
        <v>H</v>
      </c>
    </row>
    <row r="1873" spans="1:35" x14ac:dyDescent="0.2">
      <c r="A1873">
        <v>1875</v>
      </c>
      <c r="B1873" t="s">
        <v>4097</v>
      </c>
      <c r="C1873" t="s">
        <v>3351</v>
      </c>
      <c r="D1873" t="s">
        <v>41</v>
      </c>
      <c r="E1873" t="s">
        <v>42</v>
      </c>
      <c r="F1873" t="s">
        <v>47</v>
      </c>
      <c r="G1873" t="s">
        <v>2833</v>
      </c>
      <c r="J1873" t="s">
        <v>4098</v>
      </c>
      <c r="K1873" t="s">
        <v>38</v>
      </c>
      <c r="L1873" t="s">
        <v>38</v>
      </c>
      <c r="M1873" t="s">
        <v>38</v>
      </c>
      <c r="N1873" t="s">
        <v>38</v>
      </c>
      <c r="O1873" t="s">
        <v>38</v>
      </c>
      <c r="T1873" t="s">
        <v>38</v>
      </c>
      <c r="U1873">
        <v>0</v>
      </c>
      <c r="W1873">
        <v>0</v>
      </c>
      <c r="X1873">
        <v>0</v>
      </c>
      <c r="Y1873">
        <v>0</v>
      </c>
      <c r="AE1873">
        <f t="shared" si="87"/>
        <v>1</v>
      </c>
      <c r="AF1873">
        <f>VLOOKUP(D1873,especies!$A$2:$C$9,3,FALSE)</f>
        <v>2</v>
      </c>
      <c r="AG1873" t="str">
        <f t="shared" si="88"/>
        <v>2-DPC (Doméstico de pelo corto o DSH)</v>
      </c>
      <c r="AH1873">
        <f>VLOOKUP('Fichas clínicas'!AG1873,razas!$A$2:$D$66,3,FALSE)</f>
        <v>51</v>
      </c>
      <c r="AI1873" t="str">
        <f t="shared" si="89"/>
        <v>M</v>
      </c>
    </row>
    <row r="1874" spans="1:35" x14ac:dyDescent="0.2">
      <c r="A1874">
        <v>1876</v>
      </c>
      <c r="B1874" t="s">
        <v>4099</v>
      </c>
      <c r="C1874" t="s">
        <v>4100</v>
      </c>
      <c r="D1874" t="s">
        <v>41</v>
      </c>
      <c r="E1874" t="s">
        <v>42</v>
      </c>
      <c r="F1874" t="s">
        <v>47</v>
      </c>
      <c r="G1874" t="s">
        <v>4101</v>
      </c>
      <c r="J1874" t="s">
        <v>3749</v>
      </c>
      <c r="K1874" t="s">
        <v>38</v>
      </c>
      <c r="L1874" t="s">
        <v>38</v>
      </c>
      <c r="M1874" t="s">
        <v>38</v>
      </c>
      <c r="N1874" t="s">
        <v>38</v>
      </c>
      <c r="O1874" t="s">
        <v>38</v>
      </c>
      <c r="T1874" t="s">
        <v>38</v>
      </c>
      <c r="U1874">
        <v>0</v>
      </c>
      <c r="W1874">
        <v>0</v>
      </c>
      <c r="X1874">
        <v>0</v>
      </c>
      <c r="Y1874">
        <v>0</v>
      </c>
      <c r="AE1874">
        <f t="shared" si="87"/>
        <v>1</v>
      </c>
      <c r="AF1874">
        <f>VLOOKUP(D1874,especies!$A$2:$C$9,3,FALSE)</f>
        <v>2</v>
      </c>
      <c r="AG1874" t="str">
        <f t="shared" si="88"/>
        <v>2-DPC (Doméstico de pelo corto o DSH)</v>
      </c>
      <c r="AH1874">
        <f>VLOOKUP('Fichas clínicas'!AG1874,razas!$A$2:$D$66,3,FALSE)</f>
        <v>51</v>
      </c>
      <c r="AI1874" t="str">
        <f t="shared" si="89"/>
        <v>M</v>
      </c>
    </row>
    <row r="1875" spans="1:35" x14ac:dyDescent="0.2">
      <c r="A1875">
        <v>1877</v>
      </c>
      <c r="B1875" t="s">
        <v>4102</v>
      </c>
      <c r="C1875" t="s">
        <v>4103</v>
      </c>
      <c r="D1875" t="s">
        <v>41</v>
      </c>
      <c r="E1875" t="s">
        <v>93</v>
      </c>
      <c r="F1875" t="s">
        <v>34</v>
      </c>
      <c r="G1875" t="s">
        <v>4104</v>
      </c>
      <c r="J1875" t="s">
        <v>4105</v>
      </c>
      <c r="K1875" t="s">
        <v>38</v>
      </c>
      <c r="L1875" t="s">
        <v>38</v>
      </c>
      <c r="M1875" t="s">
        <v>38</v>
      </c>
      <c r="N1875" t="s">
        <v>38</v>
      </c>
      <c r="O1875" t="s">
        <v>38</v>
      </c>
      <c r="T1875" t="s">
        <v>38</v>
      </c>
      <c r="U1875">
        <v>0</v>
      </c>
      <c r="W1875">
        <v>0</v>
      </c>
      <c r="X1875">
        <v>0</v>
      </c>
      <c r="Y1875">
        <v>0</v>
      </c>
      <c r="AE1875">
        <f t="shared" si="87"/>
        <v>1</v>
      </c>
      <c r="AF1875">
        <f>VLOOKUP(D1875,especies!$A$2:$C$9,3,FALSE)</f>
        <v>2</v>
      </c>
      <c r="AG1875" t="str">
        <f t="shared" si="88"/>
        <v>2-DPL (Doméstico de pelo Largo o DLH)</v>
      </c>
      <c r="AH1875">
        <f>VLOOKUP('Fichas clínicas'!AG1875,razas!$A$2:$D$66,3,FALSE)</f>
        <v>52</v>
      </c>
      <c r="AI1875" t="str">
        <f t="shared" si="89"/>
        <v>H</v>
      </c>
    </row>
    <row r="1876" spans="1:35" x14ac:dyDescent="0.2">
      <c r="A1876">
        <v>1878</v>
      </c>
      <c r="B1876" t="s">
        <v>4102</v>
      </c>
      <c r="C1876" t="s">
        <v>4106</v>
      </c>
      <c r="D1876" t="s">
        <v>41</v>
      </c>
      <c r="E1876" t="s">
        <v>93</v>
      </c>
      <c r="F1876" t="s">
        <v>47</v>
      </c>
      <c r="G1876" t="s">
        <v>1656</v>
      </c>
      <c r="J1876" t="s">
        <v>4107</v>
      </c>
      <c r="K1876" t="s">
        <v>38</v>
      </c>
      <c r="L1876" t="s">
        <v>38</v>
      </c>
      <c r="M1876" t="s">
        <v>38</v>
      </c>
      <c r="N1876" t="s">
        <v>38</v>
      </c>
      <c r="O1876" t="s">
        <v>38</v>
      </c>
      <c r="T1876" t="s">
        <v>38</v>
      </c>
      <c r="U1876">
        <v>0</v>
      </c>
      <c r="W1876">
        <v>0</v>
      </c>
      <c r="X1876">
        <v>0</v>
      </c>
      <c r="Y1876">
        <v>0</v>
      </c>
      <c r="AE1876">
        <f t="shared" si="87"/>
        <v>1</v>
      </c>
      <c r="AF1876">
        <f>VLOOKUP(D1876,especies!$A$2:$C$9,3,FALSE)</f>
        <v>2</v>
      </c>
      <c r="AG1876" t="str">
        <f t="shared" si="88"/>
        <v>2-DPL (Doméstico de pelo Largo o DLH)</v>
      </c>
      <c r="AH1876">
        <f>VLOOKUP('Fichas clínicas'!AG1876,razas!$A$2:$D$66,3,FALSE)</f>
        <v>52</v>
      </c>
      <c r="AI1876" t="str">
        <f t="shared" si="89"/>
        <v>M</v>
      </c>
    </row>
    <row r="1877" spans="1:35" x14ac:dyDescent="0.2">
      <c r="A1877">
        <v>1879</v>
      </c>
      <c r="B1877" t="s">
        <v>4108</v>
      </c>
      <c r="C1877" t="s">
        <v>4109</v>
      </c>
      <c r="D1877" t="s">
        <v>41</v>
      </c>
      <c r="E1877" t="s">
        <v>42</v>
      </c>
      <c r="F1877" t="s">
        <v>34</v>
      </c>
      <c r="G1877" t="s">
        <v>2827</v>
      </c>
      <c r="J1877" t="s">
        <v>90</v>
      </c>
      <c r="K1877" t="s">
        <v>38</v>
      </c>
      <c r="L1877" t="s">
        <v>38</v>
      </c>
      <c r="M1877" t="s">
        <v>38</v>
      </c>
      <c r="N1877" t="s">
        <v>38</v>
      </c>
      <c r="O1877" t="s">
        <v>38</v>
      </c>
      <c r="T1877" t="s">
        <v>38</v>
      </c>
      <c r="U1877">
        <v>0</v>
      </c>
      <c r="V1877">
        <v>1</v>
      </c>
      <c r="W1877">
        <v>0</v>
      </c>
      <c r="X1877">
        <v>0</v>
      </c>
      <c r="Y1877">
        <v>0</v>
      </c>
      <c r="AE1877">
        <f t="shared" si="87"/>
        <v>1</v>
      </c>
      <c r="AF1877">
        <f>VLOOKUP(D1877,especies!$A$2:$C$9,3,FALSE)</f>
        <v>2</v>
      </c>
      <c r="AG1877" t="str">
        <f t="shared" si="88"/>
        <v>2-DPC (Doméstico de pelo corto o DSH)</v>
      </c>
      <c r="AH1877">
        <f>VLOOKUP('Fichas clínicas'!AG1877,razas!$A$2:$D$66,3,FALSE)</f>
        <v>51</v>
      </c>
      <c r="AI1877" t="str">
        <f t="shared" si="89"/>
        <v>H</v>
      </c>
    </row>
    <row r="1878" spans="1:35" x14ac:dyDescent="0.2">
      <c r="A1878">
        <v>1880</v>
      </c>
      <c r="B1878" t="s">
        <v>4110</v>
      </c>
      <c r="C1878" t="s">
        <v>4111</v>
      </c>
      <c r="D1878" t="s">
        <v>41</v>
      </c>
      <c r="E1878" t="s">
        <v>42</v>
      </c>
      <c r="F1878" t="s">
        <v>34</v>
      </c>
      <c r="G1878" t="s">
        <v>102</v>
      </c>
      <c r="J1878" t="s">
        <v>4112</v>
      </c>
      <c r="K1878" t="s">
        <v>38</v>
      </c>
      <c r="L1878" t="s">
        <v>38</v>
      </c>
      <c r="M1878" t="s">
        <v>38</v>
      </c>
      <c r="N1878" t="s">
        <v>38</v>
      </c>
      <c r="O1878" t="s">
        <v>38</v>
      </c>
      <c r="T1878" t="s">
        <v>38</v>
      </c>
      <c r="U1878">
        <v>0</v>
      </c>
      <c r="V1878">
        <v>1</v>
      </c>
      <c r="W1878">
        <v>0</v>
      </c>
      <c r="X1878">
        <v>0</v>
      </c>
      <c r="Y1878">
        <v>0</v>
      </c>
      <c r="AE1878">
        <f t="shared" si="87"/>
        <v>1</v>
      </c>
      <c r="AF1878">
        <f>VLOOKUP(D1878,especies!$A$2:$C$9,3,FALSE)</f>
        <v>2</v>
      </c>
      <c r="AG1878" t="str">
        <f t="shared" si="88"/>
        <v>2-DPC (Doméstico de pelo corto o DSH)</v>
      </c>
      <c r="AH1878">
        <f>VLOOKUP('Fichas clínicas'!AG1878,razas!$A$2:$D$66,3,FALSE)</f>
        <v>51</v>
      </c>
      <c r="AI1878" t="str">
        <f t="shared" si="89"/>
        <v>H</v>
      </c>
    </row>
    <row r="1879" spans="1:35" x14ac:dyDescent="0.2">
      <c r="A1879">
        <v>1881</v>
      </c>
      <c r="B1879" t="s">
        <v>4113</v>
      </c>
      <c r="C1879" t="s">
        <v>4114</v>
      </c>
      <c r="D1879" t="s">
        <v>32</v>
      </c>
      <c r="E1879" t="s">
        <v>33</v>
      </c>
      <c r="F1879" t="s">
        <v>34</v>
      </c>
      <c r="G1879" t="s">
        <v>2878</v>
      </c>
      <c r="J1879" t="s">
        <v>4115</v>
      </c>
      <c r="K1879" t="s">
        <v>38</v>
      </c>
      <c r="L1879" t="s">
        <v>38</v>
      </c>
      <c r="M1879" t="s">
        <v>38</v>
      </c>
      <c r="N1879" t="s">
        <v>38</v>
      </c>
      <c r="O1879" t="s">
        <v>38</v>
      </c>
      <c r="T1879" t="s">
        <v>38</v>
      </c>
      <c r="U1879">
        <v>0</v>
      </c>
      <c r="W1879">
        <v>0</v>
      </c>
      <c r="X1879">
        <v>0</v>
      </c>
      <c r="Y1879">
        <v>0</v>
      </c>
      <c r="AE1879">
        <f t="shared" si="87"/>
        <v>1</v>
      </c>
      <c r="AF1879">
        <f>VLOOKUP(D1879,especies!$A$2:$C$9,3,FALSE)</f>
        <v>1</v>
      </c>
      <c r="AG1879" t="str">
        <f t="shared" si="88"/>
        <v>1-Mestizo</v>
      </c>
      <c r="AH1879">
        <f>VLOOKUP('Fichas clínicas'!AG1879,razas!$A$2:$D$66,3,FALSE)</f>
        <v>1</v>
      </c>
      <c r="AI1879" t="str">
        <f t="shared" si="89"/>
        <v>H</v>
      </c>
    </row>
    <row r="1880" spans="1:35" x14ac:dyDescent="0.2">
      <c r="A1880">
        <v>1882</v>
      </c>
      <c r="B1880" t="s">
        <v>4116</v>
      </c>
      <c r="C1880" t="s">
        <v>4117</v>
      </c>
      <c r="D1880" t="s">
        <v>41</v>
      </c>
      <c r="E1880" t="s">
        <v>93</v>
      </c>
      <c r="F1880" t="s">
        <v>47</v>
      </c>
      <c r="G1880" t="s">
        <v>4118</v>
      </c>
      <c r="J1880" t="s">
        <v>4119</v>
      </c>
      <c r="K1880" t="s">
        <v>38</v>
      </c>
      <c r="L1880" t="s">
        <v>38</v>
      </c>
      <c r="M1880" t="s">
        <v>38</v>
      </c>
      <c r="N1880" t="s">
        <v>38</v>
      </c>
      <c r="O1880" t="s">
        <v>38</v>
      </c>
      <c r="T1880" t="s">
        <v>38</v>
      </c>
      <c r="U1880">
        <v>0</v>
      </c>
      <c r="W1880">
        <v>0</v>
      </c>
      <c r="X1880">
        <v>0</v>
      </c>
      <c r="Y1880">
        <v>0</v>
      </c>
      <c r="AE1880">
        <f t="shared" si="87"/>
        <v>1</v>
      </c>
      <c r="AF1880">
        <f>VLOOKUP(D1880,especies!$A$2:$C$9,3,FALSE)</f>
        <v>2</v>
      </c>
      <c r="AG1880" t="str">
        <f t="shared" si="88"/>
        <v>2-DPL (Doméstico de pelo Largo o DLH)</v>
      </c>
      <c r="AH1880">
        <f>VLOOKUP('Fichas clínicas'!AG1880,razas!$A$2:$D$66,3,FALSE)</f>
        <v>52</v>
      </c>
      <c r="AI1880" t="str">
        <f t="shared" si="89"/>
        <v>M</v>
      </c>
    </row>
    <row r="1881" spans="1:35" x14ac:dyDescent="0.2">
      <c r="A1881">
        <v>1883</v>
      </c>
      <c r="B1881" t="s">
        <v>4120</v>
      </c>
      <c r="C1881" t="s">
        <v>3067</v>
      </c>
      <c r="D1881" t="s">
        <v>41</v>
      </c>
      <c r="E1881" t="s">
        <v>42</v>
      </c>
      <c r="F1881" t="s">
        <v>47</v>
      </c>
      <c r="G1881" t="s">
        <v>4032</v>
      </c>
      <c r="J1881" t="s">
        <v>4121</v>
      </c>
      <c r="K1881" t="s">
        <v>38</v>
      </c>
      <c r="L1881" t="s">
        <v>38</v>
      </c>
      <c r="M1881" t="s">
        <v>38</v>
      </c>
      <c r="N1881" t="s">
        <v>38</v>
      </c>
      <c r="O1881" t="s">
        <v>38</v>
      </c>
      <c r="T1881" t="s">
        <v>38</v>
      </c>
      <c r="U1881">
        <v>0</v>
      </c>
      <c r="W1881">
        <v>0</v>
      </c>
      <c r="X1881">
        <v>0</v>
      </c>
      <c r="Y1881">
        <v>0</v>
      </c>
      <c r="AE1881">
        <f t="shared" si="87"/>
        <v>1</v>
      </c>
      <c r="AF1881">
        <f>VLOOKUP(D1881,especies!$A$2:$C$9,3,FALSE)</f>
        <v>2</v>
      </c>
      <c r="AG1881" t="str">
        <f t="shared" si="88"/>
        <v>2-DPC (Doméstico de pelo corto o DSH)</v>
      </c>
      <c r="AH1881">
        <f>VLOOKUP('Fichas clínicas'!AG1881,razas!$A$2:$D$66,3,FALSE)</f>
        <v>51</v>
      </c>
      <c r="AI1881" t="str">
        <f t="shared" si="89"/>
        <v>M</v>
      </c>
    </row>
    <row r="1882" spans="1:35" x14ac:dyDescent="0.2">
      <c r="A1882">
        <v>1884</v>
      </c>
      <c r="B1882" t="s">
        <v>4122</v>
      </c>
      <c r="C1882" t="s">
        <v>4123</v>
      </c>
      <c r="D1882" t="s">
        <v>41</v>
      </c>
      <c r="E1882" t="s">
        <v>42</v>
      </c>
      <c r="F1882" t="s">
        <v>47</v>
      </c>
      <c r="G1882" t="s">
        <v>4124</v>
      </c>
      <c r="J1882" t="s">
        <v>3015</v>
      </c>
      <c r="K1882" t="s">
        <v>38</v>
      </c>
      <c r="L1882" t="s">
        <v>38</v>
      </c>
      <c r="M1882" t="s">
        <v>38</v>
      </c>
      <c r="N1882" t="s">
        <v>38</v>
      </c>
      <c r="O1882" t="s">
        <v>38</v>
      </c>
      <c r="T1882" t="s">
        <v>38</v>
      </c>
      <c r="U1882">
        <v>0</v>
      </c>
      <c r="V1882">
        <v>1</v>
      </c>
      <c r="W1882">
        <v>0</v>
      </c>
      <c r="X1882">
        <v>0</v>
      </c>
      <c r="Y1882">
        <v>0</v>
      </c>
      <c r="AE1882">
        <f t="shared" si="87"/>
        <v>1</v>
      </c>
      <c r="AF1882">
        <f>VLOOKUP(D1882,especies!$A$2:$C$9,3,FALSE)</f>
        <v>2</v>
      </c>
      <c r="AG1882" t="str">
        <f t="shared" si="88"/>
        <v>2-DPC (Doméstico de pelo corto o DSH)</v>
      </c>
      <c r="AH1882">
        <f>VLOOKUP('Fichas clínicas'!AG1882,razas!$A$2:$D$66,3,FALSE)</f>
        <v>51</v>
      </c>
      <c r="AI1882" t="str">
        <f t="shared" si="89"/>
        <v>M</v>
      </c>
    </row>
    <row r="1883" spans="1:35" x14ac:dyDescent="0.2">
      <c r="A1883">
        <v>1885</v>
      </c>
      <c r="B1883" t="s">
        <v>4125</v>
      </c>
      <c r="C1883" t="s">
        <v>4126</v>
      </c>
      <c r="D1883" t="s">
        <v>41</v>
      </c>
      <c r="E1883" t="s">
        <v>42</v>
      </c>
      <c r="F1883" t="s">
        <v>47</v>
      </c>
      <c r="G1883" t="s">
        <v>4127</v>
      </c>
      <c r="J1883" t="s">
        <v>4128</v>
      </c>
      <c r="K1883" t="s">
        <v>38</v>
      </c>
      <c r="L1883" t="s">
        <v>38</v>
      </c>
      <c r="M1883" t="s">
        <v>38</v>
      </c>
      <c r="N1883" t="s">
        <v>38</v>
      </c>
      <c r="O1883" t="s">
        <v>38</v>
      </c>
      <c r="Q1883">
        <v>0</v>
      </c>
      <c r="T1883" t="s">
        <v>38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f t="shared" si="87"/>
        <v>1</v>
      </c>
      <c r="AF1883">
        <f>VLOOKUP(D1883,especies!$A$2:$C$9,3,FALSE)</f>
        <v>2</v>
      </c>
      <c r="AG1883" t="str">
        <f t="shared" si="88"/>
        <v>2-DPC (Doméstico de pelo corto o DSH)</v>
      </c>
      <c r="AH1883">
        <f>VLOOKUP('Fichas clínicas'!AG1883,razas!$A$2:$D$66,3,FALSE)</f>
        <v>51</v>
      </c>
      <c r="AI1883" t="str">
        <f t="shared" si="89"/>
        <v>M</v>
      </c>
    </row>
    <row r="1884" spans="1:35" x14ac:dyDescent="0.2">
      <c r="A1884">
        <v>1886</v>
      </c>
      <c r="B1884" t="s">
        <v>4125</v>
      </c>
      <c r="C1884" t="s">
        <v>4129</v>
      </c>
      <c r="D1884" t="s">
        <v>41</v>
      </c>
      <c r="E1884" t="s">
        <v>42</v>
      </c>
      <c r="F1884" t="s">
        <v>34</v>
      </c>
      <c r="G1884" t="s">
        <v>4130</v>
      </c>
      <c r="J1884" t="s">
        <v>4131</v>
      </c>
      <c r="K1884" t="s">
        <v>38</v>
      </c>
      <c r="L1884" t="s">
        <v>38</v>
      </c>
      <c r="M1884" t="s">
        <v>38</v>
      </c>
      <c r="N1884" t="s">
        <v>38</v>
      </c>
      <c r="O1884" t="s">
        <v>38</v>
      </c>
      <c r="T1884" t="s">
        <v>38</v>
      </c>
      <c r="U1884">
        <v>0</v>
      </c>
      <c r="W1884">
        <v>0</v>
      </c>
      <c r="X1884">
        <v>0</v>
      </c>
      <c r="Y1884">
        <v>0</v>
      </c>
      <c r="AE1884">
        <f t="shared" si="87"/>
        <v>1</v>
      </c>
      <c r="AF1884">
        <f>VLOOKUP(D1884,especies!$A$2:$C$9,3,FALSE)</f>
        <v>2</v>
      </c>
      <c r="AG1884" t="str">
        <f t="shared" si="88"/>
        <v>2-DPC (Doméstico de pelo corto o DSH)</v>
      </c>
      <c r="AH1884">
        <f>VLOOKUP('Fichas clínicas'!AG1884,razas!$A$2:$D$66,3,FALSE)</f>
        <v>51</v>
      </c>
      <c r="AI1884" t="str">
        <f t="shared" si="89"/>
        <v>H</v>
      </c>
    </row>
    <row r="1885" spans="1:35" x14ac:dyDescent="0.2">
      <c r="A1885">
        <v>1887</v>
      </c>
      <c r="B1885" t="s">
        <v>2764</v>
      </c>
      <c r="C1885" t="s">
        <v>4132</v>
      </c>
      <c r="D1885" t="s">
        <v>32</v>
      </c>
      <c r="E1885" t="s">
        <v>33</v>
      </c>
      <c r="F1885" t="s">
        <v>47</v>
      </c>
      <c r="G1885" t="s">
        <v>1054</v>
      </c>
      <c r="J1885" t="s">
        <v>2441</v>
      </c>
      <c r="K1885" t="s">
        <v>38</v>
      </c>
      <c r="L1885" t="s">
        <v>38</v>
      </c>
      <c r="M1885" t="s">
        <v>38</v>
      </c>
      <c r="N1885" t="s">
        <v>38</v>
      </c>
      <c r="O1885" t="s">
        <v>38</v>
      </c>
      <c r="T1885" t="s">
        <v>38</v>
      </c>
      <c r="U1885">
        <v>0</v>
      </c>
      <c r="W1885">
        <v>0</v>
      </c>
      <c r="X1885">
        <v>0</v>
      </c>
      <c r="Y1885">
        <v>0</v>
      </c>
      <c r="AE1885">
        <f t="shared" si="87"/>
        <v>1</v>
      </c>
      <c r="AF1885">
        <f>VLOOKUP(D1885,especies!$A$2:$C$9,3,FALSE)</f>
        <v>1</v>
      </c>
      <c r="AG1885" t="str">
        <f t="shared" si="88"/>
        <v>1-Mestizo</v>
      </c>
      <c r="AH1885">
        <f>VLOOKUP('Fichas clínicas'!AG1885,razas!$A$2:$D$66,3,FALSE)</f>
        <v>1</v>
      </c>
      <c r="AI1885" t="str">
        <f t="shared" si="89"/>
        <v>M</v>
      </c>
    </row>
    <row r="1886" spans="1:35" x14ac:dyDescent="0.2">
      <c r="A1886">
        <v>1888</v>
      </c>
      <c r="B1886" t="s">
        <v>4133</v>
      </c>
      <c r="C1886" t="s">
        <v>3156</v>
      </c>
      <c r="D1886" t="s">
        <v>41</v>
      </c>
      <c r="E1886" t="s">
        <v>42</v>
      </c>
      <c r="F1886" t="s">
        <v>47</v>
      </c>
      <c r="G1886" t="s">
        <v>4134</v>
      </c>
      <c r="J1886" t="s">
        <v>1951</v>
      </c>
      <c r="K1886" t="s">
        <v>38</v>
      </c>
      <c r="L1886" t="s">
        <v>38</v>
      </c>
      <c r="M1886" t="s">
        <v>38</v>
      </c>
      <c r="N1886" t="s">
        <v>38</v>
      </c>
      <c r="O1886" t="s">
        <v>38</v>
      </c>
      <c r="Q1886">
        <v>0</v>
      </c>
      <c r="T1886" t="s">
        <v>38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f t="shared" si="87"/>
        <v>1</v>
      </c>
      <c r="AF1886">
        <f>VLOOKUP(D1886,especies!$A$2:$C$9,3,FALSE)</f>
        <v>2</v>
      </c>
      <c r="AG1886" t="str">
        <f t="shared" si="88"/>
        <v>2-DPC (Doméstico de pelo corto o DSH)</v>
      </c>
      <c r="AH1886">
        <f>VLOOKUP('Fichas clínicas'!AG1886,razas!$A$2:$D$66,3,FALSE)</f>
        <v>51</v>
      </c>
      <c r="AI1886" t="str">
        <f t="shared" si="89"/>
        <v>M</v>
      </c>
    </row>
    <row r="1887" spans="1:35" x14ac:dyDescent="0.2">
      <c r="A1887">
        <v>1889</v>
      </c>
      <c r="B1887" t="s">
        <v>4135</v>
      </c>
      <c r="C1887" t="s">
        <v>1781</v>
      </c>
      <c r="D1887" t="s">
        <v>32</v>
      </c>
      <c r="E1887" t="s">
        <v>33</v>
      </c>
      <c r="F1887" t="s">
        <v>47</v>
      </c>
      <c r="G1887" t="s">
        <v>1656</v>
      </c>
      <c r="J1887" t="s">
        <v>4136</v>
      </c>
      <c r="K1887" t="s">
        <v>38</v>
      </c>
      <c r="L1887" t="s">
        <v>38</v>
      </c>
      <c r="M1887" t="s">
        <v>38</v>
      </c>
      <c r="N1887" t="s">
        <v>38</v>
      </c>
      <c r="O1887" t="s">
        <v>38</v>
      </c>
      <c r="T1887" t="s">
        <v>38</v>
      </c>
      <c r="U1887">
        <v>0</v>
      </c>
      <c r="V1887">
        <v>1</v>
      </c>
      <c r="W1887">
        <v>0</v>
      </c>
      <c r="X1887">
        <v>0</v>
      </c>
      <c r="Y1887">
        <v>0</v>
      </c>
      <c r="AE1887">
        <f t="shared" si="87"/>
        <v>1</v>
      </c>
      <c r="AF1887">
        <f>VLOOKUP(D1887,especies!$A$2:$C$9,3,FALSE)</f>
        <v>1</v>
      </c>
      <c r="AG1887" t="str">
        <f t="shared" si="88"/>
        <v>1-Mestizo</v>
      </c>
      <c r="AH1887">
        <f>VLOOKUP('Fichas clínicas'!AG1887,razas!$A$2:$D$66,3,FALSE)</f>
        <v>1</v>
      </c>
      <c r="AI1887" t="str">
        <f t="shared" si="89"/>
        <v>M</v>
      </c>
    </row>
    <row r="1888" spans="1:35" x14ac:dyDescent="0.2">
      <c r="A1888">
        <v>1890</v>
      </c>
      <c r="B1888" t="s">
        <v>4137</v>
      </c>
      <c r="C1888" t="s">
        <v>1391</v>
      </c>
      <c r="D1888" t="s">
        <v>32</v>
      </c>
      <c r="E1888" t="s">
        <v>33</v>
      </c>
      <c r="F1888" t="s">
        <v>34</v>
      </c>
      <c r="G1888" t="s">
        <v>587</v>
      </c>
      <c r="J1888" t="s">
        <v>4138</v>
      </c>
      <c r="K1888" t="s">
        <v>38</v>
      </c>
      <c r="L1888" t="s">
        <v>38</v>
      </c>
      <c r="M1888" t="s">
        <v>38</v>
      </c>
      <c r="N1888" t="s">
        <v>38</v>
      </c>
      <c r="O1888" t="s">
        <v>38</v>
      </c>
      <c r="T1888" t="s">
        <v>38</v>
      </c>
      <c r="U1888">
        <v>0</v>
      </c>
      <c r="V1888">
        <v>1</v>
      </c>
      <c r="W1888">
        <v>0</v>
      </c>
      <c r="X1888">
        <v>0</v>
      </c>
      <c r="Y1888">
        <v>0</v>
      </c>
      <c r="AE1888">
        <f t="shared" si="87"/>
        <v>1</v>
      </c>
      <c r="AF1888">
        <f>VLOOKUP(D1888,especies!$A$2:$C$9,3,FALSE)</f>
        <v>1</v>
      </c>
      <c r="AG1888" t="str">
        <f t="shared" si="88"/>
        <v>1-Mestizo</v>
      </c>
      <c r="AH1888">
        <f>VLOOKUP('Fichas clínicas'!AG1888,razas!$A$2:$D$66,3,FALSE)</f>
        <v>1</v>
      </c>
      <c r="AI1888" t="str">
        <f t="shared" si="89"/>
        <v>H</v>
      </c>
    </row>
    <row r="1889" spans="1:35" x14ac:dyDescent="0.2">
      <c r="A1889">
        <v>1891</v>
      </c>
      <c r="B1889" t="s">
        <v>4139</v>
      </c>
      <c r="C1889" t="s">
        <v>4140</v>
      </c>
      <c r="D1889" t="s">
        <v>41</v>
      </c>
      <c r="E1889" t="s">
        <v>42</v>
      </c>
      <c r="F1889" t="s">
        <v>47</v>
      </c>
      <c r="G1889" t="s">
        <v>2858</v>
      </c>
      <c r="J1889" t="s">
        <v>4141</v>
      </c>
      <c r="K1889" t="s">
        <v>38</v>
      </c>
      <c r="L1889" t="s">
        <v>38</v>
      </c>
      <c r="M1889" t="s">
        <v>38</v>
      </c>
      <c r="N1889" t="s">
        <v>38</v>
      </c>
      <c r="O1889" t="s">
        <v>38</v>
      </c>
      <c r="T1889" t="s">
        <v>38</v>
      </c>
      <c r="U1889">
        <v>0</v>
      </c>
      <c r="V1889">
        <v>1</v>
      </c>
      <c r="W1889">
        <v>0</v>
      </c>
      <c r="X1889">
        <v>0</v>
      </c>
      <c r="Y1889">
        <v>0</v>
      </c>
      <c r="AE1889">
        <f t="shared" si="87"/>
        <v>1</v>
      </c>
      <c r="AF1889">
        <f>VLOOKUP(D1889,especies!$A$2:$C$9,3,FALSE)</f>
        <v>2</v>
      </c>
      <c r="AG1889" t="str">
        <f t="shared" si="88"/>
        <v>2-DPC (Doméstico de pelo corto o DSH)</v>
      </c>
      <c r="AH1889">
        <f>VLOOKUP('Fichas clínicas'!AG1889,razas!$A$2:$D$66,3,FALSE)</f>
        <v>51</v>
      </c>
      <c r="AI1889" t="str">
        <f t="shared" si="89"/>
        <v>M</v>
      </c>
    </row>
    <row r="1890" spans="1:35" x14ac:dyDescent="0.2">
      <c r="A1890">
        <v>1892</v>
      </c>
      <c r="B1890" t="s">
        <v>1241</v>
      </c>
      <c r="C1890" t="s">
        <v>4142</v>
      </c>
      <c r="D1890" t="s">
        <v>41</v>
      </c>
      <c r="E1890" t="s">
        <v>42</v>
      </c>
      <c r="F1890" t="s">
        <v>47</v>
      </c>
      <c r="G1890" t="s">
        <v>1054</v>
      </c>
      <c r="J1890" t="s">
        <v>3210</v>
      </c>
      <c r="K1890" t="s">
        <v>38</v>
      </c>
      <c r="L1890" t="s">
        <v>38</v>
      </c>
      <c r="M1890" t="s">
        <v>38</v>
      </c>
      <c r="N1890" t="s">
        <v>38</v>
      </c>
      <c r="O1890" t="s">
        <v>38</v>
      </c>
      <c r="T1890" t="s">
        <v>38</v>
      </c>
      <c r="U1890">
        <v>0</v>
      </c>
      <c r="V1890">
        <v>1</v>
      </c>
      <c r="W1890">
        <v>0</v>
      </c>
      <c r="X1890">
        <v>0</v>
      </c>
      <c r="Y1890">
        <v>0</v>
      </c>
      <c r="AE1890">
        <f t="shared" si="87"/>
        <v>1</v>
      </c>
      <c r="AF1890">
        <f>VLOOKUP(D1890,especies!$A$2:$C$9,3,FALSE)</f>
        <v>2</v>
      </c>
      <c r="AG1890" t="str">
        <f t="shared" si="88"/>
        <v>2-DPC (Doméstico de pelo corto o DSH)</v>
      </c>
      <c r="AH1890">
        <f>VLOOKUP('Fichas clínicas'!AG1890,razas!$A$2:$D$66,3,FALSE)</f>
        <v>51</v>
      </c>
      <c r="AI1890" t="str">
        <f t="shared" si="89"/>
        <v>M</v>
      </c>
    </row>
    <row r="1891" spans="1:35" x14ac:dyDescent="0.2">
      <c r="A1891">
        <v>1893</v>
      </c>
      <c r="B1891" t="s">
        <v>3995</v>
      </c>
      <c r="C1891" t="s">
        <v>4143</v>
      </c>
      <c r="D1891" t="s">
        <v>32</v>
      </c>
      <c r="E1891" t="s">
        <v>33</v>
      </c>
      <c r="F1891" t="s">
        <v>34</v>
      </c>
      <c r="G1891" t="s">
        <v>322</v>
      </c>
      <c r="J1891" t="s">
        <v>3996</v>
      </c>
      <c r="K1891" t="s">
        <v>38</v>
      </c>
      <c r="L1891" t="s">
        <v>38</v>
      </c>
      <c r="M1891" t="s">
        <v>38</v>
      </c>
      <c r="N1891" t="s">
        <v>38</v>
      </c>
      <c r="O1891" t="s">
        <v>38</v>
      </c>
      <c r="T1891" t="s">
        <v>38</v>
      </c>
      <c r="U1891">
        <v>0</v>
      </c>
      <c r="W1891">
        <v>0</v>
      </c>
      <c r="X1891">
        <v>0</v>
      </c>
      <c r="Y1891">
        <v>0</v>
      </c>
      <c r="AE1891">
        <f t="shared" si="87"/>
        <v>1</v>
      </c>
      <c r="AF1891">
        <f>VLOOKUP(D1891,especies!$A$2:$C$9,3,FALSE)</f>
        <v>1</v>
      </c>
      <c r="AG1891" t="str">
        <f t="shared" si="88"/>
        <v>1-Mestizo</v>
      </c>
      <c r="AH1891">
        <f>VLOOKUP('Fichas clínicas'!AG1891,razas!$A$2:$D$66,3,FALSE)</f>
        <v>1</v>
      </c>
      <c r="AI1891" t="str">
        <f t="shared" si="89"/>
        <v>H</v>
      </c>
    </row>
    <row r="1892" spans="1:35" x14ac:dyDescent="0.2">
      <c r="A1892">
        <v>1894</v>
      </c>
      <c r="B1892" t="s">
        <v>4144</v>
      </c>
      <c r="C1892" t="s">
        <v>4145</v>
      </c>
      <c r="D1892" t="s">
        <v>41</v>
      </c>
      <c r="E1892" t="s">
        <v>42</v>
      </c>
      <c r="F1892" t="s">
        <v>47</v>
      </c>
      <c r="G1892" t="s">
        <v>109</v>
      </c>
      <c r="J1892" t="s">
        <v>4146</v>
      </c>
      <c r="K1892" t="s">
        <v>38</v>
      </c>
      <c r="L1892" t="s">
        <v>38</v>
      </c>
      <c r="M1892" t="s">
        <v>38</v>
      </c>
      <c r="N1892" t="s">
        <v>38</v>
      </c>
      <c r="O1892" t="s">
        <v>38</v>
      </c>
      <c r="T1892" t="s">
        <v>38</v>
      </c>
      <c r="U1892">
        <v>0</v>
      </c>
      <c r="W1892">
        <v>0</v>
      </c>
      <c r="X1892">
        <v>0</v>
      </c>
      <c r="Y1892">
        <v>0</v>
      </c>
      <c r="AE1892">
        <f t="shared" si="87"/>
        <v>1</v>
      </c>
      <c r="AF1892">
        <f>VLOOKUP(D1892,especies!$A$2:$C$9,3,FALSE)</f>
        <v>2</v>
      </c>
      <c r="AG1892" t="str">
        <f t="shared" si="88"/>
        <v>2-DPC (Doméstico de pelo corto o DSH)</v>
      </c>
      <c r="AH1892">
        <f>VLOOKUP('Fichas clínicas'!AG1892,razas!$A$2:$D$66,3,FALSE)</f>
        <v>51</v>
      </c>
      <c r="AI1892" t="str">
        <f t="shared" si="89"/>
        <v>M</v>
      </c>
    </row>
    <row r="1893" spans="1:35" x14ac:dyDescent="0.2">
      <c r="A1893">
        <v>1895</v>
      </c>
      <c r="B1893" t="s">
        <v>4147</v>
      </c>
      <c r="C1893" t="s">
        <v>4148</v>
      </c>
      <c r="D1893" t="s">
        <v>32</v>
      </c>
      <c r="E1893" t="s">
        <v>33</v>
      </c>
      <c r="F1893" t="s">
        <v>34</v>
      </c>
      <c r="G1893" t="s">
        <v>2462</v>
      </c>
      <c r="J1893" t="s">
        <v>1091</v>
      </c>
      <c r="K1893" t="s">
        <v>38</v>
      </c>
      <c r="L1893" t="s">
        <v>38</v>
      </c>
      <c r="M1893" t="s">
        <v>38</v>
      </c>
      <c r="N1893" t="s">
        <v>38</v>
      </c>
      <c r="O1893" t="s">
        <v>38</v>
      </c>
      <c r="T1893" t="s">
        <v>38</v>
      </c>
      <c r="U1893">
        <v>0</v>
      </c>
      <c r="V1893">
        <v>1</v>
      </c>
      <c r="W1893">
        <v>0</v>
      </c>
      <c r="X1893">
        <v>0</v>
      </c>
      <c r="Y1893">
        <v>0</v>
      </c>
      <c r="AE1893">
        <f t="shared" si="87"/>
        <v>1</v>
      </c>
      <c r="AF1893">
        <f>VLOOKUP(D1893,especies!$A$2:$C$9,3,FALSE)</f>
        <v>1</v>
      </c>
      <c r="AG1893" t="str">
        <f t="shared" si="88"/>
        <v>1-Mestizo</v>
      </c>
      <c r="AH1893">
        <f>VLOOKUP('Fichas clínicas'!AG1893,razas!$A$2:$D$66,3,FALSE)</f>
        <v>1</v>
      </c>
      <c r="AI1893" t="str">
        <f t="shared" si="89"/>
        <v>H</v>
      </c>
    </row>
    <row r="1894" spans="1:35" x14ac:dyDescent="0.2">
      <c r="A1894">
        <v>1896</v>
      </c>
      <c r="B1894" t="s">
        <v>3854</v>
      </c>
      <c r="C1894" t="s">
        <v>4149</v>
      </c>
      <c r="D1894" t="s">
        <v>242</v>
      </c>
      <c r="E1894" t="s">
        <v>242</v>
      </c>
      <c r="F1894" t="s">
        <v>47</v>
      </c>
      <c r="G1894" t="s">
        <v>4032</v>
      </c>
      <c r="J1894" t="s">
        <v>4150</v>
      </c>
      <c r="K1894" t="s">
        <v>38</v>
      </c>
      <c r="L1894" t="s">
        <v>38</v>
      </c>
      <c r="M1894" t="s">
        <v>38</v>
      </c>
      <c r="N1894" t="s">
        <v>38</v>
      </c>
      <c r="O1894" t="s">
        <v>38</v>
      </c>
      <c r="T1894" t="s">
        <v>38</v>
      </c>
      <c r="U1894">
        <v>0</v>
      </c>
      <c r="W1894">
        <v>0</v>
      </c>
      <c r="X1894">
        <v>0</v>
      </c>
      <c r="Y1894">
        <v>0</v>
      </c>
      <c r="AE1894">
        <f t="shared" si="87"/>
        <v>1</v>
      </c>
      <c r="AF1894">
        <f>VLOOKUP(D1894,especies!$A$2:$C$9,3,FALSE)</f>
        <v>3</v>
      </c>
      <c r="AG1894" t="str">
        <f t="shared" si="88"/>
        <v>3-Otra</v>
      </c>
      <c r="AH1894">
        <f>VLOOKUP('Fichas clínicas'!AG1894,razas!$A$2:$D$66,3,FALSE)</f>
        <v>55</v>
      </c>
      <c r="AI1894" t="str">
        <f t="shared" si="89"/>
        <v>M</v>
      </c>
    </row>
    <row r="1895" spans="1:35" x14ac:dyDescent="0.2">
      <c r="A1895">
        <v>1897</v>
      </c>
      <c r="B1895" t="s">
        <v>4125</v>
      </c>
      <c r="C1895" t="s">
        <v>4151</v>
      </c>
      <c r="D1895" t="s">
        <v>41</v>
      </c>
      <c r="E1895" t="s">
        <v>42</v>
      </c>
      <c r="F1895" t="s">
        <v>34</v>
      </c>
      <c r="G1895" t="s">
        <v>2302</v>
      </c>
      <c r="J1895" t="s">
        <v>4152</v>
      </c>
      <c r="K1895" t="s">
        <v>38</v>
      </c>
      <c r="L1895" t="s">
        <v>38</v>
      </c>
      <c r="M1895" t="s">
        <v>38</v>
      </c>
      <c r="N1895" t="s">
        <v>38</v>
      </c>
      <c r="O1895" t="s">
        <v>38</v>
      </c>
      <c r="T1895" t="s">
        <v>38</v>
      </c>
      <c r="U1895">
        <v>0</v>
      </c>
      <c r="V1895">
        <v>1</v>
      </c>
      <c r="W1895">
        <v>0</v>
      </c>
      <c r="X1895">
        <v>0</v>
      </c>
      <c r="Y1895">
        <v>0</v>
      </c>
      <c r="AE1895">
        <f t="shared" si="87"/>
        <v>1</v>
      </c>
      <c r="AF1895">
        <f>VLOOKUP(D1895,especies!$A$2:$C$9,3,FALSE)</f>
        <v>2</v>
      </c>
      <c r="AG1895" t="str">
        <f t="shared" si="88"/>
        <v>2-DPC (Doméstico de pelo corto o DSH)</v>
      </c>
      <c r="AH1895">
        <f>VLOOKUP('Fichas clínicas'!AG1895,razas!$A$2:$D$66,3,FALSE)</f>
        <v>51</v>
      </c>
      <c r="AI1895" t="str">
        <f t="shared" si="89"/>
        <v>H</v>
      </c>
    </row>
    <row r="1896" spans="1:35" x14ac:dyDescent="0.2">
      <c r="A1896">
        <v>1898</v>
      </c>
      <c r="B1896" t="s">
        <v>2075</v>
      </c>
      <c r="C1896" t="s">
        <v>4153</v>
      </c>
      <c r="D1896" t="s">
        <v>32</v>
      </c>
      <c r="E1896" t="s">
        <v>33</v>
      </c>
      <c r="F1896" t="s">
        <v>34</v>
      </c>
      <c r="G1896" t="s">
        <v>1402</v>
      </c>
      <c r="J1896" t="s">
        <v>4093</v>
      </c>
      <c r="K1896" t="s">
        <v>38</v>
      </c>
      <c r="L1896" t="s">
        <v>38</v>
      </c>
      <c r="M1896" t="s">
        <v>38</v>
      </c>
      <c r="N1896" t="s">
        <v>38</v>
      </c>
      <c r="O1896" t="s">
        <v>38</v>
      </c>
      <c r="Q1896">
        <v>0</v>
      </c>
      <c r="T1896" t="s">
        <v>38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f t="shared" si="87"/>
        <v>1</v>
      </c>
      <c r="AF1896">
        <f>VLOOKUP(D1896,especies!$A$2:$C$9,3,FALSE)</f>
        <v>1</v>
      </c>
      <c r="AG1896" t="str">
        <f t="shared" si="88"/>
        <v>1-Mestizo</v>
      </c>
      <c r="AH1896">
        <f>VLOOKUP('Fichas clínicas'!AG1896,razas!$A$2:$D$66,3,FALSE)</f>
        <v>1</v>
      </c>
      <c r="AI1896" t="str">
        <f t="shared" si="89"/>
        <v>H</v>
      </c>
    </row>
    <row r="1897" spans="1:35" x14ac:dyDescent="0.2">
      <c r="A1897">
        <v>1899</v>
      </c>
      <c r="B1897" t="s">
        <v>4154</v>
      </c>
      <c r="C1897" t="s">
        <v>4155</v>
      </c>
      <c r="D1897" t="s">
        <v>32</v>
      </c>
      <c r="E1897" t="s">
        <v>309</v>
      </c>
      <c r="F1897" t="s">
        <v>34</v>
      </c>
      <c r="G1897" t="s">
        <v>4156</v>
      </c>
      <c r="J1897" t="s">
        <v>2221</v>
      </c>
      <c r="K1897" t="s">
        <v>38</v>
      </c>
      <c r="L1897" t="s">
        <v>38</v>
      </c>
      <c r="M1897" t="s">
        <v>38</v>
      </c>
      <c r="N1897" t="s">
        <v>38</v>
      </c>
      <c r="O1897" t="s">
        <v>38</v>
      </c>
      <c r="T1897" t="s">
        <v>38</v>
      </c>
      <c r="U1897">
        <v>0</v>
      </c>
      <c r="W1897">
        <v>0</v>
      </c>
      <c r="X1897">
        <v>0</v>
      </c>
      <c r="Y1897">
        <v>0</v>
      </c>
      <c r="AE1897">
        <f t="shared" si="87"/>
        <v>1</v>
      </c>
      <c r="AF1897">
        <f>VLOOKUP(D1897,especies!$A$2:$C$9,3,FALSE)</f>
        <v>1</v>
      </c>
      <c r="AG1897" t="str">
        <f t="shared" si="88"/>
        <v>1-Pug</v>
      </c>
      <c r="AH1897">
        <f>VLOOKUP('Fichas clínicas'!AG1897,razas!$A$2:$D$66,3,FALSE)</f>
        <v>11</v>
      </c>
      <c r="AI1897" t="str">
        <f t="shared" si="89"/>
        <v>H</v>
      </c>
    </row>
    <row r="1898" spans="1:35" x14ac:dyDescent="0.2">
      <c r="A1898">
        <v>1900</v>
      </c>
      <c r="B1898" t="s">
        <v>2039</v>
      </c>
      <c r="C1898" t="s">
        <v>4157</v>
      </c>
      <c r="D1898" t="s">
        <v>41</v>
      </c>
      <c r="E1898" t="s">
        <v>42</v>
      </c>
      <c r="F1898" t="s">
        <v>34</v>
      </c>
      <c r="G1898" t="s">
        <v>616</v>
      </c>
      <c r="J1898" t="s">
        <v>858</v>
      </c>
      <c r="K1898" t="s">
        <v>38</v>
      </c>
      <c r="L1898" t="s">
        <v>38</v>
      </c>
      <c r="M1898" t="s">
        <v>38</v>
      </c>
      <c r="N1898" t="s">
        <v>38</v>
      </c>
      <c r="O1898" t="s">
        <v>38</v>
      </c>
      <c r="Q1898">
        <v>0</v>
      </c>
      <c r="T1898" t="s">
        <v>38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f t="shared" si="87"/>
        <v>1</v>
      </c>
      <c r="AF1898">
        <f>VLOOKUP(D1898,especies!$A$2:$C$9,3,FALSE)</f>
        <v>2</v>
      </c>
      <c r="AG1898" t="str">
        <f t="shared" si="88"/>
        <v>2-DPC (Doméstico de pelo corto o DSH)</v>
      </c>
      <c r="AH1898">
        <f>VLOOKUP('Fichas clínicas'!AG1898,razas!$A$2:$D$66,3,FALSE)</f>
        <v>51</v>
      </c>
      <c r="AI1898" t="str">
        <f t="shared" si="89"/>
        <v>H</v>
      </c>
    </row>
    <row r="1899" spans="1:35" x14ac:dyDescent="0.2">
      <c r="A1899">
        <v>1901</v>
      </c>
      <c r="B1899" t="s">
        <v>4125</v>
      </c>
      <c r="C1899" t="s">
        <v>4158</v>
      </c>
      <c r="D1899" t="s">
        <v>41</v>
      </c>
      <c r="E1899" t="s">
        <v>93</v>
      </c>
      <c r="F1899" t="s">
        <v>34</v>
      </c>
      <c r="G1899" t="s">
        <v>2122</v>
      </c>
      <c r="J1899" t="s">
        <v>4152</v>
      </c>
      <c r="K1899" t="s">
        <v>38</v>
      </c>
      <c r="L1899" t="s">
        <v>38</v>
      </c>
      <c r="M1899" t="s">
        <v>38</v>
      </c>
      <c r="N1899" t="s">
        <v>38</v>
      </c>
      <c r="O1899" t="s">
        <v>38</v>
      </c>
      <c r="Q1899">
        <v>0</v>
      </c>
      <c r="T1899" t="s">
        <v>38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f t="shared" si="87"/>
        <v>1</v>
      </c>
      <c r="AF1899">
        <f>VLOOKUP(D1899,especies!$A$2:$C$9,3,FALSE)</f>
        <v>2</v>
      </c>
      <c r="AG1899" t="str">
        <f t="shared" si="88"/>
        <v>2-DPL (Doméstico de pelo Largo o DLH)</v>
      </c>
      <c r="AH1899">
        <f>VLOOKUP('Fichas clínicas'!AG1899,razas!$A$2:$D$66,3,FALSE)</f>
        <v>52</v>
      </c>
      <c r="AI1899" t="str">
        <f t="shared" si="89"/>
        <v>H</v>
      </c>
    </row>
    <row r="1900" spans="1:35" x14ac:dyDescent="0.2">
      <c r="A1900">
        <v>1902</v>
      </c>
      <c r="B1900" t="s">
        <v>4125</v>
      </c>
      <c r="C1900" t="s">
        <v>4159</v>
      </c>
      <c r="D1900" t="s">
        <v>41</v>
      </c>
      <c r="E1900" t="s">
        <v>42</v>
      </c>
      <c r="F1900" t="s">
        <v>34</v>
      </c>
      <c r="G1900" t="s">
        <v>825</v>
      </c>
      <c r="J1900" t="s">
        <v>4152</v>
      </c>
      <c r="K1900" t="s">
        <v>38</v>
      </c>
      <c r="L1900" t="s">
        <v>38</v>
      </c>
      <c r="M1900" t="s">
        <v>38</v>
      </c>
      <c r="N1900" t="s">
        <v>38</v>
      </c>
      <c r="O1900" t="s">
        <v>38</v>
      </c>
      <c r="T1900" t="s">
        <v>38</v>
      </c>
      <c r="U1900">
        <v>0</v>
      </c>
      <c r="W1900">
        <v>0</v>
      </c>
      <c r="X1900">
        <v>0</v>
      </c>
      <c r="Y1900">
        <v>0</v>
      </c>
      <c r="AE1900">
        <f t="shared" si="87"/>
        <v>1</v>
      </c>
      <c r="AF1900">
        <f>VLOOKUP(D1900,especies!$A$2:$C$9,3,FALSE)</f>
        <v>2</v>
      </c>
      <c r="AG1900" t="str">
        <f t="shared" si="88"/>
        <v>2-DPC (Doméstico de pelo corto o DSH)</v>
      </c>
      <c r="AH1900">
        <f>VLOOKUP('Fichas clínicas'!AG1900,razas!$A$2:$D$66,3,FALSE)</f>
        <v>51</v>
      </c>
      <c r="AI1900" t="str">
        <f t="shared" si="89"/>
        <v>H</v>
      </c>
    </row>
    <row r="1901" spans="1:35" x14ac:dyDescent="0.2">
      <c r="A1901">
        <v>1903</v>
      </c>
      <c r="B1901" t="s">
        <v>4160</v>
      </c>
      <c r="C1901" t="s">
        <v>2213</v>
      </c>
      <c r="D1901" t="s">
        <v>32</v>
      </c>
      <c r="E1901" t="s">
        <v>458</v>
      </c>
      <c r="F1901" t="s">
        <v>34</v>
      </c>
      <c r="G1901" t="s">
        <v>4026</v>
      </c>
      <c r="J1901" t="s">
        <v>943</v>
      </c>
      <c r="K1901" t="s">
        <v>38</v>
      </c>
      <c r="L1901" t="s">
        <v>38</v>
      </c>
      <c r="M1901" t="s">
        <v>38</v>
      </c>
      <c r="N1901" t="s">
        <v>38</v>
      </c>
      <c r="O1901" t="s">
        <v>38</v>
      </c>
      <c r="T1901" t="s">
        <v>38</v>
      </c>
      <c r="U1901">
        <v>0</v>
      </c>
      <c r="W1901">
        <v>0</v>
      </c>
      <c r="X1901">
        <v>0</v>
      </c>
      <c r="Y1901">
        <v>0</v>
      </c>
      <c r="AE1901">
        <f t="shared" si="87"/>
        <v>1</v>
      </c>
      <c r="AF1901">
        <f>VLOOKUP(D1901,especies!$A$2:$C$9,3,FALSE)</f>
        <v>1</v>
      </c>
      <c r="AG1901" t="str">
        <f t="shared" si="88"/>
        <v>1-Beagle</v>
      </c>
      <c r="AH1901">
        <f>VLOOKUP('Fichas clínicas'!AG1901,razas!$A$2:$D$66,3,FALSE)</f>
        <v>13</v>
      </c>
      <c r="AI1901" t="str">
        <f t="shared" si="89"/>
        <v>H</v>
      </c>
    </row>
    <row r="1902" spans="1:35" x14ac:dyDescent="0.2">
      <c r="A1902">
        <v>1904</v>
      </c>
      <c r="B1902" t="s">
        <v>4125</v>
      </c>
      <c r="C1902" t="s">
        <v>4161</v>
      </c>
      <c r="D1902" t="s">
        <v>41</v>
      </c>
      <c r="E1902" t="s">
        <v>93</v>
      </c>
      <c r="F1902" t="s">
        <v>34</v>
      </c>
      <c r="G1902" t="s">
        <v>1054</v>
      </c>
      <c r="J1902" t="s">
        <v>4162</v>
      </c>
      <c r="K1902" t="s">
        <v>38</v>
      </c>
      <c r="L1902" t="s">
        <v>38</v>
      </c>
      <c r="M1902" t="s">
        <v>38</v>
      </c>
      <c r="N1902" t="s">
        <v>38</v>
      </c>
      <c r="O1902" t="s">
        <v>38</v>
      </c>
      <c r="Q1902">
        <v>0</v>
      </c>
      <c r="T1902" t="s">
        <v>38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f t="shared" si="87"/>
        <v>1</v>
      </c>
      <c r="AF1902">
        <f>VLOOKUP(D1902,especies!$A$2:$C$9,3,FALSE)</f>
        <v>2</v>
      </c>
      <c r="AG1902" t="str">
        <f t="shared" si="88"/>
        <v>2-DPL (Doméstico de pelo Largo o DLH)</v>
      </c>
      <c r="AH1902">
        <f>VLOOKUP('Fichas clínicas'!AG1902,razas!$A$2:$D$66,3,FALSE)</f>
        <v>52</v>
      </c>
      <c r="AI1902" t="str">
        <f t="shared" si="89"/>
        <v>H</v>
      </c>
    </row>
    <row r="1903" spans="1:35" x14ac:dyDescent="0.2">
      <c r="A1903">
        <v>1905</v>
      </c>
      <c r="B1903" t="s">
        <v>179</v>
      </c>
      <c r="C1903" t="s">
        <v>2199</v>
      </c>
      <c r="D1903" t="s">
        <v>41</v>
      </c>
      <c r="E1903" t="s">
        <v>42</v>
      </c>
      <c r="F1903" t="s">
        <v>47</v>
      </c>
      <c r="G1903" t="s">
        <v>4163</v>
      </c>
      <c r="J1903" t="s">
        <v>3786</v>
      </c>
      <c r="K1903" t="s">
        <v>38</v>
      </c>
      <c r="L1903" t="s">
        <v>38</v>
      </c>
      <c r="M1903" t="s">
        <v>38</v>
      </c>
      <c r="N1903" t="s">
        <v>38</v>
      </c>
      <c r="O1903" t="s">
        <v>38</v>
      </c>
      <c r="T1903" t="s">
        <v>38</v>
      </c>
      <c r="U1903">
        <v>0</v>
      </c>
      <c r="W1903">
        <v>0</v>
      </c>
      <c r="X1903">
        <v>0</v>
      </c>
      <c r="Y1903">
        <v>0</v>
      </c>
      <c r="AE1903">
        <f t="shared" si="87"/>
        <v>1</v>
      </c>
      <c r="AF1903">
        <f>VLOOKUP(D1903,especies!$A$2:$C$9,3,FALSE)</f>
        <v>2</v>
      </c>
      <c r="AG1903" t="str">
        <f t="shared" si="88"/>
        <v>2-DPC (Doméstico de pelo corto o DSH)</v>
      </c>
      <c r="AH1903">
        <f>VLOOKUP('Fichas clínicas'!AG1903,razas!$A$2:$D$66,3,FALSE)</f>
        <v>51</v>
      </c>
      <c r="AI1903" t="str">
        <f t="shared" si="89"/>
        <v>M</v>
      </c>
    </row>
    <row r="1904" spans="1:35" x14ac:dyDescent="0.2">
      <c r="A1904">
        <v>1906</v>
      </c>
      <c r="B1904" t="s">
        <v>179</v>
      </c>
      <c r="C1904" t="s">
        <v>1539</v>
      </c>
      <c r="D1904" t="s">
        <v>41</v>
      </c>
      <c r="E1904" t="s">
        <v>42</v>
      </c>
      <c r="F1904" t="s">
        <v>47</v>
      </c>
      <c r="G1904" t="s">
        <v>1073</v>
      </c>
      <c r="J1904" t="s">
        <v>1605</v>
      </c>
      <c r="K1904" t="s">
        <v>38</v>
      </c>
      <c r="L1904" t="s">
        <v>38</v>
      </c>
      <c r="M1904" t="s">
        <v>38</v>
      </c>
      <c r="N1904" t="s">
        <v>38</v>
      </c>
      <c r="O1904" t="s">
        <v>38</v>
      </c>
      <c r="T1904" t="s">
        <v>38</v>
      </c>
      <c r="U1904">
        <v>0</v>
      </c>
      <c r="V1904">
        <v>1</v>
      </c>
      <c r="W1904">
        <v>0</v>
      </c>
      <c r="X1904">
        <v>0</v>
      </c>
      <c r="Y1904">
        <v>0</v>
      </c>
      <c r="AE1904">
        <f t="shared" si="87"/>
        <v>1</v>
      </c>
      <c r="AF1904">
        <f>VLOOKUP(D1904,especies!$A$2:$C$9,3,FALSE)</f>
        <v>2</v>
      </c>
      <c r="AG1904" t="str">
        <f t="shared" si="88"/>
        <v>2-DPC (Doméstico de pelo corto o DSH)</v>
      </c>
      <c r="AH1904">
        <f>VLOOKUP('Fichas clínicas'!AG1904,razas!$A$2:$D$66,3,FALSE)</f>
        <v>51</v>
      </c>
      <c r="AI1904" t="str">
        <f t="shared" si="89"/>
        <v>M</v>
      </c>
    </row>
    <row r="1905" spans="1:35" x14ac:dyDescent="0.2">
      <c r="A1905">
        <v>1907</v>
      </c>
      <c r="B1905" t="s">
        <v>622</v>
      </c>
      <c r="C1905" t="s">
        <v>4164</v>
      </c>
      <c r="D1905" t="s">
        <v>41</v>
      </c>
      <c r="E1905" t="s">
        <v>42</v>
      </c>
      <c r="F1905" t="s">
        <v>34</v>
      </c>
      <c r="G1905" t="s">
        <v>35</v>
      </c>
      <c r="J1905" t="s">
        <v>4165</v>
      </c>
      <c r="K1905" t="s">
        <v>38</v>
      </c>
      <c r="L1905" t="s">
        <v>38</v>
      </c>
      <c r="M1905" t="s">
        <v>38</v>
      </c>
      <c r="N1905" t="s">
        <v>38</v>
      </c>
      <c r="O1905" t="s">
        <v>38</v>
      </c>
      <c r="T1905" t="s">
        <v>38</v>
      </c>
      <c r="U1905">
        <v>0</v>
      </c>
      <c r="W1905">
        <v>0</v>
      </c>
      <c r="X1905">
        <v>0</v>
      </c>
      <c r="Y1905">
        <v>0</v>
      </c>
      <c r="AE1905">
        <f t="shared" si="87"/>
        <v>1</v>
      </c>
      <c r="AF1905">
        <f>VLOOKUP(D1905,especies!$A$2:$C$9,3,FALSE)</f>
        <v>2</v>
      </c>
      <c r="AG1905" t="str">
        <f t="shared" si="88"/>
        <v>2-DPC (Doméstico de pelo corto o DSH)</v>
      </c>
      <c r="AH1905">
        <f>VLOOKUP('Fichas clínicas'!AG1905,razas!$A$2:$D$66,3,FALSE)</f>
        <v>51</v>
      </c>
      <c r="AI1905" t="str">
        <f t="shared" si="89"/>
        <v>H</v>
      </c>
    </row>
    <row r="1906" spans="1:35" x14ac:dyDescent="0.2">
      <c r="A1906">
        <v>1908</v>
      </c>
      <c r="B1906" t="s">
        <v>4166</v>
      </c>
      <c r="C1906" t="s">
        <v>299</v>
      </c>
      <c r="D1906" t="s">
        <v>32</v>
      </c>
      <c r="E1906" t="s">
        <v>33</v>
      </c>
      <c r="F1906" t="s">
        <v>34</v>
      </c>
      <c r="G1906" t="s">
        <v>351</v>
      </c>
      <c r="J1906" t="s">
        <v>4167</v>
      </c>
      <c r="K1906" t="s">
        <v>38</v>
      </c>
      <c r="L1906" t="s">
        <v>38</v>
      </c>
      <c r="M1906" t="s">
        <v>38</v>
      </c>
      <c r="N1906" t="s">
        <v>38</v>
      </c>
      <c r="O1906" t="s">
        <v>38</v>
      </c>
      <c r="T1906" t="s">
        <v>38</v>
      </c>
      <c r="U1906">
        <v>0</v>
      </c>
      <c r="V1906">
        <v>1</v>
      </c>
      <c r="W1906">
        <v>0</v>
      </c>
      <c r="X1906">
        <v>0</v>
      </c>
      <c r="Y1906">
        <v>0</v>
      </c>
      <c r="AE1906">
        <f t="shared" si="87"/>
        <v>1</v>
      </c>
      <c r="AF1906">
        <f>VLOOKUP(D1906,especies!$A$2:$C$9,3,FALSE)</f>
        <v>1</v>
      </c>
      <c r="AG1906" t="str">
        <f t="shared" si="88"/>
        <v>1-Mestizo</v>
      </c>
      <c r="AH1906">
        <f>VLOOKUP('Fichas clínicas'!AG1906,razas!$A$2:$D$66,3,FALSE)</f>
        <v>1</v>
      </c>
      <c r="AI1906" t="str">
        <f t="shared" si="89"/>
        <v>H</v>
      </c>
    </row>
    <row r="1907" spans="1:35" x14ac:dyDescent="0.2">
      <c r="A1907">
        <v>1909</v>
      </c>
      <c r="B1907" t="s">
        <v>2262</v>
      </c>
      <c r="C1907" t="s">
        <v>3201</v>
      </c>
      <c r="D1907" t="s">
        <v>32</v>
      </c>
      <c r="E1907" t="s">
        <v>63</v>
      </c>
      <c r="F1907" t="s">
        <v>47</v>
      </c>
      <c r="G1907" t="s">
        <v>1676</v>
      </c>
      <c r="J1907" t="s">
        <v>3786</v>
      </c>
      <c r="K1907" t="s">
        <v>38</v>
      </c>
      <c r="L1907" t="s">
        <v>38</v>
      </c>
      <c r="M1907" t="s">
        <v>38</v>
      </c>
      <c r="N1907" t="s">
        <v>38</v>
      </c>
      <c r="O1907" t="s">
        <v>38</v>
      </c>
      <c r="T1907" t="s">
        <v>38</v>
      </c>
      <c r="U1907">
        <v>0</v>
      </c>
      <c r="W1907">
        <v>0</v>
      </c>
      <c r="X1907">
        <v>0</v>
      </c>
      <c r="Y1907">
        <v>0</v>
      </c>
      <c r="AE1907">
        <f t="shared" si="87"/>
        <v>1</v>
      </c>
      <c r="AF1907">
        <f>VLOOKUP(D1907,especies!$A$2:$C$9,3,FALSE)</f>
        <v>1</v>
      </c>
      <c r="AG1907" t="str">
        <f t="shared" si="88"/>
        <v>1-Fox Terrier Pelo Corto</v>
      </c>
      <c r="AH1907">
        <f>VLOOKUP('Fichas clínicas'!AG1907,razas!$A$2:$D$66,3,FALSE)</f>
        <v>2</v>
      </c>
      <c r="AI1907" t="str">
        <f t="shared" si="89"/>
        <v>M</v>
      </c>
    </row>
    <row r="1908" spans="1:35" x14ac:dyDescent="0.2">
      <c r="A1908">
        <v>1910</v>
      </c>
      <c r="B1908" t="s">
        <v>4168</v>
      </c>
      <c r="C1908" t="s">
        <v>1523</v>
      </c>
      <c r="D1908" t="s">
        <v>41</v>
      </c>
      <c r="E1908" t="s">
        <v>42</v>
      </c>
      <c r="F1908" t="s">
        <v>34</v>
      </c>
      <c r="G1908" t="s">
        <v>1604</v>
      </c>
      <c r="J1908" t="s">
        <v>439</v>
      </c>
      <c r="K1908" t="s">
        <v>38</v>
      </c>
      <c r="L1908" t="s">
        <v>38</v>
      </c>
      <c r="M1908" t="s">
        <v>38</v>
      </c>
      <c r="N1908" t="s">
        <v>38</v>
      </c>
      <c r="O1908" t="s">
        <v>38</v>
      </c>
      <c r="T1908" t="s">
        <v>38</v>
      </c>
      <c r="U1908">
        <v>0</v>
      </c>
      <c r="V1908">
        <v>1</v>
      </c>
      <c r="W1908">
        <v>0</v>
      </c>
      <c r="X1908">
        <v>0</v>
      </c>
      <c r="Y1908">
        <v>0</v>
      </c>
      <c r="AE1908">
        <f t="shared" si="87"/>
        <v>1</v>
      </c>
      <c r="AF1908">
        <f>VLOOKUP(D1908,especies!$A$2:$C$9,3,FALSE)</f>
        <v>2</v>
      </c>
      <c r="AG1908" t="str">
        <f t="shared" si="88"/>
        <v>2-DPC (Doméstico de pelo corto o DSH)</v>
      </c>
      <c r="AH1908">
        <f>VLOOKUP('Fichas clínicas'!AG1908,razas!$A$2:$D$66,3,FALSE)</f>
        <v>51</v>
      </c>
      <c r="AI1908" t="str">
        <f t="shared" si="89"/>
        <v>H</v>
      </c>
    </row>
    <row r="1909" spans="1:35" x14ac:dyDescent="0.2">
      <c r="A1909">
        <v>1911</v>
      </c>
      <c r="B1909" t="s">
        <v>4169</v>
      </c>
      <c r="C1909" t="s">
        <v>4170</v>
      </c>
      <c r="D1909" t="s">
        <v>32</v>
      </c>
      <c r="E1909" t="s">
        <v>33</v>
      </c>
      <c r="F1909" t="s">
        <v>47</v>
      </c>
      <c r="G1909" t="s">
        <v>694</v>
      </c>
      <c r="I1909">
        <v>900223000355273</v>
      </c>
      <c r="J1909" t="s">
        <v>4171</v>
      </c>
      <c r="K1909" t="s">
        <v>38</v>
      </c>
      <c r="L1909" t="s">
        <v>38</v>
      </c>
      <c r="M1909" t="s">
        <v>38</v>
      </c>
      <c r="N1909" t="s">
        <v>38</v>
      </c>
      <c r="O1909" t="s">
        <v>38</v>
      </c>
      <c r="Q1909">
        <v>0</v>
      </c>
      <c r="T1909" t="s">
        <v>38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f t="shared" si="87"/>
        <v>1</v>
      </c>
      <c r="AF1909">
        <f>VLOOKUP(D1909,especies!$A$2:$C$9,3,FALSE)</f>
        <v>1</v>
      </c>
      <c r="AG1909" t="str">
        <f t="shared" si="88"/>
        <v>1-Mestizo</v>
      </c>
      <c r="AH1909">
        <f>VLOOKUP('Fichas clínicas'!AG1909,razas!$A$2:$D$66,3,FALSE)</f>
        <v>1</v>
      </c>
      <c r="AI1909" t="str">
        <f t="shared" si="89"/>
        <v>M</v>
      </c>
    </row>
    <row r="1910" spans="1:35" x14ac:dyDescent="0.2">
      <c r="A1910">
        <v>1912</v>
      </c>
      <c r="B1910" t="s">
        <v>2666</v>
      </c>
      <c r="C1910" t="s">
        <v>2331</v>
      </c>
      <c r="D1910" t="s">
        <v>41</v>
      </c>
      <c r="E1910" t="s">
        <v>42</v>
      </c>
      <c r="F1910" t="s">
        <v>34</v>
      </c>
      <c r="G1910" t="s">
        <v>1402</v>
      </c>
      <c r="J1910" t="s">
        <v>601</v>
      </c>
      <c r="K1910" t="s">
        <v>38</v>
      </c>
      <c r="L1910" t="s">
        <v>38</v>
      </c>
      <c r="M1910" t="s">
        <v>38</v>
      </c>
      <c r="N1910" t="s">
        <v>38</v>
      </c>
      <c r="O1910" t="s">
        <v>38</v>
      </c>
      <c r="T1910" t="s">
        <v>38</v>
      </c>
      <c r="U1910">
        <v>0</v>
      </c>
      <c r="V1910">
        <v>1</v>
      </c>
      <c r="W1910">
        <v>0</v>
      </c>
      <c r="X1910">
        <v>0</v>
      </c>
      <c r="Y1910">
        <v>0</v>
      </c>
      <c r="AE1910">
        <f t="shared" si="87"/>
        <v>1</v>
      </c>
      <c r="AF1910">
        <f>VLOOKUP(D1910,especies!$A$2:$C$9,3,FALSE)</f>
        <v>2</v>
      </c>
      <c r="AG1910" t="str">
        <f t="shared" si="88"/>
        <v>2-DPC (Doméstico de pelo corto o DSH)</v>
      </c>
      <c r="AH1910">
        <f>VLOOKUP('Fichas clínicas'!AG1910,razas!$A$2:$D$66,3,FALSE)</f>
        <v>51</v>
      </c>
      <c r="AI1910" t="str">
        <f t="shared" si="89"/>
        <v>H</v>
      </c>
    </row>
    <row r="1911" spans="1:35" x14ac:dyDescent="0.2">
      <c r="A1911">
        <v>1913</v>
      </c>
      <c r="B1911" t="s">
        <v>1782</v>
      </c>
      <c r="C1911" t="s">
        <v>1573</v>
      </c>
      <c r="D1911" t="s">
        <v>41</v>
      </c>
      <c r="E1911" t="s">
        <v>42</v>
      </c>
      <c r="F1911" t="s">
        <v>34</v>
      </c>
      <c r="G1911" t="s">
        <v>4172</v>
      </c>
      <c r="J1911" t="s">
        <v>4173</v>
      </c>
      <c r="K1911" t="s">
        <v>38</v>
      </c>
      <c r="L1911" t="s">
        <v>38</v>
      </c>
      <c r="M1911" t="s">
        <v>38</v>
      </c>
      <c r="N1911" t="s">
        <v>38</v>
      </c>
      <c r="O1911" t="s">
        <v>38</v>
      </c>
      <c r="T1911" t="s">
        <v>38</v>
      </c>
      <c r="U1911">
        <v>0</v>
      </c>
      <c r="W1911">
        <v>0</v>
      </c>
      <c r="X1911">
        <v>0</v>
      </c>
      <c r="Y1911">
        <v>0</v>
      </c>
      <c r="AE1911">
        <f t="shared" si="87"/>
        <v>1</v>
      </c>
      <c r="AF1911">
        <f>VLOOKUP(D1911,especies!$A$2:$C$9,3,FALSE)</f>
        <v>2</v>
      </c>
      <c r="AG1911" t="str">
        <f t="shared" si="88"/>
        <v>2-DPC (Doméstico de pelo corto o DSH)</v>
      </c>
      <c r="AH1911">
        <f>VLOOKUP('Fichas clínicas'!AG1911,razas!$A$2:$D$66,3,FALSE)</f>
        <v>51</v>
      </c>
      <c r="AI1911" t="str">
        <f t="shared" si="89"/>
        <v>H</v>
      </c>
    </row>
    <row r="1912" spans="1:35" x14ac:dyDescent="0.2">
      <c r="A1912">
        <v>1914</v>
      </c>
      <c r="B1912" t="s">
        <v>3806</v>
      </c>
      <c r="C1912" t="s">
        <v>4174</v>
      </c>
      <c r="D1912" t="s">
        <v>32</v>
      </c>
      <c r="E1912" t="s">
        <v>309</v>
      </c>
      <c r="F1912" t="s">
        <v>34</v>
      </c>
      <c r="G1912" t="s">
        <v>4021</v>
      </c>
      <c r="J1912" t="s">
        <v>4175</v>
      </c>
      <c r="K1912" t="s">
        <v>38</v>
      </c>
      <c r="L1912" t="s">
        <v>38</v>
      </c>
      <c r="M1912" t="s">
        <v>38</v>
      </c>
      <c r="N1912" t="s">
        <v>38</v>
      </c>
      <c r="O1912" t="s">
        <v>38</v>
      </c>
      <c r="T1912" t="s">
        <v>38</v>
      </c>
      <c r="U1912">
        <v>0</v>
      </c>
      <c r="V1912">
        <v>1</v>
      </c>
      <c r="W1912">
        <v>0</v>
      </c>
      <c r="X1912">
        <v>0</v>
      </c>
      <c r="Y1912">
        <v>0</v>
      </c>
      <c r="AE1912">
        <f t="shared" si="87"/>
        <v>1</v>
      </c>
      <c r="AF1912">
        <f>VLOOKUP(D1912,especies!$A$2:$C$9,3,FALSE)</f>
        <v>1</v>
      </c>
      <c r="AG1912" t="str">
        <f t="shared" si="88"/>
        <v>1-Pug</v>
      </c>
      <c r="AH1912">
        <f>VLOOKUP('Fichas clínicas'!AG1912,razas!$A$2:$D$66,3,FALSE)</f>
        <v>11</v>
      </c>
      <c r="AI1912" t="str">
        <f t="shared" si="89"/>
        <v>H</v>
      </c>
    </row>
    <row r="1913" spans="1:35" x14ac:dyDescent="0.2">
      <c r="A1913">
        <v>1915</v>
      </c>
      <c r="B1913" t="s">
        <v>3997</v>
      </c>
      <c r="C1913" t="s">
        <v>4176</v>
      </c>
      <c r="D1913" t="s">
        <v>41</v>
      </c>
      <c r="E1913" t="s">
        <v>42</v>
      </c>
      <c r="F1913" t="s">
        <v>34</v>
      </c>
      <c r="G1913" t="s">
        <v>4177</v>
      </c>
      <c r="J1913" t="s">
        <v>4178</v>
      </c>
      <c r="K1913" t="s">
        <v>38</v>
      </c>
      <c r="L1913" t="s">
        <v>38</v>
      </c>
      <c r="M1913" t="s">
        <v>38</v>
      </c>
      <c r="N1913" t="s">
        <v>38</v>
      </c>
      <c r="O1913" t="s">
        <v>38</v>
      </c>
      <c r="T1913" t="s">
        <v>38</v>
      </c>
      <c r="U1913">
        <v>0</v>
      </c>
      <c r="W1913">
        <v>0</v>
      </c>
      <c r="X1913">
        <v>0</v>
      </c>
      <c r="Y1913">
        <v>0</v>
      </c>
      <c r="AE1913">
        <f t="shared" si="87"/>
        <v>1</v>
      </c>
      <c r="AF1913">
        <f>VLOOKUP(D1913,especies!$A$2:$C$9,3,FALSE)</f>
        <v>2</v>
      </c>
      <c r="AG1913" t="str">
        <f t="shared" si="88"/>
        <v>2-DPC (Doméstico de pelo corto o DSH)</v>
      </c>
      <c r="AH1913">
        <f>VLOOKUP('Fichas clínicas'!AG1913,razas!$A$2:$D$66,3,FALSE)</f>
        <v>51</v>
      </c>
      <c r="AI1913" t="str">
        <f t="shared" si="89"/>
        <v>H</v>
      </c>
    </row>
    <row r="1914" spans="1:35" x14ac:dyDescent="0.2">
      <c r="A1914">
        <v>1916</v>
      </c>
      <c r="B1914" t="s">
        <v>3997</v>
      </c>
      <c r="C1914" t="s">
        <v>4179</v>
      </c>
      <c r="D1914" t="s">
        <v>41</v>
      </c>
      <c r="E1914" t="s">
        <v>42</v>
      </c>
      <c r="F1914" t="s">
        <v>34</v>
      </c>
      <c r="G1914" t="s">
        <v>3567</v>
      </c>
      <c r="J1914" t="s">
        <v>4178</v>
      </c>
      <c r="K1914" t="s">
        <v>38</v>
      </c>
      <c r="L1914" t="s">
        <v>38</v>
      </c>
      <c r="M1914" t="s">
        <v>38</v>
      </c>
      <c r="N1914" t="s">
        <v>38</v>
      </c>
      <c r="O1914" t="s">
        <v>38</v>
      </c>
      <c r="Q1914">
        <v>0</v>
      </c>
      <c r="T1914" t="s">
        <v>38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f t="shared" si="87"/>
        <v>1</v>
      </c>
      <c r="AF1914">
        <f>VLOOKUP(D1914,especies!$A$2:$C$9,3,FALSE)</f>
        <v>2</v>
      </c>
      <c r="AG1914" t="str">
        <f t="shared" si="88"/>
        <v>2-DPC (Doméstico de pelo corto o DSH)</v>
      </c>
      <c r="AH1914">
        <f>VLOOKUP('Fichas clínicas'!AG1914,razas!$A$2:$D$66,3,FALSE)</f>
        <v>51</v>
      </c>
      <c r="AI1914" t="str">
        <f t="shared" si="89"/>
        <v>H</v>
      </c>
    </row>
    <row r="1915" spans="1:35" x14ac:dyDescent="0.2">
      <c r="A1915">
        <v>1917</v>
      </c>
      <c r="B1915" t="s">
        <v>3736</v>
      </c>
      <c r="C1915" t="s">
        <v>4180</v>
      </c>
      <c r="D1915" t="s">
        <v>41</v>
      </c>
      <c r="E1915" t="s">
        <v>42</v>
      </c>
      <c r="F1915" t="s">
        <v>47</v>
      </c>
      <c r="G1915" t="s">
        <v>3853</v>
      </c>
      <c r="J1915" t="s">
        <v>4152</v>
      </c>
      <c r="K1915" t="s">
        <v>38</v>
      </c>
      <c r="L1915" t="s">
        <v>38</v>
      </c>
      <c r="M1915" t="s">
        <v>38</v>
      </c>
      <c r="N1915" t="s">
        <v>38</v>
      </c>
      <c r="O1915" t="s">
        <v>38</v>
      </c>
      <c r="T1915" t="s">
        <v>38</v>
      </c>
      <c r="U1915">
        <v>0</v>
      </c>
      <c r="W1915">
        <v>0</v>
      </c>
      <c r="X1915">
        <v>0</v>
      </c>
      <c r="Y1915">
        <v>0</v>
      </c>
      <c r="AE1915">
        <f t="shared" si="87"/>
        <v>1</v>
      </c>
      <c r="AF1915">
        <f>VLOOKUP(D1915,especies!$A$2:$C$9,3,FALSE)</f>
        <v>2</v>
      </c>
      <c r="AG1915" t="str">
        <f t="shared" si="88"/>
        <v>2-DPC (Doméstico de pelo corto o DSH)</v>
      </c>
      <c r="AH1915">
        <f>VLOOKUP('Fichas clínicas'!AG1915,razas!$A$2:$D$66,3,FALSE)</f>
        <v>51</v>
      </c>
      <c r="AI1915" t="str">
        <f t="shared" si="89"/>
        <v>M</v>
      </c>
    </row>
    <row r="1916" spans="1:35" x14ac:dyDescent="0.2">
      <c r="A1916">
        <v>1918</v>
      </c>
      <c r="B1916" t="s">
        <v>1992</v>
      </c>
      <c r="C1916" t="s">
        <v>1758</v>
      </c>
      <c r="D1916" t="s">
        <v>32</v>
      </c>
      <c r="E1916" t="s">
        <v>545</v>
      </c>
      <c r="F1916" t="s">
        <v>47</v>
      </c>
      <c r="G1916" t="s">
        <v>4032</v>
      </c>
      <c r="J1916" t="s">
        <v>3993</v>
      </c>
      <c r="K1916" t="s">
        <v>38</v>
      </c>
      <c r="L1916" t="s">
        <v>38</v>
      </c>
      <c r="M1916" t="s">
        <v>38</v>
      </c>
      <c r="N1916" t="s">
        <v>38</v>
      </c>
      <c r="O1916" t="s">
        <v>38</v>
      </c>
      <c r="T1916" t="s">
        <v>38</v>
      </c>
      <c r="U1916">
        <v>0</v>
      </c>
      <c r="W1916">
        <v>0</v>
      </c>
      <c r="X1916">
        <v>0</v>
      </c>
      <c r="Y1916">
        <v>0</v>
      </c>
      <c r="AE1916">
        <f t="shared" si="87"/>
        <v>1</v>
      </c>
      <c r="AF1916">
        <f>VLOOKUP(D1916,especies!$A$2:$C$9,3,FALSE)</f>
        <v>1</v>
      </c>
      <c r="AG1916" t="str">
        <f t="shared" si="88"/>
        <v>1-Golden Retriever</v>
      </c>
      <c r="AH1916">
        <f>VLOOKUP('Fichas clínicas'!AG1916,razas!$A$2:$D$66,3,FALSE)</f>
        <v>16</v>
      </c>
      <c r="AI1916" t="str">
        <f t="shared" si="89"/>
        <v>M</v>
      </c>
    </row>
    <row r="1917" spans="1:35" x14ac:dyDescent="0.2">
      <c r="A1917">
        <v>1919</v>
      </c>
      <c r="B1917" t="s">
        <v>4181</v>
      </c>
      <c r="C1917" t="s">
        <v>1573</v>
      </c>
      <c r="D1917" t="s">
        <v>32</v>
      </c>
      <c r="E1917" t="s">
        <v>33</v>
      </c>
      <c r="F1917" t="s">
        <v>34</v>
      </c>
      <c r="G1917" t="s">
        <v>587</v>
      </c>
      <c r="J1917" t="s">
        <v>4182</v>
      </c>
      <c r="K1917" t="s">
        <v>38</v>
      </c>
      <c r="L1917" t="s">
        <v>38</v>
      </c>
      <c r="M1917" t="s">
        <v>38</v>
      </c>
      <c r="N1917" t="s">
        <v>38</v>
      </c>
      <c r="O1917" t="s">
        <v>38</v>
      </c>
      <c r="T1917" t="s">
        <v>38</v>
      </c>
      <c r="U1917">
        <v>0</v>
      </c>
      <c r="V1917">
        <v>1</v>
      </c>
      <c r="W1917">
        <v>0</v>
      </c>
      <c r="X1917">
        <v>0</v>
      </c>
      <c r="Y1917">
        <v>0</v>
      </c>
      <c r="AE1917">
        <f t="shared" si="87"/>
        <v>1</v>
      </c>
      <c r="AF1917">
        <f>VLOOKUP(D1917,especies!$A$2:$C$9,3,FALSE)</f>
        <v>1</v>
      </c>
      <c r="AG1917" t="str">
        <f t="shared" si="88"/>
        <v>1-Mestizo</v>
      </c>
      <c r="AH1917">
        <f>VLOOKUP('Fichas clínicas'!AG1917,razas!$A$2:$D$66,3,FALSE)</f>
        <v>1</v>
      </c>
      <c r="AI1917" t="str">
        <f t="shared" si="89"/>
        <v>H</v>
      </c>
    </row>
    <row r="1918" spans="1:35" x14ac:dyDescent="0.2">
      <c r="A1918">
        <v>1920</v>
      </c>
      <c r="B1918" t="s">
        <v>1965</v>
      </c>
      <c r="C1918" t="s">
        <v>4183</v>
      </c>
      <c r="D1918" t="s">
        <v>32</v>
      </c>
      <c r="E1918" t="s">
        <v>1967</v>
      </c>
      <c r="F1918" t="s">
        <v>47</v>
      </c>
      <c r="G1918" t="s">
        <v>73</v>
      </c>
      <c r="J1918" t="s">
        <v>4184</v>
      </c>
      <c r="K1918" t="s">
        <v>38</v>
      </c>
      <c r="L1918" t="s">
        <v>38</v>
      </c>
      <c r="M1918" t="s">
        <v>38</v>
      </c>
      <c r="N1918" t="s">
        <v>38</v>
      </c>
      <c r="O1918" t="s">
        <v>38</v>
      </c>
      <c r="T1918" t="s">
        <v>38</v>
      </c>
      <c r="U1918">
        <v>0</v>
      </c>
      <c r="V1918">
        <v>1</v>
      </c>
      <c r="W1918">
        <v>0</v>
      </c>
      <c r="X1918">
        <v>0</v>
      </c>
      <c r="Y1918">
        <v>0</v>
      </c>
      <c r="AE1918">
        <f t="shared" si="87"/>
        <v>1</v>
      </c>
      <c r="AF1918">
        <f>VLOOKUP(D1918,especies!$A$2:$C$9,3,FALSE)</f>
        <v>1</v>
      </c>
      <c r="AG1918" t="str">
        <f t="shared" si="88"/>
        <v>1-Fila Brasilero</v>
      </c>
      <c r="AH1918">
        <f>VLOOKUP('Fichas clínicas'!AG1918,razas!$A$2:$D$66,3,FALSE)</f>
        <v>35</v>
      </c>
      <c r="AI1918" t="str">
        <f t="shared" si="89"/>
        <v>M</v>
      </c>
    </row>
    <row r="1919" spans="1:35" x14ac:dyDescent="0.2">
      <c r="A1919">
        <v>1921</v>
      </c>
      <c r="B1919" t="s">
        <v>4185</v>
      </c>
      <c r="C1919" t="s">
        <v>2690</v>
      </c>
      <c r="D1919" t="s">
        <v>32</v>
      </c>
      <c r="E1919" t="s">
        <v>33</v>
      </c>
      <c r="F1919" t="s">
        <v>47</v>
      </c>
      <c r="G1919" t="s">
        <v>587</v>
      </c>
      <c r="J1919" t="s">
        <v>2503</v>
      </c>
      <c r="K1919" t="s">
        <v>38</v>
      </c>
      <c r="L1919" t="s">
        <v>38</v>
      </c>
      <c r="M1919" t="s">
        <v>38</v>
      </c>
      <c r="N1919" t="s">
        <v>38</v>
      </c>
      <c r="O1919" t="s">
        <v>38</v>
      </c>
      <c r="T1919" t="s">
        <v>38</v>
      </c>
      <c r="U1919">
        <v>0</v>
      </c>
      <c r="W1919">
        <v>0</v>
      </c>
      <c r="X1919">
        <v>0</v>
      </c>
      <c r="Y1919">
        <v>0</v>
      </c>
      <c r="AE1919">
        <f t="shared" si="87"/>
        <v>1</v>
      </c>
      <c r="AF1919">
        <f>VLOOKUP(D1919,especies!$A$2:$C$9,3,FALSE)</f>
        <v>1</v>
      </c>
      <c r="AG1919" t="str">
        <f t="shared" si="88"/>
        <v>1-Mestizo</v>
      </c>
      <c r="AH1919">
        <f>VLOOKUP('Fichas clínicas'!AG1919,razas!$A$2:$D$66,3,FALSE)</f>
        <v>1</v>
      </c>
      <c r="AI1919" t="str">
        <f t="shared" si="89"/>
        <v>M</v>
      </c>
    </row>
    <row r="1920" spans="1:35" x14ac:dyDescent="0.2">
      <c r="A1920">
        <v>1922</v>
      </c>
      <c r="B1920" t="s">
        <v>4186</v>
      </c>
      <c r="C1920" t="s">
        <v>4024</v>
      </c>
      <c r="D1920" t="s">
        <v>41</v>
      </c>
      <c r="E1920" t="s">
        <v>93</v>
      </c>
      <c r="F1920" t="s">
        <v>34</v>
      </c>
      <c r="G1920" t="s">
        <v>1547</v>
      </c>
      <c r="J1920" t="s">
        <v>4178</v>
      </c>
      <c r="K1920" t="s">
        <v>38</v>
      </c>
      <c r="L1920" t="s">
        <v>38</v>
      </c>
      <c r="M1920" t="s">
        <v>38</v>
      </c>
      <c r="N1920" t="s">
        <v>38</v>
      </c>
      <c r="O1920" t="s">
        <v>38</v>
      </c>
      <c r="Q1920">
        <v>0</v>
      </c>
      <c r="T1920" t="s">
        <v>38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f t="shared" si="87"/>
        <v>1</v>
      </c>
      <c r="AF1920">
        <f>VLOOKUP(D1920,especies!$A$2:$C$9,3,FALSE)</f>
        <v>2</v>
      </c>
      <c r="AG1920" t="str">
        <f t="shared" si="88"/>
        <v>2-DPL (Doméstico de pelo Largo o DLH)</v>
      </c>
      <c r="AH1920">
        <f>VLOOKUP('Fichas clínicas'!AG1920,razas!$A$2:$D$66,3,FALSE)</f>
        <v>52</v>
      </c>
      <c r="AI1920" t="str">
        <f t="shared" si="89"/>
        <v>H</v>
      </c>
    </row>
    <row r="1921" spans="1:35" x14ac:dyDescent="0.2">
      <c r="A1921">
        <v>1923</v>
      </c>
      <c r="B1921" t="s">
        <v>4187</v>
      </c>
      <c r="C1921" t="s">
        <v>4188</v>
      </c>
      <c r="D1921" t="s">
        <v>41</v>
      </c>
      <c r="E1921" t="s">
        <v>93</v>
      </c>
      <c r="F1921" t="s">
        <v>34</v>
      </c>
      <c r="G1921" t="s">
        <v>4081</v>
      </c>
      <c r="J1921" t="s">
        <v>4189</v>
      </c>
      <c r="K1921" t="s">
        <v>38</v>
      </c>
      <c r="L1921" t="s">
        <v>38</v>
      </c>
      <c r="M1921" t="s">
        <v>38</v>
      </c>
      <c r="N1921" t="s">
        <v>38</v>
      </c>
      <c r="O1921" t="s">
        <v>38</v>
      </c>
      <c r="T1921" t="s">
        <v>38</v>
      </c>
      <c r="U1921">
        <v>0</v>
      </c>
      <c r="V1921">
        <v>1</v>
      </c>
      <c r="W1921">
        <v>0</v>
      </c>
      <c r="X1921">
        <v>0</v>
      </c>
      <c r="Y1921">
        <v>0</v>
      </c>
      <c r="AE1921">
        <f t="shared" si="87"/>
        <v>1</v>
      </c>
      <c r="AF1921">
        <f>VLOOKUP(D1921,especies!$A$2:$C$9,3,FALSE)</f>
        <v>2</v>
      </c>
      <c r="AG1921" t="str">
        <f t="shared" si="88"/>
        <v>2-DPL (Doméstico de pelo Largo o DLH)</v>
      </c>
      <c r="AH1921">
        <f>VLOOKUP('Fichas clínicas'!AG1921,razas!$A$2:$D$66,3,FALSE)</f>
        <v>52</v>
      </c>
      <c r="AI1921" t="str">
        <f t="shared" si="89"/>
        <v>H</v>
      </c>
    </row>
    <row r="1922" spans="1:35" x14ac:dyDescent="0.2">
      <c r="A1922">
        <v>1924</v>
      </c>
      <c r="B1922" t="s">
        <v>4190</v>
      </c>
      <c r="C1922" t="s">
        <v>4191</v>
      </c>
      <c r="D1922" t="s">
        <v>32</v>
      </c>
      <c r="E1922" t="s">
        <v>33</v>
      </c>
      <c r="F1922" t="s">
        <v>34</v>
      </c>
      <c r="G1922" t="s">
        <v>1402</v>
      </c>
      <c r="J1922" t="s">
        <v>4192</v>
      </c>
      <c r="K1922" t="s">
        <v>38</v>
      </c>
      <c r="L1922" t="s">
        <v>38</v>
      </c>
      <c r="M1922" t="s">
        <v>38</v>
      </c>
      <c r="N1922" t="s">
        <v>38</v>
      </c>
      <c r="O1922" t="s">
        <v>38</v>
      </c>
      <c r="T1922" t="s">
        <v>38</v>
      </c>
      <c r="U1922">
        <v>0</v>
      </c>
      <c r="W1922">
        <v>0</v>
      </c>
      <c r="X1922">
        <v>0</v>
      </c>
      <c r="Y1922">
        <v>0</v>
      </c>
      <c r="AE1922">
        <f t="shared" si="87"/>
        <v>1</v>
      </c>
      <c r="AF1922">
        <f>VLOOKUP(D1922,especies!$A$2:$C$9,3,FALSE)</f>
        <v>1</v>
      </c>
      <c r="AG1922" t="str">
        <f t="shared" si="88"/>
        <v>1-Mestizo</v>
      </c>
      <c r="AH1922">
        <f>VLOOKUP('Fichas clínicas'!AG1922,razas!$A$2:$D$66,3,FALSE)</f>
        <v>1</v>
      </c>
      <c r="AI1922" t="str">
        <f t="shared" si="89"/>
        <v>H</v>
      </c>
    </row>
    <row r="1923" spans="1:35" x14ac:dyDescent="0.2">
      <c r="A1923">
        <v>1925</v>
      </c>
      <c r="B1923" t="s">
        <v>4193</v>
      </c>
      <c r="C1923" t="s">
        <v>4194</v>
      </c>
      <c r="D1923" t="s">
        <v>41</v>
      </c>
      <c r="E1923" t="s">
        <v>93</v>
      </c>
      <c r="F1923" t="s">
        <v>47</v>
      </c>
      <c r="G1923" t="s">
        <v>587</v>
      </c>
      <c r="J1923" t="s">
        <v>3648</v>
      </c>
      <c r="K1923" t="s">
        <v>38</v>
      </c>
      <c r="L1923" t="s">
        <v>38</v>
      </c>
      <c r="M1923" t="s">
        <v>38</v>
      </c>
      <c r="N1923" t="s">
        <v>38</v>
      </c>
      <c r="O1923" t="s">
        <v>38</v>
      </c>
      <c r="T1923" t="s">
        <v>38</v>
      </c>
      <c r="U1923">
        <v>0</v>
      </c>
      <c r="W1923">
        <v>0</v>
      </c>
      <c r="X1923">
        <v>0</v>
      </c>
      <c r="Y1923">
        <v>0</v>
      </c>
      <c r="AE1923">
        <f t="shared" ref="AE1923:AE1986" si="90">SUBTOTAL(103,E1923)</f>
        <v>1</v>
      </c>
      <c r="AF1923">
        <f>VLOOKUP(D1923,especies!$A$2:$C$9,3,FALSE)</f>
        <v>2</v>
      </c>
      <c r="AG1923" t="str">
        <f t="shared" ref="AG1923:AG1986" si="91">AF1923&amp;"-"&amp;E1923</f>
        <v>2-DPL (Doméstico de pelo Largo o DLH)</v>
      </c>
      <c r="AH1923">
        <f>VLOOKUP('Fichas clínicas'!AG1923,razas!$A$2:$D$66,3,FALSE)</f>
        <v>52</v>
      </c>
      <c r="AI1923" t="str">
        <f t="shared" ref="AI1923:AI1986" si="92">IF(F1923="Hembra","H","M")</f>
        <v>M</v>
      </c>
    </row>
    <row r="1924" spans="1:35" x14ac:dyDescent="0.2">
      <c r="A1924">
        <v>1926</v>
      </c>
      <c r="B1924" t="s">
        <v>4193</v>
      </c>
      <c r="C1924" t="s">
        <v>559</v>
      </c>
      <c r="D1924" t="s">
        <v>41</v>
      </c>
      <c r="E1924" t="s">
        <v>42</v>
      </c>
      <c r="F1924" t="s">
        <v>34</v>
      </c>
      <c r="G1924" t="s">
        <v>2797</v>
      </c>
      <c r="J1924" t="s">
        <v>3648</v>
      </c>
      <c r="K1924" t="s">
        <v>38</v>
      </c>
      <c r="L1924" t="s">
        <v>38</v>
      </c>
      <c r="M1924" t="s">
        <v>38</v>
      </c>
      <c r="N1924" t="s">
        <v>38</v>
      </c>
      <c r="O1924" t="s">
        <v>38</v>
      </c>
      <c r="T1924" t="s">
        <v>38</v>
      </c>
      <c r="U1924">
        <v>0</v>
      </c>
      <c r="W1924">
        <v>0</v>
      </c>
      <c r="X1924">
        <v>0</v>
      </c>
      <c r="Y1924">
        <v>0</v>
      </c>
      <c r="AE1924">
        <f t="shared" si="90"/>
        <v>1</v>
      </c>
      <c r="AF1924">
        <f>VLOOKUP(D1924,especies!$A$2:$C$9,3,FALSE)</f>
        <v>2</v>
      </c>
      <c r="AG1924" t="str">
        <f t="shared" si="91"/>
        <v>2-DPC (Doméstico de pelo corto o DSH)</v>
      </c>
      <c r="AH1924">
        <f>VLOOKUP('Fichas clínicas'!AG1924,razas!$A$2:$D$66,3,FALSE)</f>
        <v>51</v>
      </c>
      <c r="AI1924" t="str">
        <f t="shared" si="92"/>
        <v>H</v>
      </c>
    </row>
    <row r="1925" spans="1:35" x14ac:dyDescent="0.2">
      <c r="A1925">
        <v>1927</v>
      </c>
      <c r="B1925" t="s">
        <v>4195</v>
      </c>
      <c r="C1925" t="s">
        <v>4196</v>
      </c>
      <c r="D1925" t="s">
        <v>32</v>
      </c>
      <c r="E1925" t="s">
        <v>33</v>
      </c>
      <c r="F1925" t="s">
        <v>34</v>
      </c>
      <c r="G1925" t="s">
        <v>3913</v>
      </c>
      <c r="J1925" t="s">
        <v>4162</v>
      </c>
      <c r="K1925" t="s">
        <v>38</v>
      </c>
      <c r="L1925" t="s">
        <v>38</v>
      </c>
      <c r="M1925" t="s">
        <v>38</v>
      </c>
      <c r="N1925" t="s">
        <v>38</v>
      </c>
      <c r="O1925" t="s">
        <v>38</v>
      </c>
      <c r="T1925" t="s">
        <v>38</v>
      </c>
      <c r="U1925">
        <v>0</v>
      </c>
      <c r="W1925">
        <v>0</v>
      </c>
      <c r="X1925">
        <v>0</v>
      </c>
      <c r="Y1925">
        <v>0</v>
      </c>
      <c r="AE1925">
        <f t="shared" si="90"/>
        <v>1</v>
      </c>
      <c r="AF1925">
        <f>VLOOKUP(D1925,especies!$A$2:$C$9,3,FALSE)</f>
        <v>1</v>
      </c>
      <c r="AG1925" t="str">
        <f t="shared" si="91"/>
        <v>1-Mestizo</v>
      </c>
      <c r="AH1925">
        <f>VLOOKUP('Fichas clínicas'!AG1925,razas!$A$2:$D$66,3,FALSE)</f>
        <v>1</v>
      </c>
      <c r="AI1925" t="str">
        <f t="shared" si="92"/>
        <v>H</v>
      </c>
    </row>
    <row r="1926" spans="1:35" x14ac:dyDescent="0.2">
      <c r="A1926">
        <v>1928</v>
      </c>
      <c r="B1926" t="s">
        <v>4197</v>
      </c>
      <c r="C1926" t="s">
        <v>4198</v>
      </c>
      <c r="D1926" t="s">
        <v>41</v>
      </c>
      <c r="E1926" t="s">
        <v>42</v>
      </c>
      <c r="F1926" t="s">
        <v>47</v>
      </c>
      <c r="G1926" t="s">
        <v>4199</v>
      </c>
      <c r="J1926" t="s">
        <v>4200</v>
      </c>
      <c r="K1926" t="s">
        <v>38</v>
      </c>
      <c r="L1926" t="s">
        <v>38</v>
      </c>
      <c r="M1926" t="s">
        <v>38</v>
      </c>
      <c r="N1926" t="s">
        <v>38</v>
      </c>
      <c r="O1926" t="s">
        <v>38</v>
      </c>
      <c r="T1926" t="s">
        <v>38</v>
      </c>
      <c r="U1926">
        <v>0</v>
      </c>
      <c r="V1926">
        <v>1</v>
      </c>
      <c r="W1926">
        <v>0</v>
      </c>
      <c r="X1926">
        <v>0</v>
      </c>
      <c r="Y1926">
        <v>0</v>
      </c>
      <c r="AE1926">
        <f t="shared" si="90"/>
        <v>1</v>
      </c>
      <c r="AF1926">
        <f>VLOOKUP(D1926,especies!$A$2:$C$9,3,FALSE)</f>
        <v>2</v>
      </c>
      <c r="AG1926" t="str">
        <f t="shared" si="91"/>
        <v>2-DPC (Doméstico de pelo corto o DSH)</v>
      </c>
      <c r="AH1926">
        <f>VLOOKUP('Fichas clínicas'!AG1926,razas!$A$2:$D$66,3,FALSE)</f>
        <v>51</v>
      </c>
      <c r="AI1926" t="str">
        <f t="shared" si="92"/>
        <v>M</v>
      </c>
    </row>
    <row r="1927" spans="1:35" x14ac:dyDescent="0.2">
      <c r="A1927">
        <v>1929</v>
      </c>
      <c r="B1927" t="s">
        <v>4201</v>
      </c>
      <c r="C1927" t="s">
        <v>4202</v>
      </c>
      <c r="D1927" t="s">
        <v>32</v>
      </c>
      <c r="E1927" t="s">
        <v>33</v>
      </c>
      <c r="F1927" t="s">
        <v>34</v>
      </c>
      <c r="G1927" t="s">
        <v>300</v>
      </c>
      <c r="J1927" t="s">
        <v>4203</v>
      </c>
      <c r="K1927" t="s">
        <v>38</v>
      </c>
      <c r="L1927" t="s">
        <v>38</v>
      </c>
      <c r="M1927" t="s">
        <v>38</v>
      </c>
      <c r="N1927" t="s">
        <v>38</v>
      </c>
      <c r="O1927" t="s">
        <v>38</v>
      </c>
      <c r="T1927" t="s">
        <v>38</v>
      </c>
      <c r="U1927">
        <v>0</v>
      </c>
      <c r="V1927">
        <v>1</v>
      </c>
      <c r="W1927">
        <v>0</v>
      </c>
      <c r="X1927">
        <v>0</v>
      </c>
      <c r="Y1927">
        <v>0</v>
      </c>
      <c r="AE1927">
        <f t="shared" si="90"/>
        <v>1</v>
      </c>
      <c r="AF1927">
        <f>VLOOKUP(D1927,especies!$A$2:$C$9,3,FALSE)</f>
        <v>1</v>
      </c>
      <c r="AG1927" t="str">
        <f t="shared" si="91"/>
        <v>1-Mestizo</v>
      </c>
      <c r="AH1927">
        <f>VLOOKUP('Fichas clínicas'!AG1927,razas!$A$2:$D$66,3,FALSE)</f>
        <v>1</v>
      </c>
      <c r="AI1927" t="str">
        <f t="shared" si="92"/>
        <v>H</v>
      </c>
    </row>
    <row r="1928" spans="1:35" x14ac:dyDescent="0.2">
      <c r="A1928">
        <v>1930</v>
      </c>
      <c r="B1928" t="s">
        <v>279</v>
      </c>
      <c r="C1928" t="s">
        <v>4204</v>
      </c>
      <c r="D1928" t="s">
        <v>32</v>
      </c>
      <c r="E1928" t="s">
        <v>33</v>
      </c>
      <c r="F1928" t="s">
        <v>34</v>
      </c>
      <c r="G1928" t="s">
        <v>351</v>
      </c>
      <c r="J1928" t="s">
        <v>4205</v>
      </c>
      <c r="K1928" t="s">
        <v>38</v>
      </c>
      <c r="L1928" t="s">
        <v>38</v>
      </c>
      <c r="M1928" t="s">
        <v>38</v>
      </c>
      <c r="N1928" t="s">
        <v>38</v>
      </c>
      <c r="O1928" t="s">
        <v>38</v>
      </c>
      <c r="Q1928">
        <v>0</v>
      </c>
      <c r="T1928" t="s">
        <v>38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f t="shared" si="90"/>
        <v>1</v>
      </c>
      <c r="AF1928">
        <f>VLOOKUP(D1928,especies!$A$2:$C$9,3,FALSE)</f>
        <v>1</v>
      </c>
      <c r="AG1928" t="str">
        <f t="shared" si="91"/>
        <v>1-Mestizo</v>
      </c>
      <c r="AH1928">
        <f>VLOOKUP('Fichas clínicas'!AG1928,razas!$A$2:$D$66,3,FALSE)</f>
        <v>1</v>
      </c>
      <c r="AI1928" t="str">
        <f t="shared" si="92"/>
        <v>H</v>
      </c>
    </row>
    <row r="1929" spans="1:35" x14ac:dyDescent="0.2">
      <c r="A1929">
        <v>1931</v>
      </c>
      <c r="B1929" t="s">
        <v>4206</v>
      </c>
      <c r="C1929" t="s">
        <v>4207</v>
      </c>
      <c r="D1929" t="s">
        <v>41</v>
      </c>
      <c r="E1929" t="s">
        <v>42</v>
      </c>
      <c r="F1929" t="s">
        <v>47</v>
      </c>
      <c r="G1929" t="s">
        <v>4208</v>
      </c>
      <c r="J1929" t="s">
        <v>3905</v>
      </c>
      <c r="K1929" t="s">
        <v>38</v>
      </c>
      <c r="L1929" t="s">
        <v>38</v>
      </c>
      <c r="M1929" t="s">
        <v>38</v>
      </c>
      <c r="N1929" t="s">
        <v>38</v>
      </c>
      <c r="O1929" t="s">
        <v>38</v>
      </c>
      <c r="T1929" t="s">
        <v>38</v>
      </c>
      <c r="U1929">
        <v>0</v>
      </c>
      <c r="W1929">
        <v>0</v>
      </c>
      <c r="X1929">
        <v>0</v>
      </c>
      <c r="Y1929">
        <v>0</v>
      </c>
      <c r="AE1929">
        <f t="shared" si="90"/>
        <v>1</v>
      </c>
      <c r="AF1929">
        <f>VLOOKUP(D1929,especies!$A$2:$C$9,3,FALSE)</f>
        <v>2</v>
      </c>
      <c r="AG1929" t="str">
        <f t="shared" si="91"/>
        <v>2-DPC (Doméstico de pelo corto o DSH)</v>
      </c>
      <c r="AH1929">
        <f>VLOOKUP('Fichas clínicas'!AG1929,razas!$A$2:$D$66,3,FALSE)</f>
        <v>51</v>
      </c>
      <c r="AI1929" t="str">
        <f t="shared" si="92"/>
        <v>M</v>
      </c>
    </row>
    <row r="1930" spans="1:35" x14ac:dyDescent="0.2">
      <c r="A1930">
        <v>1932</v>
      </c>
      <c r="B1930" t="s">
        <v>4209</v>
      </c>
      <c r="C1930" t="s">
        <v>4210</v>
      </c>
      <c r="D1930" t="s">
        <v>41</v>
      </c>
      <c r="E1930" t="s">
        <v>42</v>
      </c>
      <c r="F1930" t="s">
        <v>47</v>
      </c>
      <c r="G1930" t="s">
        <v>4211</v>
      </c>
      <c r="J1930" t="s">
        <v>4212</v>
      </c>
      <c r="K1930" t="s">
        <v>38</v>
      </c>
      <c r="L1930" t="s">
        <v>38</v>
      </c>
      <c r="M1930" t="s">
        <v>38</v>
      </c>
      <c r="N1930" t="s">
        <v>38</v>
      </c>
      <c r="O1930" t="s">
        <v>38</v>
      </c>
      <c r="Q1930">
        <v>0</v>
      </c>
      <c r="T1930" t="s">
        <v>38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f t="shared" si="90"/>
        <v>1</v>
      </c>
      <c r="AF1930">
        <f>VLOOKUP(D1930,especies!$A$2:$C$9,3,FALSE)</f>
        <v>2</v>
      </c>
      <c r="AG1930" t="str">
        <f t="shared" si="91"/>
        <v>2-DPC (Doméstico de pelo corto o DSH)</v>
      </c>
      <c r="AH1930">
        <f>VLOOKUP('Fichas clínicas'!AG1930,razas!$A$2:$D$66,3,FALSE)</f>
        <v>51</v>
      </c>
      <c r="AI1930" t="str">
        <f t="shared" si="92"/>
        <v>M</v>
      </c>
    </row>
    <row r="1931" spans="1:35" x14ac:dyDescent="0.2">
      <c r="A1931">
        <v>1933</v>
      </c>
      <c r="B1931" t="s">
        <v>4213</v>
      </c>
      <c r="C1931" t="s">
        <v>378</v>
      </c>
      <c r="D1931" t="s">
        <v>32</v>
      </c>
      <c r="E1931" t="s">
        <v>33</v>
      </c>
      <c r="F1931" t="s">
        <v>34</v>
      </c>
      <c r="G1931" t="s">
        <v>2088</v>
      </c>
      <c r="J1931" t="s">
        <v>4214</v>
      </c>
      <c r="K1931" t="s">
        <v>38</v>
      </c>
      <c r="L1931" t="s">
        <v>38</v>
      </c>
      <c r="M1931" t="s">
        <v>38</v>
      </c>
      <c r="N1931" t="s">
        <v>38</v>
      </c>
      <c r="O1931" t="s">
        <v>38</v>
      </c>
      <c r="T1931" t="s">
        <v>38</v>
      </c>
      <c r="U1931">
        <v>0</v>
      </c>
      <c r="W1931">
        <v>0</v>
      </c>
      <c r="X1931">
        <v>0</v>
      </c>
      <c r="Y1931">
        <v>0</v>
      </c>
      <c r="AE1931">
        <f t="shared" si="90"/>
        <v>1</v>
      </c>
      <c r="AF1931">
        <f>VLOOKUP(D1931,especies!$A$2:$C$9,3,FALSE)</f>
        <v>1</v>
      </c>
      <c r="AG1931" t="str">
        <f t="shared" si="91"/>
        <v>1-Mestizo</v>
      </c>
      <c r="AH1931">
        <f>VLOOKUP('Fichas clínicas'!AG1931,razas!$A$2:$D$66,3,FALSE)</f>
        <v>1</v>
      </c>
      <c r="AI1931" t="str">
        <f t="shared" si="92"/>
        <v>H</v>
      </c>
    </row>
    <row r="1932" spans="1:35" x14ac:dyDescent="0.2">
      <c r="A1932">
        <v>1934</v>
      </c>
      <c r="B1932" t="s">
        <v>3985</v>
      </c>
      <c r="C1932" t="s">
        <v>4215</v>
      </c>
      <c r="D1932" t="s">
        <v>41</v>
      </c>
      <c r="E1932" t="s">
        <v>93</v>
      </c>
      <c r="F1932" t="s">
        <v>47</v>
      </c>
      <c r="G1932" t="s">
        <v>4216</v>
      </c>
      <c r="J1932" t="s">
        <v>4217</v>
      </c>
      <c r="K1932" t="s">
        <v>38</v>
      </c>
      <c r="L1932" t="s">
        <v>38</v>
      </c>
      <c r="M1932" t="s">
        <v>38</v>
      </c>
      <c r="N1932" t="s">
        <v>38</v>
      </c>
      <c r="O1932" t="s">
        <v>38</v>
      </c>
      <c r="T1932" t="s">
        <v>38</v>
      </c>
      <c r="U1932">
        <v>0</v>
      </c>
      <c r="V1932">
        <v>1</v>
      </c>
      <c r="W1932">
        <v>0</v>
      </c>
      <c r="X1932">
        <v>0</v>
      </c>
      <c r="Y1932">
        <v>0</v>
      </c>
      <c r="AE1932">
        <f t="shared" si="90"/>
        <v>1</v>
      </c>
      <c r="AF1932">
        <f>VLOOKUP(D1932,especies!$A$2:$C$9,3,FALSE)</f>
        <v>2</v>
      </c>
      <c r="AG1932" t="str">
        <f t="shared" si="91"/>
        <v>2-DPL (Doméstico de pelo Largo o DLH)</v>
      </c>
      <c r="AH1932">
        <f>VLOOKUP('Fichas clínicas'!AG1932,razas!$A$2:$D$66,3,FALSE)</f>
        <v>52</v>
      </c>
      <c r="AI1932" t="str">
        <f t="shared" si="92"/>
        <v>M</v>
      </c>
    </row>
    <row r="1933" spans="1:35" x14ac:dyDescent="0.2">
      <c r="A1933">
        <v>1935</v>
      </c>
      <c r="B1933" t="s">
        <v>1455</v>
      </c>
      <c r="C1933" t="s">
        <v>4218</v>
      </c>
      <c r="D1933" t="s">
        <v>32</v>
      </c>
      <c r="E1933" t="s">
        <v>458</v>
      </c>
      <c r="F1933" t="s">
        <v>47</v>
      </c>
      <c r="G1933" t="s">
        <v>452</v>
      </c>
      <c r="J1933" t="s">
        <v>58</v>
      </c>
      <c r="K1933" t="s">
        <v>38</v>
      </c>
      <c r="L1933" t="s">
        <v>38</v>
      </c>
      <c r="M1933" t="s">
        <v>38</v>
      </c>
      <c r="N1933" t="s">
        <v>38</v>
      </c>
      <c r="O1933" t="s">
        <v>38</v>
      </c>
      <c r="T1933" t="s">
        <v>38</v>
      </c>
      <c r="U1933">
        <v>0</v>
      </c>
      <c r="W1933">
        <v>0</v>
      </c>
      <c r="X1933">
        <v>0</v>
      </c>
      <c r="Y1933">
        <v>0</v>
      </c>
      <c r="AE1933">
        <f t="shared" si="90"/>
        <v>1</v>
      </c>
      <c r="AF1933">
        <f>VLOOKUP(D1933,especies!$A$2:$C$9,3,FALSE)</f>
        <v>1</v>
      </c>
      <c r="AG1933" t="str">
        <f t="shared" si="91"/>
        <v>1-Beagle</v>
      </c>
      <c r="AH1933">
        <f>VLOOKUP('Fichas clínicas'!AG1933,razas!$A$2:$D$66,3,FALSE)</f>
        <v>13</v>
      </c>
      <c r="AI1933" t="str">
        <f t="shared" si="92"/>
        <v>M</v>
      </c>
    </row>
    <row r="1934" spans="1:35" x14ac:dyDescent="0.2">
      <c r="A1934">
        <v>1936</v>
      </c>
      <c r="B1934" t="s">
        <v>179</v>
      </c>
      <c r="C1934" t="s">
        <v>4219</v>
      </c>
      <c r="D1934" t="s">
        <v>32</v>
      </c>
      <c r="E1934" t="s">
        <v>33</v>
      </c>
      <c r="F1934" t="s">
        <v>47</v>
      </c>
      <c r="G1934" t="s">
        <v>199</v>
      </c>
      <c r="J1934" t="s">
        <v>4162</v>
      </c>
      <c r="K1934" t="s">
        <v>38</v>
      </c>
      <c r="L1934" t="s">
        <v>38</v>
      </c>
      <c r="M1934" t="s">
        <v>38</v>
      </c>
      <c r="N1934" t="s">
        <v>38</v>
      </c>
      <c r="O1934" t="s">
        <v>38</v>
      </c>
      <c r="P1934" t="s">
        <v>4220</v>
      </c>
      <c r="Q1934">
        <v>0</v>
      </c>
      <c r="T1934" t="s">
        <v>38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f t="shared" si="90"/>
        <v>1</v>
      </c>
      <c r="AF1934">
        <f>VLOOKUP(D1934,especies!$A$2:$C$9,3,FALSE)</f>
        <v>1</v>
      </c>
      <c r="AG1934" t="str">
        <f t="shared" si="91"/>
        <v>1-Mestizo</v>
      </c>
      <c r="AH1934">
        <f>VLOOKUP('Fichas clínicas'!AG1934,razas!$A$2:$D$66,3,FALSE)</f>
        <v>1</v>
      </c>
      <c r="AI1934" t="str">
        <f t="shared" si="92"/>
        <v>M</v>
      </c>
    </row>
    <row r="1935" spans="1:35" x14ac:dyDescent="0.2">
      <c r="A1935">
        <v>1937</v>
      </c>
      <c r="B1935" t="s">
        <v>4206</v>
      </c>
      <c r="C1935" t="s">
        <v>4221</v>
      </c>
      <c r="D1935" t="s">
        <v>41</v>
      </c>
      <c r="E1935" t="s">
        <v>42</v>
      </c>
      <c r="F1935" t="s">
        <v>47</v>
      </c>
      <c r="G1935" t="s">
        <v>2833</v>
      </c>
      <c r="J1935" t="s">
        <v>3905</v>
      </c>
      <c r="K1935" t="s">
        <v>38</v>
      </c>
      <c r="L1935" t="s">
        <v>38</v>
      </c>
      <c r="M1935" t="s">
        <v>38</v>
      </c>
      <c r="N1935" t="s">
        <v>38</v>
      </c>
      <c r="O1935" t="s">
        <v>38</v>
      </c>
      <c r="T1935" t="s">
        <v>38</v>
      </c>
      <c r="U1935">
        <v>0</v>
      </c>
      <c r="W1935">
        <v>0</v>
      </c>
      <c r="X1935">
        <v>0</v>
      </c>
      <c r="Y1935">
        <v>0</v>
      </c>
      <c r="AE1935">
        <f t="shared" si="90"/>
        <v>1</v>
      </c>
      <c r="AF1935">
        <f>VLOOKUP(D1935,especies!$A$2:$C$9,3,FALSE)</f>
        <v>2</v>
      </c>
      <c r="AG1935" t="str">
        <f t="shared" si="91"/>
        <v>2-DPC (Doméstico de pelo corto o DSH)</v>
      </c>
      <c r="AH1935">
        <f>VLOOKUP('Fichas clínicas'!AG1935,razas!$A$2:$D$66,3,FALSE)</f>
        <v>51</v>
      </c>
      <c r="AI1935" t="str">
        <f t="shared" si="92"/>
        <v>M</v>
      </c>
    </row>
    <row r="1936" spans="1:35" x14ac:dyDescent="0.2">
      <c r="A1936">
        <v>1938</v>
      </c>
      <c r="B1936" t="s">
        <v>4206</v>
      </c>
      <c r="C1936" t="s">
        <v>4222</v>
      </c>
      <c r="D1936" t="s">
        <v>41</v>
      </c>
      <c r="E1936" t="s">
        <v>42</v>
      </c>
      <c r="F1936" t="s">
        <v>34</v>
      </c>
      <c r="G1936" t="s">
        <v>526</v>
      </c>
      <c r="J1936" t="s">
        <v>2746</v>
      </c>
      <c r="K1936" t="s">
        <v>38</v>
      </c>
      <c r="L1936" t="s">
        <v>38</v>
      </c>
      <c r="M1936" t="s">
        <v>38</v>
      </c>
      <c r="N1936" t="s">
        <v>38</v>
      </c>
      <c r="O1936" t="s">
        <v>38</v>
      </c>
      <c r="Q1936">
        <v>0</v>
      </c>
      <c r="T1936" t="s">
        <v>38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f t="shared" si="90"/>
        <v>1</v>
      </c>
      <c r="AF1936">
        <f>VLOOKUP(D1936,especies!$A$2:$C$9,3,FALSE)</f>
        <v>2</v>
      </c>
      <c r="AG1936" t="str">
        <f t="shared" si="91"/>
        <v>2-DPC (Doméstico de pelo corto o DSH)</v>
      </c>
      <c r="AH1936">
        <f>VLOOKUP('Fichas clínicas'!AG1936,razas!$A$2:$D$66,3,FALSE)</f>
        <v>51</v>
      </c>
      <c r="AI1936" t="str">
        <f t="shared" si="92"/>
        <v>H</v>
      </c>
    </row>
    <row r="1937" spans="1:35" x14ac:dyDescent="0.2">
      <c r="A1937">
        <v>1939</v>
      </c>
      <c r="B1937" t="s">
        <v>4125</v>
      </c>
      <c r="C1937" t="s">
        <v>4223</v>
      </c>
      <c r="D1937" t="s">
        <v>41</v>
      </c>
      <c r="E1937" t="s">
        <v>42</v>
      </c>
      <c r="F1937" t="s">
        <v>34</v>
      </c>
      <c r="G1937" t="s">
        <v>526</v>
      </c>
      <c r="J1937" t="s">
        <v>3990</v>
      </c>
      <c r="K1937" t="s">
        <v>38</v>
      </c>
      <c r="L1937" t="s">
        <v>38</v>
      </c>
      <c r="M1937" t="s">
        <v>38</v>
      </c>
      <c r="N1937" t="s">
        <v>38</v>
      </c>
      <c r="O1937" t="s">
        <v>38</v>
      </c>
      <c r="T1937" t="s">
        <v>38</v>
      </c>
      <c r="U1937">
        <v>0</v>
      </c>
      <c r="W1937">
        <v>0</v>
      </c>
      <c r="X1937">
        <v>0</v>
      </c>
      <c r="Y1937">
        <v>0</v>
      </c>
      <c r="AE1937">
        <f t="shared" si="90"/>
        <v>1</v>
      </c>
      <c r="AF1937">
        <f>VLOOKUP(D1937,especies!$A$2:$C$9,3,FALSE)</f>
        <v>2</v>
      </c>
      <c r="AG1937" t="str">
        <f t="shared" si="91"/>
        <v>2-DPC (Doméstico de pelo corto o DSH)</v>
      </c>
      <c r="AH1937">
        <f>VLOOKUP('Fichas clínicas'!AG1937,razas!$A$2:$D$66,3,FALSE)</f>
        <v>51</v>
      </c>
      <c r="AI1937" t="str">
        <f t="shared" si="92"/>
        <v>H</v>
      </c>
    </row>
    <row r="1938" spans="1:35" x14ac:dyDescent="0.2">
      <c r="A1938">
        <v>1940</v>
      </c>
      <c r="B1938" t="s">
        <v>4224</v>
      </c>
      <c r="C1938" t="s">
        <v>4225</v>
      </c>
      <c r="D1938" t="s">
        <v>41</v>
      </c>
      <c r="E1938" t="s">
        <v>42</v>
      </c>
      <c r="F1938" t="s">
        <v>47</v>
      </c>
      <c r="G1938" t="s">
        <v>2851</v>
      </c>
      <c r="J1938" t="s">
        <v>841</v>
      </c>
      <c r="K1938" t="s">
        <v>38</v>
      </c>
      <c r="L1938" t="s">
        <v>38</v>
      </c>
      <c r="M1938" t="s">
        <v>38</v>
      </c>
      <c r="N1938" t="s">
        <v>38</v>
      </c>
      <c r="O1938" t="s">
        <v>38</v>
      </c>
      <c r="T1938" t="s">
        <v>38</v>
      </c>
      <c r="U1938">
        <v>0</v>
      </c>
      <c r="W1938">
        <v>0</v>
      </c>
      <c r="X1938">
        <v>0</v>
      </c>
      <c r="Y1938">
        <v>0</v>
      </c>
      <c r="AE1938">
        <f t="shared" si="90"/>
        <v>1</v>
      </c>
      <c r="AF1938">
        <f>VLOOKUP(D1938,especies!$A$2:$C$9,3,FALSE)</f>
        <v>2</v>
      </c>
      <c r="AG1938" t="str">
        <f t="shared" si="91"/>
        <v>2-DPC (Doméstico de pelo corto o DSH)</v>
      </c>
      <c r="AH1938">
        <f>VLOOKUP('Fichas clínicas'!AG1938,razas!$A$2:$D$66,3,FALSE)</f>
        <v>51</v>
      </c>
      <c r="AI1938" t="str">
        <f t="shared" si="92"/>
        <v>M</v>
      </c>
    </row>
    <row r="1939" spans="1:35" x14ac:dyDescent="0.2">
      <c r="A1939">
        <v>1941</v>
      </c>
      <c r="B1939" t="s">
        <v>4226</v>
      </c>
      <c r="C1939" t="s">
        <v>4227</v>
      </c>
      <c r="D1939" t="s">
        <v>41</v>
      </c>
      <c r="E1939" t="s">
        <v>42</v>
      </c>
      <c r="F1939" t="s">
        <v>34</v>
      </c>
      <c r="G1939" t="s">
        <v>616</v>
      </c>
      <c r="J1939" t="s">
        <v>2224</v>
      </c>
      <c r="K1939" t="s">
        <v>38</v>
      </c>
      <c r="L1939" t="s">
        <v>38</v>
      </c>
      <c r="M1939" t="s">
        <v>38</v>
      </c>
      <c r="N1939" t="s">
        <v>38</v>
      </c>
      <c r="O1939" t="s">
        <v>38</v>
      </c>
      <c r="T1939" t="s">
        <v>38</v>
      </c>
      <c r="U1939">
        <v>0</v>
      </c>
      <c r="V1939">
        <v>1</v>
      </c>
      <c r="W1939">
        <v>0</v>
      </c>
      <c r="X1939">
        <v>0</v>
      </c>
      <c r="Y1939">
        <v>0</v>
      </c>
      <c r="AE1939">
        <f t="shared" si="90"/>
        <v>1</v>
      </c>
      <c r="AF1939">
        <f>VLOOKUP(D1939,especies!$A$2:$C$9,3,FALSE)</f>
        <v>2</v>
      </c>
      <c r="AG1939" t="str">
        <f t="shared" si="91"/>
        <v>2-DPC (Doméstico de pelo corto o DSH)</v>
      </c>
      <c r="AH1939">
        <f>VLOOKUP('Fichas clínicas'!AG1939,razas!$A$2:$D$66,3,FALSE)</f>
        <v>51</v>
      </c>
      <c r="AI1939" t="str">
        <f t="shared" si="92"/>
        <v>H</v>
      </c>
    </row>
    <row r="1940" spans="1:35" x14ac:dyDescent="0.2">
      <c r="A1940">
        <v>1942</v>
      </c>
      <c r="B1940" t="s">
        <v>4228</v>
      </c>
      <c r="C1940" t="s">
        <v>2695</v>
      </c>
      <c r="D1940" t="s">
        <v>32</v>
      </c>
      <c r="E1940" t="s">
        <v>33</v>
      </c>
      <c r="F1940" t="s">
        <v>47</v>
      </c>
      <c r="G1940" t="s">
        <v>3756</v>
      </c>
      <c r="J1940" t="s">
        <v>4229</v>
      </c>
      <c r="K1940" t="s">
        <v>38</v>
      </c>
      <c r="L1940" t="s">
        <v>38</v>
      </c>
      <c r="M1940" t="s">
        <v>38</v>
      </c>
      <c r="N1940" t="s">
        <v>38</v>
      </c>
      <c r="O1940" t="s">
        <v>38</v>
      </c>
      <c r="T1940" t="s">
        <v>38</v>
      </c>
      <c r="U1940">
        <v>0</v>
      </c>
      <c r="W1940">
        <v>0</v>
      </c>
      <c r="X1940">
        <v>0</v>
      </c>
      <c r="Y1940">
        <v>0</v>
      </c>
      <c r="AE1940">
        <f t="shared" si="90"/>
        <v>1</v>
      </c>
      <c r="AF1940">
        <f>VLOOKUP(D1940,especies!$A$2:$C$9,3,FALSE)</f>
        <v>1</v>
      </c>
      <c r="AG1940" t="str">
        <f t="shared" si="91"/>
        <v>1-Mestizo</v>
      </c>
      <c r="AH1940">
        <f>VLOOKUP('Fichas clínicas'!AG1940,razas!$A$2:$D$66,3,FALSE)</f>
        <v>1</v>
      </c>
      <c r="AI1940" t="str">
        <f t="shared" si="92"/>
        <v>M</v>
      </c>
    </row>
    <row r="1941" spans="1:35" x14ac:dyDescent="0.2">
      <c r="A1941">
        <v>1943</v>
      </c>
      <c r="B1941" t="s">
        <v>3080</v>
      </c>
      <c r="C1941" t="s">
        <v>4230</v>
      </c>
      <c r="D1941" t="s">
        <v>32</v>
      </c>
      <c r="E1941" t="s">
        <v>33</v>
      </c>
      <c r="F1941" t="s">
        <v>47</v>
      </c>
      <c r="G1941" t="s">
        <v>4231</v>
      </c>
      <c r="J1941" t="s">
        <v>4232</v>
      </c>
      <c r="K1941" t="s">
        <v>38</v>
      </c>
      <c r="L1941" t="s">
        <v>38</v>
      </c>
      <c r="M1941" t="s">
        <v>38</v>
      </c>
      <c r="N1941" t="s">
        <v>38</v>
      </c>
      <c r="O1941" t="s">
        <v>38</v>
      </c>
      <c r="T1941" t="s">
        <v>38</v>
      </c>
      <c r="U1941">
        <v>0</v>
      </c>
      <c r="V1941">
        <v>1</v>
      </c>
      <c r="W1941">
        <v>0</v>
      </c>
      <c r="X1941">
        <v>0</v>
      </c>
      <c r="Y1941">
        <v>0</v>
      </c>
      <c r="AE1941">
        <f t="shared" si="90"/>
        <v>1</v>
      </c>
      <c r="AF1941">
        <f>VLOOKUP(D1941,especies!$A$2:$C$9,3,FALSE)</f>
        <v>1</v>
      </c>
      <c r="AG1941" t="str">
        <f t="shared" si="91"/>
        <v>1-Mestizo</v>
      </c>
      <c r="AH1941">
        <f>VLOOKUP('Fichas clínicas'!AG1941,razas!$A$2:$D$66,3,FALSE)</f>
        <v>1</v>
      </c>
      <c r="AI1941" t="str">
        <f t="shared" si="92"/>
        <v>M</v>
      </c>
    </row>
    <row r="1942" spans="1:35" x14ac:dyDescent="0.2">
      <c r="A1942">
        <v>1944</v>
      </c>
      <c r="B1942" t="s">
        <v>4233</v>
      </c>
      <c r="C1942" t="s">
        <v>1655</v>
      </c>
      <c r="D1942" t="s">
        <v>32</v>
      </c>
      <c r="E1942" t="s">
        <v>122</v>
      </c>
      <c r="F1942" t="s">
        <v>47</v>
      </c>
      <c r="G1942" t="s">
        <v>102</v>
      </c>
      <c r="J1942" t="s">
        <v>1222</v>
      </c>
      <c r="K1942" t="s">
        <v>38</v>
      </c>
      <c r="L1942" t="s">
        <v>38</v>
      </c>
      <c r="M1942" t="s">
        <v>38</v>
      </c>
      <c r="N1942" t="s">
        <v>38</v>
      </c>
      <c r="O1942" t="s">
        <v>38</v>
      </c>
      <c r="T1942" t="s">
        <v>38</v>
      </c>
      <c r="U1942">
        <v>0</v>
      </c>
      <c r="W1942">
        <v>0</v>
      </c>
      <c r="X1942">
        <v>0</v>
      </c>
      <c r="Y1942">
        <v>0</v>
      </c>
      <c r="AE1942">
        <f t="shared" si="90"/>
        <v>1</v>
      </c>
      <c r="AF1942">
        <f>VLOOKUP(D1942,especies!$A$2:$C$9,3,FALSE)</f>
        <v>1</v>
      </c>
      <c r="AG1942" t="str">
        <f t="shared" si="91"/>
        <v>1-Caniche</v>
      </c>
      <c r="AH1942">
        <f>VLOOKUP('Fichas clínicas'!AG1942,razas!$A$2:$D$66,3,FALSE)</f>
        <v>4</v>
      </c>
      <c r="AI1942" t="str">
        <f t="shared" si="92"/>
        <v>M</v>
      </c>
    </row>
    <row r="1943" spans="1:35" x14ac:dyDescent="0.2">
      <c r="A1943">
        <v>1945</v>
      </c>
      <c r="B1943" t="s">
        <v>2247</v>
      </c>
      <c r="C1943" t="s">
        <v>4234</v>
      </c>
      <c r="D1943" t="s">
        <v>41</v>
      </c>
      <c r="E1943" t="s">
        <v>42</v>
      </c>
      <c r="F1943" t="s">
        <v>34</v>
      </c>
      <c r="G1943" t="s">
        <v>4235</v>
      </c>
      <c r="J1943" t="s">
        <v>4236</v>
      </c>
      <c r="K1943" t="s">
        <v>38</v>
      </c>
      <c r="L1943" t="s">
        <v>38</v>
      </c>
      <c r="M1943" t="s">
        <v>38</v>
      </c>
      <c r="N1943" t="s">
        <v>38</v>
      </c>
      <c r="O1943" t="s">
        <v>38</v>
      </c>
      <c r="T1943" t="s">
        <v>38</v>
      </c>
      <c r="U1943">
        <v>0</v>
      </c>
      <c r="V1943">
        <v>1</v>
      </c>
      <c r="W1943">
        <v>0</v>
      </c>
      <c r="X1943">
        <v>0</v>
      </c>
      <c r="Y1943">
        <v>0</v>
      </c>
      <c r="AE1943">
        <f t="shared" si="90"/>
        <v>1</v>
      </c>
      <c r="AF1943">
        <f>VLOOKUP(D1943,especies!$A$2:$C$9,3,FALSE)</f>
        <v>2</v>
      </c>
      <c r="AG1943" t="str">
        <f t="shared" si="91"/>
        <v>2-DPC (Doméstico de pelo corto o DSH)</v>
      </c>
      <c r="AH1943">
        <f>VLOOKUP('Fichas clínicas'!AG1943,razas!$A$2:$D$66,3,FALSE)</f>
        <v>51</v>
      </c>
      <c r="AI1943" t="str">
        <f t="shared" si="92"/>
        <v>H</v>
      </c>
    </row>
    <row r="1944" spans="1:35" x14ac:dyDescent="0.2">
      <c r="A1944">
        <v>1946</v>
      </c>
      <c r="B1944" t="s">
        <v>4237</v>
      </c>
      <c r="C1944" t="s">
        <v>4238</v>
      </c>
      <c r="D1944" t="s">
        <v>41</v>
      </c>
      <c r="E1944" t="s">
        <v>42</v>
      </c>
      <c r="F1944" t="s">
        <v>47</v>
      </c>
      <c r="G1944" t="s">
        <v>4239</v>
      </c>
      <c r="J1944" t="s">
        <v>2503</v>
      </c>
      <c r="K1944" t="s">
        <v>38</v>
      </c>
      <c r="L1944" t="s">
        <v>38</v>
      </c>
      <c r="M1944" t="s">
        <v>38</v>
      </c>
      <c r="N1944" t="s">
        <v>38</v>
      </c>
      <c r="O1944" t="s">
        <v>38</v>
      </c>
      <c r="T1944" t="s">
        <v>38</v>
      </c>
      <c r="U1944">
        <v>0</v>
      </c>
      <c r="V1944">
        <v>1</v>
      </c>
      <c r="W1944">
        <v>0</v>
      </c>
      <c r="X1944">
        <v>0</v>
      </c>
      <c r="Y1944">
        <v>0</v>
      </c>
      <c r="AE1944">
        <f t="shared" si="90"/>
        <v>1</v>
      </c>
      <c r="AF1944">
        <f>VLOOKUP(D1944,especies!$A$2:$C$9,3,FALSE)</f>
        <v>2</v>
      </c>
      <c r="AG1944" t="str">
        <f t="shared" si="91"/>
        <v>2-DPC (Doméstico de pelo corto o DSH)</v>
      </c>
      <c r="AH1944">
        <f>VLOOKUP('Fichas clínicas'!AG1944,razas!$A$2:$D$66,3,FALSE)</f>
        <v>51</v>
      </c>
      <c r="AI1944" t="str">
        <f t="shared" si="92"/>
        <v>M</v>
      </c>
    </row>
    <row r="1945" spans="1:35" x14ac:dyDescent="0.2">
      <c r="A1945">
        <v>1947</v>
      </c>
      <c r="B1945" t="s">
        <v>4240</v>
      </c>
      <c r="C1945" t="s">
        <v>4241</v>
      </c>
      <c r="D1945" t="s">
        <v>41</v>
      </c>
      <c r="E1945" t="s">
        <v>93</v>
      </c>
      <c r="F1945" t="s">
        <v>47</v>
      </c>
      <c r="G1945" t="s">
        <v>4242</v>
      </c>
      <c r="J1945" t="s">
        <v>4243</v>
      </c>
      <c r="K1945" t="s">
        <v>38</v>
      </c>
      <c r="L1945" t="s">
        <v>38</v>
      </c>
      <c r="M1945" t="s">
        <v>38</v>
      </c>
      <c r="N1945" t="s">
        <v>38</v>
      </c>
      <c r="O1945" t="s">
        <v>38</v>
      </c>
      <c r="T1945" t="s">
        <v>38</v>
      </c>
      <c r="U1945">
        <v>0</v>
      </c>
      <c r="W1945">
        <v>0</v>
      </c>
      <c r="X1945">
        <v>0</v>
      </c>
      <c r="Y1945">
        <v>0</v>
      </c>
      <c r="AE1945">
        <f t="shared" si="90"/>
        <v>1</v>
      </c>
      <c r="AF1945">
        <f>VLOOKUP(D1945,especies!$A$2:$C$9,3,FALSE)</f>
        <v>2</v>
      </c>
      <c r="AG1945" t="str">
        <f t="shared" si="91"/>
        <v>2-DPL (Doméstico de pelo Largo o DLH)</v>
      </c>
      <c r="AH1945">
        <f>VLOOKUP('Fichas clínicas'!AG1945,razas!$A$2:$D$66,3,FALSE)</f>
        <v>52</v>
      </c>
      <c r="AI1945" t="str">
        <f t="shared" si="92"/>
        <v>M</v>
      </c>
    </row>
    <row r="1946" spans="1:35" x14ac:dyDescent="0.2">
      <c r="A1946">
        <v>1948</v>
      </c>
      <c r="B1946" t="s">
        <v>4244</v>
      </c>
      <c r="C1946" t="s">
        <v>2146</v>
      </c>
      <c r="D1946" t="s">
        <v>41</v>
      </c>
      <c r="E1946" t="s">
        <v>42</v>
      </c>
      <c r="F1946" t="s">
        <v>34</v>
      </c>
      <c r="G1946" t="s">
        <v>526</v>
      </c>
      <c r="J1946" t="s">
        <v>4245</v>
      </c>
      <c r="K1946" t="s">
        <v>38</v>
      </c>
      <c r="L1946" t="s">
        <v>38</v>
      </c>
      <c r="M1946" t="s">
        <v>38</v>
      </c>
      <c r="N1946" t="s">
        <v>38</v>
      </c>
      <c r="O1946" t="s">
        <v>38</v>
      </c>
      <c r="T1946" t="s">
        <v>38</v>
      </c>
      <c r="U1946">
        <v>0</v>
      </c>
      <c r="W1946">
        <v>0</v>
      </c>
      <c r="X1946">
        <v>0</v>
      </c>
      <c r="Y1946">
        <v>0</v>
      </c>
      <c r="AE1946">
        <f t="shared" si="90"/>
        <v>1</v>
      </c>
      <c r="AF1946">
        <f>VLOOKUP(D1946,especies!$A$2:$C$9,3,FALSE)</f>
        <v>2</v>
      </c>
      <c r="AG1946" t="str">
        <f t="shared" si="91"/>
        <v>2-DPC (Doméstico de pelo corto o DSH)</v>
      </c>
      <c r="AH1946">
        <f>VLOOKUP('Fichas clínicas'!AG1946,razas!$A$2:$D$66,3,FALSE)</f>
        <v>51</v>
      </c>
      <c r="AI1946" t="str">
        <f t="shared" si="92"/>
        <v>H</v>
      </c>
    </row>
    <row r="1947" spans="1:35" x14ac:dyDescent="0.2">
      <c r="A1947">
        <v>1949</v>
      </c>
      <c r="B1947" t="s">
        <v>4246</v>
      </c>
      <c r="C1947" t="s">
        <v>4247</v>
      </c>
      <c r="D1947" t="s">
        <v>41</v>
      </c>
      <c r="E1947" t="s">
        <v>42</v>
      </c>
      <c r="F1947" t="s">
        <v>47</v>
      </c>
      <c r="G1947" t="s">
        <v>587</v>
      </c>
      <c r="J1947" t="s">
        <v>4248</v>
      </c>
      <c r="K1947" t="s">
        <v>38</v>
      </c>
      <c r="L1947" t="s">
        <v>38</v>
      </c>
      <c r="M1947" t="s">
        <v>38</v>
      </c>
      <c r="N1947" t="s">
        <v>38</v>
      </c>
      <c r="O1947" t="s">
        <v>38</v>
      </c>
      <c r="Q1947">
        <v>0</v>
      </c>
      <c r="T1947" t="s">
        <v>38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f t="shared" si="90"/>
        <v>1</v>
      </c>
      <c r="AF1947">
        <f>VLOOKUP(D1947,especies!$A$2:$C$9,3,FALSE)</f>
        <v>2</v>
      </c>
      <c r="AG1947" t="str">
        <f t="shared" si="91"/>
        <v>2-DPC (Doméstico de pelo corto o DSH)</v>
      </c>
      <c r="AH1947">
        <f>VLOOKUP('Fichas clínicas'!AG1947,razas!$A$2:$D$66,3,FALSE)</f>
        <v>51</v>
      </c>
      <c r="AI1947" t="str">
        <f t="shared" si="92"/>
        <v>M</v>
      </c>
    </row>
    <row r="1948" spans="1:35" x14ac:dyDescent="0.2">
      <c r="A1948">
        <v>1950</v>
      </c>
      <c r="B1948" t="s">
        <v>4246</v>
      </c>
      <c r="C1948" t="s">
        <v>4249</v>
      </c>
      <c r="D1948" t="s">
        <v>41</v>
      </c>
      <c r="E1948" t="s">
        <v>42</v>
      </c>
      <c r="F1948" t="s">
        <v>34</v>
      </c>
      <c r="G1948" t="s">
        <v>3572</v>
      </c>
      <c r="J1948" t="s">
        <v>4205</v>
      </c>
      <c r="K1948" t="s">
        <v>38</v>
      </c>
      <c r="L1948" t="s">
        <v>38</v>
      </c>
      <c r="M1948" t="s">
        <v>38</v>
      </c>
      <c r="N1948" t="s">
        <v>38</v>
      </c>
      <c r="O1948" t="s">
        <v>38</v>
      </c>
      <c r="T1948" t="s">
        <v>38</v>
      </c>
      <c r="U1948">
        <v>0</v>
      </c>
      <c r="W1948">
        <v>0</v>
      </c>
      <c r="X1948">
        <v>0</v>
      </c>
      <c r="Y1948">
        <v>0</v>
      </c>
      <c r="AE1948">
        <f t="shared" si="90"/>
        <v>1</v>
      </c>
      <c r="AF1948">
        <f>VLOOKUP(D1948,especies!$A$2:$C$9,3,FALSE)</f>
        <v>2</v>
      </c>
      <c r="AG1948" t="str">
        <f t="shared" si="91"/>
        <v>2-DPC (Doméstico de pelo corto o DSH)</v>
      </c>
      <c r="AH1948">
        <f>VLOOKUP('Fichas clínicas'!AG1948,razas!$A$2:$D$66,3,FALSE)</f>
        <v>51</v>
      </c>
      <c r="AI1948" t="str">
        <f t="shared" si="92"/>
        <v>H</v>
      </c>
    </row>
    <row r="1949" spans="1:35" x14ac:dyDescent="0.2">
      <c r="A1949">
        <v>1951</v>
      </c>
      <c r="B1949" t="s">
        <v>4246</v>
      </c>
      <c r="C1949" t="s">
        <v>4250</v>
      </c>
      <c r="D1949" t="s">
        <v>41</v>
      </c>
      <c r="E1949" t="s">
        <v>42</v>
      </c>
      <c r="F1949" t="s">
        <v>47</v>
      </c>
      <c r="G1949" t="s">
        <v>4251</v>
      </c>
      <c r="J1949" t="s">
        <v>4248</v>
      </c>
      <c r="K1949" t="s">
        <v>38</v>
      </c>
      <c r="L1949" t="s">
        <v>38</v>
      </c>
      <c r="M1949" t="s">
        <v>38</v>
      </c>
      <c r="N1949" t="s">
        <v>38</v>
      </c>
      <c r="O1949" t="s">
        <v>38</v>
      </c>
      <c r="T1949" t="s">
        <v>38</v>
      </c>
      <c r="U1949">
        <v>0</v>
      </c>
      <c r="W1949">
        <v>0</v>
      </c>
      <c r="X1949">
        <v>0</v>
      </c>
      <c r="Y1949">
        <v>0</v>
      </c>
      <c r="AE1949">
        <f t="shared" si="90"/>
        <v>1</v>
      </c>
      <c r="AF1949">
        <f>VLOOKUP(D1949,especies!$A$2:$C$9,3,FALSE)</f>
        <v>2</v>
      </c>
      <c r="AG1949" t="str">
        <f t="shared" si="91"/>
        <v>2-DPC (Doméstico de pelo corto o DSH)</v>
      </c>
      <c r="AH1949">
        <f>VLOOKUP('Fichas clínicas'!AG1949,razas!$A$2:$D$66,3,FALSE)</f>
        <v>51</v>
      </c>
      <c r="AI1949" t="str">
        <f t="shared" si="92"/>
        <v>M</v>
      </c>
    </row>
    <row r="1950" spans="1:35" x14ac:dyDescent="0.2">
      <c r="A1950">
        <v>1952</v>
      </c>
      <c r="B1950" t="s">
        <v>4246</v>
      </c>
      <c r="C1950" t="s">
        <v>4252</v>
      </c>
      <c r="D1950" t="s">
        <v>41</v>
      </c>
      <c r="E1950" t="s">
        <v>42</v>
      </c>
      <c r="F1950" t="s">
        <v>47</v>
      </c>
      <c r="G1950" t="s">
        <v>587</v>
      </c>
      <c r="J1950" t="s">
        <v>4248</v>
      </c>
      <c r="K1950" t="s">
        <v>38</v>
      </c>
      <c r="L1950" t="s">
        <v>38</v>
      </c>
      <c r="M1950" t="s">
        <v>38</v>
      </c>
      <c r="N1950" t="s">
        <v>38</v>
      </c>
      <c r="O1950" t="s">
        <v>38</v>
      </c>
      <c r="T1950" t="s">
        <v>38</v>
      </c>
      <c r="U1950">
        <v>0</v>
      </c>
      <c r="W1950">
        <v>0</v>
      </c>
      <c r="X1950">
        <v>0</v>
      </c>
      <c r="Y1950">
        <v>0</v>
      </c>
      <c r="AE1950">
        <f t="shared" si="90"/>
        <v>1</v>
      </c>
      <c r="AF1950">
        <f>VLOOKUP(D1950,especies!$A$2:$C$9,3,FALSE)</f>
        <v>2</v>
      </c>
      <c r="AG1950" t="str">
        <f t="shared" si="91"/>
        <v>2-DPC (Doméstico de pelo corto o DSH)</v>
      </c>
      <c r="AH1950">
        <f>VLOOKUP('Fichas clínicas'!AG1950,razas!$A$2:$D$66,3,FALSE)</f>
        <v>51</v>
      </c>
      <c r="AI1950" t="str">
        <f t="shared" si="92"/>
        <v>M</v>
      </c>
    </row>
    <row r="1951" spans="1:35" x14ac:dyDescent="0.2">
      <c r="A1951">
        <v>1953</v>
      </c>
      <c r="B1951" t="s">
        <v>4246</v>
      </c>
      <c r="C1951" t="s">
        <v>4253</v>
      </c>
      <c r="D1951" t="s">
        <v>41</v>
      </c>
      <c r="E1951" t="s">
        <v>42</v>
      </c>
      <c r="F1951" t="s">
        <v>34</v>
      </c>
      <c r="G1951" t="s">
        <v>587</v>
      </c>
      <c r="J1951" t="s">
        <v>4248</v>
      </c>
      <c r="K1951" t="s">
        <v>38</v>
      </c>
      <c r="L1951" t="s">
        <v>38</v>
      </c>
      <c r="M1951" t="s">
        <v>38</v>
      </c>
      <c r="N1951" t="s">
        <v>38</v>
      </c>
      <c r="O1951" t="s">
        <v>38</v>
      </c>
      <c r="T1951" t="s">
        <v>38</v>
      </c>
      <c r="U1951">
        <v>0</v>
      </c>
      <c r="W1951">
        <v>0</v>
      </c>
      <c r="X1951">
        <v>0</v>
      </c>
      <c r="Y1951">
        <v>0</v>
      </c>
      <c r="AE1951">
        <f t="shared" si="90"/>
        <v>1</v>
      </c>
      <c r="AF1951">
        <f>VLOOKUP(D1951,especies!$A$2:$C$9,3,FALSE)</f>
        <v>2</v>
      </c>
      <c r="AG1951" t="str">
        <f t="shared" si="91"/>
        <v>2-DPC (Doméstico de pelo corto o DSH)</v>
      </c>
      <c r="AH1951">
        <f>VLOOKUP('Fichas clínicas'!AG1951,razas!$A$2:$D$66,3,FALSE)</f>
        <v>51</v>
      </c>
      <c r="AI1951" t="str">
        <f t="shared" si="92"/>
        <v>H</v>
      </c>
    </row>
    <row r="1952" spans="1:35" x14ac:dyDescent="0.2">
      <c r="A1952">
        <v>1954</v>
      </c>
      <c r="B1952" t="s">
        <v>4125</v>
      </c>
      <c r="C1952" t="s">
        <v>4254</v>
      </c>
      <c r="D1952" t="s">
        <v>41</v>
      </c>
      <c r="E1952" t="s">
        <v>42</v>
      </c>
      <c r="F1952" t="s">
        <v>34</v>
      </c>
      <c r="G1952" t="s">
        <v>4255</v>
      </c>
      <c r="J1952" t="s">
        <v>725</v>
      </c>
      <c r="K1952" t="s">
        <v>38</v>
      </c>
      <c r="L1952" t="s">
        <v>38</v>
      </c>
      <c r="M1952" t="s">
        <v>38</v>
      </c>
      <c r="N1952" t="s">
        <v>38</v>
      </c>
      <c r="O1952" t="s">
        <v>38</v>
      </c>
      <c r="T1952" t="s">
        <v>38</v>
      </c>
      <c r="U1952">
        <v>0</v>
      </c>
      <c r="V1952">
        <v>1</v>
      </c>
      <c r="W1952">
        <v>0</v>
      </c>
      <c r="X1952">
        <v>0</v>
      </c>
      <c r="Y1952">
        <v>0</v>
      </c>
      <c r="AE1952">
        <f t="shared" si="90"/>
        <v>1</v>
      </c>
      <c r="AF1952">
        <f>VLOOKUP(D1952,especies!$A$2:$C$9,3,FALSE)</f>
        <v>2</v>
      </c>
      <c r="AG1952" t="str">
        <f t="shared" si="91"/>
        <v>2-DPC (Doméstico de pelo corto o DSH)</v>
      </c>
      <c r="AH1952">
        <f>VLOOKUP('Fichas clínicas'!AG1952,razas!$A$2:$D$66,3,FALSE)</f>
        <v>51</v>
      </c>
      <c r="AI1952" t="str">
        <f t="shared" si="92"/>
        <v>H</v>
      </c>
    </row>
    <row r="1953" spans="1:35" x14ac:dyDescent="0.2">
      <c r="A1953">
        <v>1955</v>
      </c>
      <c r="B1953" t="s">
        <v>4256</v>
      </c>
      <c r="C1953" t="s">
        <v>4257</v>
      </c>
      <c r="D1953" t="s">
        <v>41</v>
      </c>
      <c r="E1953" t="s">
        <v>42</v>
      </c>
      <c r="F1953" t="s">
        <v>34</v>
      </c>
      <c r="G1953" t="s">
        <v>1656</v>
      </c>
      <c r="J1953" t="s">
        <v>4258</v>
      </c>
      <c r="K1953" t="s">
        <v>38</v>
      </c>
      <c r="L1953" t="s">
        <v>38</v>
      </c>
      <c r="M1953" t="s">
        <v>38</v>
      </c>
      <c r="N1953" t="s">
        <v>38</v>
      </c>
      <c r="O1953" t="s">
        <v>38</v>
      </c>
      <c r="Q1953">
        <v>0</v>
      </c>
      <c r="T1953" t="s">
        <v>38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f t="shared" si="90"/>
        <v>1</v>
      </c>
      <c r="AF1953">
        <f>VLOOKUP(D1953,especies!$A$2:$C$9,3,FALSE)</f>
        <v>2</v>
      </c>
      <c r="AG1953" t="str">
        <f t="shared" si="91"/>
        <v>2-DPC (Doméstico de pelo corto o DSH)</v>
      </c>
      <c r="AH1953">
        <f>VLOOKUP('Fichas clínicas'!AG1953,razas!$A$2:$D$66,3,FALSE)</f>
        <v>51</v>
      </c>
      <c r="AI1953" t="str">
        <f t="shared" si="92"/>
        <v>H</v>
      </c>
    </row>
    <row r="1954" spans="1:35" x14ac:dyDescent="0.2">
      <c r="A1954">
        <v>1956</v>
      </c>
      <c r="B1954" t="s">
        <v>4259</v>
      </c>
      <c r="C1954" t="s">
        <v>4260</v>
      </c>
      <c r="D1954" t="s">
        <v>41</v>
      </c>
      <c r="E1954" t="s">
        <v>42</v>
      </c>
      <c r="F1954" t="s">
        <v>47</v>
      </c>
      <c r="G1954" t="s">
        <v>4261</v>
      </c>
      <c r="J1954" t="s">
        <v>3381</v>
      </c>
      <c r="K1954" t="s">
        <v>38</v>
      </c>
      <c r="L1954" t="s">
        <v>38</v>
      </c>
      <c r="M1954" t="s">
        <v>38</v>
      </c>
      <c r="N1954" t="s">
        <v>38</v>
      </c>
      <c r="O1954" t="s">
        <v>38</v>
      </c>
      <c r="T1954" t="s">
        <v>38</v>
      </c>
      <c r="U1954">
        <v>0</v>
      </c>
      <c r="W1954">
        <v>0</v>
      </c>
      <c r="X1954">
        <v>0</v>
      </c>
      <c r="Y1954">
        <v>0</v>
      </c>
      <c r="AE1954">
        <f t="shared" si="90"/>
        <v>1</v>
      </c>
      <c r="AF1954">
        <f>VLOOKUP(D1954,especies!$A$2:$C$9,3,FALSE)</f>
        <v>2</v>
      </c>
      <c r="AG1954" t="str">
        <f t="shared" si="91"/>
        <v>2-DPC (Doméstico de pelo corto o DSH)</v>
      </c>
      <c r="AH1954">
        <f>VLOOKUP('Fichas clínicas'!AG1954,razas!$A$2:$D$66,3,FALSE)</f>
        <v>51</v>
      </c>
      <c r="AI1954" t="str">
        <f t="shared" si="92"/>
        <v>M</v>
      </c>
    </row>
    <row r="1955" spans="1:35" x14ac:dyDescent="0.2">
      <c r="A1955">
        <v>1957</v>
      </c>
      <c r="B1955" t="s">
        <v>4262</v>
      </c>
      <c r="C1955" t="s">
        <v>4263</v>
      </c>
      <c r="D1955" t="s">
        <v>32</v>
      </c>
      <c r="E1955" t="s">
        <v>309</v>
      </c>
      <c r="F1955" t="s">
        <v>47</v>
      </c>
      <c r="G1955" t="s">
        <v>587</v>
      </c>
      <c r="J1955" t="s">
        <v>1208</v>
      </c>
      <c r="K1955" t="s">
        <v>38</v>
      </c>
      <c r="L1955" t="s">
        <v>38</v>
      </c>
      <c r="M1955" t="s">
        <v>38</v>
      </c>
      <c r="N1955" t="s">
        <v>38</v>
      </c>
      <c r="O1955" t="s">
        <v>38</v>
      </c>
      <c r="Q1955">
        <v>0</v>
      </c>
      <c r="T1955" t="s">
        <v>38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f t="shared" si="90"/>
        <v>1</v>
      </c>
      <c r="AF1955">
        <f>VLOOKUP(D1955,especies!$A$2:$C$9,3,FALSE)</f>
        <v>1</v>
      </c>
      <c r="AG1955" t="str">
        <f t="shared" si="91"/>
        <v>1-Pug</v>
      </c>
      <c r="AH1955">
        <f>VLOOKUP('Fichas clínicas'!AG1955,razas!$A$2:$D$66,3,FALSE)</f>
        <v>11</v>
      </c>
      <c r="AI1955" t="str">
        <f t="shared" si="92"/>
        <v>M</v>
      </c>
    </row>
    <row r="1956" spans="1:35" x14ac:dyDescent="0.2">
      <c r="A1956">
        <v>1958</v>
      </c>
      <c r="B1956" t="s">
        <v>4264</v>
      </c>
      <c r="C1956" t="s">
        <v>4265</v>
      </c>
      <c r="D1956" t="s">
        <v>41</v>
      </c>
      <c r="E1956" t="s">
        <v>42</v>
      </c>
      <c r="F1956" t="s">
        <v>47</v>
      </c>
      <c r="G1956" t="s">
        <v>4266</v>
      </c>
      <c r="J1956" t="s">
        <v>4267</v>
      </c>
      <c r="K1956" t="s">
        <v>38</v>
      </c>
      <c r="L1956" t="s">
        <v>38</v>
      </c>
      <c r="M1956" t="s">
        <v>38</v>
      </c>
      <c r="N1956" t="s">
        <v>38</v>
      </c>
      <c r="O1956" t="s">
        <v>38</v>
      </c>
      <c r="T1956" t="s">
        <v>38</v>
      </c>
      <c r="U1956">
        <v>0</v>
      </c>
      <c r="W1956">
        <v>0</v>
      </c>
      <c r="X1956">
        <v>0</v>
      </c>
      <c r="Y1956">
        <v>0</v>
      </c>
      <c r="AE1956">
        <f t="shared" si="90"/>
        <v>1</v>
      </c>
      <c r="AF1956">
        <f>VLOOKUP(D1956,especies!$A$2:$C$9,3,FALSE)</f>
        <v>2</v>
      </c>
      <c r="AG1956" t="str">
        <f t="shared" si="91"/>
        <v>2-DPC (Doméstico de pelo corto o DSH)</v>
      </c>
      <c r="AH1956">
        <f>VLOOKUP('Fichas clínicas'!AG1956,razas!$A$2:$D$66,3,FALSE)</f>
        <v>51</v>
      </c>
      <c r="AI1956" t="str">
        <f t="shared" si="92"/>
        <v>M</v>
      </c>
    </row>
    <row r="1957" spans="1:35" x14ac:dyDescent="0.2">
      <c r="A1957">
        <v>1959</v>
      </c>
      <c r="B1957" t="s">
        <v>4268</v>
      </c>
      <c r="C1957" t="s">
        <v>1573</v>
      </c>
      <c r="D1957" t="s">
        <v>41</v>
      </c>
      <c r="E1957" t="s">
        <v>93</v>
      </c>
      <c r="F1957" t="s">
        <v>34</v>
      </c>
      <c r="G1957" t="s">
        <v>4134</v>
      </c>
      <c r="I1957">
        <v>990000006909610</v>
      </c>
      <c r="J1957" t="s">
        <v>4075</v>
      </c>
      <c r="K1957" t="s">
        <v>38</v>
      </c>
      <c r="L1957" t="s">
        <v>38</v>
      </c>
      <c r="M1957" t="s">
        <v>38</v>
      </c>
      <c r="N1957" t="s">
        <v>38</v>
      </c>
      <c r="O1957" t="s">
        <v>38</v>
      </c>
      <c r="Q1957">
        <v>0</v>
      </c>
      <c r="T1957" t="s">
        <v>38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f t="shared" si="90"/>
        <v>1</v>
      </c>
      <c r="AF1957">
        <f>VLOOKUP(D1957,especies!$A$2:$C$9,3,FALSE)</f>
        <v>2</v>
      </c>
      <c r="AG1957" t="str">
        <f t="shared" si="91"/>
        <v>2-DPL (Doméstico de pelo Largo o DLH)</v>
      </c>
      <c r="AH1957">
        <f>VLOOKUP('Fichas clínicas'!AG1957,razas!$A$2:$D$66,3,FALSE)</f>
        <v>52</v>
      </c>
      <c r="AI1957" t="str">
        <f t="shared" si="92"/>
        <v>H</v>
      </c>
    </row>
    <row r="1958" spans="1:35" x14ac:dyDescent="0.2">
      <c r="A1958">
        <v>1960</v>
      </c>
      <c r="B1958" t="s">
        <v>4269</v>
      </c>
      <c r="C1958" t="s">
        <v>4270</v>
      </c>
      <c r="D1958" t="s">
        <v>32</v>
      </c>
      <c r="E1958" t="s">
        <v>63</v>
      </c>
      <c r="F1958" t="s">
        <v>47</v>
      </c>
      <c r="G1958" t="s">
        <v>4271</v>
      </c>
      <c r="J1958" t="s">
        <v>4272</v>
      </c>
      <c r="K1958" t="s">
        <v>38</v>
      </c>
      <c r="L1958" t="s">
        <v>38</v>
      </c>
      <c r="M1958" t="s">
        <v>38</v>
      </c>
      <c r="N1958" t="s">
        <v>38</v>
      </c>
      <c r="O1958" t="s">
        <v>38</v>
      </c>
      <c r="T1958" t="s">
        <v>38</v>
      </c>
      <c r="U1958">
        <v>0</v>
      </c>
      <c r="V1958">
        <v>1</v>
      </c>
      <c r="W1958">
        <v>0</v>
      </c>
      <c r="X1958">
        <v>0</v>
      </c>
      <c r="Y1958">
        <v>0</v>
      </c>
      <c r="AE1958">
        <f t="shared" si="90"/>
        <v>1</v>
      </c>
      <c r="AF1958">
        <f>VLOOKUP(D1958,especies!$A$2:$C$9,3,FALSE)</f>
        <v>1</v>
      </c>
      <c r="AG1958" t="str">
        <f t="shared" si="91"/>
        <v>1-Fox Terrier Pelo Corto</v>
      </c>
      <c r="AH1958">
        <f>VLOOKUP('Fichas clínicas'!AG1958,razas!$A$2:$D$66,3,FALSE)</f>
        <v>2</v>
      </c>
      <c r="AI1958" t="str">
        <f t="shared" si="92"/>
        <v>M</v>
      </c>
    </row>
    <row r="1959" spans="1:35" x14ac:dyDescent="0.2">
      <c r="A1959">
        <v>1961</v>
      </c>
      <c r="B1959" t="s">
        <v>4273</v>
      </c>
      <c r="C1959" t="s">
        <v>4274</v>
      </c>
      <c r="D1959" t="s">
        <v>2280</v>
      </c>
      <c r="E1959" t="s">
        <v>4275</v>
      </c>
      <c r="F1959" t="s">
        <v>34</v>
      </c>
      <c r="G1959" t="s">
        <v>452</v>
      </c>
      <c r="J1959" t="s">
        <v>87</v>
      </c>
      <c r="K1959" t="s">
        <v>38</v>
      </c>
      <c r="L1959" t="s">
        <v>38</v>
      </c>
      <c r="M1959" t="s">
        <v>38</v>
      </c>
      <c r="N1959" t="s">
        <v>38</v>
      </c>
      <c r="O1959" t="s">
        <v>38</v>
      </c>
      <c r="T1959" t="s">
        <v>38</v>
      </c>
      <c r="U1959">
        <v>0</v>
      </c>
      <c r="V1959">
        <v>1</v>
      </c>
      <c r="W1959">
        <v>0</v>
      </c>
      <c r="X1959">
        <v>0</v>
      </c>
      <c r="Y1959">
        <v>0</v>
      </c>
      <c r="AE1959">
        <f t="shared" si="90"/>
        <v>1</v>
      </c>
      <c r="AF1959">
        <f>VLOOKUP(D1959,especies!$A$2:$C$9,3,FALSE)</f>
        <v>6</v>
      </c>
      <c r="AG1959" t="str">
        <f t="shared" si="91"/>
        <v>6-Orejas Caidas</v>
      </c>
      <c r="AH1959">
        <f>VLOOKUP('Fichas clínicas'!AG1959,razas!$A$2:$D$66,3,FALSE)</f>
        <v>63</v>
      </c>
      <c r="AI1959" t="str">
        <f t="shared" si="92"/>
        <v>H</v>
      </c>
    </row>
    <row r="1960" spans="1:35" x14ac:dyDescent="0.2">
      <c r="A1960">
        <v>1962</v>
      </c>
      <c r="B1960" t="s">
        <v>4273</v>
      </c>
      <c r="C1960" t="s">
        <v>2324</v>
      </c>
      <c r="D1960" t="s">
        <v>2280</v>
      </c>
      <c r="E1960" t="s">
        <v>4275</v>
      </c>
      <c r="F1960" t="s">
        <v>47</v>
      </c>
      <c r="G1960" t="s">
        <v>1054</v>
      </c>
      <c r="J1960" t="s">
        <v>130</v>
      </c>
      <c r="K1960" t="s">
        <v>38</v>
      </c>
      <c r="L1960" t="s">
        <v>38</v>
      </c>
      <c r="M1960" t="s">
        <v>38</v>
      </c>
      <c r="N1960" t="s">
        <v>38</v>
      </c>
      <c r="O1960" t="s">
        <v>38</v>
      </c>
      <c r="T1960" t="s">
        <v>38</v>
      </c>
      <c r="U1960">
        <v>0</v>
      </c>
      <c r="V1960">
        <v>1</v>
      </c>
      <c r="W1960">
        <v>0</v>
      </c>
      <c r="X1960">
        <v>0</v>
      </c>
      <c r="Y1960">
        <v>0</v>
      </c>
      <c r="AE1960">
        <f t="shared" si="90"/>
        <v>1</v>
      </c>
      <c r="AF1960">
        <f>VLOOKUP(D1960,especies!$A$2:$C$9,3,FALSE)</f>
        <v>6</v>
      </c>
      <c r="AG1960" t="str">
        <f t="shared" si="91"/>
        <v>6-Orejas Caidas</v>
      </c>
      <c r="AH1960">
        <f>VLOOKUP('Fichas clínicas'!AG1960,razas!$A$2:$D$66,3,FALSE)</f>
        <v>63</v>
      </c>
      <c r="AI1960" t="str">
        <f t="shared" si="92"/>
        <v>M</v>
      </c>
    </row>
    <row r="1961" spans="1:35" x14ac:dyDescent="0.2">
      <c r="A1961">
        <v>1963</v>
      </c>
      <c r="B1961" t="s">
        <v>3450</v>
      </c>
      <c r="C1961" t="s">
        <v>4276</v>
      </c>
      <c r="D1961" t="s">
        <v>32</v>
      </c>
      <c r="E1961" t="s">
        <v>33</v>
      </c>
      <c r="F1961" t="s">
        <v>47</v>
      </c>
      <c r="G1961" t="s">
        <v>452</v>
      </c>
      <c r="J1961" t="s">
        <v>4178</v>
      </c>
      <c r="K1961" t="s">
        <v>38</v>
      </c>
      <c r="L1961" t="s">
        <v>38</v>
      </c>
      <c r="M1961" t="s">
        <v>38</v>
      </c>
      <c r="N1961" t="s">
        <v>38</v>
      </c>
      <c r="O1961" t="s">
        <v>38</v>
      </c>
      <c r="T1961" t="s">
        <v>38</v>
      </c>
      <c r="U1961">
        <v>0</v>
      </c>
      <c r="W1961">
        <v>0</v>
      </c>
      <c r="X1961">
        <v>0</v>
      </c>
      <c r="Y1961">
        <v>0</v>
      </c>
      <c r="AE1961">
        <f t="shared" si="90"/>
        <v>1</v>
      </c>
      <c r="AF1961">
        <f>VLOOKUP(D1961,especies!$A$2:$C$9,3,FALSE)</f>
        <v>1</v>
      </c>
      <c r="AG1961" t="str">
        <f t="shared" si="91"/>
        <v>1-Mestizo</v>
      </c>
      <c r="AH1961">
        <f>VLOOKUP('Fichas clínicas'!AG1961,razas!$A$2:$D$66,3,FALSE)</f>
        <v>1</v>
      </c>
      <c r="AI1961" t="str">
        <f t="shared" si="92"/>
        <v>M</v>
      </c>
    </row>
    <row r="1962" spans="1:35" x14ac:dyDescent="0.2">
      <c r="A1962">
        <v>1964</v>
      </c>
      <c r="B1962" t="s">
        <v>4277</v>
      </c>
      <c r="C1962" t="s">
        <v>2199</v>
      </c>
      <c r="D1962" t="s">
        <v>41</v>
      </c>
      <c r="E1962" t="s">
        <v>93</v>
      </c>
      <c r="F1962" t="s">
        <v>47</v>
      </c>
      <c r="G1962" t="s">
        <v>1073</v>
      </c>
      <c r="J1962" t="s">
        <v>4178</v>
      </c>
      <c r="K1962" t="s">
        <v>38</v>
      </c>
      <c r="L1962" t="s">
        <v>38</v>
      </c>
      <c r="M1962" t="s">
        <v>38</v>
      </c>
      <c r="N1962" t="s">
        <v>38</v>
      </c>
      <c r="O1962" t="s">
        <v>38</v>
      </c>
      <c r="T1962" t="s">
        <v>38</v>
      </c>
      <c r="U1962">
        <v>0</v>
      </c>
      <c r="W1962">
        <v>0</v>
      </c>
      <c r="X1962">
        <v>0</v>
      </c>
      <c r="Y1962">
        <v>0</v>
      </c>
      <c r="AE1962">
        <f t="shared" si="90"/>
        <v>1</v>
      </c>
      <c r="AF1962">
        <f>VLOOKUP(D1962,especies!$A$2:$C$9,3,FALSE)</f>
        <v>2</v>
      </c>
      <c r="AG1962" t="str">
        <f t="shared" si="91"/>
        <v>2-DPL (Doméstico de pelo Largo o DLH)</v>
      </c>
      <c r="AH1962">
        <f>VLOOKUP('Fichas clínicas'!AG1962,razas!$A$2:$D$66,3,FALSE)</f>
        <v>52</v>
      </c>
      <c r="AI1962" t="str">
        <f t="shared" si="92"/>
        <v>M</v>
      </c>
    </row>
    <row r="1963" spans="1:35" x14ac:dyDescent="0.2">
      <c r="A1963">
        <v>1965</v>
      </c>
      <c r="B1963" t="s">
        <v>4278</v>
      </c>
      <c r="C1963" t="s">
        <v>4279</v>
      </c>
      <c r="D1963" t="s">
        <v>32</v>
      </c>
      <c r="E1963" t="s">
        <v>63</v>
      </c>
      <c r="F1963" t="s">
        <v>47</v>
      </c>
      <c r="G1963" t="s">
        <v>1676</v>
      </c>
      <c r="J1963" t="s">
        <v>4280</v>
      </c>
      <c r="K1963" t="s">
        <v>38</v>
      </c>
      <c r="L1963" t="s">
        <v>38</v>
      </c>
      <c r="M1963" t="s">
        <v>38</v>
      </c>
      <c r="N1963" t="s">
        <v>38</v>
      </c>
      <c r="O1963" t="s">
        <v>38</v>
      </c>
      <c r="T1963" t="s">
        <v>38</v>
      </c>
      <c r="U1963">
        <v>0</v>
      </c>
      <c r="W1963">
        <v>0</v>
      </c>
      <c r="X1963">
        <v>0</v>
      </c>
      <c r="Y1963">
        <v>0</v>
      </c>
      <c r="AE1963">
        <f t="shared" si="90"/>
        <v>1</v>
      </c>
      <c r="AF1963">
        <f>VLOOKUP(D1963,especies!$A$2:$C$9,3,FALSE)</f>
        <v>1</v>
      </c>
      <c r="AG1963" t="str">
        <f t="shared" si="91"/>
        <v>1-Fox Terrier Pelo Corto</v>
      </c>
      <c r="AH1963">
        <f>VLOOKUP('Fichas clínicas'!AG1963,razas!$A$2:$D$66,3,FALSE)</f>
        <v>2</v>
      </c>
      <c r="AI1963" t="str">
        <f t="shared" si="92"/>
        <v>M</v>
      </c>
    </row>
    <row r="1964" spans="1:35" x14ac:dyDescent="0.2">
      <c r="A1964">
        <v>1966</v>
      </c>
      <c r="B1964" t="s">
        <v>2641</v>
      </c>
      <c r="C1964" t="s">
        <v>4281</v>
      </c>
      <c r="D1964" t="s">
        <v>41</v>
      </c>
      <c r="E1964" t="s">
        <v>42</v>
      </c>
      <c r="F1964" t="s">
        <v>47</v>
      </c>
      <c r="G1964" t="s">
        <v>102</v>
      </c>
      <c r="J1964" t="s">
        <v>3988</v>
      </c>
      <c r="K1964" t="s">
        <v>38</v>
      </c>
      <c r="L1964" t="s">
        <v>38</v>
      </c>
      <c r="M1964" t="s">
        <v>38</v>
      </c>
      <c r="N1964" t="s">
        <v>38</v>
      </c>
      <c r="O1964" t="s">
        <v>38</v>
      </c>
      <c r="T1964" t="s">
        <v>38</v>
      </c>
      <c r="U1964">
        <v>0</v>
      </c>
      <c r="W1964">
        <v>0</v>
      </c>
      <c r="X1964">
        <v>0</v>
      </c>
      <c r="Y1964">
        <v>0</v>
      </c>
      <c r="AE1964">
        <f t="shared" si="90"/>
        <v>1</v>
      </c>
      <c r="AF1964">
        <f>VLOOKUP(D1964,especies!$A$2:$C$9,3,FALSE)</f>
        <v>2</v>
      </c>
      <c r="AG1964" t="str">
        <f t="shared" si="91"/>
        <v>2-DPC (Doméstico de pelo corto o DSH)</v>
      </c>
      <c r="AH1964">
        <f>VLOOKUP('Fichas clínicas'!AG1964,razas!$A$2:$D$66,3,FALSE)</f>
        <v>51</v>
      </c>
      <c r="AI1964" t="str">
        <f t="shared" si="92"/>
        <v>M</v>
      </c>
    </row>
    <row r="1965" spans="1:35" x14ac:dyDescent="0.2">
      <c r="A1965">
        <v>1967</v>
      </c>
      <c r="B1965" t="s">
        <v>4282</v>
      </c>
      <c r="C1965" t="s">
        <v>4283</v>
      </c>
      <c r="D1965" t="s">
        <v>32</v>
      </c>
      <c r="E1965" t="s">
        <v>473</v>
      </c>
      <c r="F1965" t="s">
        <v>34</v>
      </c>
      <c r="G1965" t="s">
        <v>1402</v>
      </c>
      <c r="J1965" t="s">
        <v>4284</v>
      </c>
      <c r="K1965" t="s">
        <v>38</v>
      </c>
      <c r="L1965" t="s">
        <v>38</v>
      </c>
      <c r="M1965" t="s">
        <v>38</v>
      </c>
      <c r="N1965" t="s">
        <v>38</v>
      </c>
      <c r="O1965" t="s">
        <v>38</v>
      </c>
      <c r="T1965" t="s">
        <v>38</v>
      </c>
      <c r="U1965">
        <v>0</v>
      </c>
      <c r="W1965">
        <v>0</v>
      </c>
      <c r="X1965">
        <v>0</v>
      </c>
      <c r="Y1965">
        <v>0</v>
      </c>
      <c r="AE1965">
        <f t="shared" si="90"/>
        <v>1</v>
      </c>
      <c r="AF1965">
        <f>VLOOKUP(D1965,especies!$A$2:$C$9,3,FALSE)</f>
        <v>1</v>
      </c>
      <c r="AG1965" t="str">
        <f t="shared" si="91"/>
        <v>1-Boxer</v>
      </c>
      <c r="AH1965">
        <f>VLOOKUP('Fichas clínicas'!AG1965,razas!$A$2:$D$66,3,FALSE)</f>
        <v>14</v>
      </c>
      <c r="AI1965" t="str">
        <f t="shared" si="92"/>
        <v>H</v>
      </c>
    </row>
    <row r="1966" spans="1:35" x14ac:dyDescent="0.2">
      <c r="A1966">
        <v>1968</v>
      </c>
      <c r="B1966" t="s">
        <v>4285</v>
      </c>
      <c r="C1966" t="s">
        <v>2223</v>
      </c>
      <c r="D1966" t="s">
        <v>32</v>
      </c>
      <c r="E1966" t="s">
        <v>164</v>
      </c>
      <c r="F1966" t="s">
        <v>47</v>
      </c>
      <c r="G1966" t="s">
        <v>1656</v>
      </c>
      <c r="I1966">
        <v>991001002932040</v>
      </c>
      <c r="J1966" t="s">
        <v>4286</v>
      </c>
      <c r="K1966" t="s">
        <v>38</v>
      </c>
      <c r="L1966" t="s">
        <v>38</v>
      </c>
      <c r="M1966" t="s">
        <v>38</v>
      </c>
      <c r="N1966" t="s">
        <v>38</v>
      </c>
      <c r="O1966" t="s">
        <v>38</v>
      </c>
      <c r="Q1966">
        <v>0</v>
      </c>
      <c r="T1966" t="s">
        <v>38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f t="shared" si="90"/>
        <v>1</v>
      </c>
      <c r="AF1966">
        <f>VLOOKUP(D1966,especies!$A$2:$C$9,3,FALSE)</f>
        <v>1</v>
      </c>
      <c r="AG1966" t="str">
        <f t="shared" si="91"/>
        <v>1-Teckel</v>
      </c>
      <c r="AH1966">
        <f>VLOOKUP('Fichas clínicas'!AG1966,razas!$A$2:$D$66,3,FALSE)</f>
        <v>8</v>
      </c>
      <c r="AI1966" t="str">
        <f t="shared" si="92"/>
        <v>M</v>
      </c>
    </row>
    <row r="1967" spans="1:35" x14ac:dyDescent="0.2">
      <c r="A1967">
        <v>1969</v>
      </c>
      <c r="B1967" t="s">
        <v>4287</v>
      </c>
      <c r="C1967" t="s">
        <v>4288</v>
      </c>
      <c r="D1967" t="s">
        <v>41</v>
      </c>
      <c r="E1967" t="s">
        <v>42</v>
      </c>
      <c r="F1967" t="s">
        <v>47</v>
      </c>
      <c r="G1967" t="s">
        <v>3397</v>
      </c>
      <c r="J1967" t="s">
        <v>4289</v>
      </c>
      <c r="K1967" t="s">
        <v>38</v>
      </c>
      <c r="L1967" t="s">
        <v>38</v>
      </c>
      <c r="M1967" t="s">
        <v>38</v>
      </c>
      <c r="N1967" t="s">
        <v>38</v>
      </c>
      <c r="O1967" t="s">
        <v>38</v>
      </c>
      <c r="T1967" t="s">
        <v>38</v>
      </c>
      <c r="U1967">
        <v>0</v>
      </c>
      <c r="V1967">
        <v>1</v>
      </c>
      <c r="W1967">
        <v>0</v>
      </c>
      <c r="X1967">
        <v>0</v>
      </c>
      <c r="Y1967">
        <v>0</v>
      </c>
      <c r="AE1967">
        <f t="shared" si="90"/>
        <v>1</v>
      </c>
      <c r="AF1967">
        <f>VLOOKUP(D1967,especies!$A$2:$C$9,3,FALSE)</f>
        <v>2</v>
      </c>
      <c r="AG1967" t="str">
        <f t="shared" si="91"/>
        <v>2-DPC (Doméstico de pelo corto o DSH)</v>
      </c>
      <c r="AH1967">
        <f>VLOOKUP('Fichas clínicas'!AG1967,razas!$A$2:$D$66,3,FALSE)</f>
        <v>51</v>
      </c>
      <c r="AI1967" t="str">
        <f t="shared" si="92"/>
        <v>M</v>
      </c>
    </row>
    <row r="1968" spans="1:35" x14ac:dyDescent="0.2">
      <c r="A1968">
        <v>1970</v>
      </c>
      <c r="B1968" t="s">
        <v>4290</v>
      </c>
      <c r="C1968" t="s">
        <v>3999</v>
      </c>
      <c r="D1968" t="s">
        <v>41</v>
      </c>
      <c r="E1968" t="s">
        <v>42</v>
      </c>
      <c r="F1968" t="s">
        <v>47</v>
      </c>
      <c r="G1968" t="s">
        <v>300</v>
      </c>
      <c r="J1968" t="s">
        <v>166</v>
      </c>
      <c r="K1968" t="s">
        <v>38</v>
      </c>
      <c r="L1968" t="s">
        <v>38</v>
      </c>
      <c r="M1968" t="s">
        <v>38</v>
      </c>
      <c r="N1968" t="s">
        <v>38</v>
      </c>
      <c r="O1968" t="s">
        <v>38</v>
      </c>
      <c r="T1968" t="s">
        <v>38</v>
      </c>
      <c r="U1968">
        <v>0</v>
      </c>
      <c r="V1968">
        <v>1</v>
      </c>
      <c r="W1968">
        <v>0</v>
      </c>
      <c r="X1968">
        <v>0</v>
      </c>
      <c r="Y1968">
        <v>0</v>
      </c>
      <c r="AE1968">
        <f t="shared" si="90"/>
        <v>1</v>
      </c>
      <c r="AF1968">
        <f>VLOOKUP(D1968,especies!$A$2:$C$9,3,FALSE)</f>
        <v>2</v>
      </c>
      <c r="AG1968" t="str">
        <f t="shared" si="91"/>
        <v>2-DPC (Doméstico de pelo corto o DSH)</v>
      </c>
      <c r="AH1968">
        <f>VLOOKUP('Fichas clínicas'!AG1968,razas!$A$2:$D$66,3,FALSE)</f>
        <v>51</v>
      </c>
      <c r="AI1968" t="str">
        <f t="shared" si="92"/>
        <v>M</v>
      </c>
    </row>
    <row r="1969" spans="1:35" x14ac:dyDescent="0.2">
      <c r="A1969">
        <v>1971</v>
      </c>
      <c r="B1969" t="s">
        <v>4291</v>
      </c>
      <c r="C1969" t="s">
        <v>1750</v>
      </c>
      <c r="D1969" t="s">
        <v>41</v>
      </c>
      <c r="E1969" t="s">
        <v>42</v>
      </c>
      <c r="F1969" t="s">
        <v>34</v>
      </c>
      <c r="G1969" t="s">
        <v>4292</v>
      </c>
      <c r="J1969" t="s">
        <v>571</v>
      </c>
      <c r="K1969" t="s">
        <v>38</v>
      </c>
      <c r="L1969" t="s">
        <v>38</v>
      </c>
      <c r="M1969" t="s">
        <v>38</v>
      </c>
      <c r="N1969" t="s">
        <v>38</v>
      </c>
      <c r="O1969" t="s">
        <v>38</v>
      </c>
      <c r="T1969" t="s">
        <v>38</v>
      </c>
      <c r="U1969">
        <v>0</v>
      </c>
      <c r="V1969">
        <v>1</v>
      </c>
      <c r="W1969">
        <v>0</v>
      </c>
      <c r="X1969">
        <v>0</v>
      </c>
      <c r="Y1969">
        <v>0</v>
      </c>
      <c r="AE1969">
        <f t="shared" si="90"/>
        <v>1</v>
      </c>
      <c r="AF1969">
        <f>VLOOKUP(D1969,especies!$A$2:$C$9,3,FALSE)</f>
        <v>2</v>
      </c>
      <c r="AG1969" t="str">
        <f t="shared" si="91"/>
        <v>2-DPC (Doméstico de pelo corto o DSH)</v>
      </c>
      <c r="AH1969">
        <f>VLOOKUP('Fichas clínicas'!AG1969,razas!$A$2:$D$66,3,FALSE)</f>
        <v>51</v>
      </c>
      <c r="AI1969" t="str">
        <f t="shared" si="92"/>
        <v>H</v>
      </c>
    </row>
    <row r="1970" spans="1:35" x14ac:dyDescent="0.2">
      <c r="A1970">
        <v>1972</v>
      </c>
      <c r="B1970" t="s">
        <v>4293</v>
      </c>
      <c r="C1970" t="s">
        <v>2125</v>
      </c>
      <c r="D1970" t="s">
        <v>41</v>
      </c>
      <c r="E1970" t="s">
        <v>42</v>
      </c>
      <c r="F1970" t="s">
        <v>47</v>
      </c>
      <c r="G1970" t="s">
        <v>825</v>
      </c>
      <c r="J1970" t="s">
        <v>4294</v>
      </c>
      <c r="K1970" t="s">
        <v>38</v>
      </c>
      <c r="L1970" t="s">
        <v>38</v>
      </c>
      <c r="M1970" t="s">
        <v>38</v>
      </c>
      <c r="N1970" t="s">
        <v>38</v>
      </c>
      <c r="O1970" t="s">
        <v>38</v>
      </c>
      <c r="Q1970">
        <v>0</v>
      </c>
      <c r="T1970" t="s">
        <v>38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f t="shared" si="90"/>
        <v>1</v>
      </c>
      <c r="AF1970">
        <f>VLOOKUP(D1970,especies!$A$2:$C$9,3,FALSE)</f>
        <v>2</v>
      </c>
      <c r="AG1970" t="str">
        <f t="shared" si="91"/>
        <v>2-DPC (Doméstico de pelo corto o DSH)</v>
      </c>
      <c r="AH1970">
        <f>VLOOKUP('Fichas clínicas'!AG1970,razas!$A$2:$D$66,3,FALSE)</f>
        <v>51</v>
      </c>
      <c r="AI1970" t="str">
        <f t="shared" si="92"/>
        <v>M</v>
      </c>
    </row>
    <row r="1971" spans="1:35" x14ac:dyDescent="0.2">
      <c r="A1971">
        <v>1973</v>
      </c>
      <c r="B1971" t="s">
        <v>4295</v>
      </c>
      <c r="C1971" t="s">
        <v>4296</v>
      </c>
      <c r="D1971" t="s">
        <v>32</v>
      </c>
      <c r="E1971" t="s">
        <v>143</v>
      </c>
      <c r="F1971" t="s">
        <v>34</v>
      </c>
      <c r="G1971" t="s">
        <v>698</v>
      </c>
      <c r="J1971" t="s">
        <v>4297</v>
      </c>
      <c r="K1971" t="s">
        <v>38</v>
      </c>
      <c r="L1971" t="s">
        <v>38</v>
      </c>
      <c r="M1971" t="s">
        <v>38</v>
      </c>
      <c r="N1971" t="s">
        <v>38</v>
      </c>
      <c r="O1971" t="s">
        <v>38</v>
      </c>
      <c r="T1971" t="s">
        <v>38</v>
      </c>
      <c r="U1971">
        <v>0</v>
      </c>
      <c r="W1971">
        <v>0</v>
      </c>
      <c r="X1971">
        <v>0</v>
      </c>
      <c r="Y1971">
        <v>0</v>
      </c>
      <c r="AE1971">
        <f t="shared" si="90"/>
        <v>1</v>
      </c>
      <c r="AF1971">
        <f>VLOOKUP(D1971,especies!$A$2:$C$9,3,FALSE)</f>
        <v>1</v>
      </c>
      <c r="AG1971" t="str">
        <f t="shared" si="91"/>
        <v>1-Yorkshire Terrier</v>
      </c>
      <c r="AH1971">
        <f>VLOOKUP('Fichas clínicas'!AG1971,razas!$A$2:$D$66,3,FALSE)</f>
        <v>5</v>
      </c>
      <c r="AI1971" t="str">
        <f t="shared" si="92"/>
        <v>H</v>
      </c>
    </row>
    <row r="1972" spans="1:35" x14ac:dyDescent="0.2">
      <c r="A1972">
        <v>1974</v>
      </c>
      <c r="B1972" t="s">
        <v>4226</v>
      </c>
      <c r="C1972" t="s">
        <v>4298</v>
      </c>
      <c r="D1972" t="s">
        <v>41</v>
      </c>
      <c r="E1972" t="s">
        <v>42</v>
      </c>
      <c r="F1972" t="s">
        <v>47</v>
      </c>
      <c r="G1972" t="s">
        <v>1656</v>
      </c>
      <c r="J1972" t="s">
        <v>4299</v>
      </c>
      <c r="K1972" t="s">
        <v>38</v>
      </c>
      <c r="L1972" t="s">
        <v>38</v>
      </c>
      <c r="M1972" t="s">
        <v>38</v>
      </c>
      <c r="N1972" t="s">
        <v>38</v>
      </c>
      <c r="O1972" t="s">
        <v>38</v>
      </c>
      <c r="T1972" t="s">
        <v>38</v>
      </c>
      <c r="U1972">
        <v>0</v>
      </c>
      <c r="W1972">
        <v>0</v>
      </c>
      <c r="X1972">
        <v>0</v>
      </c>
      <c r="Y1972">
        <v>0</v>
      </c>
      <c r="AE1972">
        <f t="shared" si="90"/>
        <v>1</v>
      </c>
      <c r="AF1972">
        <f>VLOOKUP(D1972,especies!$A$2:$C$9,3,FALSE)</f>
        <v>2</v>
      </c>
      <c r="AG1972" t="str">
        <f t="shared" si="91"/>
        <v>2-DPC (Doméstico de pelo corto o DSH)</v>
      </c>
      <c r="AH1972">
        <f>VLOOKUP('Fichas clínicas'!AG1972,razas!$A$2:$D$66,3,FALSE)</f>
        <v>51</v>
      </c>
      <c r="AI1972" t="str">
        <f t="shared" si="92"/>
        <v>M</v>
      </c>
    </row>
    <row r="1973" spans="1:35" x14ac:dyDescent="0.2">
      <c r="A1973">
        <v>1975</v>
      </c>
      <c r="B1973" t="s">
        <v>3452</v>
      </c>
      <c r="C1973" t="s">
        <v>3951</v>
      </c>
      <c r="D1973" t="s">
        <v>41</v>
      </c>
      <c r="E1973" t="s">
        <v>42</v>
      </c>
      <c r="F1973" t="s">
        <v>47</v>
      </c>
      <c r="G1973" t="s">
        <v>2047</v>
      </c>
      <c r="J1973" t="s">
        <v>4300</v>
      </c>
      <c r="K1973" t="s">
        <v>38</v>
      </c>
      <c r="L1973" t="s">
        <v>38</v>
      </c>
      <c r="M1973" t="s">
        <v>38</v>
      </c>
      <c r="N1973" t="s">
        <v>38</v>
      </c>
      <c r="O1973" t="s">
        <v>38</v>
      </c>
      <c r="T1973" t="s">
        <v>38</v>
      </c>
      <c r="U1973">
        <v>0</v>
      </c>
      <c r="W1973">
        <v>0</v>
      </c>
      <c r="X1973">
        <v>0</v>
      </c>
      <c r="Y1973">
        <v>0</v>
      </c>
      <c r="AE1973">
        <f t="shared" si="90"/>
        <v>1</v>
      </c>
      <c r="AF1973">
        <f>VLOOKUP(D1973,especies!$A$2:$C$9,3,FALSE)</f>
        <v>2</v>
      </c>
      <c r="AG1973" t="str">
        <f t="shared" si="91"/>
        <v>2-DPC (Doméstico de pelo corto o DSH)</v>
      </c>
      <c r="AH1973">
        <f>VLOOKUP('Fichas clínicas'!AG1973,razas!$A$2:$D$66,3,FALSE)</f>
        <v>51</v>
      </c>
      <c r="AI1973" t="str">
        <f t="shared" si="92"/>
        <v>M</v>
      </c>
    </row>
    <row r="1974" spans="1:35" x14ac:dyDescent="0.2">
      <c r="A1974">
        <v>1976</v>
      </c>
      <c r="B1974" t="s">
        <v>4301</v>
      </c>
      <c r="C1974" t="s">
        <v>4302</v>
      </c>
      <c r="D1974" t="s">
        <v>41</v>
      </c>
      <c r="E1974" t="s">
        <v>42</v>
      </c>
      <c r="F1974" t="s">
        <v>47</v>
      </c>
      <c r="G1974" t="s">
        <v>452</v>
      </c>
      <c r="J1974" t="s">
        <v>271</v>
      </c>
      <c r="K1974" t="s">
        <v>38</v>
      </c>
      <c r="L1974" t="s">
        <v>38</v>
      </c>
      <c r="M1974" t="s">
        <v>38</v>
      </c>
      <c r="N1974" t="s">
        <v>38</v>
      </c>
      <c r="O1974" t="s">
        <v>38</v>
      </c>
      <c r="T1974" t="s">
        <v>38</v>
      </c>
      <c r="U1974">
        <v>0</v>
      </c>
      <c r="V1974">
        <v>1</v>
      </c>
      <c r="W1974">
        <v>0</v>
      </c>
      <c r="X1974">
        <v>0</v>
      </c>
      <c r="Y1974">
        <v>0</v>
      </c>
      <c r="AE1974">
        <f t="shared" si="90"/>
        <v>1</v>
      </c>
      <c r="AF1974">
        <f>VLOOKUP(D1974,especies!$A$2:$C$9,3,FALSE)</f>
        <v>2</v>
      </c>
      <c r="AG1974" t="str">
        <f t="shared" si="91"/>
        <v>2-DPC (Doméstico de pelo corto o DSH)</v>
      </c>
      <c r="AH1974">
        <f>VLOOKUP('Fichas clínicas'!AG1974,razas!$A$2:$D$66,3,FALSE)</f>
        <v>51</v>
      </c>
      <c r="AI1974" t="str">
        <f t="shared" si="92"/>
        <v>M</v>
      </c>
    </row>
    <row r="1975" spans="1:35" x14ac:dyDescent="0.2">
      <c r="A1975">
        <v>1977</v>
      </c>
      <c r="B1975" t="s">
        <v>3080</v>
      </c>
      <c r="C1975" t="s">
        <v>4303</v>
      </c>
      <c r="D1975" t="s">
        <v>32</v>
      </c>
      <c r="E1975" t="s">
        <v>33</v>
      </c>
      <c r="F1975" t="s">
        <v>34</v>
      </c>
      <c r="G1975" t="s">
        <v>220</v>
      </c>
      <c r="J1975" t="s">
        <v>271</v>
      </c>
      <c r="K1975" t="s">
        <v>38</v>
      </c>
      <c r="L1975" t="s">
        <v>38</v>
      </c>
      <c r="M1975" t="s">
        <v>38</v>
      </c>
      <c r="N1975" t="s">
        <v>38</v>
      </c>
      <c r="O1975" t="s">
        <v>38</v>
      </c>
      <c r="Q1975">
        <v>0</v>
      </c>
      <c r="T1975" t="s">
        <v>38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f t="shared" si="90"/>
        <v>1</v>
      </c>
      <c r="AF1975">
        <f>VLOOKUP(D1975,especies!$A$2:$C$9,3,FALSE)</f>
        <v>1</v>
      </c>
      <c r="AG1975" t="str">
        <f t="shared" si="91"/>
        <v>1-Mestizo</v>
      </c>
      <c r="AH1975">
        <f>VLOOKUP('Fichas clínicas'!AG1975,razas!$A$2:$D$66,3,FALSE)</f>
        <v>1</v>
      </c>
      <c r="AI1975" t="str">
        <f t="shared" si="92"/>
        <v>H</v>
      </c>
    </row>
    <row r="1976" spans="1:35" x14ac:dyDescent="0.2">
      <c r="A1976">
        <v>1978</v>
      </c>
      <c r="B1976" t="s">
        <v>4304</v>
      </c>
      <c r="C1976" t="s">
        <v>2620</v>
      </c>
      <c r="D1976" t="s">
        <v>41</v>
      </c>
      <c r="E1976" t="s">
        <v>42</v>
      </c>
      <c r="F1976" t="s">
        <v>47</v>
      </c>
      <c r="G1976" t="s">
        <v>1769</v>
      </c>
      <c r="J1976" t="s">
        <v>3993</v>
      </c>
      <c r="K1976" t="s">
        <v>38</v>
      </c>
      <c r="L1976" t="s">
        <v>38</v>
      </c>
      <c r="M1976" t="s">
        <v>38</v>
      </c>
      <c r="N1976" t="s">
        <v>38</v>
      </c>
      <c r="O1976" t="s">
        <v>38</v>
      </c>
      <c r="T1976" t="s">
        <v>38</v>
      </c>
      <c r="U1976">
        <v>0</v>
      </c>
      <c r="W1976">
        <v>0</v>
      </c>
      <c r="X1976">
        <v>0</v>
      </c>
      <c r="Y1976">
        <v>0</v>
      </c>
      <c r="AE1976">
        <f t="shared" si="90"/>
        <v>1</v>
      </c>
      <c r="AF1976">
        <f>VLOOKUP(D1976,especies!$A$2:$C$9,3,FALSE)</f>
        <v>2</v>
      </c>
      <c r="AG1976" t="str">
        <f t="shared" si="91"/>
        <v>2-DPC (Doméstico de pelo corto o DSH)</v>
      </c>
      <c r="AH1976">
        <f>VLOOKUP('Fichas clínicas'!AG1976,razas!$A$2:$D$66,3,FALSE)</f>
        <v>51</v>
      </c>
      <c r="AI1976" t="str">
        <f t="shared" si="92"/>
        <v>M</v>
      </c>
    </row>
    <row r="1977" spans="1:35" x14ac:dyDescent="0.2">
      <c r="A1977">
        <v>1979</v>
      </c>
      <c r="B1977" t="s">
        <v>4125</v>
      </c>
      <c r="C1977" t="s">
        <v>4305</v>
      </c>
      <c r="D1977" t="s">
        <v>41</v>
      </c>
      <c r="E1977" t="s">
        <v>93</v>
      </c>
      <c r="F1977" t="s">
        <v>34</v>
      </c>
      <c r="G1977" t="s">
        <v>1769</v>
      </c>
      <c r="J1977" t="s">
        <v>4306</v>
      </c>
      <c r="K1977" t="s">
        <v>38</v>
      </c>
      <c r="L1977" t="s">
        <v>38</v>
      </c>
      <c r="M1977" t="s">
        <v>38</v>
      </c>
      <c r="N1977" t="s">
        <v>38</v>
      </c>
      <c r="O1977" t="s">
        <v>38</v>
      </c>
      <c r="T1977" t="s">
        <v>38</v>
      </c>
      <c r="U1977">
        <v>0</v>
      </c>
      <c r="W1977">
        <v>0</v>
      </c>
      <c r="X1977">
        <v>0</v>
      </c>
      <c r="Y1977">
        <v>0</v>
      </c>
      <c r="AE1977">
        <f t="shared" si="90"/>
        <v>1</v>
      </c>
      <c r="AF1977">
        <f>VLOOKUP(D1977,especies!$A$2:$C$9,3,FALSE)</f>
        <v>2</v>
      </c>
      <c r="AG1977" t="str">
        <f t="shared" si="91"/>
        <v>2-DPL (Doméstico de pelo Largo o DLH)</v>
      </c>
      <c r="AH1977">
        <f>VLOOKUP('Fichas clínicas'!AG1977,razas!$A$2:$D$66,3,FALSE)</f>
        <v>52</v>
      </c>
      <c r="AI1977" t="str">
        <f t="shared" si="92"/>
        <v>H</v>
      </c>
    </row>
    <row r="1978" spans="1:35" x14ac:dyDescent="0.2">
      <c r="A1978">
        <v>1980</v>
      </c>
      <c r="B1978" t="s">
        <v>4307</v>
      </c>
      <c r="C1978" t="s">
        <v>4308</v>
      </c>
      <c r="D1978" t="s">
        <v>32</v>
      </c>
      <c r="E1978" t="s">
        <v>309</v>
      </c>
      <c r="F1978" t="s">
        <v>34</v>
      </c>
      <c r="G1978" t="s">
        <v>1915</v>
      </c>
      <c r="J1978" t="s">
        <v>809</v>
      </c>
      <c r="K1978" t="s">
        <v>38</v>
      </c>
      <c r="L1978" t="s">
        <v>38</v>
      </c>
      <c r="M1978" t="s">
        <v>38</v>
      </c>
      <c r="N1978" t="s">
        <v>38</v>
      </c>
      <c r="O1978" t="s">
        <v>38</v>
      </c>
      <c r="T1978" t="s">
        <v>38</v>
      </c>
      <c r="U1978">
        <v>0</v>
      </c>
      <c r="W1978">
        <v>0</v>
      </c>
      <c r="X1978">
        <v>0</v>
      </c>
      <c r="Y1978">
        <v>0</v>
      </c>
      <c r="AE1978">
        <f t="shared" si="90"/>
        <v>1</v>
      </c>
      <c r="AF1978">
        <f>VLOOKUP(D1978,especies!$A$2:$C$9,3,FALSE)</f>
        <v>1</v>
      </c>
      <c r="AG1978" t="str">
        <f t="shared" si="91"/>
        <v>1-Pug</v>
      </c>
      <c r="AH1978">
        <f>VLOOKUP('Fichas clínicas'!AG1978,razas!$A$2:$D$66,3,FALSE)</f>
        <v>11</v>
      </c>
      <c r="AI1978" t="str">
        <f t="shared" si="92"/>
        <v>H</v>
      </c>
    </row>
    <row r="1979" spans="1:35" x14ac:dyDescent="0.2">
      <c r="A1979">
        <v>1981</v>
      </c>
      <c r="B1979" t="s">
        <v>4307</v>
      </c>
      <c r="C1979" t="s">
        <v>1655</v>
      </c>
      <c r="D1979" t="s">
        <v>32</v>
      </c>
      <c r="E1979" t="s">
        <v>309</v>
      </c>
      <c r="F1979" t="s">
        <v>47</v>
      </c>
      <c r="G1979" t="s">
        <v>165</v>
      </c>
      <c r="J1979" t="s">
        <v>4309</v>
      </c>
      <c r="K1979" t="s">
        <v>38</v>
      </c>
      <c r="L1979" t="s">
        <v>38</v>
      </c>
      <c r="M1979" t="s">
        <v>38</v>
      </c>
      <c r="N1979" t="s">
        <v>38</v>
      </c>
      <c r="O1979" t="s">
        <v>38</v>
      </c>
      <c r="Q1979">
        <v>0</v>
      </c>
      <c r="T1979" t="s">
        <v>38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f t="shared" si="90"/>
        <v>1</v>
      </c>
      <c r="AF1979">
        <f>VLOOKUP(D1979,especies!$A$2:$C$9,3,FALSE)</f>
        <v>1</v>
      </c>
      <c r="AG1979" t="str">
        <f t="shared" si="91"/>
        <v>1-Pug</v>
      </c>
      <c r="AH1979">
        <f>VLOOKUP('Fichas clínicas'!AG1979,razas!$A$2:$D$66,3,FALSE)</f>
        <v>11</v>
      </c>
      <c r="AI1979" t="str">
        <f t="shared" si="92"/>
        <v>M</v>
      </c>
    </row>
    <row r="1980" spans="1:35" x14ac:dyDescent="0.2">
      <c r="A1980">
        <v>1982</v>
      </c>
      <c r="B1980" t="s">
        <v>4307</v>
      </c>
      <c r="C1980" t="s">
        <v>4310</v>
      </c>
      <c r="D1980" t="s">
        <v>32</v>
      </c>
      <c r="E1980" t="s">
        <v>309</v>
      </c>
      <c r="F1980" t="s">
        <v>47</v>
      </c>
      <c r="G1980" t="s">
        <v>165</v>
      </c>
      <c r="J1980" t="s">
        <v>4309</v>
      </c>
      <c r="K1980" t="s">
        <v>38</v>
      </c>
      <c r="L1980" t="s">
        <v>38</v>
      </c>
      <c r="M1980" t="s">
        <v>38</v>
      </c>
      <c r="N1980" t="s">
        <v>38</v>
      </c>
      <c r="O1980" t="s">
        <v>38</v>
      </c>
      <c r="T1980" t="s">
        <v>38</v>
      </c>
      <c r="U1980">
        <v>0</v>
      </c>
      <c r="W1980">
        <v>0</v>
      </c>
      <c r="X1980">
        <v>0</v>
      </c>
      <c r="Y1980">
        <v>0</v>
      </c>
      <c r="AE1980">
        <f t="shared" si="90"/>
        <v>1</v>
      </c>
      <c r="AF1980">
        <f>VLOOKUP(D1980,especies!$A$2:$C$9,3,FALSE)</f>
        <v>1</v>
      </c>
      <c r="AG1980" t="str">
        <f t="shared" si="91"/>
        <v>1-Pug</v>
      </c>
      <c r="AH1980">
        <f>VLOOKUP('Fichas clínicas'!AG1980,razas!$A$2:$D$66,3,FALSE)</f>
        <v>11</v>
      </c>
      <c r="AI1980" t="str">
        <f t="shared" si="92"/>
        <v>M</v>
      </c>
    </row>
    <row r="1981" spans="1:35" x14ac:dyDescent="0.2">
      <c r="A1981">
        <v>1983</v>
      </c>
      <c r="B1981" t="s">
        <v>4307</v>
      </c>
      <c r="C1981" t="s">
        <v>4311</v>
      </c>
      <c r="D1981" t="s">
        <v>32</v>
      </c>
      <c r="E1981" t="s">
        <v>309</v>
      </c>
      <c r="F1981" t="s">
        <v>34</v>
      </c>
      <c r="G1981" t="s">
        <v>165</v>
      </c>
      <c r="J1981" t="s">
        <v>4312</v>
      </c>
      <c r="K1981" t="s">
        <v>38</v>
      </c>
      <c r="L1981" t="s">
        <v>38</v>
      </c>
      <c r="M1981" t="s">
        <v>38</v>
      </c>
      <c r="N1981" t="s">
        <v>38</v>
      </c>
      <c r="O1981" t="s">
        <v>38</v>
      </c>
      <c r="Q1981">
        <v>0</v>
      </c>
      <c r="T1981" t="s">
        <v>38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f t="shared" si="90"/>
        <v>1</v>
      </c>
      <c r="AF1981">
        <f>VLOOKUP(D1981,especies!$A$2:$C$9,3,FALSE)</f>
        <v>1</v>
      </c>
      <c r="AG1981" t="str">
        <f t="shared" si="91"/>
        <v>1-Pug</v>
      </c>
      <c r="AH1981">
        <f>VLOOKUP('Fichas clínicas'!AG1981,razas!$A$2:$D$66,3,FALSE)</f>
        <v>11</v>
      </c>
      <c r="AI1981" t="str">
        <f t="shared" si="92"/>
        <v>H</v>
      </c>
    </row>
    <row r="1982" spans="1:35" x14ac:dyDescent="0.2">
      <c r="A1982">
        <v>1984</v>
      </c>
      <c r="B1982" t="s">
        <v>3001</v>
      </c>
      <c r="C1982" t="s">
        <v>4313</v>
      </c>
      <c r="D1982" t="s">
        <v>32</v>
      </c>
      <c r="E1982" t="s">
        <v>150</v>
      </c>
      <c r="F1982" t="s">
        <v>34</v>
      </c>
      <c r="G1982" t="s">
        <v>1656</v>
      </c>
      <c r="J1982" t="s">
        <v>338</v>
      </c>
      <c r="K1982" t="s">
        <v>38</v>
      </c>
      <c r="L1982" t="s">
        <v>38</v>
      </c>
      <c r="M1982" t="s">
        <v>38</v>
      </c>
      <c r="N1982" t="s">
        <v>38</v>
      </c>
      <c r="O1982" t="s">
        <v>38</v>
      </c>
      <c r="T1982" t="s">
        <v>38</v>
      </c>
      <c r="U1982">
        <v>0</v>
      </c>
      <c r="V1982">
        <v>1</v>
      </c>
      <c r="W1982">
        <v>0</v>
      </c>
      <c r="X1982">
        <v>0</v>
      </c>
      <c r="Y1982">
        <v>0</v>
      </c>
      <c r="AE1982">
        <f t="shared" si="90"/>
        <v>1</v>
      </c>
      <c r="AF1982">
        <f>VLOOKUP(D1982,especies!$A$2:$C$9,3,FALSE)</f>
        <v>1</v>
      </c>
      <c r="AG1982" t="str">
        <f t="shared" si="91"/>
        <v>1-Poodle</v>
      </c>
      <c r="AH1982">
        <f>VLOOKUP('Fichas clínicas'!AG1982,razas!$A$2:$D$66,3,FALSE)</f>
        <v>6</v>
      </c>
      <c r="AI1982" t="str">
        <f t="shared" si="92"/>
        <v>H</v>
      </c>
    </row>
    <row r="1983" spans="1:35" x14ac:dyDescent="0.2">
      <c r="A1983">
        <v>1985</v>
      </c>
      <c r="B1983" t="s">
        <v>4314</v>
      </c>
      <c r="C1983" t="s">
        <v>4315</v>
      </c>
      <c r="D1983" t="s">
        <v>32</v>
      </c>
      <c r="E1983" t="s">
        <v>970</v>
      </c>
      <c r="F1983" t="s">
        <v>47</v>
      </c>
      <c r="G1983" t="s">
        <v>1402</v>
      </c>
      <c r="J1983" t="s">
        <v>4316</v>
      </c>
      <c r="K1983" t="s">
        <v>38</v>
      </c>
      <c r="L1983" t="s">
        <v>38</v>
      </c>
      <c r="M1983" t="s">
        <v>38</v>
      </c>
      <c r="N1983" t="s">
        <v>38</v>
      </c>
      <c r="O1983" t="s">
        <v>38</v>
      </c>
      <c r="T1983" t="s">
        <v>38</v>
      </c>
      <c r="U1983">
        <v>0</v>
      </c>
      <c r="W1983">
        <v>0</v>
      </c>
      <c r="X1983">
        <v>0</v>
      </c>
      <c r="Y1983">
        <v>0</v>
      </c>
      <c r="AE1983">
        <f t="shared" si="90"/>
        <v>1</v>
      </c>
      <c r="AF1983">
        <f>VLOOKUP(D1983,especies!$A$2:$C$9,3,FALSE)</f>
        <v>1</v>
      </c>
      <c r="AG1983" t="str">
        <f t="shared" si="91"/>
        <v>1-American Pit Bull Terrier</v>
      </c>
      <c r="AH1983">
        <f>VLOOKUP('Fichas clínicas'!AG1983,razas!$A$2:$D$66,3,FALSE)</f>
        <v>25</v>
      </c>
      <c r="AI1983" t="str">
        <f t="shared" si="92"/>
        <v>M</v>
      </c>
    </row>
    <row r="1984" spans="1:35" x14ac:dyDescent="0.2">
      <c r="A1984">
        <v>1986</v>
      </c>
      <c r="B1984" t="s">
        <v>4317</v>
      </c>
      <c r="C1984" t="s">
        <v>4318</v>
      </c>
      <c r="D1984" t="s">
        <v>41</v>
      </c>
      <c r="E1984" t="s">
        <v>93</v>
      </c>
      <c r="F1984" t="s">
        <v>34</v>
      </c>
      <c r="G1984" t="s">
        <v>4319</v>
      </c>
      <c r="J1984" t="s">
        <v>281</v>
      </c>
      <c r="K1984" t="s">
        <v>38</v>
      </c>
      <c r="L1984" t="s">
        <v>38</v>
      </c>
      <c r="M1984" t="s">
        <v>38</v>
      </c>
      <c r="N1984" t="s">
        <v>38</v>
      </c>
      <c r="O1984" t="s">
        <v>38</v>
      </c>
      <c r="T1984" t="s">
        <v>38</v>
      </c>
      <c r="U1984">
        <v>0</v>
      </c>
      <c r="V1984">
        <v>1</v>
      </c>
      <c r="W1984">
        <v>0</v>
      </c>
      <c r="X1984">
        <v>0</v>
      </c>
      <c r="Y1984">
        <v>0</v>
      </c>
      <c r="AE1984">
        <f t="shared" si="90"/>
        <v>1</v>
      </c>
      <c r="AF1984">
        <f>VLOOKUP(D1984,especies!$A$2:$C$9,3,FALSE)</f>
        <v>2</v>
      </c>
      <c r="AG1984" t="str">
        <f t="shared" si="91"/>
        <v>2-DPL (Doméstico de pelo Largo o DLH)</v>
      </c>
      <c r="AH1984">
        <f>VLOOKUP('Fichas clínicas'!AG1984,razas!$A$2:$D$66,3,FALSE)</f>
        <v>52</v>
      </c>
      <c r="AI1984" t="str">
        <f t="shared" si="92"/>
        <v>H</v>
      </c>
    </row>
    <row r="1985" spans="1:35" x14ac:dyDescent="0.2">
      <c r="A1985">
        <v>1987</v>
      </c>
      <c r="B1985" t="s">
        <v>4320</v>
      </c>
      <c r="C1985" t="s">
        <v>4321</v>
      </c>
      <c r="D1985" t="s">
        <v>32</v>
      </c>
      <c r="E1985" t="s">
        <v>33</v>
      </c>
      <c r="F1985" t="s">
        <v>34</v>
      </c>
      <c r="G1985" t="s">
        <v>587</v>
      </c>
      <c r="J1985" t="s">
        <v>4322</v>
      </c>
      <c r="K1985" t="s">
        <v>38</v>
      </c>
      <c r="L1985" t="s">
        <v>38</v>
      </c>
      <c r="M1985" t="s">
        <v>38</v>
      </c>
      <c r="N1985" t="s">
        <v>38</v>
      </c>
      <c r="O1985" t="s">
        <v>38</v>
      </c>
      <c r="T1985" t="s">
        <v>38</v>
      </c>
      <c r="U1985">
        <v>0</v>
      </c>
      <c r="W1985">
        <v>0</v>
      </c>
      <c r="X1985">
        <v>0</v>
      </c>
      <c r="Y1985">
        <v>0</v>
      </c>
      <c r="AE1985">
        <f t="shared" si="90"/>
        <v>1</v>
      </c>
      <c r="AF1985">
        <f>VLOOKUP(D1985,especies!$A$2:$C$9,3,FALSE)</f>
        <v>1</v>
      </c>
      <c r="AG1985" t="str">
        <f t="shared" si="91"/>
        <v>1-Mestizo</v>
      </c>
      <c r="AH1985">
        <f>VLOOKUP('Fichas clínicas'!AG1985,razas!$A$2:$D$66,3,FALSE)</f>
        <v>1</v>
      </c>
      <c r="AI1985" t="str">
        <f t="shared" si="92"/>
        <v>H</v>
      </c>
    </row>
    <row r="1986" spans="1:35" x14ac:dyDescent="0.2">
      <c r="A1986">
        <v>1988</v>
      </c>
      <c r="B1986" t="s">
        <v>4323</v>
      </c>
      <c r="C1986" t="s">
        <v>1768</v>
      </c>
      <c r="D1986" t="s">
        <v>41</v>
      </c>
      <c r="E1986" t="s">
        <v>42</v>
      </c>
      <c r="F1986" t="s">
        <v>47</v>
      </c>
      <c r="G1986" t="s">
        <v>2171</v>
      </c>
      <c r="J1986" t="s">
        <v>841</v>
      </c>
      <c r="K1986" t="s">
        <v>38</v>
      </c>
      <c r="L1986" t="s">
        <v>38</v>
      </c>
      <c r="M1986" t="s">
        <v>38</v>
      </c>
      <c r="N1986" t="s">
        <v>38</v>
      </c>
      <c r="O1986" t="s">
        <v>38</v>
      </c>
      <c r="Q1986">
        <v>0</v>
      </c>
      <c r="T1986" t="s">
        <v>38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f t="shared" si="90"/>
        <v>1</v>
      </c>
      <c r="AF1986">
        <f>VLOOKUP(D1986,especies!$A$2:$C$9,3,FALSE)</f>
        <v>2</v>
      </c>
      <c r="AG1986" t="str">
        <f t="shared" si="91"/>
        <v>2-DPC (Doméstico de pelo corto o DSH)</v>
      </c>
      <c r="AH1986">
        <f>VLOOKUP('Fichas clínicas'!AG1986,razas!$A$2:$D$66,3,FALSE)</f>
        <v>51</v>
      </c>
      <c r="AI1986" t="str">
        <f t="shared" si="92"/>
        <v>M</v>
      </c>
    </row>
    <row r="1987" spans="1:35" x14ac:dyDescent="0.2">
      <c r="A1987">
        <v>1989</v>
      </c>
      <c r="B1987" t="s">
        <v>4324</v>
      </c>
      <c r="C1987" t="s">
        <v>4158</v>
      </c>
      <c r="D1987" t="s">
        <v>41</v>
      </c>
      <c r="E1987" t="s">
        <v>93</v>
      </c>
      <c r="F1987" t="s">
        <v>47</v>
      </c>
      <c r="G1987" t="s">
        <v>1073</v>
      </c>
      <c r="J1987" t="s">
        <v>4152</v>
      </c>
      <c r="K1987" t="s">
        <v>38</v>
      </c>
      <c r="L1987" t="s">
        <v>38</v>
      </c>
      <c r="M1987" t="s">
        <v>38</v>
      </c>
      <c r="N1987" t="s">
        <v>38</v>
      </c>
      <c r="O1987" t="s">
        <v>38</v>
      </c>
      <c r="T1987" t="s">
        <v>38</v>
      </c>
      <c r="U1987">
        <v>0</v>
      </c>
      <c r="V1987">
        <v>1</v>
      </c>
      <c r="W1987">
        <v>0</v>
      </c>
      <c r="X1987">
        <v>0</v>
      </c>
      <c r="Y1987">
        <v>0</v>
      </c>
      <c r="AE1987">
        <f t="shared" ref="AE1987:AE2050" si="93">SUBTOTAL(103,E1987)</f>
        <v>1</v>
      </c>
      <c r="AF1987">
        <f>VLOOKUP(D1987,especies!$A$2:$C$9,3,FALSE)</f>
        <v>2</v>
      </c>
      <c r="AG1987" t="str">
        <f t="shared" ref="AG1987:AG2050" si="94">AF1987&amp;"-"&amp;E1987</f>
        <v>2-DPL (Doméstico de pelo Largo o DLH)</v>
      </c>
      <c r="AH1987">
        <f>VLOOKUP('Fichas clínicas'!AG1987,razas!$A$2:$D$66,3,FALSE)</f>
        <v>52</v>
      </c>
      <c r="AI1987" t="str">
        <f t="shared" ref="AI1987:AI2050" si="95">IF(F1987="Hembra","H","M")</f>
        <v>M</v>
      </c>
    </row>
    <row r="1988" spans="1:35" x14ac:dyDescent="0.2">
      <c r="A1988">
        <v>1990</v>
      </c>
      <c r="B1988" t="s">
        <v>4324</v>
      </c>
      <c r="C1988" t="s">
        <v>4325</v>
      </c>
      <c r="D1988" t="s">
        <v>41</v>
      </c>
      <c r="E1988" t="s">
        <v>42</v>
      </c>
      <c r="F1988" t="s">
        <v>34</v>
      </c>
      <c r="G1988" t="s">
        <v>4326</v>
      </c>
      <c r="J1988" t="s">
        <v>4152</v>
      </c>
      <c r="K1988" t="s">
        <v>38</v>
      </c>
      <c r="L1988" t="s">
        <v>38</v>
      </c>
      <c r="M1988" t="s">
        <v>38</v>
      </c>
      <c r="N1988" t="s">
        <v>38</v>
      </c>
      <c r="O1988" t="s">
        <v>38</v>
      </c>
      <c r="T1988" t="s">
        <v>38</v>
      </c>
      <c r="U1988">
        <v>0</v>
      </c>
      <c r="V1988">
        <v>1</v>
      </c>
      <c r="W1988">
        <v>0</v>
      </c>
      <c r="X1988">
        <v>0</v>
      </c>
      <c r="Y1988">
        <v>0</v>
      </c>
      <c r="AE1988">
        <f t="shared" si="93"/>
        <v>1</v>
      </c>
      <c r="AF1988">
        <f>VLOOKUP(D1988,especies!$A$2:$C$9,3,FALSE)</f>
        <v>2</v>
      </c>
      <c r="AG1988" t="str">
        <f t="shared" si="94"/>
        <v>2-DPC (Doméstico de pelo corto o DSH)</v>
      </c>
      <c r="AH1988">
        <f>VLOOKUP('Fichas clínicas'!AG1988,razas!$A$2:$D$66,3,FALSE)</f>
        <v>51</v>
      </c>
      <c r="AI1988" t="str">
        <f t="shared" si="95"/>
        <v>H</v>
      </c>
    </row>
    <row r="1989" spans="1:35" x14ac:dyDescent="0.2">
      <c r="A1989">
        <v>1991</v>
      </c>
      <c r="B1989" t="s">
        <v>4327</v>
      </c>
      <c r="C1989" t="s">
        <v>4321</v>
      </c>
      <c r="D1989" t="s">
        <v>32</v>
      </c>
      <c r="E1989" t="s">
        <v>33</v>
      </c>
      <c r="F1989" t="s">
        <v>34</v>
      </c>
      <c r="G1989" t="s">
        <v>587</v>
      </c>
      <c r="J1989" t="s">
        <v>4328</v>
      </c>
      <c r="K1989" t="s">
        <v>38</v>
      </c>
      <c r="L1989" t="s">
        <v>38</v>
      </c>
      <c r="M1989" t="s">
        <v>38</v>
      </c>
      <c r="N1989" t="s">
        <v>38</v>
      </c>
      <c r="O1989" t="s">
        <v>38</v>
      </c>
      <c r="Q1989">
        <v>0</v>
      </c>
      <c r="T1989" t="s">
        <v>38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f t="shared" si="93"/>
        <v>1</v>
      </c>
      <c r="AF1989">
        <f>VLOOKUP(D1989,especies!$A$2:$C$9,3,FALSE)</f>
        <v>1</v>
      </c>
      <c r="AG1989" t="str">
        <f t="shared" si="94"/>
        <v>1-Mestizo</v>
      </c>
      <c r="AH1989">
        <f>VLOOKUP('Fichas clínicas'!AG1989,razas!$A$2:$D$66,3,FALSE)</f>
        <v>1</v>
      </c>
      <c r="AI1989" t="str">
        <f t="shared" si="95"/>
        <v>H</v>
      </c>
    </row>
    <row r="1990" spans="1:35" x14ac:dyDescent="0.2">
      <c r="A1990">
        <v>1992</v>
      </c>
      <c r="B1990" t="s">
        <v>4329</v>
      </c>
      <c r="C1990" t="s">
        <v>4330</v>
      </c>
      <c r="D1990" t="s">
        <v>32</v>
      </c>
      <c r="E1990" t="s">
        <v>33</v>
      </c>
      <c r="F1990" t="s">
        <v>47</v>
      </c>
      <c r="G1990" t="s">
        <v>3900</v>
      </c>
      <c r="J1990" t="s">
        <v>3993</v>
      </c>
      <c r="K1990" t="s">
        <v>38</v>
      </c>
      <c r="L1990" t="s">
        <v>38</v>
      </c>
      <c r="M1990" t="s">
        <v>38</v>
      </c>
      <c r="N1990" t="s">
        <v>38</v>
      </c>
      <c r="O1990" t="s">
        <v>38</v>
      </c>
      <c r="T1990" t="s">
        <v>38</v>
      </c>
      <c r="U1990">
        <v>0</v>
      </c>
      <c r="W1990">
        <v>0</v>
      </c>
      <c r="X1990">
        <v>0</v>
      </c>
      <c r="Y1990">
        <v>0</v>
      </c>
      <c r="AE1990">
        <f t="shared" si="93"/>
        <v>1</v>
      </c>
      <c r="AF1990">
        <f>VLOOKUP(D1990,especies!$A$2:$C$9,3,FALSE)</f>
        <v>1</v>
      </c>
      <c r="AG1990" t="str">
        <f t="shared" si="94"/>
        <v>1-Mestizo</v>
      </c>
      <c r="AH1990">
        <f>VLOOKUP('Fichas clínicas'!AG1990,razas!$A$2:$D$66,3,FALSE)</f>
        <v>1</v>
      </c>
      <c r="AI1990" t="str">
        <f t="shared" si="95"/>
        <v>M</v>
      </c>
    </row>
    <row r="1991" spans="1:35" x14ac:dyDescent="0.2">
      <c r="A1991">
        <v>1993</v>
      </c>
      <c r="B1991" t="s">
        <v>2011</v>
      </c>
      <c r="C1991" t="s">
        <v>4331</v>
      </c>
      <c r="D1991" t="s">
        <v>41</v>
      </c>
      <c r="E1991" t="s">
        <v>42</v>
      </c>
      <c r="F1991" t="s">
        <v>34</v>
      </c>
      <c r="G1991" t="s">
        <v>1656</v>
      </c>
      <c r="J1991" t="s">
        <v>4332</v>
      </c>
      <c r="K1991" t="s">
        <v>38</v>
      </c>
      <c r="L1991" t="s">
        <v>38</v>
      </c>
      <c r="M1991" t="s">
        <v>38</v>
      </c>
      <c r="N1991" t="s">
        <v>38</v>
      </c>
      <c r="O1991" t="s">
        <v>38</v>
      </c>
      <c r="Q1991">
        <v>0</v>
      </c>
      <c r="T1991" t="s">
        <v>38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f t="shared" si="93"/>
        <v>1</v>
      </c>
      <c r="AF1991">
        <f>VLOOKUP(D1991,especies!$A$2:$C$9,3,FALSE)</f>
        <v>2</v>
      </c>
      <c r="AG1991" t="str">
        <f t="shared" si="94"/>
        <v>2-DPC (Doméstico de pelo corto o DSH)</v>
      </c>
      <c r="AH1991">
        <f>VLOOKUP('Fichas clínicas'!AG1991,razas!$A$2:$D$66,3,FALSE)</f>
        <v>51</v>
      </c>
      <c r="AI1991" t="str">
        <f t="shared" si="95"/>
        <v>H</v>
      </c>
    </row>
    <row r="1992" spans="1:35" x14ac:dyDescent="0.2">
      <c r="A1992">
        <v>1994</v>
      </c>
      <c r="B1992" t="s">
        <v>4333</v>
      </c>
      <c r="C1992" t="s">
        <v>4334</v>
      </c>
      <c r="D1992" t="s">
        <v>41</v>
      </c>
      <c r="E1992" t="s">
        <v>93</v>
      </c>
      <c r="F1992" t="s">
        <v>34</v>
      </c>
      <c r="G1992" t="s">
        <v>4335</v>
      </c>
      <c r="J1992" t="s">
        <v>4336</v>
      </c>
      <c r="K1992" t="s">
        <v>38</v>
      </c>
      <c r="L1992" t="s">
        <v>38</v>
      </c>
      <c r="M1992" t="s">
        <v>38</v>
      </c>
      <c r="N1992" t="s">
        <v>38</v>
      </c>
      <c r="O1992" t="s">
        <v>38</v>
      </c>
      <c r="T1992" t="s">
        <v>38</v>
      </c>
      <c r="U1992">
        <v>0</v>
      </c>
      <c r="W1992">
        <v>0</v>
      </c>
      <c r="X1992">
        <v>0</v>
      </c>
      <c r="Y1992">
        <v>0</v>
      </c>
      <c r="AE1992">
        <f t="shared" si="93"/>
        <v>1</v>
      </c>
      <c r="AF1992">
        <f>VLOOKUP(D1992,especies!$A$2:$C$9,3,FALSE)</f>
        <v>2</v>
      </c>
      <c r="AG1992" t="str">
        <f t="shared" si="94"/>
        <v>2-DPL (Doméstico de pelo Largo o DLH)</v>
      </c>
      <c r="AH1992">
        <f>VLOOKUP('Fichas clínicas'!AG1992,razas!$A$2:$D$66,3,FALSE)</f>
        <v>52</v>
      </c>
      <c r="AI1992" t="str">
        <f t="shared" si="95"/>
        <v>H</v>
      </c>
    </row>
    <row r="1993" spans="1:35" x14ac:dyDescent="0.2">
      <c r="A1993">
        <v>1995</v>
      </c>
      <c r="B1993" t="s">
        <v>4195</v>
      </c>
      <c r="C1993" t="s">
        <v>2089</v>
      </c>
      <c r="D1993" t="s">
        <v>32</v>
      </c>
      <c r="E1993" t="s">
        <v>33</v>
      </c>
      <c r="F1993" t="s">
        <v>47</v>
      </c>
      <c r="G1993" t="s">
        <v>587</v>
      </c>
      <c r="J1993" t="s">
        <v>4337</v>
      </c>
      <c r="K1993" t="s">
        <v>38</v>
      </c>
      <c r="L1993" t="s">
        <v>38</v>
      </c>
      <c r="M1993" t="s">
        <v>38</v>
      </c>
      <c r="N1993" t="s">
        <v>38</v>
      </c>
      <c r="O1993" t="s">
        <v>38</v>
      </c>
      <c r="T1993" t="s">
        <v>38</v>
      </c>
      <c r="U1993">
        <v>0</v>
      </c>
      <c r="W1993">
        <v>0</v>
      </c>
      <c r="X1993">
        <v>0</v>
      </c>
      <c r="Y1993">
        <v>0</v>
      </c>
      <c r="AE1993">
        <f t="shared" si="93"/>
        <v>1</v>
      </c>
      <c r="AF1993">
        <f>VLOOKUP(D1993,especies!$A$2:$C$9,3,FALSE)</f>
        <v>1</v>
      </c>
      <c r="AG1993" t="str">
        <f t="shared" si="94"/>
        <v>1-Mestizo</v>
      </c>
      <c r="AH1993">
        <f>VLOOKUP('Fichas clínicas'!AG1993,razas!$A$2:$D$66,3,FALSE)</f>
        <v>1</v>
      </c>
      <c r="AI1993" t="str">
        <f t="shared" si="95"/>
        <v>M</v>
      </c>
    </row>
    <row r="1994" spans="1:35" x14ac:dyDescent="0.2">
      <c r="A1994">
        <v>1996</v>
      </c>
      <c r="B1994" t="s">
        <v>4338</v>
      </c>
      <c r="C1994" t="s">
        <v>2338</v>
      </c>
      <c r="D1994" t="s">
        <v>32</v>
      </c>
      <c r="E1994" t="s">
        <v>438</v>
      </c>
      <c r="F1994" t="s">
        <v>34</v>
      </c>
      <c r="G1994" t="s">
        <v>694</v>
      </c>
      <c r="J1994" t="s">
        <v>818</v>
      </c>
      <c r="K1994" t="s">
        <v>38</v>
      </c>
      <c r="L1994" t="s">
        <v>38</v>
      </c>
      <c r="M1994" t="s">
        <v>38</v>
      </c>
      <c r="N1994" t="s">
        <v>38</v>
      </c>
      <c r="O1994" t="s">
        <v>38</v>
      </c>
      <c r="T1994" t="s">
        <v>38</v>
      </c>
      <c r="U1994">
        <v>0</v>
      </c>
      <c r="V1994">
        <v>1</v>
      </c>
      <c r="W1994">
        <v>0</v>
      </c>
      <c r="X1994">
        <v>0</v>
      </c>
      <c r="Y1994">
        <v>0</v>
      </c>
      <c r="AE1994">
        <f t="shared" si="93"/>
        <v>1</v>
      </c>
      <c r="AF1994">
        <f>VLOOKUP(D1994,especies!$A$2:$C$9,3,FALSE)</f>
        <v>1</v>
      </c>
      <c r="AG1994" t="str">
        <f t="shared" si="94"/>
        <v>1-Ovejero Alemán</v>
      </c>
      <c r="AH1994">
        <f>VLOOKUP('Fichas clínicas'!AG1994,razas!$A$2:$D$66,3,FALSE)</f>
        <v>12</v>
      </c>
      <c r="AI1994" t="str">
        <f t="shared" si="95"/>
        <v>H</v>
      </c>
    </row>
    <row r="1995" spans="1:35" x14ac:dyDescent="0.2">
      <c r="A1995">
        <v>1997</v>
      </c>
      <c r="B1995" t="s">
        <v>4339</v>
      </c>
      <c r="C1995" t="s">
        <v>4340</v>
      </c>
      <c r="D1995" t="s">
        <v>41</v>
      </c>
      <c r="E1995" t="s">
        <v>42</v>
      </c>
      <c r="F1995" t="s">
        <v>34</v>
      </c>
      <c r="G1995" t="s">
        <v>566</v>
      </c>
      <c r="J1995" t="s">
        <v>3872</v>
      </c>
      <c r="K1995" t="s">
        <v>38</v>
      </c>
      <c r="L1995" t="s">
        <v>38</v>
      </c>
      <c r="M1995" t="s">
        <v>38</v>
      </c>
      <c r="N1995" t="s">
        <v>38</v>
      </c>
      <c r="O1995" t="s">
        <v>38</v>
      </c>
      <c r="T1995" t="s">
        <v>38</v>
      </c>
      <c r="U1995">
        <v>0</v>
      </c>
      <c r="W1995">
        <v>0</v>
      </c>
      <c r="X1995">
        <v>0</v>
      </c>
      <c r="Y1995">
        <v>0</v>
      </c>
      <c r="AE1995">
        <f t="shared" si="93"/>
        <v>1</v>
      </c>
      <c r="AF1995">
        <f>VLOOKUP(D1995,especies!$A$2:$C$9,3,FALSE)</f>
        <v>2</v>
      </c>
      <c r="AG1995" t="str">
        <f t="shared" si="94"/>
        <v>2-DPC (Doméstico de pelo corto o DSH)</v>
      </c>
      <c r="AH1995">
        <f>VLOOKUP('Fichas clínicas'!AG1995,razas!$A$2:$D$66,3,FALSE)</f>
        <v>51</v>
      </c>
      <c r="AI1995" t="str">
        <f t="shared" si="95"/>
        <v>H</v>
      </c>
    </row>
    <row r="1996" spans="1:35" x14ac:dyDescent="0.2">
      <c r="A1996">
        <v>1998</v>
      </c>
      <c r="B1996" t="s">
        <v>4341</v>
      </c>
      <c r="C1996" t="s">
        <v>4342</v>
      </c>
      <c r="D1996" t="s">
        <v>41</v>
      </c>
      <c r="E1996" t="s">
        <v>42</v>
      </c>
      <c r="F1996" t="s">
        <v>47</v>
      </c>
      <c r="G1996" t="s">
        <v>4242</v>
      </c>
      <c r="J1996" t="s">
        <v>4336</v>
      </c>
      <c r="K1996" t="s">
        <v>38</v>
      </c>
      <c r="L1996" t="s">
        <v>38</v>
      </c>
      <c r="M1996" t="s">
        <v>38</v>
      </c>
      <c r="N1996" t="s">
        <v>38</v>
      </c>
      <c r="O1996" t="s">
        <v>38</v>
      </c>
      <c r="T1996" t="s">
        <v>38</v>
      </c>
      <c r="U1996">
        <v>0</v>
      </c>
      <c r="W1996">
        <v>0</v>
      </c>
      <c r="X1996">
        <v>0</v>
      </c>
      <c r="Y1996">
        <v>0</v>
      </c>
      <c r="AE1996">
        <f t="shared" si="93"/>
        <v>1</v>
      </c>
      <c r="AF1996">
        <f>VLOOKUP(D1996,especies!$A$2:$C$9,3,FALSE)</f>
        <v>2</v>
      </c>
      <c r="AG1996" t="str">
        <f t="shared" si="94"/>
        <v>2-DPC (Doméstico de pelo corto o DSH)</v>
      </c>
      <c r="AH1996">
        <f>VLOOKUP('Fichas clínicas'!AG1996,razas!$A$2:$D$66,3,FALSE)</f>
        <v>51</v>
      </c>
      <c r="AI1996" t="str">
        <f t="shared" si="95"/>
        <v>M</v>
      </c>
    </row>
    <row r="1997" spans="1:35" x14ac:dyDescent="0.2">
      <c r="A1997">
        <v>1999</v>
      </c>
      <c r="B1997" t="s">
        <v>4341</v>
      </c>
      <c r="C1997" t="s">
        <v>4343</v>
      </c>
      <c r="D1997" t="s">
        <v>41</v>
      </c>
      <c r="E1997" t="s">
        <v>42</v>
      </c>
      <c r="F1997" t="s">
        <v>34</v>
      </c>
      <c r="G1997" t="s">
        <v>4344</v>
      </c>
      <c r="J1997" t="s">
        <v>4336</v>
      </c>
      <c r="K1997" t="s">
        <v>38</v>
      </c>
      <c r="L1997" t="s">
        <v>38</v>
      </c>
      <c r="M1997" t="s">
        <v>38</v>
      </c>
      <c r="N1997" t="s">
        <v>38</v>
      </c>
      <c r="O1997" t="s">
        <v>38</v>
      </c>
      <c r="T1997" t="s">
        <v>38</v>
      </c>
      <c r="U1997">
        <v>0</v>
      </c>
      <c r="W1997">
        <v>0</v>
      </c>
      <c r="X1997">
        <v>0</v>
      </c>
      <c r="Y1997">
        <v>0</v>
      </c>
      <c r="AE1997">
        <f t="shared" si="93"/>
        <v>1</v>
      </c>
      <c r="AF1997">
        <f>VLOOKUP(D1997,especies!$A$2:$C$9,3,FALSE)</f>
        <v>2</v>
      </c>
      <c r="AG1997" t="str">
        <f t="shared" si="94"/>
        <v>2-DPC (Doméstico de pelo corto o DSH)</v>
      </c>
      <c r="AH1997">
        <f>VLOOKUP('Fichas clínicas'!AG1997,razas!$A$2:$D$66,3,FALSE)</f>
        <v>51</v>
      </c>
      <c r="AI1997" t="str">
        <f t="shared" si="95"/>
        <v>H</v>
      </c>
    </row>
    <row r="1998" spans="1:35" x14ac:dyDescent="0.2">
      <c r="A1998">
        <v>2000</v>
      </c>
      <c r="B1998" t="s">
        <v>4345</v>
      </c>
      <c r="C1998" t="s">
        <v>4346</v>
      </c>
      <c r="D1998" t="s">
        <v>41</v>
      </c>
      <c r="E1998" t="s">
        <v>42</v>
      </c>
      <c r="F1998" t="s">
        <v>34</v>
      </c>
      <c r="G1998" t="s">
        <v>1656</v>
      </c>
      <c r="J1998" t="s">
        <v>4347</v>
      </c>
      <c r="K1998" t="s">
        <v>38</v>
      </c>
      <c r="L1998" t="s">
        <v>38</v>
      </c>
      <c r="M1998" t="s">
        <v>38</v>
      </c>
      <c r="N1998" t="s">
        <v>38</v>
      </c>
      <c r="O1998" t="s">
        <v>38</v>
      </c>
      <c r="T1998" t="s">
        <v>38</v>
      </c>
      <c r="U1998">
        <v>0</v>
      </c>
      <c r="W1998">
        <v>0</v>
      </c>
      <c r="X1998">
        <v>0</v>
      </c>
      <c r="Y1998">
        <v>0</v>
      </c>
      <c r="AE1998">
        <f t="shared" si="93"/>
        <v>1</v>
      </c>
      <c r="AF1998">
        <f>VLOOKUP(D1998,especies!$A$2:$C$9,3,FALSE)</f>
        <v>2</v>
      </c>
      <c r="AG1998" t="str">
        <f t="shared" si="94"/>
        <v>2-DPC (Doméstico de pelo corto o DSH)</v>
      </c>
      <c r="AH1998">
        <f>VLOOKUP('Fichas clínicas'!AG1998,razas!$A$2:$D$66,3,FALSE)</f>
        <v>51</v>
      </c>
      <c r="AI1998" t="str">
        <f t="shared" si="95"/>
        <v>H</v>
      </c>
    </row>
    <row r="1999" spans="1:35" x14ac:dyDescent="0.2">
      <c r="A1999">
        <v>2001</v>
      </c>
      <c r="B1999" t="s">
        <v>4348</v>
      </c>
      <c r="C1999" t="s">
        <v>4349</v>
      </c>
      <c r="D1999" t="s">
        <v>41</v>
      </c>
      <c r="E1999" t="s">
        <v>93</v>
      </c>
      <c r="F1999" t="s">
        <v>34</v>
      </c>
      <c r="G1999" t="s">
        <v>587</v>
      </c>
      <c r="J1999" t="s">
        <v>4350</v>
      </c>
      <c r="K1999" t="s">
        <v>38</v>
      </c>
      <c r="L1999" t="s">
        <v>38</v>
      </c>
      <c r="M1999" t="s">
        <v>38</v>
      </c>
      <c r="N1999" t="s">
        <v>38</v>
      </c>
      <c r="O1999" t="s">
        <v>38</v>
      </c>
      <c r="T1999" t="s">
        <v>38</v>
      </c>
      <c r="U1999">
        <v>0</v>
      </c>
      <c r="W1999">
        <v>0</v>
      </c>
      <c r="X1999">
        <v>0</v>
      </c>
      <c r="Y1999">
        <v>0</v>
      </c>
      <c r="AE1999">
        <f t="shared" si="93"/>
        <v>1</v>
      </c>
      <c r="AF1999">
        <f>VLOOKUP(D1999,especies!$A$2:$C$9,3,FALSE)</f>
        <v>2</v>
      </c>
      <c r="AG1999" t="str">
        <f t="shared" si="94"/>
        <v>2-DPL (Doméstico de pelo Largo o DLH)</v>
      </c>
      <c r="AH1999">
        <f>VLOOKUP('Fichas clínicas'!AG1999,razas!$A$2:$D$66,3,FALSE)</f>
        <v>52</v>
      </c>
      <c r="AI1999" t="str">
        <f t="shared" si="95"/>
        <v>H</v>
      </c>
    </row>
    <row r="2000" spans="1:35" x14ac:dyDescent="0.2">
      <c r="A2000">
        <v>2002</v>
      </c>
      <c r="B2000" t="s">
        <v>4351</v>
      </c>
      <c r="C2000" t="s">
        <v>2948</v>
      </c>
      <c r="D2000" t="s">
        <v>41</v>
      </c>
      <c r="E2000" t="s">
        <v>93</v>
      </c>
      <c r="F2000" t="s">
        <v>34</v>
      </c>
      <c r="G2000" t="s">
        <v>1656</v>
      </c>
      <c r="J2000" t="s">
        <v>4352</v>
      </c>
      <c r="K2000" t="s">
        <v>38</v>
      </c>
      <c r="L2000" t="s">
        <v>38</v>
      </c>
      <c r="M2000" t="s">
        <v>38</v>
      </c>
      <c r="N2000" t="s">
        <v>38</v>
      </c>
      <c r="O2000" t="s">
        <v>38</v>
      </c>
      <c r="T2000" t="s">
        <v>38</v>
      </c>
      <c r="U2000">
        <v>0</v>
      </c>
      <c r="W2000">
        <v>0</v>
      </c>
      <c r="X2000">
        <v>0</v>
      </c>
      <c r="Y2000">
        <v>0</v>
      </c>
      <c r="AE2000">
        <f t="shared" si="93"/>
        <v>1</v>
      </c>
      <c r="AF2000">
        <f>VLOOKUP(D2000,especies!$A$2:$C$9,3,FALSE)</f>
        <v>2</v>
      </c>
      <c r="AG2000" t="str">
        <f t="shared" si="94"/>
        <v>2-DPL (Doméstico de pelo Largo o DLH)</v>
      </c>
      <c r="AH2000">
        <f>VLOOKUP('Fichas clínicas'!AG2000,razas!$A$2:$D$66,3,FALSE)</f>
        <v>52</v>
      </c>
      <c r="AI2000" t="str">
        <f t="shared" si="95"/>
        <v>H</v>
      </c>
    </row>
    <row r="2001" spans="1:35" x14ac:dyDescent="0.2">
      <c r="A2001">
        <v>2003</v>
      </c>
      <c r="B2001" t="s">
        <v>4353</v>
      </c>
      <c r="C2001" t="s">
        <v>3249</v>
      </c>
      <c r="D2001" t="s">
        <v>41</v>
      </c>
      <c r="E2001" t="s">
        <v>42</v>
      </c>
      <c r="F2001" t="s">
        <v>47</v>
      </c>
      <c r="G2001" t="s">
        <v>4199</v>
      </c>
      <c r="J2001" t="s">
        <v>4352</v>
      </c>
      <c r="K2001" t="s">
        <v>38</v>
      </c>
      <c r="L2001" t="s">
        <v>38</v>
      </c>
      <c r="M2001" t="s">
        <v>38</v>
      </c>
      <c r="N2001" t="s">
        <v>38</v>
      </c>
      <c r="O2001" t="s">
        <v>38</v>
      </c>
      <c r="T2001" t="s">
        <v>38</v>
      </c>
      <c r="U2001">
        <v>0</v>
      </c>
      <c r="W2001">
        <v>0</v>
      </c>
      <c r="X2001">
        <v>0</v>
      </c>
      <c r="Y2001">
        <v>0</v>
      </c>
      <c r="AE2001">
        <f t="shared" si="93"/>
        <v>1</v>
      </c>
      <c r="AF2001">
        <f>VLOOKUP(D2001,especies!$A$2:$C$9,3,FALSE)</f>
        <v>2</v>
      </c>
      <c r="AG2001" t="str">
        <f t="shared" si="94"/>
        <v>2-DPC (Doméstico de pelo corto o DSH)</v>
      </c>
      <c r="AH2001">
        <f>VLOOKUP('Fichas clínicas'!AG2001,razas!$A$2:$D$66,3,FALSE)</f>
        <v>51</v>
      </c>
      <c r="AI2001" t="str">
        <f t="shared" si="95"/>
        <v>M</v>
      </c>
    </row>
    <row r="2002" spans="1:35" x14ac:dyDescent="0.2">
      <c r="A2002">
        <v>2004</v>
      </c>
      <c r="B2002" t="s">
        <v>4354</v>
      </c>
      <c r="C2002" t="s">
        <v>4355</v>
      </c>
      <c r="D2002" t="s">
        <v>41</v>
      </c>
      <c r="E2002" t="s">
        <v>42</v>
      </c>
      <c r="F2002" t="s">
        <v>34</v>
      </c>
      <c r="G2002" t="s">
        <v>4356</v>
      </c>
      <c r="J2002" t="s">
        <v>4357</v>
      </c>
      <c r="K2002" t="s">
        <v>38</v>
      </c>
      <c r="L2002" t="s">
        <v>38</v>
      </c>
      <c r="M2002" t="s">
        <v>38</v>
      </c>
      <c r="N2002" t="s">
        <v>38</v>
      </c>
      <c r="O2002" t="s">
        <v>38</v>
      </c>
      <c r="T2002" t="s">
        <v>38</v>
      </c>
      <c r="U2002">
        <v>0</v>
      </c>
      <c r="W2002">
        <v>0</v>
      </c>
      <c r="X2002">
        <v>0</v>
      </c>
      <c r="Y2002">
        <v>0</v>
      </c>
      <c r="AE2002">
        <f t="shared" si="93"/>
        <v>1</v>
      </c>
      <c r="AF2002">
        <f>VLOOKUP(D2002,especies!$A$2:$C$9,3,FALSE)</f>
        <v>2</v>
      </c>
      <c r="AG2002" t="str">
        <f t="shared" si="94"/>
        <v>2-DPC (Doméstico de pelo corto o DSH)</v>
      </c>
      <c r="AH2002">
        <f>VLOOKUP('Fichas clínicas'!AG2002,razas!$A$2:$D$66,3,FALSE)</f>
        <v>51</v>
      </c>
      <c r="AI2002" t="str">
        <f t="shared" si="95"/>
        <v>H</v>
      </c>
    </row>
    <row r="2003" spans="1:35" x14ac:dyDescent="0.2">
      <c r="A2003">
        <v>2005</v>
      </c>
      <c r="B2003" t="s">
        <v>4358</v>
      </c>
      <c r="C2003" t="s">
        <v>4359</v>
      </c>
      <c r="D2003" t="s">
        <v>41</v>
      </c>
      <c r="E2003" t="s">
        <v>42</v>
      </c>
      <c r="F2003" t="s">
        <v>34</v>
      </c>
      <c r="G2003" t="s">
        <v>2065</v>
      </c>
      <c r="J2003" t="s">
        <v>4025</v>
      </c>
      <c r="K2003" t="s">
        <v>38</v>
      </c>
      <c r="L2003" t="s">
        <v>38</v>
      </c>
      <c r="M2003" t="s">
        <v>38</v>
      </c>
      <c r="N2003" t="s">
        <v>38</v>
      </c>
      <c r="O2003" t="s">
        <v>38</v>
      </c>
      <c r="T2003" t="s">
        <v>38</v>
      </c>
      <c r="U2003">
        <v>0</v>
      </c>
      <c r="W2003">
        <v>0</v>
      </c>
      <c r="X2003">
        <v>0</v>
      </c>
      <c r="Y2003">
        <v>0</v>
      </c>
      <c r="AE2003">
        <f t="shared" si="93"/>
        <v>1</v>
      </c>
      <c r="AF2003">
        <f>VLOOKUP(D2003,especies!$A$2:$C$9,3,FALSE)</f>
        <v>2</v>
      </c>
      <c r="AG2003" t="str">
        <f t="shared" si="94"/>
        <v>2-DPC (Doméstico de pelo corto o DSH)</v>
      </c>
      <c r="AH2003">
        <f>VLOOKUP('Fichas clínicas'!AG2003,razas!$A$2:$D$66,3,FALSE)</f>
        <v>51</v>
      </c>
      <c r="AI2003" t="str">
        <f t="shared" si="95"/>
        <v>H</v>
      </c>
    </row>
    <row r="2004" spans="1:35" x14ac:dyDescent="0.2">
      <c r="A2004">
        <v>2006</v>
      </c>
      <c r="B2004" t="s">
        <v>4358</v>
      </c>
      <c r="C2004" t="s">
        <v>4360</v>
      </c>
      <c r="D2004" t="s">
        <v>41</v>
      </c>
      <c r="E2004" t="s">
        <v>42</v>
      </c>
      <c r="F2004" t="s">
        <v>34</v>
      </c>
      <c r="G2004" t="s">
        <v>4361</v>
      </c>
      <c r="J2004" t="s">
        <v>4025</v>
      </c>
      <c r="K2004" t="s">
        <v>38</v>
      </c>
      <c r="L2004" t="s">
        <v>38</v>
      </c>
      <c r="M2004" t="s">
        <v>38</v>
      </c>
      <c r="N2004" t="s">
        <v>38</v>
      </c>
      <c r="O2004" t="s">
        <v>38</v>
      </c>
      <c r="T2004" t="s">
        <v>38</v>
      </c>
      <c r="U2004">
        <v>0</v>
      </c>
      <c r="W2004">
        <v>0</v>
      </c>
      <c r="X2004">
        <v>0</v>
      </c>
      <c r="Y2004">
        <v>0</v>
      </c>
      <c r="AE2004">
        <f t="shared" si="93"/>
        <v>1</v>
      </c>
      <c r="AF2004">
        <f>VLOOKUP(D2004,especies!$A$2:$C$9,3,FALSE)</f>
        <v>2</v>
      </c>
      <c r="AG2004" t="str">
        <f t="shared" si="94"/>
        <v>2-DPC (Doméstico de pelo corto o DSH)</v>
      </c>
      <c r="AH2004">
        <f>VLOOKUP('Fichas clínicas'!AG2004,razas!$A$2:$D$66,3,FALSE)</f>
        <v>51</v>
      </c>
      <c r="AI2004" t="str">
        <f t="shared" si="95"/>
        <v>H</v>
      </c>
    </row>
    <row r="2005" spans="1:35" x14ac:dyDescent="0.2">
      <c r="A2005">
        <v>2007</v>
      </c>
      <c r="B2005" t="s">
        <v>4362</v>
      </c>
      <c r="C2005" t="s">
        <v>4363</v>
      </c>
      <c r="D2005" t="s">
        <v>41</v>
      </c>
      <c r="E2005" t="s">
        <v>42</v>
      </c>
      <c r="F2005" t="s">
        <v>47</v>
      </c>
      <c r="G2005" t="s">
        <v>2122</v>
      </c>
      <c r="J2005" t="s">
        <v>3917</v>
      </c>
      <c r="K2005" t="s">
        <v>38</v>
      </c>
      <c r="L2005" t="s">
        <v>38</v>
      </c>
      <c r="M2005" t="s">
        <v>38</v>
      </c>
      <c r="N2005" t="s">
        <v>38</v>
      </c>
      <c r="O2005" t="s">
        <v>38</v>
      </c>
      <c r="T2005" t="s">
        <v>38</v>
      </c>
      <c r="U2005">
        <v>0</v>
      </c>
      <c r="W2005">
        <v>0</v>
      </c>
      <c r="X2005">
        <v>0</v>
      </c>
      <c r="Y2005">
        <v>0</v>
      </c>
      <c r="AE2005">
        <f t="shared" si="93"/>
        <v>1</v>
      </c>
      <c r="AF2005">
        <f>VLOOKUP(D2005,especies!$A$2:$C$9,3,FALSE)</f>
        <v>2</v>
      </c>
      <c r="AG2005" t="str">
        <f t="shared" si="94"/>
        <v>2-DPC (Doméstico de pelo corto o DSH)</v>
      </c>
      <c r="AH2005">
        <f>VLOOKUP('Fichas clínicas'!AG2005,razas!$A$2:$D$66,3,FALSE)</f>
        <v>51</v>
      </c>
      <c r="AI2005" t="str">
        <f t="shared" si="95"/>
        <v>M</v>
      </c>
    </row>
    <row r="2006" spans="1:35" x14ac:dyDescent="0.2">
      <c r="A2006">
        <v>2008</v>
      </c>
      <c r="B2006" t="s">
        <v>4364</v>
      </c>
      <c r="C2006" t="s">
        <v>4365</v>
      </c>
      <c r="D2006" t="s">
        <v>41</v>
      </c>
      <c r="E2006" t="s">
        <v>42</v>
      </c>
      <c r="F2006" t="s">
        <v>34</v>
      </c>
      <c r="G2006" t="s">
        <v>2065</v>
      </c>
      <c r="J2006" t="s">
        <v>4178</v>
      </c>
      <c r="K2006" t="s">
        <v>38</v>
      </c>
      <c r="L2006" t="s">
        <v>38</v>
      </c>
      <c r="M2006" t="s">
        <v>38</v>
      </c>
      <c r="N2006" t="s">
        <v>38</v>
      </c>
      <c r="O2006" t="s">
        <v>38</v>
      </c>
      <c r="T2006" t="s">
        <v>38</v>
      </c>
      <c r="U2006">
        <v>0</v>
      </c>
      <c r="W2006">
        <v>0</v>
      </c>
      <c r="X2006">
        <v>0</v>
      </c>
      <c r="Y2006">
        <v>0</v>
      </c>
      <c r="AE2006">
        <f t="shared" si="93"/>
        <v>1</v>
      </c>
      <c r="AF2006">
        <f>VLOOKUP(D2006,especies!$A$2:$C$9,3,FALSE)</f>
        <v>2</v>
      </c>
      <c r="AG2006" t="str">
        <f t="shared" si="94"/>
        <v>2-DPC (Doméstico de pelo corto o DSH)</v>
      </c>
      <c r="AH2006">
        <f>VLOOKUP('Fichas clínicas'!AG2006,razas!$A$2:$D$66,3,FALSE)</f>
        <v>51</v>
      </c>
      <c r="AI2006" t="str">
        <f t="shared" si="95"/>
        <v>H</v>
      </c>
    </row>
    <row r="2007" spans="1:35" x14ac:dyDescent="0.2">
      <c r="A2007">
        <v>2009</v>
      </c>
      <c r="B2007" t="s">
        <v>4366</v>
      </c>
      <c r="C2007" t="s">
        <v>3748</v>
      </c>
      <c r="D2007" t="s">
        <v>41</v>
      </c>
      <c r="E2007" t="s">
        <v>42</v>
      </c>
      <c r="F2007" t="s">
        <v>34</v>
      </c>
      <c r="G2007" t="s">
        <v>4367</v>
      </c>
      <c r="J2007" t="s">
        <v>4045</v>
      </c>
      <c r="K2007" t="s">
        <v>38</v>
      </c>
      <c r="L2007" t="s">
        <v>38</v>
      </c>
      <c r="M2007" t="s">
        <v>38</v>
      </c>
      <c r="N2007" t="s">
        <v>38</v>
      </c>
      <c r="O2007" t="s">
        <v>38</v>
      </c>
      <c r="T2007" t="s">
        <v>38</v>
      </c>
      <c r="U2007">
        <v>0</v>
      </c>
      <c r="W2007">
        <v>0</v>
      </c>
      <c r="X2007">
        <v>0</v>
      </c>
      <c r="Y2007">
        <v>0</v>
      </c>
      <c r="AE2007">
        <f t="shared" si="93"/>
        <v>1</v>
      </c>
      <c r="AF2007">
        <f>VLOOKUP(D2007,especies!$A$2:$C$9,3,FALSE)</f>
        <v>2</v>
      </c>
      <c r="AG2007" t="str">
        <f t="shared" si="94"/>
        <v>2-DPC (Doméstico de pelo corto o DSH)</v>
      </c>
      <c r="AH2007">
        <f>VLOOKUP('Fichas clínicas'!AG2007,razas!$A$2:$D$66,3,FALSE)</f>
        <v>51</v>
      </c>
      <c r="AI2007" t="str">
        <f t="shared" si="95"/>
        <v>H</v>
      </c>
    </row>
    <row r="2008" spans="1:35" x14ac:dyDescent="0.2">
      <c r="A2008">
        <v>2010</v>
      </c>
      <c r="B2008" t="s">
        <v>4368</v>
      </c>
      <c r="C2008" t="s">
        <v>4369</v>
      </c>
      <c r="D2008" t="s">
        <v>32</v>
      </c>
      <c r="E2008" t="s">
        <v>122</v>
      </c>
      <c r="F2008" t="s">
        <v>34</v>
      </c>
      <c r="G2008" t="s">
        <v>3219</v>
      </c>
      <c r="J2008" t="s">
        <v>3988</v>
      </c>
      <c r="K2008" t="s">
        <v>38</v>
      </c>
      <c r="L2008" t="s">
        <v>38</v>
      </c>
      <c r="M2008" t="s">
        <v>38</v>
      </c>
      <c r="N2008" t="s">
        <v>38</v>
      </c>
      <c r="O2008" t="s">
        <v>38</v>
      </c>
      <c r="T2008" t="s">
        <v>38</v>
      </c>
      <c r="U2008">
        <v>0</v>
      </c>
      <c r="W2008">
        <v>0</v>
      </c>
      <c r="X2008">
        <v>0</v>
      </c>
      <c r="Y2008">
        <v>0</v>
      </c>
      <c r="AE2008">
        <f t="shared" si="93"/>
        <v>1</v>
      </c>
      <c r="AF2008">
        <f>VLOOKUP(D2008,especies!$A$2:$C$9,3,FALSE)</f>
        <v>1</v>
      </c>
      <c r="AG2008" t="str">
        <f t="shared" si="94"/>
        <v>1-Caniche</v>
      </c>
      <c r="AH2008">
        <f>VLOOKUP('Fichas clínicas'!AG2008,razas!$A$2:$D$66,3,FALSE)</f>
        <v>4</v>
      </c>
      <c r="AI2008" t="str">
        <f t="shared" si="95"/>
        <v>H</v>
      </c>
    </row>
    <row r="2009" spans="1:35" x14ac:dyDescent="0.2">
      <c r="A2009">
        <v>2011</v>
      </c>
      <c r="B2009" t="s">
        <v>4370</v>
      </c>
      <c r="C2009" t="s">
        <v>4371</v>
      </c>
      <c r="D2009" t="s">
        <v>41</v>
      </c>
      <c r="E2009" t="s">
        <v>42</v>
      </c>
      <c r="F2009" t="s">
        <v>47</v>
      </c>
      <c r="G2009" t="s">
        <v>1928</v>
      </c>
      <c r="J2009" t="s">
        <v>2097</v>
      </c>
      <c r="K2009" t="s">
        <v>38</v>
      </c>
      <c r="L2009" t="s">
        <v>38</v>
      </c>
      <c r="M2009" t="s">
        <v>38</v>
      </c>
      <c r="N2009" t="s">
        <v>38</v>
      </c>
      <c r="O2009" t="s">
        <v>38</v>
      </c>
      <c r="T2009" t="s">
        <v>38</v>
      </c>
      <c r="U2009">
        <v>0</v>
      </c>
      <c r="V2009">
        <v>1</v>
      </c>
      <c r="W2009">
        <v>0</v>
      </c>
      <c r="X2009">
        <v>0</v>
      </c>
      <c r="Y2009">
        <v>0</v>
      </c>
      <c r="AE2009">
        <f t="shared" si="93"/>
        <v>1</v>
      </c>
      <c r="AF2009">
        <f>VLOOKUP(D2009,especies!$A$2:$C$9,3,FALSE)</f>
        <v>2</v>
      </c>
      <c r="AG2009" t="str">
        <f t="shared" si="94"/>
        <v>2-DPC (Doméstico de pelo corto o DSH)</v>
      </c>
      <c r="AH2009">
        <f>VLOOKUP('Fichas clínicas'!AG2009,razas!$A$2:$D$66,3,FALSE)</f>
        <v>51</v>
      </c>
      <c r="AI2009" t="str">
        <f t="shared" si="95"/>
        <v>M</v>
      </c>
    </row>
    <row r="2010" spans="1:35" x14ac:dyDescent="0.2">
      <c r="A2010">
        <v>2012</v>
      </c>
      <c r="B2010" t="s">
        <v>4372</v>
      </c>
      <c r="C2010" t="s">
        <v>2167</v>
      </c>
      <c r="D2010" t="s">
        <v>41</v>
      </c>
      <c r="E2010" t="s">
        <v>42</v>
      </c>
      <c r="F2010" t="s">
        <v>47</v>
      </c>
      <c r="G2010" t="s">
        <v>2122</v>
      </c>
      <c r="J2010" t="s">
        <v>595</v>
      </c>
      <c r="K2010" t="s">
        <v>38</v>
      </c>
      <c r="L2010" t="s">
        <v>38</v>
      </c>
      <c r="M2010" t="s">
        <v>38</v>
      </c>
      <c r="N2010" t="s">
        <v>38</v>
      </c>
      <c r="O2010" t="s">
        <v>38</v>
      </c>
      <c r="T2010" t="s">
        <v>38</v>
      </c>
      <c r="U2010">
        <v>0</v>
      </c>
      <c r="V2010">
        <v>1</v>
      </c>
      <c r="W2010">
        <v>0</v>
      </c>
      <c r="X2010">
        <v>0</v>
      </c>
      <c r="Y2010">
        <v>0</v>
      </c>
      <c r="AE2010">
        <f t="shared" si="93"/>
        <v>1</v>
      </c>
      <c r="AF2010">
        <f>VLOOKUP(D2010,especies!$A$2:$C$9,3,FALSE)</f>
        <v>2</v>
      </c>
      <c r="AG2010" t="str">
        <f t="shared" si="94"/>
        <v>2-DPC (Doméstico de pelo corto o DSH)</v>
      </c>
      <c r="AH2010">
        <f>VLOOKUP('Fichas clínicas'!AG2010,razas!$A$2:$D$66,3,FALSE)</f>
        <v>51</v>
      </c>
      <c r="AI2010" t="str">
        <f t="shared" si="95"/>
        <v>M</v>
      </c>
    </row>
    <row r="2011" spans="1:35" x14ac:dyDescent="0.2">
      <c r="A2011">
        <v>2013</v>
      </c>
      <c r="B2011" t="s">
        <v>4195</v>
      </c>
      <c r="C2011" t="s">
        <v>4373</v>
      </c>
      <c r="D2011" t="s">
        <v>32</v>
      </c>
      <c r="E2011" t="s">
        <v>33</v>
      </c>
      <c r="F2011" t="s">
        <v>34</v>
      </c>
      <c r="G2011" t="s">
        <v>4374</v>
      </c>
      <c r="J2011" t="s">
        <v>797</v>
      </c>
      <c r="K2011" t="s">
        <v>38</v>
      </c>
      <c r="L2011" t="s">
        <v>38</v>
      </c>
      <c r="M2011" t="s">
        <v>38</v>
      </c>
      <c r="N2011" t="s">
        <v>38</v>
      </c>
      <c r="O2011" t="s">
        <v>38</v>
      </c>
      <c r="T2011" t="s">
        <v>38</v>
      </c>
      <c r="U2011">
        <v>0</v>
      </c>
      <c r="V2011">
        <v>1</v>
      </c>
      <c r="W2011">
        <v>0</v>
      </c>
      <c r="X2011">
        <v>0</v>
      </c>
      <c r="Y2011">
        <v>0</v>
      </c>
      <c r="AE2011">
        <f t="shared" si="93"/>
        <v>1</v>
      </c>
      <c r="AF2011">
        <f>VLOOKUP(D2011,especies!$A$2:$C$9,3,FALSE)</f>
        <v>1</v>
      </c>
      <c r="AG2011" t="str">
        <f t="shared" si="94"/>
        <v>1-Mestizo</v>
      </c>
      <c r="AH2011">
        <f>VLOOKUP('Fichas clínicas'!AG2011,razas!$A$2:$D$66,3,FALSE)</f>
        <v>1</v>
      </c>
      <c r="AI2011" t="str">
        <f t="shared" si="95"/>
        <v>H</v>
      </c>
    </row>
    <row r="2012" spans="1:35" x14ac:dyDescent="0.2">
      <c r="A2012">
        <v>2014</v>
      </c>
      <c r="B2012" t="s">
        <v>4375</v>
      </c>
      <c r="C2012" t="s">
        <v>4376</v>
      </c>
      <c r="D2012" t="s">
        <v>41</v>
      </c>
      <c r="E2012" t="s">
        <v>42</v>
      </c>
      <c r="F2012" t="s">
        <v>47</v>
      </c>
      <c r="G2012" t="s">
        <v>102</v>
      </c>
      <c r="J2012" t="s">
        <v>393</v>
      </c>
      <c r="K2012" t="s">
        <v>38</v>
      </c>
      <c r="L2012" t="s">
        <v>38</v>
      </c>
      <c r="M2012" t="s">
        <v>38</v>
      </c>
      <c r="N2012" t="s">
        <v>38</v>
      </c>
      <c r="O2012" t="s">
        <v>38</v>
      </c>
      <c r="T2012" t="s">
        <v>38</v>
      </c>
      <c r="U2012">
        <v>0</v>
      </c>
      <c r="V2012">
        <v>1</v>
      </c>
      <c r="W2012">
        <v>0</v>
      </c>
      <c r="X2012">
        <v>0</v>
      </c>
      <c r="Y2012">
        <v>0</v>
      </c>
      <c r="AE2012">
        <f t="shared" si="93"/>
        <v>1</v>
      </c>
      <c r="AF2012">
        <f>VLOOKUP(D2012,especies!$A$2:$C$9,3,FALSE)</f>
        <v>2</v>
      </c>
      <c r="AG2012" t="str">
        <f t="shared" si="94"/>
        <v>2-DPC (Doméstico de pelo corto o DSH)</v>
      </c>
      <c r="AH2012">
        <f>VLOOKUP('Fichas clínicas'!AG2012,razas!$A$2:$D$66,3,FALSE)</f>
        <v>51</v>
      </c>
      <c r="AI2012" t="str">
        <f t="shared" si="95"/>
        <v>M</v>
      </c>
    </row>
    <row r="2013" spans="1:35" x14ac:dyDescent="0.2">
      <c r="A2013">
        <v>2015</v>
      </c>
      <c r="B2013" t="s">
        <v>1852</v>
      </c>
      <c r="C2013" t="s">
        <v>3737</v>
      </c>
      <c r="D2013" t="s">
        <v>41</v>
      </c>
      <c r="E2013" t="s">
        <v>42</v>
      </c>
      <c r="F2013" t="s">
        <v>47</v>
      </c>
      <c r="G2013" t="s">
        <v>4377</v>
      </c>
      <c r="J2013" t="s">
        <v>3210</v>
      </c>
      <c r="K2013" t="s">
        <v>38</v>
      </c>
      <c r="L2013" t="s">
        <v>38</v>
      </c>
      <c r="M2013" t="s">
        <v>38</v>
      </c>
      <c r="N2013" t="s">
        <v>38</v>
      </c>
      <c r="O2013" t="s">
        <v>38</v>
      </c>
      <c r="T2013" t="s">
        <v>38</v>
      </c>
      <c r="U2013">
        <v>0</v>
      </c>
      <c r="W2013">
        <v>0</v>
      </c>
      <c r="X2013">
        <v>0</v>
      </c>
      <c r="Y2013">
        <v>0</v>
      </c>
      <c r="AE2013">
        <f t="shared" si="93"/>
        <v>1</v>
      </c>
      <c r="AF2013">
        <f>VLOOKUP(D2013,especies!$A$2:$C$9,3,FALSE)</f>
        <v>2</v>
      </c>
      <c r="AG2013" t="str">
        <f t="shared" si="94"/>
        <v>2-DPC (Doméstico de pelo corto o DSH)</v>
      </c>
      <c r="AH2013">
        <f>VLOOKUP('Fichas clínicas'!AG2013,razas!$A$2:$D$66,3,FALSE)</f>
        <v>51</v>
      </c>
      <c r="AI2013" t="str">
        <f t="shared" si="95"/>
        <v>M</v>
      </c>
    </row>
    <row r="2014" spans="1:35" x14ac:dyDescent="0.2">
      <c r="A2014">
        <v>2016</v>
      </c>
      <c r="B2014" t="s">
        <v>4378</v>
      </c>
      <c r="C2014" t="s">
        <v>4379</v>
      </c>
      <c r="D2014" t="s">
        <v>41</v>
      </c>
      <c r="E2014" t="s">
        <v>42</v>
      </c>
      <c r="F2014" t="s">
        <v>47</v>
      </c>
      <c r="G2014" t="s">
        <v>3194</v>
      </c>
      <c r="J2014" t="s">
        <v>4380</v>
      </c>
      <c r="K2014" t="s">
        <v>38</v>
      </c>
      <c r="L2014" t="s">
        <v>38</v>
      </c>
      <c r="M2014" t="s">
        <v>38</v>
      </c>
      <c r="N2014" t="s">
        <v>38</v>
      </c>
      <c r="O2014" t="s">
        <v>38</v>
      </c>
      <c r="T2014" t="s">
        <v>38</v>
      </c>
      <c r="U2014">
        <v>0</v>
      </c>
      <c r="V2014">
        <v>1</v>
      </c>
      <c r="W2014">
        <v>0</v>
      </c>
      <c r="X2014">
        <v>0</v>
      </c>
      <c r="Y2014">
        <v>0</v>
      </c>
      <c r="AE2014">
        <f t="shared" si="93"/>
        <v>1</v>
      </c>
      <c r="AF2014">
        <f>VLOOKUP(D2014,especies!$A$2:$C$9,3,FALSE)</f>
        <v>2</v>
      </c>
      <c r="AG2014" t="str">
        <f t="shared" si="94"/>
        <v>2-DPC (Doméstico de pelo corto o DSH)</v>
      </c>
      <c r="AH2014">
        <f>VLOOKUP('Fichas clínicas'!AG2014,razas!$A$2:$D$66,3,FALSE)</f>
        <v>51</v>
      </c>
      <c r="AI2014" t="str">
        <f t="shared" si="95"/>
        <v>M</v>
      </c>
    </row>
    <row r="2015" spans="1:35" x14ac:dyDescent="0.2">
      <c r="A2015">
        <v>2017</v>
      </c>
      <c r="B2015" t="s">
        <v>4381</v>
      </c>
      <c r="C2015" t="s">
        <v>4382</v>
      </c>
      <c r="D2015" t="s">
        <v>32</v>
      </c>
      <c r="E2015" t="s">
        <v>33</v>
      </c>
      <c r="F2015" t="s">
        <v>47</v>
      </c>
      <c r="G2015" t="s">
        <v>560</v>
      </c>
      <c r="I2015">
        <v>991003001868793</v>
      </c>
      <c r="J2015" t="s">
        <v>4383</v>
      </c>
      <c r="K2015" t="s">
        <v>38</v>
      </c>
      <c r="L2015" t="s">
        <v>38</v>
      </c>
      <c r="M2015" t="s">
        <v>38</v>
      </c>
      <c r="N2015" t="s">
        <v>38</v>
      </c>
      <c r="O2015" t="s">
        <v>38</v>
      </c>
      <c r="Q2015">
        <v>0</v>
      </c>
      <c r="T2015" t="s">
        <v>38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f t="shared" si="93"/>
        <v>1</v>
      </c>
      <c r="AF2015">
        <f>VLOOKUP(D2015,especies!$A$2:$C$9,3,FALSE)</f>
        <v>1</v>
      </c>
      <c r="AG2015" t="str">
        <f t="shared" si="94"/>
        <v>1-Mestizo</v>
      </c>
      <c r="AH2015">
        <f>VLOOKUP('Fichas clínicas'!AG2015,razas!$A$2:$D$66,3,FALSE)</f>
        <v>1</v>
      </c>
      <c r="AI2015" t="str">
        <f t="shared" si="95"/>
        <v>M</v>
      </c>
    </row>
    <row r="2016" spans="1:35" x14ac:dyDescent="0.2">
      <c r="A2016">
        <v>2018</v>
      </c>
      <c r="B2016" t="s">
        <v>4384</v>
      </c>
      <c r="C2016" t="s">
        <v>4385</v>
      </c>
      <c r="D2016" t="s">
        <v>41</v>
      </c>
      <c r="E2016" t="s">
        <v>42</v>
      </c>
      <c r="F2016" t="s">
        <v>34</v>
      </c>
      <c r="G2016" t="s">
        <v>4386</v>
      </c>
      <c r="J2016" t="s">
        <v>3993</v>
      </c>
      <c r="K2016" t="s">
        <v>38</v>
      </c>
      <c r="L2016" t="s">
        <v>38</v>
      </c>
      <c r="M2016" t="s">
        <v>38</v>
      </c>
      <c r="N2016" t="s">
        <v>38</v>
      </c>
      <c r="O2016" t="s">
        <v>38</v>
      </c>
      <c r="T2016" t="s">
        <v>38</v>
      </c>
      <c r="U2016">
        <v>0</v>
      </c>
      <c r="W2016">
        <v>0</v>
      </c>
      <c r="X2016">
        <v>0</v>
      </c>
      <c r="Y2016">
        <v>0</v>
      </c>
      <c r="AE2016">
        <f t="shared" si="93"/>
        <v>1</v>
      </c>
      <c r="AF2016">
        <f>VLOOKUP(D2016,especies!$A$2:$C$9,3,FALSE)</f>
        <v>2</v>
      </c>
      <c r="AG2016" t="str">
        <f t="shared" si="94"/>
        <v>2-DPC (Doméstico de pelo corto o DSH)</v>
      </c>
      <c r="AH2016">
        <f>VLOOKUP('Fichas clínicas'!AG2016,razas!$A$2:$D$66,3,FALSE)</f>
        <v>51</v>
      </c>
      <c r="AI2016" t="str">
        <f t="shared" si="95"/>
        <v>H</v>
      </c>
    </row>
    <row r="2017" spans="1:35" x14ac:dyDescent="0.2">
      <c r="A2017">
        <v>2019</v>
      </c>
      <c r="B2017" t="s">
        <v>4368</v>
      </c>
      <c r="C2017" t="s">
        <v>2001</v>
      </c>
      <c r="D2017" t="s">
        <v>32</v>
      </c>
      <c r="E2017" t="s">
        <v>970</v>
      </c>
      <c r="F2017" t="s">
        <v>34</v>
      </c>
      <c r="G2017" t="s">
        <v>1547</v>
      </c>
      <c r="J2017" t="s">
        <v>3777</v>
      </c>
      <c r="K2017" t="s">
        <v>38</v>
      </c>
      <c r="L2017" t="s">
        <v>38</v>
      </c>
      <c r="M2017" t="s">
        <v>38</v>
      </c>
      <c r="N2017" t="s">
        <v>38</v>
      </c>
      <c r="O2017" t="s">
        <v>38</v>
      </c>
      <c r="T2017" t="s">
        <v>38</v>
      </c>
      <c r="U2017">
        <v>0</v>
      </c>
      <c r="W2017">
        <v>0</v>
      </c>
      <c r="X2017">
        <v>0</v>
      </c>
      <c r="Y2017">
        <v>0</v>
      </c>
      <c r="AE2017">
        <f t="shared" si="93"/>
        <v>1</v>
      </c>
      <c r="AF2017">
        <f>VLOOKUP(D2017,especies!$A$2:$C$9,3,FALSE)</f>
        <v>1</v>
      </c>
      <c r="AG2017" t="str">
        <f t="shared" si="94"/>
        <v>1-American Pit Bull Terrier</v>
      </c>
      <c r="AH2017">
        <f>VLOOKUP('Fichas clínicas'!AG2017,razas!$A$2:$D$66,3,FALSE)</f>
        <v>25</v>
      </c>
      <c r="AI2017" t="str">
        <f t="shared" si="95"/>
        <v>H</v>
      </c>
    </row>
    <row r="2018" spans="1:35" x14ac:dyDescent="0.2">
      <c r="A2018">
        <v>2020</v>
      </c>
      <c r="B2018" t="s">
        <v>4387</v>
      </c>
      <c r="C2018" t="s">
        <v>4388</v>
      </c>
      <c r="D2018" t="s">
        <v>41</v>
      </c>
      <c r="E2018" t="s">
        <v>42</v>
      </c>
      <c r="F2018" t="s">
        <v>47</v>
      </c>
      <c r="G2018" t="s">
        <v>1769</v>
      </c>
      <c r="J2018" t="s">
        <v>3837</v>
      </c>
      <c r="K2018" t="s">
        <v>38</v>
      </c>
      <c r="L2018" t="s">
        <v>38</v>
      </c>
      <c r="M2018" t="s">
        <v>38</v>
      </c>
      <c r="N2018" t="s">
        <v>38</v>
      </c>
      <c r="O2018" t="s">
        <v>38</v>
      </c>
      <c r="T2018" t="s">
        <v>38</v>
      </c>
      <c r="U2018">
        <v>0</v>
      </c>
      <c r="V2018">
        <v>1</v>
      </c>
      <c r="W2018">
        <v>0</v>
      </c>
      <c r="X2018">
        <v>0</v>
      </c>
      <c r="Y2018">
        <v>0</v>
      </c>
      <c r="AE2018">
        <f t="shared" si="93"/>
        <v>1</v>
      </c>
      <c r="AF2018">
        <f>VLOOKUP(D2018,especies!$A$2:$C$9,3,FALSE)</f>
        <v>2</v>
      </c>
      <c r="AG2018" t="str">
        <f t="shared" si="94"/>
        <v>2-DPC (Doméstico de pelo corto o DSH)</v>
      </c>
      <c r="AH2018">
        <f>VLOOKUP('Fichas clínicas'!AG2018,razas!$A$2:$D$66,3,FALSE)</f>
        <v>51</v>
      </c>
      <c r="AI2018" t="str">
        <f t="shared" si="95"/>
        <v>M</v>
      </c>
    </row>
    <row r="2019" spans="1:35" x14ac:dyDescent="0.2">
      <c r="A2019">
        <v>2021</v>
      </c>
      <c r="B2019" t="s">
        <v>4389</v>
      </c>
      <c r="C2019" t="s">
        <v>2331</v>
      </c>
      <c r="D2019" t="s">
        <v>32</v>
      </c>
      <c r="E2019" t="s">
        <v>508</v>
      </c>
      <c r="F2019" t="s">
        <v>34</v>
      </c>
      <c r="G2019" t="s">
        <v>3397</v>
      </c>
      <c r="J2019" t="s">
        <v>4390</v>
      </c>
      <c r="K2019" t="s">
        <v>38</v>
      </c>
      <c r="L2019" t="s">
        <v>38</v>
      </c>
      <c r="M2019" t="s">
        <v>38</v>
      </c>
      <c r="N2019" t="s">
        <v>38</v>
      </c>
      <c r="O2019" t="s">
        <v>38</v>
      </c>
      <c r="T2019" t="s">
        <v>38</v>
      </c>
      <c r="U2019">
        <v>0</v>
      </c>
      <c r="W2019">
        <v>0</v>
      </c>
      <c r="X2019">
        <v>0</v>
      </c>
      <c r="Y2019">
        <v>0</v>
      </c>
      <c r="AE2019">
        <f t="shared" si="93"/>
        <v>1</v>
      </c>
      <c r="AF2019">
        <f>VLOOKUP(D2019,especies!$A$2:$C$9,3,FALSE)</f>
        <v>1</v>
      </c>
      <c r="AG2019" t="str">
        <f t="shared" si="94"/>
        <v>1-Akita Americano</v>
      </c>
      <c r="AH2019">
        <f>VLOOKUP('Fichas clínicas'!AG2019,razas!$A$2:$D$66,3,FALSE)</f>
        <v>15</v>
      </c>
      <c r="AI2019" t="str">
        <f t="shared" si="95"/>
        <v>H</v>
      </c>
    </row>
    <row r="2020" spans="1:35" x14ac:dyDescent="0.2">
      <c r="A2020">
        <v>2022</v>
      </c>
      <c r="B2020" t="s">
        <v>3101</v>
      </c>
      <c r="C2020" t="s">
        <v>4391</v>
      </c>
      <c r="D2020" t="s">
        <v>32</v>
      </c>
      <c r="E2020" t="s">
        <v>143</v>
      </c>
      <c r="F2020" t="s">
        <v>34</v>
      </c>
      <c r="G2020" t="s">
        <v>1492</v>
      </c>
      <c r="J2020" t="s">
        <v>4093</v>
      </c>
      <c r="K2020" t="s">
        <v>38</v>
      </c>
      <c r="L2020" t="s">
        <v>38</v>
      </c>
      <c r="M2020" t="s">
        <v>38</v>
      </c>
      <c r="N2020" t="s">
        <v>38</v>
      </c>
      <c r="O2020" t="s">
        <v>38</v>
      </c>
      <c r="T2020" t="s">
        <v>38</v>
      </c>
      <c r="U2020">
        <v>0</v>
      </c>
      <c r="W2020">
        <v>0</v>
      </c>
      <c r="X2020">
        <v>0</v>
      </c>
      <c r="Y2020">
        <v>0</v>
      </c>
      <c r="AE2020">
        <f t="shared" si="93"/>
        <v>1</v>
      </c>
      <c r="AF2020">
        <f>VLOOKUP(D2020,especies!$A$2:$C$9,3,FALSE)</f>
        <v>1</v>
      </c>
      <c r="AG2020" t="str">
        <f t="shared" si="94"/>
        <v>1-Yorkshire Terrier</v>
      </c>
      <c r="AH2020">
        <f>VLOOKUP('Fichas clínicas'!AG2020,razas!$A$2:$D$66,3,FALSE)</f>
        <v>5</v>
      </c>
      <c r="AI2020" t="str">
        <f t="shared" si="95"/>
        <v>H</v>
      </c>
    </row>
    <row r="2021" spans="1:35" x14ac:dyDescent="0.2">
      <c r="A2021">
        <v>2023</v>
      </c>
      <c r="B2021" t="s">
        <v>4392</v>
      </c>
      <c r="C2021" t="s">
        <v>4393</v>
      </c>
      <c r="D2021" t="s">
        <v>41</v>
      </c>
      <c r="E2021" t="s">
        <v>93</v>
      </c>
      <c r="F2021" t="s">
        <v>47</v>
      </c>
      <c r="G2021" t="s">
        <v>2122</v>
      </c>
      <c r="J2021" t="s">
        <v>4390</v>
      </c>
      <c r="K2021" t="s">
        <v>38</v>
      </c>
      <c r="L2021" t="s">
        <v>38</v>
      </c>
      <c r="M2021" t="s">
        <v>38</v>
      </c>
      <c r="N2021" t="s">
        <v>38</v>
      </c>
      <c r="O2021" t="s">
        <v>38</v>
      </c>
      <c r="T2021" t="s">
        <v>38</v>
      </c>
      <c r="U2021">
        <v>0</v>
      </c>
      <c r="W2021">
        <v>0</v>
      </c>
      <c r="X2021">
        <v>0</v>
      </c>
      <c r="Y2021">
        <v>0</v>
      </c>
      <c r="AE2021">
        <f t="shared" si="93"/>
        <v>1</v>
      </c>
      <c r="AF2021">
        <f>VLOOKUP(D2021,especies!$A$2:$C$9,3,FALSE)</f>
        <v>2</v>
      </c>
      <c r="AG2021" t="str">
        <f t="shared" si="94"/>
        <v>2-DPL (Doméstico de pelo Largo o DLH)</v>
      </c>
      <c r="AH2021">
        <f>VLOOKUP('Fichas clínicas'!AG2021,razas!$A$2:$D$66,3,FALSE)</f>
        <v>52</v>
      </c>
      <c r="AI2021" t="str">
        <f t="shared" si="95"/>
        <v>M</v>
      </c>
    </row>
    <row r="2022" spans="1:35" x14ac:dyDescent="0.2">
      <c r="A2022">
        <v>2024</v>
      </c>
      <c r="B2022" t="s">
        <v>4394</v>
      </c>
      <c r="C2022" t="s">
        <v>4395</v>
      </c>
      <c r="D2022" t="s">
        <v>32</v>
      </c>
      <c r="E2022" t="s">
        <v>4396</v>
      </c>
      <c r="F2022" t="s">
        <v>47</v>
      </c>
      <c r="G2022" t="s">
        <v>73</v>
      </c>
      <c r="J2022" t="s">
        <v>4397</v>
      </c>
      <c r="K2022" t="s">
        <v>38</v>
      </c>
      <c r="L2022" t="s">
        <v>38</v>
      </c>
      <c r="M2022" t="s">
        <v>38</v>
      </c>
      <c r="N2022" t="s">
        <v>38</v>
      </c>
      <c r="O2022" t="s">
        <v>38</v>
      </c>
      <c r="T2022" t="s">
        <v>38</v>
      </c>
      <c r="U2022">
        <v>0</v>
      </c>
      <c r="W2022">
        <v>0</v>
      </c>
      <c r="X2022">
        <v>0</v>
      </c>
      <c r="Y2022">
        <v>0</v>
      </c>
      <c r="AE2022">
        <f t="shared" si="93"/>
        <v>1</v>
      </c>
      <c r="AF2022">
        <f>VLOOKUP(D2022,especies!$A$2:$C$9,3,FALSE)</f>
        <v>1</v>
      </c>
      <c r="AG2022" t="str">
        <f t="shared" si="94"/>
        <v>1-Pequinés</v>
      </c>
      <c r="AH2022">
        <f>VLOOKUP('Fichas clínicas'!AG2022,razas!$A$2:$D$66,3,FALSE)</f>
        <v>48</v>
      </c>
      <c r="AI2022" t="str">
        <f t="shared" si="95"/>
        <v>M</v>
      </c>
    </row>
    <row r="2023" spans="1:35" x14ac:dyDescent="0.2">
      <c r="A2023">
        <v>2025</v>
      </c>
      <c r="B2023" t="s">
        <v>4398</v>
      </c>
      <c r="C2023" t="s">
        <v>4399</v>
      </c>
      <c r="D2023" t="s">
        <v>41</v>
      </c>
      <c r="E2023" t="s">
        <v>93</v>
      </c>
      <c r="F2023" t="s">
        <v>47</v>
      </c>
      <c r="G2023" t="s">
        <v>587</v>
      </c>
      <c r="J2023" t="s">
        <v>4400</v>
      </c>
      <c r="K2023" t="s">
        <v>38</v>
      </c>
      <c r="L2023" t="s">
        <v>38</v>
      </c>
      <c r="M2023" t="s">
        <v>38</v>
      </c>
      <c r="N2023" t="s">
        <v>38</v>
      </c>
      <c r="O2023" t="s">
        <v>38</v>
      </c>
      <c r="T2023" t="s">
        <v>38</v>
      </c>
      <c r="U2023">
        <v>0</v>
      </c>
      <c r="W2023">
        <v>0</v>
      </c>
      <c r="X2023">
        <v>0</v>
      </c>
      <c r="Y2023">
        <v>0</v>
      </c>
      <c r="AE2023">
        <f t="shared" si="93"/>
        <v>1</v>
      </c>
      <c r="AF2023">
        <f>VLOOKUP(D2023,especies!$A$2:$C$9,3,FALSE)</f>
        <v>2</v>
      </c>
      <c r="AG2023" t="str">
        <f t="shared" si="94"/>
        <v>2-DPL (Doméstico de pelo Largo o DLH)</v>
      </c>
      <c r="AH2023">
        <f>VLOOKUP('Fichas clínicas'!AG2023,razas!$A$2:$D$66,3,FALSE)</f>
        <v>52</v>
      </c>
      <c r="AI2023" t="str">
        <f t="shared" si="95"/>
        <v>M</v>
      </c>
    </row>
    <row r="2024" spans="1:35" x14ac:dyDescent="0.2">
      <c r="A2024">
        <v>2026</v>
      </c>
      <c r="B2024" t="s">
        <v>2633</v>
      </c>
      <c r="C2024" t="s">
        <v>2261</v>
      </c>
      <c r="D2024" t="s">
        <v>41</v>
      </c>
      <c r="E2024" t="s">
        <v>42</v>
      </c>
      <c r="F2024" t="s">
        <v>34</v>
      </c>
      <c r="G2024" t="s">
        <v>1073</v>
      </c>
      <c r="J2024" t="s">
        <v>3662</v>
      </c>
      <c r="K2024" t="s">
        <v>38</v>
      </c>
      <c r="L2024" t="s">
        <v>38</v>
      </c>
      <c r="M2024" t="s">
        <v>38</v>
      </c>
      <c r="N2024" t="s">
        <v>38</v>
      </c>
      <c r="O2024" t="s">
        <v>38</v>
      </c>
      <c r="T2024" t="s">
        <v>38</v>
      </c>
      <c r="U2024">
        <v>0</v>
      </c>
      <c r="V2024">
        <v>1</v>
      </c>
      <c r="W2024">
        <v>0</v>
      </c>
      <c r="X2024">
        <v>0</v>
      </c>
      <c r="Y2024">
        <v>0</v>
      </c>
      <c r="AE2024">
        <f t="shared" si="93"/>
        <v>1</v>
      </c>
      <c r="AF2024">
        <f>VLOOKUP(D2024,especies!$A$2:$C$9,3,FALSE)</f>
        <v>2</v>
      </c>
      <c r="AG2024" t="str">
        <f t="shared" si="94"/>
        <v>2-DPC (Doméstico de pelo corto o DSH)</v>
      </c>
      <c r="AH2024">
        <f>VLOOKUP('Fichas clínicas'!AG2024,razas!$A$2:$D$66,3,FALSE)</f>
        <v>51</v>
      </c>
      <c r="AI2024" t="str">
        <f t="shared" si="95"/>
        <v>H</v>
      </c>
    </row>
    <row r="2025" spans="1:35" x14ac:dyDescent="0.2">
      <c r="A2025">
        <v>2027</v>
      </c>
      <c r="B2025" t="s">
        <v>4401</v>
      </c>
      <c r="C2025" t="s">
        <v>4402</v>
      </c>
      <c r="D2025" t="s">
        <v>41</v>
      </c>
      <c r="E2025" t="s">
        <v>93</v>
      </c>
      <c r="F2025" t="s">
        <v>34</v>
      </c>
      <c r="G2025" t="s">
        <v>3572</v>
      </c>
      <c r="J2025" t="s">
        <v>4403</v>
      </c>
      <c r="K2025" t="s">
        <v>38</v>
      </c>
      <c r="L2025" t="s">
        <v>38</v>
      </c>
      <c r="M2025" t="s">
        <v>38</v>
      </c>
      <c r="N2025" t="s">
        <v>38</v>
      </c>
      <c r="O2025" t="s">
        <v>38</v>
      </c>
      <c r="T2025" t="s">
        <v>38</v>
      </c>
      <c r="U2025">
        <v>0</v>
      </c>
      <c r="W2025">
        <v>0</v>
      </c>
      <c r="X2025">
        <v>0</v>
      </c>
      <c r="Y2025">
        <v>0</v>
      </c>
      <c r="AE2025">
        <f t="shared" si="93"/>
        <v>1</v>
      </c>
      <c r="AF2025">
        <f>VLOOKUP(D2025,especies!$A$2:$C$9,3,FALSE)</f>
        <v>2</v>
      </c>
      <c r="AG2025" t="str">
        <f t="shared" si="94"/>
        <v>2-DPL (Doméstico de pelo Largo o DLH)</v>
      </c>
      <c r="AH2025">
        <f>VLOOKUP('Fichas clínicas'!AG2025,razas!$A$2:$D$66,3,FALSE)</f>
        <v>52</v>
      </c>
      <c r="AI2025" t="str">
        <f t="shared" si="95"/>
        <v>H</v>
      </c>
    </row>
    <row r="2026" spans="1:35" x14ac:dyDescent="0.2">
      <c r="A2026">
        <v>2028</v>
      </c>
      <c r="B2026" t="s">
        <v>3868</v>
      </c>
      <c r="C2026" t="s">
        <v>3298</v>
      </c>
      <c r="D2026" t="s">
        <v>32</v>
      </c>
      <c r="E2026" t="s">
        <v>458</v>
      </c>
      <c r="F2026" t="s">
        <v>34</v>
      </c>
      <c r="G2026" t="s">
        <v>526</v>
      </c>
      <c r="J2026" t="s">
        <v>4404</v>
      </c>
      <c r="K2026" t="s">
        <v>38</v>
      </c>
      <c r="L2026" t="s">
        <v>38</v>
      </c>
      <c r="M2026" t="s">
        <v>38</v>
      </c>
      <c r="N2026" t="s">
        <v>38</v>
      </c>
      <c r="O2026" t="s">
        <v>38</v>
      </c>
      <c r="Q2026">
        <v>0</v>
      </c>
      <c r="T2026" t="s">
        <v>38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f t="shared" si="93"/>
        <v>1</v>
      </c>
      <c r="AF2026">
        <f>VLOOKUP(D2026,especies!$A$2:$C$9,3,FALSE)</f>
        <v>1</v>
      </c>
      <c r="AG2026" t="str">
        <f t="shared" si="94"/>
        <v>1-Beagle</v>
      </c>
      <c r="AH2026">
        <f>VLOOKUP('Fichas clínicas'!AG2026,razas!$A$2:$D$66,3,FALSE)</f>
        <v>13</v>
      </c>
      <c r="AI2026" t="str">
        <f t="shared" si="95"/>
        <v>H</v>
      </c>
    </row>
    <row r="2027" spans="1:35" x14ac:dyDescent="0.2">
      <c r="A2027">
        <v>2029</v>
      </c>
      <c r="B2027" t="s">
        <v>3121</v>
      </c>
      <c r="C2027" t="s">
        <v>4405</v>
      </c>
      <c r="D2027" t="s">
        <v>41</v>
      </c>
      <c r="E2027" t="s">
        <v>42</v>
      </c>
      <c r="F2027" t="s">
        <v>47</v>
      </c>
      <c r="G2027" t="s">
        <v>1054</v>
      </c>
      <c r="J2027" t="s">
        <v>4406</v>
      </c>
      <c r="K2027" t="s">
        <v>38</v>
      </c>
      <c r="L2027" t="s">
        <v>38</v>
      </c>
      <c r="M2027" t="s">
        <v>38</v>
      </c>
      <c r="N2027" t="s">
        <v>38</v>
      </c>
      <c r="O2027" t="s">
        <v>38</v>
      </c>
      <c r="T2027" t="s">
        <v>38</v>
      </c>
      <c r="U2027">
        <v>0</v>
      </c>
      <c r="V2027">
        <v>1</v>
      </c>
      <c r="W2027">
        <v>0</v>
      </c>
      <c r="X2027">
        <v>0</v>
      </c>
      <c r="Y2027">
        <v>0</v>
      </c>
      <c r="AE2027">
        <f t="shared" si="93"/>
        <v>1</v>
      </c>
      <c r="AF2027">
        <f>VLOOKUP(D2027,especies!$A$2:$C$9,3,FALSE)</f>
        <v>2</v>
      </c>
      <c r="AG2027" t="str">
        <f t="shared" si="94"/>
        <v>2-DPC (Doméstico de pelo corto o DSH)</v>
      </c>
      <c r="AH2027">
        <f>VLOOKUP('Fichas clínicas'!AG2027,razas!$A$2:$D$66,3,FALSE)</f>
        <v>51</v>
      </c>
      <c r="AI2027" t="str">
        <f t="shared" si="95"/>
        <v>M</v>
      </c>
    </row>
    <row r="2028" spans="1:35" x14ac:dyDescent="0.2">
      <c r="A2028">
        <v>2030</v>
      </c>
      <c r="B2028" t="s">
        <v>3118</v>
      </c>
      <c r="C2028" t="s">
        <v>4407</v>
      </c>
      <c r="D2028" t="s">
        <v>32</v>
      </c>
      <c r="E2028" t="s">
        <v>33</v>
      </c>
      <c r="F2028" t="s">
        <v>34</v>
      </c>
      <c r="G2028" t="s">
        <v>102</v>
      </c>
      <c r="J2028" t="s">
        <v>4408</v>
      </c>
      <c r="K2028" t="s">
        <v>38</v>
      </c>
      <c r="L2028" t="s">
        <v>38</v>
      </c>
      <c r="M2028" t="s">
        <v>38</v>
      </c>
      <c r="N2028" t="s">
        <v>38</v>
      </c>
      <c r="O2028" t="s">
        <v>38</v>
      </c>
      <c r="T2028" t="s">
        <v>38</v>
      </c>
      <c r="U2028">
        <v>0</v>
      </c>
      <c r="W2028">
        <v>0</v>
      </c>
      <c r="X2028">
        <v>0</v>
      </c>
      <c r="Y2028">
        <v>0</v>
      </c>
      <c r="AE2028">
        <f t="shared" si="93"/>
        <v>1</v>
      </c>
      <c r="AF2028">
        <f>VLOOKUP(D2028,especies!$A$2:$C$9,3,FALSE)</f>
        <v>1</v>
      </c>
      <c r="AG2028" t="str">
        <f t="shared" si="94"/>
        <v>1-Mestizo</v>
      </c>
      <c r="AH2028">
        <f>VLOOKUP('Fichas clínicas'!AG2028,razas!$A$2:$D$66,3,FALSE)</f>
        <v>1</v>
      </c>
      <c r="AI2028" t="str">
        <f t="shared" si="95"/>
        <v>H</v>
      </c>
    </row>
    <row r="2029" spans="1:35" x14ac:dyDescent="0.2">
      <c r="A2029">
        <v>2031</v>
      </c>
      <c r="B2029" t="s">
        <v>4409</v>
      </c>
      <c r="C2029" t="s">
        <v>4410</v>
      </c>
      <c r="D2029" t="s">
        <v>32</v>
      </c>
      <c r="E2029" t="s">
        <v>33</v>
      </c>
      <c r="F2029" t="s">
        <v>47</v>
      </c>
      <c r="G2029" t="s">
        <v>560</v>
      </c>
      <c r="J2029" t="s">
        <v>4411</v>
      </c>
      <c r="K2029" t="s">
        <v>38</v>
      </c>
      <c r="L2029" t="s">
        <v>38</v>
      </c>
      <c r="M2029" t="s">
        <v>38</v>
      </c>
      <c r="N2029" t="s">
        <v>38</v>
      </c>
      <c r="O2029" t="s">
        <v>38</v>
      </c>
      <c r="T2029" t="s">
        <v>38</v>
      </c>
      <c r="U2029">
        <v>0</v>
      </c>
      <c r="V2029">
        <v>1</v>
      </c>
      <c r="W2029">
        <v>0</v>
      </c>
      <c r="X2029">
        <v>0</v>
      </c>
      <c r="Y2029">
        <v>0</v>
      </c>
      <c r="AE2029">
        <f t="shared" si="93"/>
        <v>1</v>
      </c>
      <c r="AF2029">
        <f>VLOOKUP(D2029,especies!$A$2:$C$9,3,FALSE)</f>
        <v>1</v>
      </c>
      <c r="AG2029" t="str">
        <f t="shared" si="94"/>
        <v>1-Mestizo</v>
      </c>
      <c r="AH2029">
        <f>VLOOKUP('Fichas clínicas'!AG2029,razas!$A$2:$D$66,3,FALSE)</f>
        <v>1</v>
      </c>
      <c r="AI2029" t="str">
        <f t="shared" si="95"/>
        <v>M</v>
      </c>
    </row>
    <row r="2030" spans="1:35" x14ac:dyDescent="0.2">
      <c r="A2030">
        <v>2032</v>
      </c>
      <c r="B2030" t="s">
        <v>4412</v>
      </c>
      <c r="C2030" t="s">
        <v>4413</v>
      </c>
      <c r="D2030" t="s">
        <v>32</v>
      </c>
      <c r="E2030" t="s">
        <v>33</v>
      </c>
      <c r="F2030" t="s">
        <v>34</v>
      </c>
      <c r="G2030" t="s">
        <v>452</v>
      </c>
      <c r="J2030" t="s">
        <v>4414</v>
      </c>
      <c r="K2030" t="s">
        <v>38</v>
      </c>
      <c r="L2030" t="s">
        <v>38</v>
      </c>
      <c r="M2030" t="s">
        <v>38</v>
      </c>
      <c r="N2030" t="s">
        <v>38</v>
      </c>
      <c r="O2030" t="s">
        <v>38</v>
      </c>
      <c r="Q2030">
        <v>0</v>
      </c>
      <c r="R2030" t="s">
        <v>4415</v>
      </c>
      <c r="S2030" t="s">
        <v>4416</v>
      </c>
      <c r="T2030" t="s">
        <v>4417</v>
      </c>
      <c r="U2030">
        <v>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f t="shared" si="93"/>
        <v>1</v>
      </c>
      <c r="AF2030">
        <f>VLOOKUP(D2030,especies!$A$2:$C$9,3,FALSE)</f>
        <v>1</v>
      </c>
      <c r="AG2030" t="str">
        <f t="shared" si="94"/>
        <v>1-Mestizo</v>
      </c>
      <c r="AH2030">
        <f>VLOOKUP('Fichas clínicas'!AG2030,razas!$A$2:$D$66,3,FALSE)</f>
        <v>1</v>
      </c>
      <c r="AI2030" t="str">
        <f t="shared" si="95"/>
        <v>H</v>
      </c>
    </row>
    <row r="2031" spans="1:35" x14ac:dyDescent="0.2">
      <c r="A2031">
        <v>2033</v>
      </c>
      <c r="B2031" t="s">
        <v>3841</v>
      </c>
      <c r="C2031" t="s">
        <v>4418</v>
      </c>
      <c r="D2031" t="s">
        <v>32</v>
      </c>
      <c r="E2031" t="s">
        <v>33</v>
      </c>
      <c r="F2031" t="s">
        <v>34</v>
      </c>
      <c r="G2031" t="s">
        <v>3913</v>
      </c>
      <c r="J2031" t="s">
        <v>4328</v>
      </c>
      <c r="K2031" t="s">
        <v>38</v>
      </c>
      <c r="L2031" t="s">
        <v>38</v>
      </c>
      <c r="M2031" t="s">
        <v>38</v>
      </c>
      <c r="N2031" t="s">
        <v>38</v>
      </c>
      <c r="O2031" t="s">
        <v>38</v>
      </c>
      <c r="T2031" t="s">
        <v>38</v>
      </c>
      <c r="U2031">
        <v>0</v>
      </c>
      <c r="W2031">
        <v>0</v>
      </c>
      <c r="X2031">
        <v>0</v>
      </c>
      <c r="Y2031">
        <v>0</v>
      </c>
      <c r="AE2031">
        <f t="shared" si="93"/>
        <v>1</v>
      </c>
      <c r="AF2031">
        <f>VLOOKUP(D2031,especies!$A$2:$C$9,3,FALSE)</f>
        <v>1</v>
      </c>
      <c r="AG2031" t="str">
        <f t="shared" si="94"/>
        <v>1-Mestizo</v>
      </c>
      <c r="AH2031">
        <f>VLOOKUP('Fichas clínicas'!AG2031,razas!$A$2:$D$66,3,FALSE)</f>
        <v>1</v>
      </c>
      <c r="AI2031" t="str">
        <f t="shared" si="95"/>
        <v>H</v>
      </c>
    </row>
    <row r="2032" spans="1:35" x14ac:dyDescent="0.2">
      <c r="A2032">
        <v>2034</v>
      </c>
      <c r="B2032" t="s">
        <v>4419</v>
      </c>
      <c r="C2032" t="s">
        <v>4420</v>
      </c>
      <c r="D2032" t="s">
        <v>41</v>
      </c>
      <c r="E2032" t="s">
        <v>42</v>
      </c>
      <c r="F2032" t="s">
        <v>34</v>
      </c>
      <c r="G2032" t="s">
        <v>3572</v>
      </c>
      <c r="J2032" t="s">
        <v>4400</v>
      </c>
      <c r="K2032" t="s">
        <v>38</v>
      </c>
      <c r="L2032" t="s">
        <v>38</v>
      </c>
      <c r="M2032" t="s">
        <v>38</v>
      </c>
      <c r="N2032" t="s">
        <v>38</v>
      </c>
      <c r="O2032" t="s">
        <v>38</v>
      </c>
      <c r="T2032" t="s">
        <v>38</v>
      </c>
      <c r="U2032">
        <v>0</v>
      </c>
      <c r="W2032">
        <v>0</v>
      </c>
      <c r="X2032">
        <v>0</v>
      </c>
      <c r="Y2032">
        <v>0</v>
      </c>
      <c r="AE2032">
        <f t="shared" si="93"/>
        <v>1</v>
      </c>
      <c r="AF2032">
        <f>VLOOKUP(D2032,especies!$A$2:$C$9,3,FALSE)</f>
        <v>2</v>
      </c>
      <c r="AG2032" t="str">
        <f t="shared" si="94"/>
        <v>2-DPC (Doméstico de pelo corto o DSH)</v>
      </c>
      <c r="AH2032">
        <f>VLOOKUP('Fichas clínicas'!AG2032,razas!$A$2:$D$66,3,FALSE)</f>
        <v>51</v>
      </c>
      <c r="AI2032" t="str">
        <f t="shared" si="95"/>
        <v>H</v>
      </c>
    </row>
    <row r="2033" spans="1:35" x14ac:dyDescent="0.2">
      <c r="A2033">
        <v>2035</v>
      </c>
      <c r="B2033" t="s">
        <v>4421</v>
      </c>
      <c r="C2033" t="s">
        <v>4422</v>
      </c>
      <c r="D2033" t="s">
        <v>32</v>
      </c>
      <c r="E2033" t="s">
        <v>150</v>
      </c>
      <c r="F2033" t="s">
        <v>47</v>
      </c>
      <c r="G2033" t="s">
        <v>102</v>
      </c>
      <c r="J2033" t="s">
        <v>3993</v>
      </c>
      <c r="K2033" t="s">
        <v>38</v>
      </c>
      <c r="L2033" t="s">
        <v>38</v>
      </c>
      <c r="M2033" t="s">
        <v>38</v>
      </c>
      <c r="N2033" t="s">
        <v>38</v>
      </c>
      <c r="O2033" t="s">
        <v>38</v>
      </c>
      <c r="T2033" t="s">
        <v>38</v>
      </c>
      <c r="U2033">
        <v>0</v>
      </c>
      <c r="W2033">
        <v>0</v>
      </c>
      <c r="X2033">
        <v>0</v>
      </c>
      <c r="Y2033">
        <v>0</v>
      </c>
      <c r="AE2033">
        <f t="shared" si="93"/>
        <v>1</v>
      </c>
      <c r="AF2033">
        <f>VLOOKUP(D2033,especies!$A$2:$C$9,3,FALSE)</f>
        <v>1</v>
      </c>
      <c r="AG2033" t="str">
        <f t="shared" si="94"/>
        <v>1-Poodle</v>
      </c>
      <c r="AH2033">
        <f>VLOOKUP('Fichas clínicas'!AG2033,razas!$A$2:$D$66,3,FALSE)</f>
        <v>6</v>
      </c>
      <c r="AI2033" t="str">
        <f t="shared" si="95"/>
        <v>M</v>
      </c>
    </row>
    <row r="2034" spans="1:35" x14ac:dyDescent="0.2">
      <c r="A2034">
        <v>2036</v>
      </c>
      <c r="B2034" t="s">
        <v>4423</v>
      </c>
      <c r="C2034" t="s">
        <v>4424</v>
      </c>
      <c r="D2034" t="s">
        <v>41</v>
      </c>
      <c r="E2034" t="s">
        <v>42</v>
      </c>
      <c r="F2034" t="s">
        <v>34</v>
      </c>
      <c r="G2034" t="s">
        <v>526</v>
      </c>
      <c r="J2034" t="s">
        <v>4390</v>
      </c>
      <c r="K2034" t="s">
        <v>38</v>
      </c>
      <c r="L2034" t="s">
        <v>38</v>
      </c>
      <c r="M2034" t="s">
        <v>38</v>
      </c>
      <c r="N2034" t="s">
        <v>38</v>
      </c>
      <c r="O2034" t="s">
        <v>38</v>
      </c>
      <c r="T2034" t="s">
        <v>38</v>
      </c>
      <c r="U2034">
        <v>0</v>
      </c>
      <c r="W2034">
        <v>0</v>
      </c>
      <c r="X2034">
        <v>0</v>
      </c>
      <c r="Y2034">
        <v>0</v>
      </c>
      <c r="AE2034">
        <f t="shared" si="93"/>
        <v>1</v>
      </c>
      <c r="AF2034">
        <f>VLOOKUP(D2034,especies!$A$2:$C$9,3,FALSE)</f>
        <v>2</v>
      </c>
      <c r="AG2034" t="str">
        <f t="shared" si="94"/>
        <v>2-DPC (Doméstico de pelo corto o DSH)</v>
      </c>
      <c r="AH2034">
        <f>VLOOKUP('Fichas clínicas'!AG2034,razas!$A$2:$D$66,3,FALSE)</f>
        <v>51</v>
      </c>
      <c r="AI2034" t="str">
        <f t="shared" si="95"/>
        <v>H</v>
      </c>
    </row>
    <row r="2035" spans="1:35" x14ac:dyDescent="0.2">
      <c r="A2035">
        <v>2037</v>
      </c>
      <c r="B2035" t="s">
        <v>4423</v>
      </c>
      <c r="C2035" t="s">
        <v>4425</v>
      </c>
      <c r="D2035" t="s">
        <v>41</v>
      </c>
      <c r="E2035" t="s">
        <v>42</v>
      </c>
      <c r="F2035" t="s">
        <v>47</v>
      </c>
      <c r="G2035" t="s">
        <v>587</v>
      </c>
      <c r="J2035" t="s">
        <v>4426</v>
      </c>
      <c r="K2035" t="s">
        <v>38</v>
      </c>
      <c r="L2035" t="s">
        <v>38</v>
      </c>
      <c r="M2035" t="s">
        <v>38</v>
      </c>
      <c r="N2035" t="s">
        <v>38</v>
      </c>
      <c r="O2035" t="s">
        <v>38</v>
      </c>
      <c r="Q2035">
        <v>0</v>
      </c>
      <c r="T2035" t="s">
        <v>38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f t="shared" si="93"/>
        <v>1</v>
      </c>
      <c r="AF2035">
        <f>VLOOKUP(D2035,especies!$A$2:$C$9,3,FALSE)</f>
        <v>2</v>
      </c>
      <c r="AG2035" t="str">
        <f t="shared" si="94"/>
        <v>2-DPC (Doméstico de pelo corto o DSH)</v>
      </c>
      <c r="AH2035">
        <f>VLOOKUP('Fichas clínicas'!AG2035,razas!$A$2:$D$66,3,FALSE)</f>
        <v>51</v>
      </c>
      <c r="AI2035" t="str">
        <f t="shared" si="95"/>
        <v>M</v>
      </c>
    </row>
    <row r="2036" spans="1:35" x14ac:dyDescent="0.2">
      <c r="A2036">
        <v>2038</v>
      </c>
      <c r="B2036" t="s">
        <v>4427</v>
      </c>
      <c r="C2036" t="s">
        <v>4428</v>
      </c>
      <c r="D2036" t="s">
        <v>32</v>
      </c>
      <c r="E2036" t="s">
        <v>934</v>
      </c>
      <c r="F2036" t="s">
        <v>47</v>
      </c>
      <c r="G2036" t="s">
        <v>4429</v>
      </c>
      <c r="J2036" t="s">
        <v>4430</v>
      </c>
      <c r="K2036" t="s">
        <v>38</v>
      </c>
      <c r="L2036" t="s">
        <v>38</v>
      </c>
      <c r="M2036" t="s">
        <v>38</v>
      </c>
      <c r="N2036" t="s">
        <v>38</v>
      </c>
      <c r="O2036" t="s">
        <v>38</v>
      </c>
      <c r="T2036" t="s">
        <v>38</v>
      </c>
      <c r="U2036">
        <v>0</v>
      </c>
      <c r="W2036">
        <v>0</v>
      </c>
      <c r="X2036">
        <v>0</v>
      </c>
      <c r="Y2036">
        <v>0</v>
      </c>
      <c r="AE2036">
        <f t="shared" si="93"/>
        <v>1</v>
      </c>
      <c r="AF2036">
        <f>VLOOKUP(D2036,especies!$A$2:$C$9,3,FALSE)</f>
        <v>1</v>
      </c>
      <c r="AG2036" t="str">
        <f t="shared" si="94"/>
        <v>1-Siberian Husky</v>
      </c>
      <c r="AH2036">
        <f>VLOOKUP('Fichas clínicas'!AG2036,razas!$A$2:$D$66,3,FALSE)</f>
        <v>24</v>
      </c>
      <c r="AI2036" t="str">
        <f t="shared" si="95"/>
        <v>M</v>
      </c>
    </row>
    <row r="2037" spans="1:35" x14ac:dyDescent="0.2">
      <c r="A2037">
        <v>2039</v>
      </c>
      <c r="B2037" t="s">
        <v>4125</v>
      </c>
      <c r="C2037" t="s">
        <v>2101</v>
      </c>
      <c r="D2037" t="s">
        <v>41</v>
      </c>
      <c r="E2037" t="s">
        <v>42</v>
      </c>
      <c r="F2037" t="s">
        <v>34</v>
      </c>
      <c r="G2037" t="s">
        <v>1054</v>
      </c>
      <c r="J2037" t="s">
        <v>4431</v>
      </c>
      <c r="K2037" t="s">
        <v>38</v>
      </c>
      <c r="L2037" t="s">
        <v>38</v>
      </c>
      <c r="M2037" t="s">
        <v>38</v>
      </c>
      <c r="N2037" t="s">
        <v>38</v>
      </c>
      <c r="O2037" t="s">
        <v>38</v>
      </c>
      <c r="Q2037">
        <v>0</v>
      </c>
      <c r="T2037" t="s">
        <v>38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f t="shared" si="93"/>
        <v>1</v>
      </c>
      <c r="AF2037">
        <f>VLOOKUP(D2037,especies!$A$2:$C$9,3,FALSE)</f>
        <v>2</v>
      </c>
      <c r="AG2037" t="str">
        <f t="shared" si="94"/>
        <v>2-DPC (Doméstico de pelo corto o DSH)</v>
      </c>
      <c r="AH2037">
        <f>VLOOKUP('Fichas clínicas'!AG2037,razas!$A$2:$D$66,3,FALSE)</f>
        <v>51</v>
      </c>
      <c r="AI2037" t="str">
        <f t="shared" si="95"/>
        <v>H</v>
      </c>
    </row>
    <row r="2038" spans="1:35" x14ac:dyDescent="0.2">
      <c r="A2038">
        <v>2040</v>
      </c>
      <c r="B2038" t="s">
        <v>4432</v>
      </c>
      <c r="C2038" t="s">
        <v>2239</v>
      </c>
      <c r="D2038" t="s">
        <v>41</v>
      </c>
      <c r="E2038" t="s">
        <v>42</v>
      </c>
      <c r="F2038" t="s">
        <v>47</v>
      </c>
      <c r="G2038" t="s">
        <v>2122</v>
      </c>
      <c r="J2038" t="s">
        <v>4433</v>
      </c>
      <c r="K2038" t="s">
        <v>38</v>
      </c>
      <c r="L2038" t="s">
        <v>38</v>
      </c>
      <c r="M2038" t="s">
        <v>38</v>
      </c>
      <c r="N2038" t="s">
        <v>38</v>
      </c>
      <c r="O2038" t="s">
        <v>38</v>
      </c>
      <c r="T2038" t="s">
        <v>38</v>
      </c>
      <c r="U2038">
        <v>0</v>
      </c>
      <c r="W2038">
        <v>0</v>
      </c>
      <c r="X2038">
        <v>0</v>
      </c>
      <c r="Y2038">
        <v>0</v>
      </c>
      <c r="AE2038">
        <f t="shared" si="93"/>
        <v>1</v>
      </c>
      <c r="AF2038">
        <f>VLOOKUP(D2038,especies!$A$2:$C$9,3,FALSE)</f>
        <v>2</v>
      </c>
      <c r="AG2038" t="str">
        <f t="shared" si="94"/>
        <v>2-DPC (Doméstico de pelo corto o DSH)</v>
      </c>
      <c r="AH2038">
        <f>VLOOKUP('Fichas clínicas'!AG2038,razas!$A$2:$D$66,3,FALSE)</f>
        <v>51</v>
      </c>
      <c r="AI2038" t="str">
        <f t="shared" si="95"/>
        <v>M</v>
      </c>
    </row>
    <row r="2039" spans="1:35" x14ac:dyDescent="0.2">
      <c r="A2039">
        <v>2041</v>
      </c>
      <c r="B2039" t="s">
        <v>4434</v>
      </c>
      <c r="C2039" t="s">
        <v>4435</v>
      </c>
      <c r="D2039" t="s">
        <v>32</v>
      </c>
      <c r="E2039" t="s">
        <v>33</v>
      </c>
      <c r="F2039" t="s">
        <v>34</v>
      </c>
      <c r="G2039" t="s">
        <v>4156</v>
      </c>
      <c r="J2039" t="s">
        <v>3856</v>
      </c>
      <c r="K2039" t="s">
        <v>38</v>
      </c>
      <c r="L2039" t="s">
        <v>38</v>
      </c>
      <c r="M2039" t="s">
        <v>38</v>
      </c>
      <c r="N2039" t="s">
        <v>38</v>
      </c>
      <c r="O2039" t="s">
        <v>38</v>
      </c>
      <c r="T2039" t="s">
        <v>38</v>
      </c>
      <c r="U2039">
        <v>0</v>
      </c>
      <c r="W2039">
        <v>0</v>
      </c>
      <c r="X2039">
        <v>0</v>
      </c>
      <c r="Y2039">
        <v>0</v>
      </c>
      <c r="AE2039">
        <f t="shared" si="93"/>
        <v>1</v>
      </c>
      <c r="AF2039">
        <f>VLOOKUP(D2039,especies!$A$2:$C$9,3,FALSE)</f>
        <v>1</v>
      </c>
      <c r="AG2039" t="str">
        <f t="shared" si="94"/>
        <v>1-Mestizo</v>
      </c>
      <c r="AH2039">
        <f>VLOOKUP('Fichas clínicas'!AG2039,razas!$A$2:$D$66,3,FALSE)</f>
        <v>1</v>
      </c>
      <c r="AI2039" t="str">
        <f t="shared" si="95"/>
        <v>H</v>
      </c>
    </row>
    <row r="2040" spans="1:35" x14ac:dyDescent="0.2">
      <c r="A2040">
        <v>2042</v>
      </c>
      <c r="B2040" t="s">
        <v>4436</v>
      </c>
      <c r="C2040" t="s">
        <v>4437</v>
      </c>
      <c r="D2040" t="s">
        <v>41</v>
      </c>
      <c r="E2040" t="s">
        <v>42</v>
      </c>
      <c r="F2040" t="s">
        <v>47</v>
      </c>
      <c r="G2040" t="s">
        <v>587</v>
      </c>
      <c r="J2040" t="s">
        <v>1620</v>
      </c>
      <c r="K2040" t="s">
        <v>38</v>
      </c>
      <c r="L2040" t="s">
        <v>38</v>
      </c>
      <c r="M2040" t="s">
        <v>38</v>
      </c>
      <c r="N2040" t="s">
        <v>38</v>
      </c>
      <c r="O2040" t="s">
        <v>38</v>
      </c>
      <c r="T2040" t="s">
        <v>38</v>
      </c>
      <c r="U2040">
        <v>0</v>
      </c>
      <c r="V2040">
        <v>1</v>
      </c>
      <c r="W2040">
        <v>0</v>
      </c>
      <c r="X2040">
        <v>0</v>
      </c>
      <c r="Y2040">
        <v>0</v>
      </c>
      <c r="AE2040">
        <f t="shared" si="93"/>
        <v>1</v>
      </c>
      <c r="AF2040">
        <f>VLOOKUP(D2040,especies!$A$2:$C$9,3,FALSE)</f>
        <v>2</v>
      </c>
      <c r="AG2040" t="str">
        <f t="shared" si="94"/>
        <v>2-DPC (Doméstico de pelo corto o DSH)</v>
      </c>
      <c r="AH2040">
        <f>VLOOKUP('Fichas clínicas'!AG2040,razas!$A$2:$D$66,3,FALSE)</f>
        <v>51</v>
      </c>
      <c r="AI2040" t="str">
        <f t="shared" si="95"/>
        <v>M</v>
      </c>
    </row>
    <row r="2041" spans="1:35" x14ac:dyDescent="0.2">
      <c r="A2041">
        <v>2043</v>
      </c>
      <c r="B2041" t="s">
        <v>4438</v>
      </c>
      <c r="C2041" t="s">
        <v>4439</v>
      </c>
      <c r="D2041" t="s">
        <v>41</v>
      </c>
      <c r="E2041" t="s">
        <v>42</v>
      </c>
      <c r="F2041" t="s">
        <v>34</v>
      </c>
      <c r="G2041" t="s">
        <v>825</v>
      </c>
      <c r="J2041" t="s">
        <v>4440</v>
      </c>
      <c r="K2041" t="s">
        <v>38</v>
      </c>
      <c r="L2041" t="s">
        <v>38</v>
      </c>
      <c r="M2041" t="s">
        <v>38</v>
      </c>
      <c r="N2041" t="s">
        <v>38</v>
      </c>
      <c r="O2041" t="s">
        <v>38</v>
      </c>
      <c r="T2041" t="s">
        <v>38</v>
      </c>
      <c r="U2041">
        <v>0</v>
      </c>
      <c r="V2041">
        <v>1</v>
      </c>
      <c r="W2041">
        <v>0</v>
      </c>
      <c r="X2041">
        <v>0</v>
      </c>
      <c r="Y2041">
        <v>0</v>
      </c>
      <c r="AE2041">
        <f t="shared" si="93"/>
        <v>1</v>
      </c>
      <c r="AF2041">
        <f>VLOOKUP(D2041,especies!$A$2:$C$9,3,FALSE)</f>
        <v>2</v>
      </c>
      <c r="AG2041" t="str">
        <f t="shared" si="94"/>
        <v>2-DPC (Doméstico de pelo corto o DSH)</v>
      </c>
      <c r="AH2041">
        <f>VLOOKUP('Fichas clínicas'!AG2041,razas!$A$2:$D$66,3,FALSE)</f>
        <v>51</v>
      </c>
      <c r="AI2041" t="str">
        <f t="shared" si="95"/>
        <v>H</v>
      </c>
    </row>
    <row r="2042" spans="1:35" x14ac:dyDescent="0.2">
      <c r="A2042">
        <v>2044</v>
      </c>
      <c r="B2042" t="s">
        <v>4441</v>
      </c>
      <c r="C2042" t="s">
        <v>378</v>
      </c>
      <c r="D2042" t="s">
        <v>32</v>
      </c>
      <c r="E2042" t="s">
        <v>33</v>
      </c>
      <c r="F2042" t="s">
        <v>34</v>
      </c>
      <c r="G2042" t="s">
        <v>351</v>
      </c>
      <c r="J2042" t="s">
        <v>4442</v>
      </c>
      <c r="K2042" t="s">
        <v>38</v>
      </c>
      <c r="L2042" t="s">
        <v>38</v>
      </c>
      <c r="M2042" t="s">
        <v>38</v>
      </c>
      <c r="N2042" t="s">
        <v>38</v>
      </c>
      <c r="O2042" t="s">
        <v>38</v>
      </c>
      <c r="T2042" t="s">
        <v>38</v>
      </c>
      <c r="U2042">
        <v>0</v>
      </c>
      <c r="W2042">
        <v>0</v>
      </c>
      <c r="X2042">
        <v>0</v>
      </c>
      <c r="Y2042">
        <v>0</v>
      </c>
      <c r="AE2042">
        <f t="shared" si="93"/>
        <v>1</v>
      </c>
      <c r="AF2042">
        <f>VLOOKUP(D2042,especies!$A$2:$C$9,3,FALSE)</f>
        <v>1</v>
      </c>
      <c r="AG2042" t="str">
        <f t="shared" si="94"/>
        <v>1-Mestizo</v>
      </c>
      <c r="AH2042">
        <f>VLOOKUP('Fichas clínicas'!AG2042,razas!$A$2:$D$66,3,FALSE)</f>
        <v>1</v>
      </c>
      <c r="AI2042" t="str">
        <f t="shared" si="95"/>
        <v>H</v>
      </c>
    </row>
    <row r="2043" spans="1:35" x14ac:dyDescent="0.2">
      <c r="A2043">
        <v>2045</v>
      </c>
      <c r="B2043" t="s">
        <v>791</v>
      </c>
      <c r="C2043" t="s">
        <v>2213</v>
      </c>
      <c r="D2043" t="s">
        <v>41</v>
      </c>
      <c r="E2043" t="s">
        <v>42</v>
      </c>
      <c r="F2043" t="s">
        <v>34</v>
      </c>
      <c r="G2043" t="s">
        <v>616</v>
      </c>
      <c r="J2043" t="s">
        <v>645</v>
      </c>
      <c r="K2043" t="s">
        <v>38</v>
      </c>
      <c r="L2043" t="s">
        <v>38</v>
      </c>
      <c r="M2043" t="s">
        <v>38</v>
      </c>
      <c r="N2043" t="s">
        <v>38</v>
      </c>
      <c r="O2043" t="s">
        <v>38</v>
      </c>
      <c r="Q2043">
        <v>0</v>
      </c>
      <c r="T2043" t="s">
        <v>38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f t="shared" si="93"/>
        <v>1</v>
      </c>
      <c r="AF2043">
        <f>VLOOKUP(D2043,especies!$A$2:$C$9,3,FALSE)</f>
        <v>2</v>
      </c>
      <c r="AG2043" t="str">
        <f t="shared" si="94"/>
        <v>2-DPC (Doméstico de pelo corto o DSH)</v>
      </c>
      <c r="AH2043">
        <f>VLOOKUP('Fichas clínicas'!AG2043,razas!$A$2:$D$66,3,FALSE)</f>
        <v>51</v>
      </c>
      <c r="AI2043" t="str">
        <f t="shared" si="95"/>
        <v>H</v>
      </c>
    </row>
    <row r="2044" spans="1:35" x14ac:dyDescent="0.2">
      <c r="A2044">
        <v>2046</v>
      </c>
      <c r="B2044" t="s">
        <v>1475</v>
      </c>
      <c r="C2044" t="s">
        <v>4443</v>
      </c>
      <c r="D2044" t="s">
        <v>41</v>
      </c>
      <c r="E2044" t="s">
        <v>42</v>
      </c>
      <c r="F2044" t="s">
        <v>34</v>
      </c>
      <c r="G2044" t="s">
        <v>4444</v>
      </c>
      <c r="J2044" t="s">
        <v>2678</v>
      </c>
      <c r="K2044" t="s">
        <v>38</v>
      </c>
      <c r="L2044" t="s">
        <v>38</v>
      </c>
      <c r="M2044" t="s">
        <v>38</v>
      </c>
      <c r="N2044" t="s">
        <v>38</v>
      </c>
      <c r="O2044" t="s">
        <v>38</v>
      </c>
      <c r="T2044" t="s">
        <v>38</v>
      </c>
      <c r="U2044">
        <v>0</v>
      </c>
      <c r="V2044">
        <v>1</v>
      </c>
      <c r="W2044">
        <v>0</v>
      </c>
      <c r="X2044">
        <v>0</v>
      </c>
      <c r="Y2044">
        <v>0</v>
      </c>
      <c r="AE2044">
        <f t="shared" si="93"/>
        <v>1</v>
      </c>
      <c r="AF2044">
        <f>VLOOKUP(D2044,especies!$A$2:$C$9,3,FALSE)</f>
        <v>2</v>
      </c>
      <c r="AG2044" t="str">
        <f t="shared" si="94"/>
        <v>2-DPC (Doméstico de pelo corto o DSH)</v>
      </c>
      <c r="AH2044">
        <f>VLOOKUP('Fichas clínicas'!AG2044,razas!$A$2:$D$66,3,FALSE)</f>
        <v>51</v>
      </c>
      <c r="AI2044" t="str">
        <f t="shared" si="95"/>
        <v>H</v>
      </c>
    </row>
    <row r="2045" spans="1:35" x14ac:dyDescent="0.2">
      <c r="A2045">
        <v>2047</v>
      </c>
      <c r="B2045" t="s">
        <v>4445</v>
      </c>
      <c r="C2045" t="s">
        <v>2064</v>
      </c>
      <c r="D2045" t="s">
        <v>32</v>
      </c>
      <c r="E2045" t="s">
        <v>33</v>
      </c>
      <c r="F2045" t="s">
        <v>34</v>
      </c>
      <c r="G2045" t="s">
        <v>199</v>
      </c>
      <c r="J2045" t="s">
        <v>4446</v>
      </c>
      <c r="K2045" t="s">
        <v>38</v>
      </c>
      <c r="L2045" t="s">
        <v>38</v>
      </c>
      <c r="M2045" t="s">
        <v>38</v>
      </c>
      <c r="N2045" t="s">
        <v>38</v>
      </c>
      <c r="O2045" t="s">
        <v>38</v>
      </c>
      <c r="T2045" t="s">
        <v>38</v>
      </c>
      <c r="U2045">
        <v>0</v>
      </c>
      <c r="W2045">
        <v>0</v>
      </c>
      <c r="X2045">
        <v>0</v>
      </c>
      <c r="Y2045">
        <v>0</v>
      </c>
      <c r="AE2045">
        <f t="shared" si="93"/>
        <v>1</v>
      </c>
      <c r="AF2045">
        <f>VLOOKUP(D2045,especies!$A$2:$C$9,3,FALSE)</f>
        <v>1</v>
      </c>
      <c r="AG2045" t="str">
        <f t="shared" si="94"/>
        <v>1-Mestizo</v>
      </c>
      <c r="AH2045">
        <f>VLOOKUP('Fichas clínicas'!AG2045,razas!$A$2:$D$66,3,FALSE)</f>
        <v>1</v>
      </c>
      <c r="AI2045" t="str">
        <f t="shared" si="95"/>
        <v>H</v>
      </c>
    </row>
    <row r="2046" spans="1:35" x14ac:dyDescent="0.2">
      <c r="A2046">
        <v>2048</v>
      </c>
      <c r="B2046" t="s">
        <v>4447</v>
      </c>
      <c r="C2046" t="s">
        <v>3305</v>
      </c>
      <c r="D2046" t="s">
        <v>41</v>
      </c>
      <c r="E2046" t="s">
        <v>42</v>
      </c>
      <c r="F2046" t="s">
        <v>34</v>
      </c>
      <c r="G2046" t="s">
        <v>1769</v>
      </c>
      <c r="J2046" t="s">
        <v>2405</v>
      </c>
      <c r="K2046" t="s">
        <v>38</v>
      </c>
      <c r="L2046" t="s">
        <v>38</v>
      </c>
      <c r="M2046" t="s">
        <v>38</v>
      </c>
      <c r="N2046" t="s">
        <v>38</v>
      </c>
      <c r="O2046" t="s">
        <v>38</v>
      </c>
      <c r="T2046" t="s">
        <v>38</v>
      </c>
      <c r="U2046">
        <v>0</v>
      </c>
      <c r="V2046">
        <v>1</v>
      </c>
      <c r="W2046">
        <v>0</v>
      </c>
      <c r="X2046">
        <v>0</v>
      </c>
      <c r="Y2046">
        <v>0</v>
      </c>
      <c r="AE2046">
        <f t="shared" si="93"/>
        <v>1</v>
      </c>
      <c r="AF2046">
        <f>VLOOKUP(D2046,especies!$A$2:$C$9,3,FALSE)</f>
        <v>2</v>
      </c>
      <c r="AG2046" t="str">
        <f t="shared" si="94"/>
        <v>2-DPC (Doméstico de pelo corto o DSH)</v>
      </c>
      <c r="AH2046">
        <f>VLOOKUP('Fichas clínicas'!AG2046,razas!$A$2:$D$66,3,FALSE)</f>
        <v>51</v>
      </c>
      <c r="AI2046" t="str">
        <f t="shared" si="95"/>
        <v>H</v>
      </c>
    </row>
    <row r="2047" spans="1:35" x14ac:dyDescent="0.2">
      <c r="A2047">
        <v>2049</v>
      </c>
      <c r="B2047" t="s">
        <v>1627</v>
      </c>
      <c r="C2047" t="s">
        <v>2675</v>
      </c>
      <c r="D2047" t="s">
        <v>32</v>
      </c>
      <c r="E2047" t="s">
        <v>458</v>
      </c>
      <c r="F2047" t="s">
        <v>47</v>
      </c>
      <c r="G2047" t="s">
        <v>526</v>
      </c>
      <c r="J2047" t="s">
        <v>2224</v>
      </c>
      <c r="K2047" t="s">
        <v>38</v>
      </c>
      <c r="L2047" t="s">
        <v>38</v>
      </c>
      <c r="M2047" t="s">
        <v>38</v>
      </c>
      <c r="N2047" t="s">
        <v>38</v>
      </c>
      <c r="O2047" t="s">
        <v>38</v>
      </c>
      <c r="Q2047">
        <v>0</v>
      </c>
      <c r="T2047" t="s">
        <v>38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f t="shared" si="93"/>
        <v>1</v>
      </c>
      <c r="AF2047">
        <f>VLOOKUP(D2047,especies!$A$2:$C$9,3,FALSE)</f>
        <v>1</v>
      </c>
      <c r="AG2047" t="str">
        <f t="shared" si="94"/>
        <v>1-Beagle</v>
      </c>
      <c r="AH2047">
        <f>VLOOKUP('Fichas clínicas'!AG2047,razas!$A$2:$D$66,3,FALSE)</f>
        <v>13</v>
      </c>
      <c r="AI2047" t="str">
        <f t="shared" si="95"/>
        <v>M</v>
      </c>
    </row>
    <row r="2048" spans="1:35" x14ac:dyDescent="0.2">
      <c r="A2048">
        <v>2050</v>
      </c>
      <c r="B2048" t="s">
        <v>4448</v>
      </c>
      <c r="C2048" t="s">
        <v>4449</v>
      </c>
      <c r="D2048" t="s">
        <v>41</v>
      </c>
      <c r="E2048" t="s">
        <v>42</v>
      </c>
      <c r="F2048" t="s">
        <v>34</v>
      </c>
      <c r="G2048" t="s">
        <v>452</v>
      </c>
      <c r="J2048" t="s">
        <v>4450</v>
      </c>
      <c r="K2048" t="s">
        <v>38</v>
      </c>
      <c r="L2048" t="s">
        <v>38</v>
      </c>
      <c r="M2048" t="s">
        <v>38</v>
      </c>
      <c r="N2048" t="s">
        <v>38</v>
      </c>
      <c r="O2048" t="s">
        <v>38</v>
      </c>
      <c r="T2048" t="s">
        <v>38</v>
      </c>
      <c r="U2048">
        <v>0</v>
      </c>
      <c r="V2048">
        <v>1</v>
      </c>
      <c r="W2048">
        <v>0</v>
      </c>
      <c r="X2048">
        <v>0</v>
      </c>
      <c r="Y2048">
        <v>0</v>
      </c>
      <c r="AE2048">
        <f t="shared" si="93"/>
        <v>1</v>
      </c>
      <c r="AF2048">
        <f>VLOOKUP(D2048,especies!$A$2:$C$9,3,FALSE)</f>
        <v>2</v>
      </c>
      <c r="AG2048" t="str">
        <f t="shared" si="94"/>
        <v>2-DPC (Doméstico de pelo corto o DSH)</v>
      </c>
      <c r="AH2048">
        <f>VLOOKUP('Fichas clínicas'!AG2048,razas!$A$2:$D$66,3,FALSE)</f>
        <v>51</v>
      </c>
      <c r="AI2048" t="str">
        <f t="shared" si="95"/>
        <v>H</v>
      </c>
    </row>
    <row r="2049" spans="1:35" x14ac:dyDescent="0.2">
      <c r="A2049">
        <v>2051</v>
      </c>
      <c r="B2049" t="s">
        <v>4448</v>
      </c>
      <c r="C2049" t="s">
        <v>4451</v>
      </c>
      <c r="D2049" t="s">
        <v>41</v>
      </c>
      <c r="E2049" t="s">
        <v>42</v>
      </c>
      <c r="F2049" t="s">
        <v>34</v>
      </c>
      <c r="G2049" t="s">
        <v>2833</v>
      </c>
      <c r="J2049" t="s">
        <v>4452</v>
      </c>
      <c r="K2049" t="s">
        <v>38</v>
      </c>
      <c r="L2049" t="s">
        <v>38</v>
      </c>
      <c r="M2049" t="s">
        <v>38</v>
      </c>
      <c r="N2049" t="s">
        <v>38</v>
      </c>
      <c r="O2049" t="s">
        <v>38</v>
      </c>
      <c r="T2049" t="s">
        <v>38</v>
      </c>
      <c r="U2049">
        <v>0</v>
      </c>
      <c r="W2049">
        <v>0</v>
      </c>
      <c r="X2049">
        <v>0</v>
      </c>
      <c r="Y2049">
        <v>0</v>
      </c>
      <c r="AE2049">
        <f t="shared" si="93"/>
        <v>1</v>
      </c>
      <c r="AF2049">
        <f>VLOOKUP(D2049,especies!$A$2:$C$9,3,FALSE)</f>
        <v>2</v>
      </c>
      <c r="AG2049" t="str">
        <f t="shared" si="94"/>
        <v>2-DPC (Doméstico de pelo corto o DSH)</v>
      </c>
      <c r="AH2049">
        <f>VLOOKUP('Fichas clínicas'!AG2049,razas!$A$2:$D$66,3,FALSE)</f>
        <v>51</v>
      </c>
      <c r="AI2049" t="str">
        <f t="shared" si="95"/>
        <v>H</v>
      </c>
    </row>
    <row r="2050" spans="1:35" x14ac:dyDescent="0.2">
      <c r="A2050">
        <v>2052</v>
      </c>
      <c r="B2050" t="s">
        <v>4195</v>
      </c>
      <c r="C2050" t="s">
        <v>4453</v>
      </c>
      <c r="D2050" t="s">
        <v>32</v>
      </c>
      <c r="E2050" t="s">
        <v>33</v>
      </c>
      <c r="F2050" t="s">
        <v>47</v>
      </c>
      <c r="G2050" t="s">
        <v>3853</v>
      </c>
      <c r="J2050" t="s">
        <v>4454</v>
      </c>
      <c r="K2050" t="s">
        <v>38</v>
      </c>
      <c r="L2050" t="s">
        <v>38</v>
      </c>
      <c r="M2050" t="s">
        <v>38</v>
      </c>
      <c r="N2050" t="s">
        <v>38</v>
      </c>
      <c r="O2050" t="s">
        <v>38</v>
      </c>
      <c r="T2050" t="s">
        <v>38</v>
      </c>
      <c r="U2050">
        <v>0</v>
      </c>
      <c r="W2050">
        <v>0</v>
      </c>
      <c r="X2050">
        <v>0</v>
      </c>
      <c r="Y2050">
        <v>0</v>
      </c>
      <c r="AE2050">
        <f t="shared" si="93"/>
        <v>1</v>
      </c>
      <c r="AF2050">
        <f>VLOOKUP(D2050,especies!$A$2:$C$9,3,FALSE)</f>
        <v>1</v>
      </c>
      <c r="AG2050" t="str">
        <f t="shared" si="94"/>
        <v>1-Mestizo</v>
      </c>
      <c r="AH2050">
        <f>VLOOKUP('Fichas clínicas'!AG2050,razas!$A$2:$D$66,3,FALSE)</f>
        <v>1</v>
      </c>
      <c r="AI2050" t="str">
        <f t="shared" si="95"/>
        <v>M</v>
      </c>
    </row>
    <row r="2051" spans="1:35" x14ac:dyDescent="0.2">
      <c r="A2051">
        <v>2053</v>
      </c>
      <c r="B2051" t="s">
        <v>4455</v>
      </c>
      <c r="C2051" t="s">
        <v>4456</v>
      </c>
      <c r="D2051" t="s">
        <v>41</v>
      </c>
      <c r="E2051" t="s">
        <v>42</v>
      </c>
      <c r="F2051" t="s">
        <v>34</v>
      </c>
      <c r="G2051" t="s">
        <v>587</v>
      </c>
      <c r="J2051" t="s">
        <v>3777</v>
      </c>
      <c r="K2051" t="s">
        <v>38</v>
      </c>
      <c r="L2051" t="s">
        <v>38</v>
      </c>
      <c r="M2051" t="s">
        <v>38</v>
      </c>
      <c r="N2051" t="s">
        <v>38</v>
      </c>
      <c r="O2051" t="s">
        <v>38</v>
      </c>
      <c r="T2051" t="s">
        <v>38</v>
      </c>
      <c r="U2051">
        <v>0</v>
      </c>
      <c r="W2051">
        <v>0</v>
      </c>
      <c r="X2051">
        <v>0</v>
      </c>
      <c r="Y2051">
        <v>0</v>
      </c>
      <c r="AE2051">
        <f t="shared" ref="AE2051:AE2114" si="96">SUBTOTAL(103,E2051)</f>
        <v>1</v>
      </c>
      <c r="AF2051">
        <f>VLOOKUP(D2051,especies!$A$2:$C$9,3,FALSE)</f>
        <v>2</v>
      </c>
      <c r="AG2051" t="str">
        <f t="shared" ref="AG2051:AG2114" si="97">AF2051&amp;"-"&amp;E2051</f>
        <v>2-DPC (Doméstico de pelo corto o DSH)</v>
      </c>
      <c r="AH2051">
        <f>VLOOKUP('Fichas clínicas'!AG2051,razas!$A$2:$D$66,3,FALSE)</f>
        <v>51</v>
      </c>
      <c r="AI2051" t="str">
        <f t="shared" ref="AI2051:AI2114" si="98">IF(F2051="Hembra","H","M")</f>
        <v>H</v>
      </c>
    </row>
    <row r="2052" spans="1:35" x14ac:dyDescent="0.2">
      <c r="A2052">
        <v>2054</v>
      </c>
      <c r="B2052" t="s">
        <v>773</v>
      </c>
      <c r="C2052" t="s">
        <v>4145</v>
      </c>
      <c r="D2052" t="s">
        <v>41</v>
      </c>
      <c r="E2052" t="s">
        <v>42</v>
      </c>
      <c r="F2052" t="s">
        <v>47</v>
      </c>
      <c r="G2052" t="s">
        <v>1073</v>
      </c>
      <c r="J2052" t="s">
        <v>3786</v>
      </c>
      <c r="K2052" t="s">
        <v>38</v>
      </c>
      <c r="L2052" t="s">
        <v>38</v>
      </c>
      <c r="M2052" t="s">
        <v>38</v>
      </c>
      <c r="N2052" t="s">
        <v>38</v>
      </c>
      <c r="O2052" t="s">
        <v>38</v>
      </c>
      <c r="T2052" t="s">
        <v>38</v>
      </c>
      <c r="U2052">
        <v>0</v>
      </c>
      <c r="W2052">
        <v>0</v>
      </c>
      <c r="X2052">
        <v>0</v>
      </c>
      <c r="Y2052">
        <v>0</v>
      </c>
      <c r="AE2052">
        <f t="shared" si="96"/>
        <v>1</v>
      </c>
      <c r="AF2052">
        <f>VLOOKUP(D2052,especies!$A$2:$C$9,3,FALSE)</f>
        <v>2</v>
      </c>
      <c r="AG2052" t="str">
        <f t="shared" si="97"/>
        <v>2-DPC (Doméstico de pelo corto o DSH)</v>
      </c>
      <c r="AH2052">
        <f>VLOOKUP('Fichas clínicas'!AG2052,razas!$A$2:$D$66,3,FALSE)</f>
        <v>51</v>
      </c>
      <c r="AI2052" t="str">
        <f t="shared" si="98"/>
        <v>M</v>
      </c>
    </row>
    <row r="2053" spans="1:35" x14ac:dyDescent="0.2">
      <c r="A2053">
        <v>2055</v>
      </c>
      <c r="B2053" t="s">
        <v>4457</v>
      </c>
      <c r="C2053" t="s">
        <v>4458</v>
      </c>
      <c r="D2053" t="s">
        <v>41</v>
      </c>
      <c r="E2053" t="s">
        <v>42</v>
      </c>
      <c r="F2053" t="s">
        <v>47</v>
      </c>
      <c r="G2053" t="s">
        <v>698</v>
      </c>
      <c r="J2053" t="s">
        <v>1630</v>
      </c>
      <c r="K2053" t="s">
        <v>38</v>
      </c>
      <c r="L2053" t="s">
        <v>38</v>
      </c>
      <c r="M2053" t="s">
        <v>38</v>
      </c>
      <c r="N2053" t="s">
        <v>38</v>
      </c>
      <c r="O2053" t="s">
        <v>38</v>
      </c>
      <c r="T2053" t="s">
        <v>38</v>
      </c>
      <c r="U2053">
        <v>0</v>
      </c>
      <c r="V2053">
        <v>1</v>
      </c>
      <c r="W2053">
        <v>0</v>
      </c>
      <c r="X2053">
        <v>0</v>
      </c>
      <c r="Y2053">
        <v>0</v>
      </c>
      <c r="AE2053">
        <f t="shared" si="96"/>
        <v>1</v>
      </c>
      <c r="AF2053">
        <f>VLOOKUP(D2053,especies!$A$2:$C$9,3,FALSE)</f>
        <v>2</v>
      </c>
      <c r="AG2053" t="str">
        <f t="shared" si="97"/>
        <v>2-DPC (Doméstico de pelo corto o DSH)</v>
      </c>
      <c r="AH2053">
        <f>VLOOKUP('Fichas clínicas'!AG2053,razas!$A$2:$D$66,3,FALSE)</f>
        <v>51</v>
      </c>
      <c r="AI2053" t="str">
        <f t="shared" si="98"/>
        <v>M</v>
      </c>
    </row>
    <row r="2054" spans="1:35" x14ac:dyDescent="0.2">
      <c r="A2054">
        <v>2056</v>
      </c>
      <c r="B2054" t="s">
        <v>3568</v>
      </c>
      <c r="C2054" t="s">
        <v>4459</v>
      </c>
      <c r="D2054" t="s">
        <v>41</v>
      </c>
      <c r="E2054" t="s">
        <v>42</v>
      </c>
      <c r="F2054" t="s">
        <v>34</v>
      </c>
      <c r="G2054" t="s">
        <v>4460</v>
      </c>
      <c r="J2054" t="s">
        <v>1825</v>
      </c>
      <c r="K2054" t="s">
        <v>38</v>
      </c>
      <c r="L2054" t="s">
        <v>38</v>
      </c>
      <c r="M2054" t="s">
        <v>38</v>
      </c>
      <c r="N2054" t="s">
        <v>38</v>
      </c>
      <c r="O2054" t="s">
        <v>38</v>
      </c>
      <c r="Q2054">
        <v>0</v>
      </c>
      <c r="T2054" t="s">
        <v>38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f t="shared" si="96"/>
        <v>1</v>
      </c>
      <c r="AF2054">
        <f>VLOOKUP(D2054,especies!$A$2:$C$9,3,FALSE)</f>
        <v>2</v>
      </c>
      <c r="AG2054" t="str">
        <f t="shared" si="97"/>
        <v>2-DPC (Doméstico de pelo corto o DSH)</v>
      </c>
      <c r="AH2054">
        <f>VLOOKUP('Fichas clínicas'!AG2054,razas!$A$2:$D$66,3,FALSE)</f>
        <v>51</v>
      </c>
      <c r="AI2054" t="str">
        <f t="shared" si="98"/>
        <v>H</v>
      </c>
    </row>
    <row r="2055" spans="1:35" x14ac:dyDescent="0.2">
      <c r="A2055">
        <v>2057</v>
      </c>
      <c r="B2055" t="s">
        <v>4461</v>
      </c>
      <c r="C2055" t="s">
        <v>3279</v>
      </c>
      <c r="D2055" t="s">
        <v>41</v>
      </c>
      <c r="E2055" t="s">
        <v>42</v>
      </c>
      <c r="F2055" t="s">
        <v>47</v>
      </c>
      <c r="G2055" t="s">
        <v>3102</v>
      </c>
      <c r="J2055" t="s">
        <v>4462</v>
      </c>
      <c r="K2055" t="s">
        <v>38</v>
      </c>
      <c r="L2055" t="s">
        <v>38</v>
      </c>
      <c r="M2055" t="s">
        <v>38</v>
      </c>
      <c r="N2055" t="s">
        <v>38</v>
      </c>
      <c r="O2055" t="s">
        <v>38</v>
      </c>
      <c r="T2055" t="s">
        <v>38</v>
      </c>
      <c r="U2055">
        <v>0</v>
      </c>
      <c r="V2055">
        <v>1</v>
      </c>
      <c r="W2055">
        <v>0</v>
      </c>
      <c r="X2055">
        <v>0</v>
      </c>
      <c r="Y2055">
        <v>0</v>
      </c>
      <c r="AE2055">
        <f t="shared" si="96"/>
        <v>1</v>
      </c>
      <c r="AF2055">
        <f>VLOOKUP(D2055,especies!$A$2:$C$9,3,FALSE)</f>
        <v>2</v>
      </c>
      <c r="AG2055" t="str">
        <f t="shared" si="97"/>
        <v>2-DPC (Doméstico de pelo corto o DSH)</v>
      </c>
      <c r="AH2055">
        <f>VLOOKUP('Fichas clínicas'!AG2055,razas!$A$2:$D$66,3,FALSE)</f>
        <v>51</v>
      </c>
      <c r="AI2055" t="str">
        <f t="shared" si="98"/>
        <v>M</v>
      </c>
    </row>
    <row r="2056" spans="1:35" x14ac:dyDescent="0.2">
      <c r="A2056">
        <v>2058</v>
      </c>
      <c r="B2056" t="s">
        <v>4463</v>
      </c>
      <c r="C2056" t="s">
        <v>4464</v>
      </c>
      <c r="D2056" t="s">
        <v>41</v>
      </c>
      <c r="E2056" t="s">
        <v>42</v>
      </c>
      <c r="F2056" t="s">
        <v>47</v>
      </c>
      <c r="G2056" t="s">
        <v>2851</v>
      </c>
      <c r="J2056" t="s">
        <v>4465</v>
      </c>
      <c r="K2056" t="s">
        <v>38</v>
      </c>
      <c r="L2056" t="s">
        <v>38</v>
      </c>
      <c r="M2056" t="s">
        <v>38</v>
      </c>
      <c r="N2056" t="s">
        <v>38</v>
      </c>
      <c r="O2056" t="s">
        <v>38</v>
      </c>
      <c r="T2056" t="s">
        <v>38</v>
      </c>
      <c r="U2056">
        <v>0</v>
      </c>
      <c r="W2056">
        <v>0</v>
      </c>
      <c r="X2056">
        <v>0</v>
      </c>
      <c r="Y2056">
        <v>0</v>
      </c>
      <c r="AE2056">
        <f t="shared" si="96"/>
        <v>1</v>
      </c>
      <c r="AF2056">
        <f>VLOOKUP(D2056,especies!$A$2:$C$9,3,FALSE)</f>
        <v>2</v>
      </c>
      <c r="AG2056" t="str">
        <f t="shared" si="97"/>
        <v>2-DPC (Doméstico de pelo corto o DSH)</v>
      </c>
      <c r="AH2056">
        <f>VLOOKUP('Fichas clínicas'!AG2056,razas!$A$2:$D$66,3,FALSE)</f>
        <v>51</v>
      </c>
      <c r="AI2056" t="str">
        <f t="shared" si="98"/>
        <v>M</v>
      </c>
    </row>
    <row r="2057" spans="1:35" x14ac:dyDescent="0.2">
      <c r="A2057">
        <v>2059</v>
      </c>
      <c r="B2057" t="s">
        <v>4125</v>
      </c>
      <c r="C2057" t="s">
        <v>4466</v>
      </c>
      <c r="D2057" t="s">
        <v>41</v>
      </c>
      <c r="E2057" t="s">
        <v>42</v>
      </c>
      <c r="F2057" t="s">
        <v>34</v>
      </c>
      <c r="G2057" t="s">
        <v>3572</v>
      </c>
      <c r="J2057" t="s">
        <v>841</v>
      </c>
      <c r="K2057" t="s">
        <v>38</v>
      </c>
      <c r="L2057" t="s">
        <v>38</v>
      </c>
      <c r="M2057" t="s">
        <v>38</v>
      </c>
      <c r="N2057" t="s">
        <v>38</v>
      </c>
      <c r="O2057" t="s">
        <v>38</v>
      </c>
      <c r="T2057" t="s">
        <v>38</v>
      </c>
      <c r="U2057">
        <v>0</v>
      </c>
      <c r="V2057">
        <v>1</v>
      </c>
      <c r="W2057">
        <v>0</v>
      </c>
      <c r="X2057">
        <v>0</v>
      </c>
      <c r="Y2057">
        <v>0</v>
      </c>
      <c r="AE2057">
        <f t="shared" si="96"/>
        <v>1</v>
      </c>
      <c r="AF2057">
        <f>VLOOKUP(D2057,especies!$A$2:$C$9,3,FALSE)</f>
        <v>2</v>
      </c>
      <c r="AG2057" t="str">
        <f t="shared" si="97"/>
        <v>2-DPC (Doméstico de pelo corto o DSH)</v>
      </c>
      <c r="AH2057">
        <f>VLOOKUP('Fichas clínicas'!AG2057,razas!$A$2:$D$66,3,FALSE)</f>
        <v>51</v>
      </c>
      <c r="AI2057" t="str">
        <f t="shared" si="98"/>
        <v>H</v>
      </c>
    </row>
    <row r="2058" spans="1:35" x14ac:dyDescent="0.2">
      <c r="A2058">
        <v>2060</v>
      </c>
      <c r="B2058" t="s">
        <v>4467</v>
      </c>
      <c r="C2058" t="s">
        <v>2660</v>
      </c>
      <c r="D2058" t="s">
        <v>41</v>
      </c>
      <c r="E2058" t="s">
        <v>42</v>
      </c>
      <c r="F2058" t="s">
        <v>47</v>
      </c>
      <c r="G2058" t="s">
        <v>4044</v>
      </c>
      <c r="J2058" t="s">
        <v>4390</v>
      </c>
      <c r="K2058" t="s">
        <v>38</v>
      </c>
      <c r="L2058" t="s">
        <v>38</v>
      </c>
      <c r="M2058" t="s">
        <v>38</v>
      </c>
      <c r="N2058" t="s">
        <v>38</v>
      </c>
      <c r="O2058" t="s">
        <v>38</v>
      </c>
      <c r="T2058" t="s">
        <v>38</v>
      </c>
      <c r="U2058">
        <v>0</v>
      </c>
      <c r="W2058">
        <v>0</v>
      </c>
      <c r="X2058">
        <v>0</v>
      </c>
      <c r="Y2058">
        <v>0</v>
      </c>
      <c r="AE2058">
        <f t="shared" si="96"/>
        <v>1</v>
      </c>
      <c r="AF2058">
        <f>VLOOKUP(D2058,especies!$A$2:$C$9,3,FALSE)</f>
        <v>2</v>
      </c>
      <c r="AG2058" t="str">
        <f t="shared" si="97"/>
        <v>2-DPC (Doméstico de pelo corto o DSH)</v>
      </c>
      <c r="AH2058">
        <f>VLOOKUP('Fichas clínicas'!AG2058,razas!$A$2:$D$66,3,FALSE)</f>
        <v>51</v>
      </c>
      <c r="AI2058" t="str">
        <f t="shared" si="98"/>
        <v>M</v>
      </c>
    </row>
    <row r="2059" spans="1:35" x14ac:dyDescent="0.2">
      <c r="A2059">
        <v>2061</v>
      </c>
      <c r="B2059" t="s">
        <v>4195</v>
      </c>
      <c r="C2059" t="s">
        <v>2811</v>
      </c>
      <c r="D2059" t="s">
        <v>32</v>
      </c>
      <c r="E2059" t="s">
        <v>1296</v>
      </c>
      <c r="F2059" t="s">
        <v>34</v>
      </c>
      <c r="G2059" t="s">
        <v>1007</v>
      </c>
      <c r="J2059" t="s">
        <v>4468</v>
      </c>
      <c r="K2059" t="s">
        <v>38</v>
      </c>
      <c r="L2059" t="s">
        <v>38</v>
      </c>
      <c r="M2059" t="s">
        <v>38</v>
      </c>
      <c r="N2059" t="s">
        <v>38</v>
      </c>
      <c r="O2059" t="s">
        <v>38</v>
      </c>
      <c r="Q2059">
        <v>0</v>
      </c>
      <c r="T2059" t="s">
        <v>38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f t="shared" si="96"/>
        <v>1</v>
      </c>
      <c r="AF2059">
        <f>VLOOKUP(D2059,especies!$A$2:$C$9,3,FALSE)</f>
        <v>1</v>
      </c>
      <c r="AG2059" t="str">
        <f t="shared" si="97"/>
        <v>1-Labrador Retriever</v>
      </c>
      <c r="AH2059">
        <f>VLOOKUP('Fichas clínicas'!AG2059,razas!$A$2:$D$66,3,FALSE)</f>
        <v>28</v>
      </c>
      <c r="AI2059" t="str">
        <f t="shared" si="98"/>
        <v>H</v>
      </c>
    </row>
    <row r="2060" spans="1:35" x14ac:dyDescent="0.2">
      <c r="A2060">
        <v>2062</v>
      </c>
      <c r="B2060" t="s">
        <v>4469</v>
      </c>
      <c r="C2060" t="s">
        <v>4470</v>
      </c>
      <c r="D2060" t="s">
        <v>41</v>
      </c>
      <c r="E2060" t="s">
        <v>42</v>
      </c>
      <c r="F2060" t="s">
        <v>34</v>
      </c>
      <c r="G2060" t="s">
        <v>2065</v>
      </c>
      <c r="J2060" t="s">
        <v>4328</v>
      </c>
      <c r="K2060" t="s">
        <v>38</v>
      </c>
      <c r="L2060" t="s">
        <v>38</v>
      </c>
      <c r="M2060" t="s">
        <v>38</v>
      </c>
      <c r="N2060" t="s">
        <v>38</v>
      </c>
      <c r="O2060" t="s">
        <v>38</v>
      </c>
      <c r="T2060" t="s">
        <v>38</v>
      </c>
      <c r="U2060">
        <v>0</v>
      </c>
      <c r="W2060">
        <v>0</v>
      </c>
      <c r="X2060">
        <v>0</v>
      </c>
      <c r="Y2060">
        <v>0</v>
      </c>
      <c r="AE2060">
        <f t="shared" si="96"/>
        <v>1</v>
      </c>
      <c r="AF2060">
        <f>VLOOKUP(D2060,especies!$A$2:$C$9,3,FALSE)</f>
        <v>2</v>
      </c>
      <c r="AG2060" t="str">
        <f t="shared" si="97"/>
        <v>2-DPC (Doméstico de pelo corto o DSH)</v>
      </c>
      <c r="AH2060">
        <f>VLOOKUP('Fichas clínicas'!AG2060,razas!$A$2:$D$66,3,FALSE)</f>
        <v>51</v>
      </c>
      <c r="AI2060" t="str">
        <f t="shared" si="98"/>
        <v>H</v>
      </c>
    </row>
    <row r="2061" spans="1:35" x14ac:dyDescent="0.2">
      <c r="A2061">
        <v>2063</v>
      </c>
      <c r="B2061" t="s">
        <v>4471</v>
      </c>
      <c r="C2061" t="s">
        <v>3957</v>
      </c>
      <c r="D2061" t="s">
        <v>32</v>
      </c>
      <c r="E2061" t="s">
        <v>150</v>
      </c>
      <c r="F2061" t="s">
        <v>34</v>
      </c>
      <c r="G2061" t="s">
        <v>102</v>
      </c>
      <c r="J2061" t="s">
        <v>348</v>
      </c>
      <c r="K2061" t="s">
        <v>38</v>
      </c>
      <c r="L2061" t="s">
        <v>38</v>
      </c>
      <c r="M2061" t="s">
        <v>38</v>
      </c>
      <c r="N2061" t="s">
        <v>38</v>
      </c>
      <c r="O2061" t="s">
        <v>38</v>
      </c>
      <c r="T2061" t="s">
        <v>38</v>
      </c>
      <c r="U2061">
        <v>0</v>
      </c>
      <c r="W2061">
        <v>0</v>
      </c>
      <c r="X2061">
        <v>0</v>
      </c>
      <c r="Y2061">
        <v>0</v>
      </c>
      <c r="AE2061">
        <f t="shared" si="96"/>
        <v>1</v>
      </c>
      <c r="AF2061">
        <f>VLOOKUP(D2061,especies!$A$2:$C$9,3,FALSE)</f>
        <v>1</v>
      </c>
      <c r="AG2061" t="str">
        <f t="shared" si="97"/>
        <v>1-Poodle</v>
      </c>
      <c r="AH2061">
        <f>VLOOKUP('Fichas clínicas'!AG2061,razas!$A$2:$D$66,3,FALSE)</f>
        <v>6</v>
      </c>
      <c r="AI2061" t="str">
        <f t="shared" si="98"/>
        <v>H</v>
      </c>
    </row>
    <row r="2062" spans="1:35" x14ac:dyDescent="0.2">
      <c r="A2062">
        <v>2064</v>
      </c>
      <c r="B2062" t="s">
        <v>4333</v>
      </c>
      <c r="C2062" t="s">
        <v>4472</v>
      </c>
      <c r="D2062" t="s">
        <v>41</v>
      </c>
      <c r="E2062" t="s">
        <v>42</v>
      </c>
      <c r="F2062" t="s">
        <v>34</v>
      </c>
      <c r="G2062" t="s">
        <v>1054</v>
      </c>
      <c r="J2062" t="s">
        <v>4473</v>
      </c>
      <c r="K2062" t="s">
        <v>38</v>
      </c>
      <c r="L2062" t="s">
        <v>38</v>
      </c>
      <c r="M2062" t="s">
        <v>38</v>
      </c>
      <c r="N2062" t="s">
        <v>38</v>
      </c>
      <c r="O2062" t="s">
        <v>38</v>
      </c>
      <c r="T2062" t="s">
        <v>38</v>
      </c>
      <c r="U2062">
        <v>0</v>
      </c>
      <c r="V2062">
        <v>1</v>
      </c>
      <c r="W2062">
        <v>0</v>
      </c>
      <c r="X2062">
        <v>0</v>
      </c>
      <c r="Y2062">
        <v>0</v>
      </c>
      <c r="AE2062">
        <f t="shared" si="96"/>
        <v>1</v>
      </c>
      <c r="AF2062">
        <f>VLOOKUP(D2062,especies!$A$2:$C$9,3,FALSE)</f>
        <v>2</v>
      </c>
      <c r="AG2062" t="str">
        <f t="shared" si="97"/>
        <v>2-DPC (Doméstico de pelo corto o DSH)</v>
      </c>
      <c r="AH2062">
        <f>VLOOKUP('Fichas clínicas'!AG2062,razas!$A$2:$D$66,3,FALSE)</f>
        <v>51</v>
      </c>
      <c r="AI2062" t="str">
        <f t="shared" si="98"/>
        <v>H</v>
      </c>
    </row>
    <row r="2063" spans="1:35" x14ac:dyDescent="0.2">
      <c r="A2063">
        <v>2065</v>
      </c>
      <c r="B2063" t="s">
        <v>4474</v>
      </c>
      <c r="C2063" t="s">
        <v>4475</v>
      </c>
      <c r="D2063" t="s">
        <v>41</v>
      </c>
      <c r="E2063" t="s">
        <v>42</v>
      </c>
      <c r="F2063" t="s">
        <v>34</v>
      </c>
      <c r="G2063" t="s">
        <v>3572</v>
      </c>
      <c r="J2063" t="s">
        <v>493</v>
      </c>
      <c r="K2063" t="s">
        <v>38</v>
      </c>
      <c r="L2063" t="s">
        <v>38</v>
      </c>
      <c r="M2063" t="s">
        <v>38</v>
      </c>
      <c r="N2063" t="s">
        <v>38</v>
      </c>
      <c r="O2063" t="s">
        <v>38</v>
      </c>
      <c r="T2063" t="s">
        <v>38</v>
      </c>
      <c r="U2063">
        <v>0</v>
      </c>
      <c r="W2063">
        <v>0</v>
      </c>
      <c r="X2063">
        <v>0</v>
      </c>
      <c r="Y2063">
        <v>0</v>
      </c>
      <c r="AE2063">
        <f t="shared" si="96"/>
        <v>1</v>
      </c>
      <c r="AF2063">
        <f>VLOOKUP(D2063,especies!$A$2:$C$9,3,FALSE)</f>
        <v>2</v>
      </c>
      <c r="AG2063" t="str">
        <f t="shared" si="97"/>
        <v>2-DPC (Doméstico de pelo corto o DSH)</v>
      </c>
      <c r="AH2063">
        <f>VLOOKUP('Fichas clínicas'!AG2063,razas!$A$2:$D$66,3,FALSE)</f>
        <v>51</v>
      </c>
      <c r="AI2063" t="str">
        <f t="shared" si="98"/>
        <v>H</v>
      </c>
    </row>
    <row r="2064" spans="1:35" x14ac:dyDescent="0.2">
      <c r="A2064">
        <v>2066</v>
      </c>
      <c r="B2064" t="s">
        <v>4476</v>
      </c>
      <c r="C2064" t="s">
        <v>1995</v>
      </c>
      <c r="D2064" t="s">
        <v>32</v>
      </c>
      <c r="E2064" t="s">
        <v>33</v>
      </c>
      <c r="F2064" t="s">
        <v>34</v>
      </c>
      <c r="G2064" t="s">
        <v>4477</v>
      </c>
      <c r="J2064" t="s">
        <v>4478</v>
      </c>
      <c r="K2064" t="s">
        <v>38</v>
      </c>
      <c r="L2064" t="s">
        <v>38</v>
      </c>
      <c r="M2064" t="s">
        <v>38</v>
      </c>
      <c r="N2064" t="s">
        <v>38</v>
      </c>
      <c r="O2064" t="s">
        <v>38</v>
      </c>
      <c r="T2064" t="s">
        <v>38</v>
      </c>
      <c r="U2064">
        <v>0</v>
      </c>
      <c r="W2064">
        <v>0</v>
      </c>
      <c r="X2064">
        <v>0</v>
      </c>
      <c r="Y2064">
        <v>0</v>
      </c>
      <c r="AE2064">
        <f t="shared" si="96"/>
        <v>1</v>
      </c>
      <c r="AF2064">
        <f>VLOOKUP(D2064,especies!$A$2:$C$9,3,FALSE)</f>
        <v>1</v>
      </c>
      <c r="AG2064" t="str">
        <f t="shared" si="97"/>
        <v>1-Mestizo</v>
      </c>
      <c r="AH2064">
        <f>VLOOKUP('Fichas clínicas'!AG2064,razas!$A$2:$D$66,3,FALSE)</f>
        <v>1</v>
      </c>
      <c r="AI2064" t="str">
        <f t="shared" si="98"/>
        <v>H</v>
      </c>
    </row>
    <row r="2065" spans="1:35" x14ac:dyDescent="0.2">
      <c r="A2065">
        <v>2067</v>
      </c>
      <c r="B2065" t="s">
        <v>2561</v>
      </c>
      <c r="C2065" t="s">
        <v>4479</v>
      </c>
      <c r="D2065" t="s">
        <v>41</v>
      </c>
      <c r="E2065" t="s">
        <v>42</v>
      </c>
      <c r="F2065" t="s">
        <v>34</v>
      </c>
      <c r="G2065" t="s">
        <v>587</v>
      </c>
      <c r="J2065" t="s">
        <v>3993</v>
      </c>
      <c r="K2065" t="s">
        <v>38</v>
      </c>
      <c r="L2065" t="s">
        <v>38</v>
      </c>
      <c r="M2065" t="s">
        <v>38</v>
      </c>
      <c r="N2065" t="s">
        <v>38</v>
      </c>
      <c r="O2065" t="s">
        <v>38</v>
      </c>
      <c r="T2065" t="s">
        <v>38</v>
      </c>
      <c r="U2065">
        <v>0</v>
      </c>
      <c r="V2065">
        <v>1</v>
      </c>
      <c r="W2065">
        <v>0</v>
      </c>
      <c r="X2065">
        <v>0</v>
      </c>
      <c r="Y2065">
        <v>0</v>
      </c>
      <c r="AE2065">
        <f t="shared" si="96"/>
        <v>1</v>
      </c>
      <c r="AF2065">
        <f>VLOOKUP(D2065,especies!$A$2:$C$9,3,FALSE)</f>
        <v>2</v>
      </c>
      <c r="AG2065" t="str">
        <f t="shared" si="97"/>
        <v>2-DPC (Doméstico de pelo corto o DSH)</v>
      </c>
      <c r="AH2065">
        <f>VLOOKUP('Fichas clínicas'!AG2065,razas!$A$2:$D$66,3,FALSE)</f>
        <v>51</v>
      </c>
      <c r="AI2065" t="str">
        <f t="shared" si="98"/>
        <v>H</v>
      </c>
    </row>
    <row r="2066" spans="1:35" x14ac:dyDescent="0.2">
      <c r="A2066">
        <v>2068</v>
      </c>
      <c r="B2066" t="s">
        <v>3727</v>
      </c>
      <c r="C2066" t="s">
        <v>4480</v>
      </c>
      <c r="D2066" t="s">
        <v>32</v>
      </c>
      <c r="E2066" t="s">
        <v>823</v>
      </c>
      <c r="F2066" t="s">
        <v>34</v>
      </c>
      <c r="G2066" t="s">
        <v>1547</v>
      </c>
      <c r="J2066" t="s">
        <v>3786</v>
      </c>
      <c r="K2066" t="s">
        <v>38</v>
      </c>
      <c r="L2066" t="s">
        <v>38</v>
      </c>
      <c r="M2066" t="s">
        <v>38</v>
      </c>
      <c r="N2066" t="s">
        <v>38</v>
      </c>
      <c r="O2066" t="s">
        <v>38</v>
      </c>
      <c r="T2066" t="s">
        <v>38</v>
      </c>
      <c r="U2066">
        <v>0</v>
      </c>
      <c r="W2066">
        <v>0</v>
      </c>
      <c r="X2066">
        <v>0</v>
      </c>
      <c r="Y2066">
        <v>0</v>
      </c>
      <c r="AE2066">
        <f t="shared" si="96"/>
        <v>1</v>
      </c>
      <c r="AF2066">
        <f>VLOOKUP(D2066,especies!$A$2:$C$9,3,FALSE)</f>
        <v>1</v>
      </c>
      <c r="AG2066" t="str">
        <f t="shared" si="97"/>
        <v>1-Dogo Argentino</v>
      </c>
      <c r="AH2066">
        <f>VLOOKUP('Fichas clínicas'!AG2066,razas!$A$2:$D$66,3,FALSE)</f>
        <v>19</v>
      </c>
      <c r="AI2066" t="str">
        <f t="shared" si="98"/>
        <v>H</v>
      </c>
    </row>
    <row r="2067" spans="1:35" x14ac:dyDescent="0.2">
      <c r="A2067">
        <v>2069</v>
      </c>
      <c r="B2067" t="s">
        <v>2674</v>
      </c>
      <c r="C2067" t="s">
        <v>4481</v>
      </c>
      <c r="D2067" t="s">
        <v>41</v>
      </c>
      <c r="E2067" t="s">
        <v>42</v>
      </c>
      <c r="F2067" t="s">
        <v>34</v>
      </c>
      <c r="G2067" t="s">
        <v>1492</v>
      </c>
      <c r="J2067" t="s">
        <v>3905</v>
      </c>
      <c r="K2067" t="s">
        <v>38</v>
      </c>
      <c r="L2067" t="s">
        <v>38</v>
      </c>
      <c r="M2067" t="s">
        <v>38</v>
      </c>
      <c r="N2067" t="s">
        <v>38</v>
      </c>
      <c r="O2067" t="s">
        <v>38</v>
      </c>
      <c r="T2067" t="s">
        <v>38</v>
      </c>
      <c r="U2067">
        <v>0</v>
      </c>
      <c r="W2067">
        <v>0</v>
      </c>
      <c r="X2067">
        <v>0</v>
      </c>
      <c r="Y2067">
        <v>0</v>
      </c>
      <c r="AE2067">
        <f t="shared" si="96"/>
        <v>1</v>
      </c>
      <c r="AF2067">
        <f>VLOOKUP(D2067,especies!$A$2:$C$9,3,FALSE)</f>
        <v>2</v>
      </c>
      <c r="AG2067" t="str">
        <f t="shared" si="97"/>
        <v>2-DPC (Doméstico de pelo corto o DSH)</v>
      </c>
      <c r="AH2067">
        <f>VLOOKUP('Fichas clínicas'!AG2067,razas!$A$2:$D$66,3,FALSE)</f>
        <v>51</v>
      </c>
      <c r="AI2067" t="str">
        <f t="shared" si="98"/>
        <v>H</v>
      </c>
    </row>
    <row r="2068" spans="1:35" x14ac:dyDescent="0.2">
      <c r="A2068">
        <v>2070</v>
      </c>
      <c r="B2068" t="s">
        <v>4482</v>
      </c>
      <c r="C2068" t="s">
        <v>4483</v>
      </c>
      <c r="D2068" t="s">
        <v>32</v>
      </c>
      <c r="E2068" t="s">
        <v>33</v>
      </c>
      <c r="F2068" t="s">
        <v>47</v>
      </c>
      <c r="G2068" t="s">
        <v>587</v>
      </c>
      <c r="J2068" t="s">
        <v>4484</v>
      </c>
      <c r="K2068" t="s">
        <v>38</v>
      </c>
      <c r="L2068" t="s">
        <v>38</v>
      </c>
      <c r="M2068" t="s">
        <v>38</v>
      </c>
      <c r="N2068" t="s">
        <v>38</v>
      </c>
      <c r="O2068" t="s">
        <v>38</v>
      </c>
      <c r="Q2068">
        <v>0</v>
      </c>
      <c r="T2068" t="s">
        <v>38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f t="shared" si="96"/>
        <v>1</v>
      </c>
      <c r="AF2068">
        <f>VLOOKUP(D2068,especies!$A$2:$C$9,3,FALSE)</f>
        <v>1</v>
      </c>
      <c r="AG2068" t="str">
        <f t="shared" si="97"/>
        <v>1-Mestizo</v>
      </c>
      <c r="AH2068">
        <f>VLOOKUP('Fichas clínicas'!AG2068,razas!$A$2:$D$66,3,FALSE)</f>
        <v>1</v>
      </c>
      <c r="AI2068" t="str">
        <f t="shared" si="98"/>
        <v>M</v>
      </c>
    </row>
    <row r="2069" spans="1:35" x14ac:dyDescent="0.2">
      <c r="A2069">
        <v>2071</v>
      </c>
      <c r="B2069" t="s">
        <v>4485</v>
      </c>
      <c r="C2069" t="s">
        <v>1778</v>
      </c>
      <c r="D2069" t="s">
        <v>41</v>
      </c>
      <c r="E2069" t="s">
        <v>42</v>
      </c>
      <c r="F2069" t="s">
        <v>34</v>
      </c>
      <c r="G2069" t="s">
        <v>2696</v>
      </c>
      <c r="J2069" t="s">
        <v>4486</v>
      </c>
      <c r="K2069" t="s">
        <v>38</v>
      </c>
      <c r="L2069" t="s">
        <v>38</v>
      </c>
      <c r="M2069" t="s">
        <v>38</v>
      </c>
      <c r="N2069" t="s">
        <v>38</v>
      </c>
      <c r="O2069" t="s">
        <v>38</v>
      </c>
      <c r="T2069" t="s">
        <v>38</v>
      </c>
      <c r="U2069">
        <v>0</v>
      </c>
      <c r="W2069">
        <v>0</v>
      </c>
      <c r="X2069">
        <v>0</v>
      </c>
      <c r="Y2069">
        <v>0</v>
      </c>
      <c r="AE2069">
        <f t="shared" si="96"/>
        <v>1</v>
      </c>
      <c r="AF2069">
        <f>VLOOKUP(D2069,especies!$A$2:$C$9,3,FALSE)</f>
        <v>2</v>
      </c>
      <c r="AG2069" t="str">
        <f t="shared" si="97"/>
        <v>2-DPC (Doméstico de pelo corto o DSH)</v>
      </c>
      <c r="AH2069">
        <f>VLOOKUP('Fichas clínicas'!AG2069,razas!$A$2:$D$66,3,FALSE)</f>
        <v>51</v>
      </c>
      <c r="AI2069" t="str">
        <f t="shared" si="98"/>
        <v>H</v>
      </c>
    </row>
    <row r="2070" spans="1:35" x14ac:dyDescent="0.2">
      <c r="A2070">
        <v>2072</v>
      </c>
      <c r="B2070" t="s">
        <v>4487</v>
      </c>
      <c r="C2070" t="s">
        <v>4488</v>
      </c>
      <c r="D2070" t="s">
        <v>32</v>
      </c>
      <c r="E2070" t="s">
        <v>309</v>
      </c>
      <c r="F2070" t="s">
        <v>47</v>
      </c>
      <c r="G2070" t="s">
        <v>1915</v>
      </c>
      <c r="J2070" t="s">
        <v>935</v>
      </c>
      <c r="K2070" t="s">
        <v>38</v>
      </c>
      <c r="L2070" t="s">
        <v>38</v>
      </c>
      <c r="M2070" t="s">
        <v>38</v>
      </c>
      <c r="N2070" t="s">
        <v>38</v>
      </c>
      <c r="O2070" t="s">
        <v>38</v>
      </c>
      <c r="T2070" t="s">
        <v>38</v>
      </c>
      <c r="U2070">
        <v>0</v>
      </c>
      <c r="W2070">
        <v>0</v>
      </c>
      <c r="X2070">
        <v>0</v>
      </c>
      <c r="Y2070">
        <v>0</v>
      </c>
      <c r="AE2070">
        <f t="shared" si="96"/>
        <v>1</v>
      </c>
      <c r="AF2070">
        <f>VLOOKUP(D2070,especies!$A$2:$C$9,3,FALSE)</f>
        <v>1</v>
      </c>
      <c r="AG2070" t="str">
        <f t="shared" si="97"/>
        <v>1-Pug</v>
      </c>
      <c r="AH2070">
        <f>VLOOKUP('Fichas clínicas'!AG2070,razas!$A$2:$D$66,3,FALSE)</f>
        <v>11</v>
      </c>
      <c r="AI2070" t="str">
        <f t="shared" si="98"/>
        <v>M</v>
      </c>
    </row>
    <row r="2071" spans="1:35" x14ac:dyDescent="0.2">
      <c r="A2071">
        <v>2073</v>
      </c>
      <c r="B2071" t="s">
        <v>4489</v>
      </c>
      <c r="C2071" t="s">
        <v>1539</v>
      </c>
      <c r="D2071" t="s">
        <v>41</v>
      </c>
      <c r="E2071" t="s">
        <v>42</v>
      </c>
      <c r="F2071" t="s">
        <v>47</v>
      </c>
      <c r="G2071" t="s">
        <v>2122</v>
      </c>
      <c r="J2071" t="s">
        <v>809</v>
      </c>
      <c r="K2071" t="s">
        <v>38</v>
      </c>
      <c r="L2071" t="s">
        <v>38</v>
      </c>
      <c r="M2071" t="s">
        <v>38</v>
      </c>
      <c r="N2071" t="s">
        <v>38</v>
      </c>
      <c r="O2071" t="s">
        <v>38</v>
      </c>
      <c r="T2071" t="s">
        <v>38</v>
      </c>
      <c r="U2071">
        <v>0</v>
      </c>
      <c r="W2071">
        <v>0</v>
      </c>
      <c r="X2071">
        <v>0</v>
      </c>
      <c r="Y2071">
        <v>0</v>
      </c>
      <c r="AE2071">
        <f t="shared" si="96"/>
        <v>1</v>
      </c>
      <c r="AF2071">
        <f>VLOOKUP(D2071,especies!$A$2:$C$9,3,FALSE)</f>
        <v>2</v>
      </c>
      <c r="AG2071" t="str">
        <f t="shared" si="97"/>
        <v>2-DPC (Doméstico de pelo corto o DSH)</v>
      </c>
      <c r="AH2071">
        <f>VLOOKUP('Fichas clínicas'!AG2071,razas!$A$2:$D$66,3,FALSE)</f>
        <v>51</v>
      </c>
      <c r="AI2071" t="str">
        <f t="shared" si="98"/>
        <v>M</v>
      </c>
    </row>
    <row r="2072" spans="1:35" x14ac:dyDescent="0.2">
      <c r="A2072">
        <v>2074</v>
      </c>
      <c r="B2072" t="s">
        <v>250</v>
      </c>
      <c r="C2072" t="s">
        <v>4490</v>
      </c>
      <c r="D2072" t="s">
        <v>32</v>
      </c>
      <c r="E2072" t="s">
        <v>150</v>
      </c>
      <c r="F2072" t="s">
        <v>47</v>
      </c>
      <c r="G2072" t="s">
        <v>102</v>
      </c>
      <c r="J2072" t="s">
        <v>4491</v>
      </c>
      <c r="K2072" t="s">
        <v>38</v>
      </c>
      <c r="L2072" t="s">
        <v>38</v>
      </c>
      <c r="M2072" t="s">
        <v>38</v>
      </c>
      <c r="N2072" t="s">
        <v>38</v>
      </c>
      <c r="O2072" t="s">
        <v>38</v>
      </c>
      <c r="T2072" t="s">
        <v>38</v>
      </c>
      <c r="U2072">
        <v>0</v>
      </c>
      <c r="W2072">
        <v>0</v>
      </c>
      <c r="X2072">
        <v>0</v>
      </c>
      <c r="Y2072">
        <v>0</v>
      </c>
      <c r="AE2072">
        <f t="shared" si="96"/>
        <v>1</v>
      </c>
      <c r="AF2072">
        <f>VLOOKUP(D2072,especies!$A$2:$C$9,3,FALSE)</f>
        <v>1</v>
      </c>
      <c r="AG2072" t="str">
        <f t="shared" si="97"/>
        <v>1-Poodle</v>
      </c>
      <c r="AH2072">
        <f>VLOOKUP('Fichas clínicas'!AG2072,razas!$A$2:$D$66,3,FALSE)</f>
        <v>6</v>
      </c>
      <c r="AI2072" t="str">
        <f t="shared" si="98"/>
        <v>M</v>
      </c>
    </row>
    <row r="2073" spans="1:35" x14ac:dyDescent="0.2">
      <c r="A2073">
        <v>2075</v>
      </c>
      <c r="B2073" t="s">
        <v>4492</v>
      </c>
      <c r="C2073" t="s">
        <v>4493</v>
      </c>
      <c r="D2073" t="s">
        <v>41</v>
      </c>
      <c r="E2073" t="s">
        <v>42</v>
      </c>
      <c r="F2073" t="s">
        <v>47</v>
      </c>
      <c r="G2073" t="s">
        <v>1054</v>
      </c>
      <c r="J2073" t="s">
        <v>3993</v>
      </c>
      <c r="K2073" t="s">
        <v>38</v>
      </c>
      <c r="L2073" t="s">
        <v>38</v>
      </c>
      <c r="M2073" t="s">
        <v>38</v>
      </c>
      <c r="N2073" t="s">
        <v>38</v>
      </c>
      <c r="O2073" t="s">
        <v>38</v>
      </c>
      <c r="T2073" t="s">
        <v>38</v>
      </c>
      <c r="U2073">
        <v>0</v>
      </c>
      <c r="V2073">
        <v>1</v>
      </c>
      <c r="W2073">
        <v>0</v>
      </c>
      <c r="X2073">
        <v>0</v>
      </c>
      <c r="Y2073">
        <v>0</v>
      </c>
      <c r="AE2073">
        <f t="shared" si="96"/>
        <v>1</v>
      </c>
      <c r="AF2073">
        <f>VLOOKUP(D2073,especies!$A$2:$C$9,3,FALSE)</f>
        <v>2</v>
      </c>
      <c r="AG2073" t="str">
        <f t="shared" si="97"/>
        <v>2-DPC (Doméstico de pelo corto o DSH)</v>
      </c>
      <c r="AH2073">
        <f>VLOOKUP('Fichas clínicas'!AG2073,razas!$A$2:$D$66,3,FALSE)</f>
        <v>51</v>
      </c>
      <c r="AI2073" t="str">
        <f t="shared" si="98"/>
        <v>M</v>
      </c>
    </row>
    <row r="2074" spans="1:35" x14ac:dyDescent="0.2">
      <c r="A2074">
        <v>2076</v>
      </c>
      <c r="B2074" t="s">
        <v>4125</v>
      </c>
      <c r="C2074" t="s">
        <v>4494</v>
      </c>
      <c r="D2074" t="s">
        <v>41</v>
      </c>
      <c r="E2074" t="s">
        <v>93</v>
      </c>
      <c r="F2074" t="s">
        <v>47</v>
      </c>
      <c r="G2074" t="s">
        <v>297</v>
      </c>
      <c r="J2074" t="s">
        <v>58</v>
      </c>
      <c r="K2074" t="s">
        <v>38</v>
      </c>
      <c r="L2074" t="s">
        <v>38</v>
      </c>
      <c r="M2074" t="s">
        <v>38</v>
      </c>
      <c r="N2074" t="s">
        <v>38</v>
      </c>
      <c r="O2074" t="s">
        <v>38</v>
      </c>
      <c r="Q2074">
        <v>0</v>
      </c>
      <c r="T2074" t="s">
        <v>38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f t="shared" si="96"/>
        <v>1</v>
      </c>
      <c r="AF2074">
        <f>VLOOKUP(D2074,especies!$A$2:$C$9,3,FALSE)</f>
        <v>2</v>
      </c>
      <c r="AG2074" t="str">
        <f t="shared" si="97"/>
        <v>2-DPL (Doméstico de pelo Largo o DLH)</v>
      </c>
      <c r="AH2074">
        <f>VLOOKUP('Fichas clínicas'!AG2074,razas!$A$2:$D$66,3,FALSE)</f>
        <v>52</v>
      </c>
      <c r="AI2074" t="str">
        <f t="shared" si="98"/>
        <v>M</v>
      </c>
    </row>
    <row r="2075" spans="1:35" x14ac:dyDescent="0.2">
      <c r="A2075">
        <v>2077</v>
      </c>
      <c r="B2075" t="s">
        <v>4495</v>
      </c>
      <c r="C2075" t="s">
        <v>4496</v>
      </c>
      <c r="D2075" t="s">
        <v>32</v>
      </c>
      <c r="E2075" t="s">
        <v>33</v>
      </c>
      <c r="F2075" t="s">
        <v>34</v>
      </c>
      <c r="G2075" t="s">
        <v>4497</v>
      </c>
      <c r="J2075" t="s">
        <v>4498</v>
      </c>
      <c r="K2075" t="s">
        <v>38</v>
      </c>
      <c r="L2075" t="s">
        <v>38</v>
      </c>
      <c r="M2075" t="s">
        <v>38</v>
      </c>
      <c r="N2075" t="s">
        <v>38</v>
      </c>
      <c r="O2075" t="s">
        <v>38</v>
      </c>
      <c r="T2075" t="s">
        <v>38</v>
      </c>
      <c r="U2075">
        <v>0</v>
      </c>
      <c r="V2075">
        <v>1</v>
      </c>
      <c r="W2075">
        <v>0</v>
      </c>
      <c r="X2075">
        <v>0</v>
      </c>
      <c r="Y2075">
        <v>0</v>
      </c>
      <c r="AE2075">
        <f t="shared" si="96"/>
        <v>1</v>
      </c>
      <c r="AF2075">
        <f>VLOOKUP(D2075,especies!$A$2:$C$9,3,FALSE)</f>
        <v>1</v>
      </c>
      <c r="AG2075" t="str">
        <f t="shared" si="97"/>
        <v>1-Mestizo</v>
      </c>
      <c r="AH2075">
        <f>VLOOKUP('Fichas clínicas'!AG2075,razas!$A$2:$D$66,3,FALSE)</f>
        <v>1</v>
      </c>
      <c r="AI2075" t="str">
        <f t="shared" si="98"/>
        <v>H</v>
      </c>
    </row>
    <row r="2076" spans="1:35" x14ac:dyDescent="0.2">
      <c r="A2076">
        <v>2078</v>
      </c>
      <c r="B2076" t="s">
        <v>4499</v>
      </c>
      <c r="C2076" t="s">
        <v>1750</v>
      </c>
      <c r="D2076" t="s">
        <v>41</v>
      </c>
      <c r="E2076" t="s">
        <v>42</v>
      </c>
      <c r="F2076" t="s">
        <v>34</v>
      </c>
      <c r="G2076" t="s">
        <v>3194</v>
      </c>
      <c r="J2076" t="s">
        <v>4192</v>
      </c>
      <c r="K2076" t="s">
        <v>38</v>
      </c>
      <c r="L2076" t="s">
        <v>38</v>
      </c>
      <c r="M2076" t="s">
        <v>38</v>
      </c>
      <c r="N2076" t="s">
        <v>38</v>
      </c>
      <c r="O2076" t="s">
        <v>38</v>
      </c>
      <c r="T2076" t="s">
        <v>38</v>
      </c>
      <c r="U2076">
        <v>0</v>
      </c>
      <c r="W2076">
        <v>0</v>
      </c>
      <c r="X2076">
        <v>0</v>
      </c>
      <c r="Y2076">
        <v>0</v>
      </c>
      <c r="AE2076">
        <f t="shared" si="96"/>
        <v>1</v>
      </c>
      <c r="AF2076">
        <f>VLOOKUP(D2076,especies!$A$2:$C$9,3,FALSE)</f>
        <v>2</v>
      </c>
      <c r="AG2076" t="str">
        <f t="shared" si="97"/>
        <v>2-DPC (Doméstico de pelo corto o DSH)</v>
      </c>
      <c r="AH2076">
        <f>VLOOKUP('Fichas clínicas'!AG2076,razas!$A$2:$D$66,3,FALSE)</f>
        <v>51</v>
      </c>
      <c r="AI2076" t="str">
        <f t="shared" si="98"/>
        <v>H</v>
      </c>
    </row>
    <row r="2077" spans="1:35" x14ac:dyDescent="0.2">
      <c r="A2077">
        <v>2079</v>
      </c>
      <c r="B2077" t="s">
        <v>4500</v>
      </c>
      <c r="C2077" t="s">
        <v>2964</v>
      </c>
      <c r="D2077" t="s">
        <v>41</v>
      </c>
      <c r="E2077" t="s">
        <v>42</v>
      </c>
      <c r="F2077" t="s">
        <v>47</v>
      </c>
      <c r="G2077" t="s">
        <v>1639</v>
      </c>
      <c r="H2077">
        <v>991003001868788</v>
      </c>
      <c r="J2077" t="s">
        <v>4501</v>
      </c>
      <c r="K2077" t="s">
        <v>38</v>
      </c>
      <c r="L2077" t="s">
        <v>38</v>
      </c>
      <c r="M2077" t="s">
        <v>38</v>
      </c>
      <c r="N2077" t="s">
        <v>38</v>
      </c>
      <c r="O2077" t="s">
        <v>38</v>
      </c>
      <c r="Q2077">
        <v>0</v>
      </c>
      <c r="T2077" t="s">
        <v>38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f t="shared" si="96"/>
        <v>1</v>
      </c>
      <c r="AF2077">
        <f>VLOOKUP(D2077,especies!$A$2:$C$9,3,FALSE)</f>
        <v>2</v>
      </c>
      <c r="AG2077" t="str">
        <f t="shared" si="97"/>
        <v>2-DPC (Doméstico de pelo corto o DSH)</v>
      </c>
      <c r="AH2077">
        <f>VLOOKUP('Fichas clínicas'!AG2077,razas!$A$2:$D$66,3,FALSE)</f>
        <v>51</v>
      </c>
      <c r="AI2077" t="str">
        <f t="shared" si="98"/>
        <v>M</v>
      </c>
    </row>
    <row r="2078" spans="1:35" x14ac:dyDescent="0.2">
      <c r="A2078">
        <v>2080</v>
      </c>
      <c r="B2078" t="s">
        <v>3832</v>
      </c>
      <c r="C2078" t="s">
        <v>4502</v>
      </c>
      <c r="D2078" t="s">
        <v>41</v>
      </c>
      <c r="E2078" t="s">
        <v>42</v>
      </c>
      <c r="F2078" t="s">
        <v>34</v>
      </c>
      <c r="G2078" t="s">
        <v>2122</v>
      </c>
      <c r="J2078" t="s">
        <v>4092</v>
      </c>
      <c r="K2078" t="s">
        <v>38</v>
      </c>
      <c r="L2078" t="s">
        <v>38</v>
      </c>
      <c r="M2078" t="s">
        <v>38</v>
      </c>
      <c r="N2078" t="s">
        <v>38</v>
      </c>
      <c r="O2078" t="s">
        <v>38</v>
      </c>
      <c r="Q2078">
        <v>0</v>
      </c>
      <c r="T2078" t="s">
        <v>38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f t="shared" si="96"/>
        <v>1</v>
      </c>
      <c r="AF2078">
        <f>VLOOKUP(D2078,especies!$A$2:$C$9,3,FALSE)</f>
        <v>2</v>
      </c>
      <c r="AG2078" t="str">
        <f t="shared" si="97"/>
        <v>2-DPC (Doméstico de pelo corto o DSH)</v>
      </c>
      <c r="AH2078">
        <f>VLOOKUP('Fichas clínicas'!AG2078,razas!$A$2:$D$66,3,FALSE)</f>
        <v>51</v>
      </c>
      <c r="AI2078" t="str">
        <f t="shared" si="98"/>
        <v>H</v>
      </c>
    </row>
    <row r="2079" spans="1:35" x14ac:dyDescent="0.2">
      <c r="A2079">
        <v>2081</v>
      </c>
      <c r="B2079" t="s">
        <v>4338</v>
      </c>
      <c r="C2079" t="s">
        <v>121</v>
      </c>
      <c r="D2079" t="s">
        <v>32</v>
      </c>
      <c r="E2079" t="s">
        <v>33</v>
      </c>
      <c r="F2079" t="s">
        <v>34</v>
      </c>
      <c r="G2079" t="s">
        <v>300</v>
      </c>
      <c r="J2079" t="s">
        <v>4503</v>
      </c>
      <c r="K2079" t="s">
        <v>38</v>
      </c>
      <c r="L2079" t="s">
        <v>38</v>
      </c>
      <c r="M2079" t="s">
        <v>38</v>
      </c>
      <c r="N2079" t="s">
        <v>38</v>
      </c>
      <c r="O2079" t="s">
        <v>38</v>
      </c>
      <c r="T2079" t="s">
        <v>38</v>
      </c>
      <c r="U2079">
        <v>0</v>
      </c>
      <c r="V2079">
        <v>1</v>
      </c>
      <c r="W2079">
        <v>0</v>
      </c>
      <c r="X2079">
        <v>0</v>
      </c>
      <c r="Y2079">
        <v>0</v>
      </c>
      <c r="AE2079">
        <f t="shared" si="96"/>
        <v>1</v>
      </c>
      <c r="AF2079">
        <f>VLOOKUP(D2079,especies!$A$2:$C$9,3,FALSE)</f>
        <v>1</v>
      </c>
      <c r="AG2079" t="str">
        <f t="shared" si="97"/>
        <v>1-Mestizo</v>
      </c>
      <c r="AH2079">
        <f>VLOOKUP('Fichas clínicas'!AG2079,razas!$A$2:$D$66,3,FALSE)</f>
        <v>1</v>
      </c>
      <c r="AI2079" t="str">
        <f t="shared" si="98"/>
        <v>H</v>
      </c>
    </row>
    <row r="2080" spans="1:35" x14ac:dyDescent="0.2">
      <c r="A2080">
        <v>2082</v>
      </c>
      <c r="B2080" t="s">
        <v>4504</v>
      </c>
      <c r="C2080" t="s">
        <v>618</v>
      </c>
      <c r="D2080" t="s">
        <v>32</v>
      </c>
      <c r="E2080" t="s">
        <v>33</v>
      </c>
      <c r="F2080" t="s">
        <v>47</v>
      </c>
      <c r="G2080" t="s">
        <v>566</v>
      </c>
      <c r="J2080" t="s">
        <v>1745</v>
      </c>
      <c r="K2080" t="s">
        <v>38</v>
      </c>
      <c r="L2080" t="s">
        <v>38</v>
      </c>
      <c r="M2080" t="s">
        <v>38</v>
      </c>
      <c r="N2080" t="s">
        <v>38</v>
      </c>
      <c r="O2080" t="s">
        <v>38</v>
      </c>
      <c r="T2080" t="s">
        <v>38</v>
      </c>
      <c r="U2080">
        <v>0</v>
      </c>
      <c r="W2080">
        <v>0</v>
      </c>
      <c r="X2080">
        <v>0</v>
      </c>
      <c r="Y2080">
        <v>0</v>
      </c>
      <c r="AE2080">
        <f t="shared" si="96"/>
        <v>1</v>
      </c>
      <c r="AF2080">
        <f>VLOOKUP(D2080,especies!$A$2:$C$9,3,FALSE)</f>
        <v>1</v>
      </c>
      <c r="AG2080" t="str">
        <f t="shared" si="97"/>
        <v>1-Mestizo</v>
      </c>
      <c r="AH2080">
        <f>VLOOKUP('Fichas clínicas'!AG2080,razas!$A$2:$D$66,3,FALSE)</f>
        <v>1</v>
      </c>
      <c r="AI2080" t="str">
        <f t="shared" si="98"/>
        <v>M</v>
      </c>
    </row>
    <row r="2081" spans="1:35" x14ac:dyDescent="0.2">
      <c r="A2081">
        <v>2083</v>
      </c>
      <c r="B2081" t="s">
        <v>4069</v>
      </c>
      <c r="C2081" t="s">
        <v>4505</v>
      </c>
      <c r="D2081" t="s">
        <v>32</v>
      </c>
      <c r="E2081" t="s">
        <v>33</v>
      </c>
      <c r="F2081" t="s">
        <v>34</v>
      </c>
      <c r="G2081" t="s">
        <v>199</v>
      </c>
      <c r="J2081" t="s">
        <v>626</v>
      </c>
      <c r="K2081" t="s">
        <v>38</v>
      </c>
      <c r="L2081" t="s">
        <v>38</v>
      </c>
      <c r="M2081" t="s">
        <v>38</v>
      </c>
      <c r="N2081" t="s">
        <v>38</v>
      </c>
      <c r="O2081" t="s">
        <v>38</v>
      </c>
      <c r="T2081" t="s">
        <v>38</v>
      </c>
      <c r="U2081">
        <v>0</v>
      </c>
      <c r="V2081">
        <v>1</v>
      </c>
      <c r="W2081">
        <v>0</v>
      </c>
      <c r="X2081">
        <v>0</v>
      </c>
      <c r="Y2081">
        <v>0</v>
      </c>
      <c r="AE2081">
        <f t="shared" si="96"/>
        <v>1</v>
      </c>
      <c r="AF2081">
        <f>VLOOKUP(D2081,especies!$A$2:$C$9,3,FALSE)</f>
        <v>1</v>
      </c>
      <c r="AG2081" t="str">
        <f t="shared" si="97"/>
        <v>1-Mestizo</v>
      </c>
      <c r="AH2081">
        <f>VLOOKUP('Fichas clínicas'!AG2081,razas!$A$2:$D$66,3,FALSE)</f>
        <v>1</v>
      </c>
      <c r="AI2081" t="str">
        <f t="shared" si="98"/>
        <v>H</v>
      </c>
    </row>
    <row r="2082" spans="1:35" x14ac:dyDescent="0.2">
      <c r="A2082">
        <v>2084</v>
      </c>
      <c r="B2082" t="s">
        <v>4506</v>
      </c>
      <c r="C2082" t="s">
        <v>4507</v>
      </c>
      <c r="D2082" t="s">
        <v>41</v>
      </c>
      <c r="E2082" t="s">
        <v>93</v>
      </c>
      <c r="F2082" t="s">
        <v>47</v>
      </c>
      <c r="G2082" t="s">
        <v>77</v>
      </c>
      <c r="J2082" t="s">
        <v>3648</v>
      </c>
      <c r="K2082" t="s">
        <v>38</v>
      </c>
      <c r="L2082" t="s">
        <v>38</v>
      </c>
      <c r="M2082" t="s">
        <v>38</v>
      </c>
      <c r="N2082" t="s">
        <v>38</v>
      </c>
      <c r="O2082" t="s">
        <v>38</v>
      </c>
      <c r="T2082" t="s">
        <v>38</v>
      </c>
      <c r="U2082">
        <v>0</v>
      </c>
      <c r="W2082">
        <v>0</v>
      </c>
      <c r="X2082">
        <v>0</v>
      </c>
      <c r="Y2082">
        <v>0</v>
      </c>
      <c r="AE2082">
        <f t="shared" si="96"/>
        <v>1</v>
      </c>
      <c r="AF2082">
        <f>VLOOKUP(D2082,especies!$A$2:$C$9,3,FALSE)</f>
        <v>2</v>
      </c>
      <c r="AG2082" t="str">
        <f t="shared" si="97"/>
        <v>2-DPL (Doméstico de pelo Largo o DLH)</v>
      </c>
      <c r="AH2082">
        <f>VLOOKUP('Fichas clínicas'!AG2082,razas!$A$2:$D$66,3,FALSE)</f>
        <v>52</v>
      </c>
      <c r="AI2082" t="str">
        <f t="shared" si="98"/>
        <v>M</v>
      </c>
    </row>
    <row r="2083" spans="1:35" x14ac:dyDescent="0.2">
      <c r="A2083">
        <v>2085</v>
      </c>
      <c r="B2083" t="s">
        <v>4508</v>
      </c>
      <c r="C2083" t="s">
        <v>4509</v>
      </c>
      <c r="D2083" t="s">
        <v>41</v>
      </c>
      <c r="E2083" t="s">
        <v>42</v>
      </c>
      <c r="F2083" t="s">
        <v>47</v>
      </c>
      <c r="G2083" t="s">
        <v>652</v>
      </c>
      <c r="J2083" t="s">
        <v>3643</v>
      </c>
      <c r="K2083" t="s">
        <v>38</v>
      </c>
      <c r="L2083" t="s">
        <v>38</v>
      </c>
      <c r="M2083" t="s">
        <v>38</v>
      </c>
      <c r="N2083" t="s">
        <v>38</v>
      </c>
      <c r="O2083" t="s">
        <v>38</v>
      </c>
      <c r="T2083" t="s">
        <v>38</v>
      </c>
      <c r="U2083">
        <v>0</v>
      </c>
      <c r="V2083">
        <v>1</v>
      </c>
      <c r="W2083">
        <v>0</v>
      </c>
      <c r="X2083">
        <v>0</v>
      </c>
      <c r="Y2083">
        <v>0</v>
      </c>
      <c r="AE2083">
        <f t="shared" si="96"/>
        <v>1</v>
      </c>
      <c r="AF2083">
        <f>VLOOKUP(D2083,especies!$A$2:$C$9,3,FALSE)</f>
        <v>2</v>
      </c>
      <c r="AG2083" t="str">
        <f t="shared" si="97"/>
        <v>2-DPC (Doméstico de pelo corto o DSH)</v>
      </c>
      <c r="AH2083">
        <f>VLOOKUP('Fichas clínicas'!AG2083,razas!$A$2:$D$66,3,FALSE)</f>
        <v>51</v>
      </c>
      <c r="AI2083" t="str">
        <f t="shared" si="98"/>
        <v>M</v>
      </c>
    </row>
    <row r="2084" spans="1:35" x14ac:dyDescent="0.2">
      <c r="A2084">
        <v>2086</v>
      </c>
      <c r="B2084" t="s">
        <v>4510</v>
      </c>
      <c r="C2084" t="s">
        <v>4511</v>
      </c>
      <c r="D2084" t="s">
        <v>32</v>
      </c>
      <c r="E2084" t="s">
        <v>33</v>
      </c>
      <c r="F2084" t="s">
        <v>34</v>
      </c>
      <c r="G2084" t="s">
        <v>351</v>
      </c>
      <c r="J2084" t="s">
        <v>90</v>
      </c>
      <c r="K2084" t="s">
        <v>38</v>
      </c>
      <c r="L2084" t="s">
        <v>38</v>
      </c>
      <c r="M2084" t="s">
        <v>38</v>
      </c>
      <c r="N2084" t="s">
        <v>38</v>
      </c>
      <c r="O2084" t="s">
        <v>38</v>
      </c>
      <c r="T2084" t="s">
        <v>38</v>
      </c>
      <c r="U2084">
        <v>0</v>
      </c>
      <c r="W2084">
        <v>0</v>
      </c>
      <c r="X2084">
        <v>0</v>
      </c>
      <c r="Y2084">
        <v>0</v>
      </c>
      <c r="AE2084">
        <f t="shared" si="96"/>
        <v>1</v>
      </c>
      <c r="AF2084">
        <f>VLOOKUP(D2084,especies!$A$2:$C$9,3,FALSE)</f>
        <v>1</v>
      </c>
      <c r="AG2084" t="str">
        <f t="shared" si="97"/>
        <v>1-Mestizo</v>
      </c>
      <c r="AH2084">
        <f>VLOOKUP('Fichas clínicas'!AG2084,razas!$A$2:$D$66,3,FALSE)</f>
        <v>1</v>
      </c>
      <c r="AI2084" t="str">
        <f t="shared" si="98"/>
        <v>H</v>
      </c>
    </row>
    <row r="2085" spans="1:35" x14ac:dyDescent="0.2">
      <c r="A2085">
        <v>2087</v>
      </c>
      <c r="B2085" t="s">
        <v>4125</v>
      </c>
      <c r="C2085" t="s">
        <v>4512</v>
      </c>
      <c r="D2085" t="s">
        <v>41</v>
      </c>
      <c r="E2085" t="s">
        <v>42</v>
      </c>
      <c r="F2085" t="s">
        <v>34</v>
      </c>
      <c r="G2085" t="s">
        <v>587</v>
      </c>
      <c r="J2085" t="s">
        <v>4513</v>
      </c>
      <c r="K2085" t="s">
        <v>38</v>
      </c>
      <c r="L2085" t="s">
        <v>38</v>
      </c>
      <c r="M2085" t="s">
        <v>38</v>
      </c>
      <c r="N2085" t="s">
        <v>38</v>
      </c>
      <c r="O2085" t="s">
        <v>38</v>
      </c>
      <c r="T2085" t="s">
        <v>38</v>
      </c>
      <c r="U2085">
        <v>0</v>
      </c>
      <c r="W2085">
        <v>0</v>
      </c>
      <c r="X2085">
        <v>0</v>
      </c>
      <c r="Y2085">
        <v>0</v>
      </c>
      <c r="AE2085">
        <f t="shared" si="96"/>
        <v>1</v>
      </c>
      <c r="AF2085">
        <f>VLOOKUP(D2085,especies!$A$2:$C$9,3,FALSE)</f>
        <v>2</v>
      </c>
      <c r="AG2085" t="str">
        <f t="shared" si="97"/>
        <v>2-DPC (Doméstico de pelo corto o DSH)</v>
      </c>
      <c r="AH2085">
        <f>VLOOKUP('Fichas clínicas'!AG2085,razas!$A$2:$D$66,3,FALSE)</f>
        <v>51</v>
      </c>
      <c r="AI2085" t="str">
        <f t="shared" si="98"/>
        <v>H</v>
      </c>
    </row>
    <row r="2086" spans="1:35" x14ac:dyDescent="0.2">
      <c r="A2086">
        <v>2088</v>
      </c>
      <c r="B2086" t="s">
        <v>4125</v>
      </c>
      <c r="C2086" t="s">
        <v>4514</v>
      </c>
      <c r="D2086" t="s">
        <v>41</v>
      </c>
      <c r="E2086" t="s">
        <v>93</v>
      </c>
      <c r="F2086" t="s">
        <v>34</v>
      </c>
      <c r="G2086" t="s">
        <v>4177</v>
      </c>
      <c r="J2086" t="s">
        <v>4513</v>
      </c>
      <c r="K2086" t="s">
        <v>38</v>
      </c>
      <c r="L2086" t="s">
        <v>38</v>
      </c>
      <c r="M2086" t="s">
        <v>38</v>
      </c>
      <c r="N2086" t="s">
        <v>38</v>
      </c>
      <c r="O2086" t="s">
        <v>38</v>
      </c>
      <c r="T2086" t="s">
        <v>38</v>
      </c>
      <c r="U2086">
        <v>0</v>
      </c>
      <c r="W2086">
        <v>0</v>
      </c>
      <c r="X2086">
        <v>0</v>
      </c>
      <c r="Y2086">
        <v>0</v>
      </c>
      <c r="AE2086">
        <f t="shared" si="96"/>
        <v>1</v>
      </c>
      <c r="AF2086">
        <f>VLOOKUP(D2086,especies!$A$2:$C$9,3,FALSE)</f>
        <v>2</v>
      </c>
      <c r="AG2086" t="str">
        <f t="shared" si="97"/>
        <v>2-DPL (Doméstico de pelo Largo o DLH)</v>
      </c>
      <c r="AH2086">
        <f>VLOOKUP('Fichas clínicas'!AG2086,razas!$A$2:$D$66,3,FALSE)</f>
        <v>52</v>
      </c>
      <c r="AI2086" t="str">
        <f t="shared" si="98"/>
        <v>H</v>
      </c>
    </row>
    <row r="2087" spans="1:35" x14ac:dyDescent="0.2">
      <c r="A2087">
        <v>2089</v>
      </c>
      <c r="B2087" t="s">
        <v>4125</v>
      </c>
      <c r="C2087" t="s">
        <v>4515</v>
      </c>
      <c r="D2087" t="s">
        <v>41</v>
      </c>
      <c r="E2087" t="s">
        <v>42</v>
      </c>
      <c r="F2087" t="s">
        <v>47</v>
      </c>
      <c r="G2087" t="s">
        <v>4374</v>
      </c>
      <c r="J2087" t="s">
        <v>4513</v>
      </c>
      <c r="K2087" t="s">
        <v>38</v>
      </c>
      <c r="L2087" t="s">
        <v>38</v>
      </c>
      <c r="M2087" t="s">
        <v>38</v>
      </c>
      <c r="N2087" t="s">
        <v>38</v>
      </c>
      <c r="O2087" t="s">
        <v>38</v>
      </c>
      <c r="T2087" t="s">
        <v>38</v>
      </c>
      <c r="U2087">
        <v>0</v>
      </c>
      <c r="W2087">
        <v>0</v>
      </c>
      <c r="X2087">
        <v>0</v>
      </c>
      <c r="Y2087">
        <v>0</v>
      </c>
      <c r="AE2087">
        <f t="shared" si="96"/>
        <v>1</v>
      </c>
      <c r="AF2087">
        <f>VLOOKUP(D2087,especies!$A$2:$C$9,3,FALSE)</f>
        <v>2</v>
      </c>
      <c r="AG2087" t="str">
        <f t="shared" si="97"/>
        <v>2-DPC (Doméstico de pelo corto o DSH)</v>
      </c>
      <c r="AH2087">
        <f>VLOOKUP('Fichas clínicas'!AG2087,razas!$A$2:$D$66,3,FALSE)</f>
        <v>51</v>
      </c>
      <c r="AI2087" t="str">
        <f t="shared" si="98"/>
        <v>M</v>
      </c>
    </row>
    <row r="2088" spans="1:35" x14ac:dyDescent="0.2">
      <c r="A2088">
        <v>2090</v>
      </c>
      <c r="B2088" t="s">
        <v>4125</v>
      </c>
      <c r="C2088" t="s">
        <v>4516</v>
      </c>
      <c r="D2088" t="s">
        <v>41</v>
      </c>
      <c r="E2088" t="s">
        <v>42</v>
      </c>
      <c r="F2088" t="s">
        <v>47</v>
      </c>
      <c r="G2088" t="s">
        <v>1547</v>
      </c>
      <c r="J2088" t="s">
        <v>4513</v>
      </c>
      <c r="K2088" t="s">
        <v>38</v>
      </c>
      <c r="L2088" t="s">
        <v>38</v>
      </c>
      <c r="M2088" t="s">
        <v>38</v>
      </c>
      <c r="N2088" t="s">
        <v>38</v>
      </c>
      <c r="O2088" t="s">
        <v>38</v>
      </c>
      <c r="T2088" t="s">
        <v>38</v>
      </c>
      <c r="U2088">
        <v>0</v>
      </c>
      <c r="W2088">
        <v>0</v>
      </c>
      <c r="X2088">
        <v>0</v>
      </c>
      <c r="Y2088">
        <v>0</v>
      </c>
      <c r="AE2088">
        <f t="shared" si="96"/>
        <v>1</v>
      </c>
      <c r="AF2088">
        <f>VLOOKUP(D2088,especies!$A$2:$C$9,3,FALSE)</f>
        <v>2</v>
      </c>
      <c r="AG2088" t="str">
        <f t="shared" si="97"/>
        <v>2-DPC (Doméstico de pelo corto o DSH)</v>
      </c>
      <c r="AH2088">
        <f>VLOOKUP('Fichas clínicas'!AG2088,razas!$A$2:$D$66,3,FALSE)</f>
        <v>51</v>
      </c>
      <c r="AI2088" t="str">
        <f t="shared" si="98"/>
        <v>M</v>
      </c>
    </row>
    <row r="2089" spans="1:35" x14ac:dyDescent="0.2">
      <c r="A2089">
        <v>2091</v>
      </c>
      <c r="B2089" t="s">
        <v>1264</v>
      </c>
      <c r="C2089" t="s">
        <v>4517</v>
      </c>
      <c r="D2089" t="s">
        <v>41</v>
      </c>
      <c r="E2089" t="s">
        <v>42</v>
      </c>
      <c r="F2089" t="s">
        <v>34</v>
      </c>
      <c r="G2089" t="s">
        <v>4518</v>
      </c>
      <c r="J2089" t="s">
        <v>4336</v>
      </c>
      <c r="K2089" t="s">
        <v>38</v>
      </c>
      <c r="L2089" t="s">
        <v>38</v>
      </c>
      <c r="M2089" t="s">
        <v>38</v>
      </c>
      <c r="N2089" t="s">
        <v>38</v>
      </c>
      <c r="O2089" t="s">
        <v>38</v>
      </c>
      <c r="T2089" t="s">
        <v>38</v>
      </c>
      <c r="U2089">
        <v>0</v>
      </c>
      <c r="W2089">
        <v>0</v>
      </c>
      <c r="X2089">
        <v>0</v>
      </c>
      <c r="Y2089">
        <v>0</v>
      </c>
      <c r="AE2089">
        <f t="shared" si="96"/>
        <v>1</v>
      </c>
      <c r="AF2089">
        <f>VLOOKUP(D2089,especies!$A$2:$C$9,3,FALSE)</f>
        <v>2</v>
      </c>
      <c r="AG2089" t="str">
        <f t="shared" si="97"/>
        <v>2-DPC (Doméstico de pelo corto o DSH)</v>
      </c>
      <c r="AH2089">
        <f>VLOOKUP('Fichas clínicas'!AG2089,razas!$A$2:$D$66,3,FALSE)</f>
        <v>51</v>
      </c>
      <c r="AI2089" t="str">
        <f t="shared" si="98"/>
        <v>H</v>
      </c>
    </row>
    <row r="2090" spans="1:35" x14ac:dyDescent="0.2">
      <c r="A2090">
        <v>2092</v>
      </c>
      <c r="B2090" t="s">
        <v>4519</v>
      </c>
      <c r="C2090" t="s">
        <v>3596</v>
      </c>
      <c r="D2090" t="s">
        <v>41</v>
      </c>
      <c r="E2090" t="s">
        <v>42</v>
      </c>
      <c r="F2090" t="s">
        <v>34</v>
      </c>
      <c r="G2090" t="s">
        <v>526</v>
      </c>
      <c r="J2090" t="s">
        <v>3993</v>
      </c>
      <c r="K2090" t="s">
        <v>38</v>
      </c>
      <c r="L2090" t="s">
        <v>38</v>
      </c>
      <c r="M2090" t="s">
        <v>38</v>
      </c>
      <c r="N2090" t="s">
        <v>38</v>
      </c>
      <c r="O2090" t="s">
        <v>38</v>
      </c>
      <c r="T2090" t="s">
        <v>38</v>
      </c>
      <c r="U2090">
        <v>0</v>
      </c>
      <c r="W2090">
        <v>0</v>
      </c>
      <c r="X2090">
        <v>0</v>
      </c>
      <c r="Y2090">
        <v>0</v>
      </c>
      <c r="AE2090">
        <f t="shared" si="96"/>
        <v>1</v>
      </c>
      <c r="AF2090">
        <f>VLOOKUP(D2090,especies!$A$2:$C$9,3,FALSE)</f>
        <v>2</v>
      </c>
      <c r="AG2090" t="str">
        <f t="shared" si="97"/>
        <v>2-DPC (Doméstico de pelo corto o DSH)</v>
      </c>
      <c r="AH2090">
        <f>VLOOKUP('Fichas clínicas'!AG2090,razas!$A$2:$D$66,3,FALSE)</f>
        <v>51</v>
      </c>
      <c r="AI2090" t="str">
        <f t="shared" si="98"/>
        <v>H</v>
      </c>
    </row>
    <row r="2091" spans="1:35" x14ac:dyDescent="0.2">
      <c r="A2091">
        <v>2093</v>
      </c>
      <c r="B2091" t="s">
        <v>4520</v>
      </c>
      <c r="C2091" t="s">
        <v>3518</v>
      </c>
      <c r="D2091" t="s">
        <v>32</v>
      </c>
      <c r="E2091" t="s">
        <v>4521</v>
      </c>
      <c r="F2091" t="s">
        <v>34</v>
      </c>
      <c r="G2091" t="s">
        <v>2308</v>
      </c>
      <c r="J2091" t="s">
        <v>4522</v>
      </c>
      <c r="K2091" t="s">
        <v>38</v>
      </c>
      <c r="L2091" t="s">
        <v>38</v>
      </c>
      <c r="M2091" t="s">
        <v>38</v>
      </c>
      <c r="N2091" t="s">
        <v>38</v>
      </c>
      <c r="O2091" t="s">
        <v>38</v>
      </c>
      <c r="T2091" t="s">
        <v>38</v>
      </c>
      <c r="U2091">
        <v>0</v>
      </c>
      <c r="W2091">
        <v>0</v>
      </c>
      <c r="X2091">
        <v>0</v>
      </c>
      <c r="Y2091">
        <v>0</v>
      </c>
      <c r="AE2091">
        <f t="shared" si="96"/>
        <v>1</v>
      </c>
      <c r="AF2091">
        <f>VLOOKUP(D2091,especies!$A$2:$C$9,3,FALSE)</f>
        <v>1</v>
      </c>
      <c r="AG2091" t="str">
        <f t="shared" si="97"/>
        <v>1-Antiguo Pastor Inglés</v>
      </c>
      <c r="AH2091">
        <f>VLOOKUP('Fichas clínicas'!AG2091,razas!$A$2:$D$66,3,FALSE)</f>
        <v>49</v>
      </c>
      <c r="AI2091" t="str">
        <f t="shared" si="98"/>
        <v>H</v>
      </c>
    </row>
    <row r="2092" spans="1:35" x14ac:dyDescent="0.2">
      <c r="A2092">
        <v>2094</v>
      </c>
      <c r="B2092" t="s">
        <v>4523</v>
      </c>
      <c r="C2092" t="s">
        <v>4524</v>
      </c>
      <c r="D2092" t="s">
        <v>32</v>
      </c>
      <c r="E2092" t="s">
        <v>33</v>
      </c>
      <c r="F2092" t="s">
        <v>47</v>
      </c>
      <c r="G2092" t="s">
        <v>1054</v>
      </c>
      <c r="J2092" t="s">
        <v>3702</v>
      </c>
      <c r="K2092" t="s">
        <v>38</v>
      </c>
      <c r="L2092" t="s">
        <v>38</v>
      </c>
      <c r="M2092" t="s">
        <v>38</v>
      </c>
      <c r="N2092" t="s">
        <v>38</v>
      </c>
      <c r="O2092" t="s">
        <v>38</v>
      </c>
      <c r="T2092" t="s">
        <v>38</v>
      </c>
      <c r="U2092">
        <v>0</v>
      </c>
      <c r="V2092">
        <v>1</v>
      </c>
      <c r="W2092">
        <v>0</v>
      </c>
      <c r="X2092">
        <v>0</v>
      </c>
      <c r="Y2092">
        <v>0</v>
      </c>
      <c r="AE2092">
        <f t="shared" si="96"/>
        <v>1</v>
      </c>
      <c r="AF2092">
        <f>VLOOKUP(D2092,especies!$A$2:$C$9,3,FALSE)</f>
        <v>1</v>
      </c>
      <c r="AG2092" t="str">
        <f t="shared" si="97"/>
        <v>1-Mestizo</v>
      </c>
      <c r="AH2092">
        <f>VLOOKUP('Fichas clínicas'!AG2092,razas!$A$2:$D$66,3,FALSE)</f>
        <v>1</v>
      </c>
      <c r="AI2092" t="str">
        <f t="shared" si="98"/>
        <v>M</v>
      </c>
    </row>
    <row r="2093" spans="1:35" x14ac:dyDescent="0.2">
      <c r="A2093">
        <v>2095</v>
      </c>
      <c r="B2093" t="s">
        <v>4525</v>
      </c>
      <c r="C2093" t="s">
        <v>2695</v>
      </c>
      <c r="D2093" t="s">
        <v>32</v>
      </c>
      <c r="E2093" t="s">
        <v>4396</v>
      </c>
      <c r="F2093" t="s">
        <v>34</v>
      </c>
      <c r="G2093" t="s">
        <v>698</v>
      </c>
      <c r="J2093" t="s">
        <v>4526</v>
      </c>
      <c r="K2093" t="s">
        <v>38</v>
      </c>
      <c r="L2093" t="s">
        <v>38</v>
      </c>
      <c r="M2093" t="s">
        <v>38</v>
      </c>
      <c r="N2093" t="s">
        <v>38</v>
      </c>
      <c r="O2093" t="s">
        <v>38</v>
      </c>
      <c r="T2093" t="s">
        <v>38</v>
      </c>
      <c r="U2093">
        <v>0</v>
      </c>
      <c r="W2093">
        <v>0</v>
      </c>
      <c r="X2093">
        <v>0</v>
      </c>
      <c r="Y2093">
        <v>0</v>
      </c>
      <c r="AE2093">
        <f t="shared" si="96"/>
        <v>1</v>
      </c>
      <c r="AF2093">
        <f>VLOOKUP(D2093,especies!$A$2:$C$9,3,FALSE)</f>
        <v>1</v>
      </c>
      <c r="AG2093" t="str">
        <f t="shared" si="97"/>
        <v>1-Pequinés</v>
      </c>
      <c r="AH2093">
        <f>VLOOKUP('Fichas clínicas'!AG2093,razas!$A$2:$D$66,3,FALSE)</f>
        <v>48</v>
      </c>
      <c r="AI2093" t="str">
        <f t="shared" si="98"/>
        <v>H</v>
      </c>
    </row>
    <row r="2094" spans="1:35" x14ac:dyDescent="0.2">
      <c r="A2094">
        <v>2096</v>
      </c>
      <c r="B2094" t="s">
        <v>1098</v>
      </c>
      <c r="C2094" t="s">
        <v>3888</v>
      </c>
      <c r="D2094" t="s">
        <v>32</v>
      </c>
      <c r="E2094" t="s">
        <v>150</v>
      </c>
      <c r="F2094" t="s">
        <v>34</v>
      </c>
      <c r="G2094" t="s">
        <v>1547</v>
      </c>
      <c r="J2094" t="s">
        <v>4527</v>
      </c>
      <c r="K2094" t="s">
        <v>38</v>
      </c>
      <c r="L2094" t="s">
        <v>38</v>
      </c>
      <c r="M2094" t="s">
        <v>38</v>
      </c>
      <c r="N2094" t="s">
        <v>38</v>
      </c>
      <c r="O2094" t="s">
        <v>38</v>
      </c>
      <c r="T2094" t="s">
        <v>38</v>
      </c>
      <c r="U2094">
        <v>0</v>
      </c>
      <c r="W2094">
        <v>0</v>
      </c>
      <c r="X2094">
        <v>0</v>
      </c>
      <c r="Y2094">
        <v>0</v>
      </c>
      <c r="AE2094">
        <f t="shared" si="96"/>
        <v>1</v>
      </c>
      <c r="AF2094">
        <f>VLOOKUP(D2094,especies!$A$2:$C$9,3,FALSE)</f>
        <v>1</v>
      </c>
      <c r="AG2094" t="str">
        <f t="shared" si="97"/>
        <v>1-Poodle</v>
      </c>
      <c r="AH2094">
        <f>VLOOKUP('Fichas clínicas'!AG2094,razas!$A$2:$D$66,3,FALSE)</f>
        <v>6</v>
      </c>
      <c r="AI2094" t="str">
        <f t="shared" si="98"/>
        <v>H</v>
      </c>
    </row>
    <row r="2095" spans="1:35" x14ac:dyDescent="0.2">
      <c r="A2095">
        <v>2097</v>
      </c>
      <c r="B2095" t="s">
        <v>4528</v>
      </c>
      <c r="C2095" t="s">
        <v>4257</v>
      </c>
      <c r="D2095" t="s">
        <v>41</v>
      </c>
      <c r="E2095" t="s">
        <v>42</v>
      </c>
      <c r="F2095" t="s">
        <v>34</v>
      </c>
      <c r="G2095" t="s">
        <v>4124</v>
      </c>
      <c r="J2095" t="s">
        <v>4529</v>
      </c>
      <c r="K2095" t="s">
        <v>38</v>
      </c>
      <c r="L2095" t="s">
        <v>38</v>
      </c>
      <c r="M2095" t="s">
        <v>38</v>
      </c>
      <c r="N2095" t="s">
        <v>38</v>
      </c>
      <c r="O2095" t="s">
        <v>38</v>
      </c>
      <c r="T2095" t="s">
        <v>38</v>
      </c>
      <c r="U2095">
        <v>0</v>
      </c>
      <c r="W2095">
        <v>0</v>
      </c>
      <c r="X2095">
        <v>0</v>
      </c>
      <c r="Y2095">
        <v>0</v>
      </c>
      <c r="AE2095">
        <f t="shared" si="96"/>
        <v>1</v>
      </c>
      <c r="AF2095">
        <f>VLOOKUP(D2095,especies!$A$2:$C$9,3,FALSE)</f>
        <v>2</v>
      </c>
      <c r="AG2095" t="str">
        <f t="shared" si="97"/>
        <v>2-DPC (Doméstico de pelo corto o DSH)</v>
      </c>
      <c r="AH2095">
        <f>VLOOKUP('Fichas clínicas'!AG2095,razas!$A$2:$D$66,3,FALSE)</f>
        <v>51</v>
      </c>
      <c r="AI2095" t="str">
        <f t="shared" si="98"/>
        <v>H</v>
      </c>
    </row>
    <row r="2096" spans="1:35" x14ac:dyDescent="0.2">
      <c r="A2096">
        <v>2098</v>
      </c>
      <c r="B2096" t="s">
        <v>4530</v>
      </c>
      <c r="C2096" t="s">
        <v>4531</v>
      </c>
      <c r="D2096" t="s">
        <v>41</v>
      </c>
      <c r="E2096" t="s">
        <v>42</v>
      </c>
      <c r="F2096" t="s">
        <v>34</v>
      </c>
      <c r="G2096" t="s">
        <v>4532</v>
      </c>
      <c r="J2096" t="s">
        <v>4465</v>
      </c>
      <c r="K2096" t="s">
        <v>38</v>
      </c>
      <c r="L2096" t="s">
        <v>38</v>
      </c>
      <c r="M2096" t="s">
        <v>38</v>
      </c>
      <c r="N2096" t="s">
        <v>38</v>
      </c>
      <c r="O2096" t="s">
        <v>38</v>
      </c>
      <c r="T2096" t="s">
        <v>38</v>
      </c>
      <c r="U2096">
        <v>0</v>
      </c>
      <c r="V2096">
        <v>1</v>
      </c>
      <c r="W2096">
        <v>0</v>
      </c>
      <c r="X2096">
        <v>0</v>
      </c>
      <c r="Y2096">
        <v>0</v>
      </c>
      <c r="AE2096">
        <f t="shared" si="96"/>
        <v>1</v>
      </c>
      <c r="AF2096">
        <f>VLOOKUP(D2096,especies!$A$2:$C$9,3,FALSE)</f>
        <v>2</v>
      </c>
      <c r="AG2096" t="str">
        <f t="shared" si="97"/>
        <v>2-DPC (Doméstico de pelo corto o DSH)</v>
      </c>
      <c r="AH2096">
        <f>VLOOKUP('Fichas clínicas'!AG2096,razas!$A$2:$D$66,3,FALSE)</f>
        <v>51</v>
      </c>
      <c r="AI2096" t="str">
        <f t="shared" si="98"/>
        <v>H</v>
      </c>
    </row>
    <row r="2097" spans="1:35" x14ac:dyDescent="0.2">
      <c r="A2097">
        <v>2099</v>
      </c>
      <c r="B2097" t="s">
        <v>4533</v>
      </c>
      <c r="C2097" t="s">
        <v>1912</v>
      </c>
      <c r="D2097" t="s">
        <v>32</v>
      </c>
      <c r="E2097" t="s">
        <v>33</v>
      </c>
      <c r="F2097" t="s">
        <v>47</v>
      </c>
      <c r="G2097" t="s">
        <v>102</v>
      </c>
      <c r="J2097" t="s">
        <v>2824</v>
      </c>
      <c r="K2097" t="s">
        <v>38</v>
      </c>
      <c r="L2097" t="s">
        <v>38</v>
      </c>
      <c r="M2097" t="s">
        <v>38</v>
      </c>
      <c r="N2097" t="s">
        <v>38</v>
      </c>
      <c r="O2097" t="s">
        <v>38</v>
      </c>
      <c r="T2097" t="s">
        <v>38</v>
      </c>
      <c r="U2097">
        <v>0</v>
      </c>
      <c r="V2097">
        <v>1</v>
      </c>
      <c r="W2097">
        <v>0</v>
      </c>
      <c r="X2097">
        <v>0</v>
      </c>
      <c r="Y2097">
        <v>0</v>
      </c>
      <c r="AE2097">
        <f t="shared" si="96"/>
        <v>1</v>
      </c>
      <c r="AF2097">
        <f>VLOOKUP(D2097,especies!$A$2:$C$9,3,FALSE)</f>
        <v>1</v>
      </c>
      <c r="AG2097" t="str">
        <f t="shared" si="97"/>
        <v>1-Mestizo</v>
      </c>
      <c r="AH2097">
        <f>VLOOKUP('Fichas clínicas'!AG2097,razas!$A$2:$D$66,3,FALSE)</f>
        <v>1</v>
      </c>
      <c r="AI2097" t="str">
        <f t="shared" si="98"/>
        <v>M</v>
      </c>
    </row>
    <row r="2098" spans="1:35" x14ac:dyDescent="0.2">
      <c r="A2098">
        <v>2100</v>
      </c>
      <c r="B2098" t="s">
        <v>4534</v>
      </c>
      <c r="C2098" t="s">
        <v>4349</v>
      </c>
      <c r="D2098" t="s">
        <v>41</v>
      </c>
      <c r="E2098" t="s">
        <v>42</v>
      </c>
      <c r="F2098" t="s">
        <v>34</v>
      </c>
      <c r="G2098" t="s">
        <v>1007</v>
      </c>
      <c r="J2098" t="s">
        <v>3516</v>
      </c>
      <c r="K2098" t="s">
        <v>38</v>
      </c>
      <c r="L2098" t="s">
        <v>38</v>
      </c>
      <c r="M2098" t="s">
        <v>38</v>
      </c>
      <c r="N2098" t="s">
        <v>38</v>
      </c>
      <c r="O2098" t="s">
        <v>38</v>
      </c>
      <c r="T2098" t="s">
        <v>38</v>
      </c>
      <c r="U2098">
        <v>0</v>
      </c>
      <c r="W2098">
        <v>0</v>
      </c>
      <c r="X2098">
        <v>0</v>
      </c>
      <c r="Y2098">
        <v>0</v>
      </c>
      <c r="AE2098">
        <f t="shared" si="96"/>
        <v>1</v>
      </c>
      <c r="AF2098">
        <f>VLOOKUP(D2098,especies!$A$2:$C$9,3,FALSE)</f>
        <v>2</v>
      </c>
      <c r="AG2098" t="str">
        <f t="shared" si="97"/>
        <v>2-DPC (Doméstico de pelo corto o DSH)</v>
      </c>
      <c r="AH2098">
        <f>VLOOKUP('Fichas clínicas'!AG2098,razas!$A$2:$D$66,3,FALSE)</f>
        <v>51</v>
      </c>
      <c r="AI2098" t="str">
        <f t="shared" si="98"/>
        <v>H</v>
      </c>
    </row>
    <row r="2099" spans="1:35" x14ac:dyDescent="0.2">
      <c r="A2099">
        <v>2101</v>
      </c>
      <c r="B2099" t="s">
        <v>4535</v>
      </c>
      <c r="C2099" t="s">
        <v>1505</v>
      </c>
      <c r="D2099" t="s">
        <v>32</v>
      </c>
      <c r="E2099" t="s">
        <v>33</v>
      </c>
      <c r="F2099" t="s">
        <v>47</v>
      </c>
      <c r="G2099" t="s">
        <v>587</v>
      </c>
      <c r="J2099" t="s">
        <v>4536</v>
      </c>
      <c r="K2099" t="s">
        <v>38</v>
      </c>
      <c r="L2099" t="s">
        <v>38</v>
      </c>
      <c r="M2099" t="s">
        <v>38</v>
      </c>
      <c r="N2099" t="s">
        <v>38</v>
      </c>
      <c r="O2099" t="s">
        <v>38</v>
      </c>
      <c r="T2099" t="s">
        <v>38</v>
      </c>
      <c r="U2099">
        <v>0</v>
      </c>
      <c r="W2099">
        <v>0</v>
      </c>
      <c r="X2099">
        <v>0</v>
      </c>
      <c r="Y2099">
        <v>0</v>
      </c>
      <c r="AE2099">
        <f t="shared" si="96"/>
        <v>1</v>
      </c>
      <c r="AF2099">
        <f>VLOOKUP(D2099,especies!$A$2:$C$9,3,FALSE)</f>
        <v>1</v>
      </c>
      <c r="AG2099" t="str">
        <f t="shared" si="97"/>
        <v>1-Mestizo</v>
      </c>
      <c r="AH2099">
        <f>VLOOKUP('Fichas clínicas'!AG2099,razas!$A$2:$D$66,3,FALSE)</f>
        <v>1</v>
      </c>
      <c r="AI2099" t="str">
        <f t="shared" si="98"/>
        <v>M</v>
      </c>
    </row>
    <row r="2100" spans="1:35" x14ac:dyDescent="0.2">
      <c r="A2100">
        <v>2102</v>
      </c>
      <c r="B2100" t="s">
        <v>4537</v>
      </c>
      <c r="C2100" t="s">
        <v>2815</v>
      </c>
      <c r="D2100" t="s">
        <v>32</v>
      </c>
      <c r="E2100" t="s">
        <v>150</v>
      </c>
      <c r="F2100" t="s">
        <v>34</v>
      </c>
      <c r="G2100" t="s">
        <v>4538</v>
      </c>
      <c r="J2100" t="s">
        <v>4539</v>
      </c>
      <c r="K2100" t="s">
        <v>38</v>
      </c>
      <c r="L2100" t="s">
        <v>38</v>
      </c>
      <c r="M2100" t="s">
        <v>38</v>
      </c>
      <c r="N2100" t="s">
        <v>38</v>
      </c>
      <c r="O2100" t="s">
        <v>38</v>
      </c>
      <c r="T2100" t="s">
        <v>38</v>
      </c>
      <c r="U2100">
        <v>0</v>
      </c>
      <c r="W2100">
        <v>0</v>
      </c>
      <c r="X2100">
        <v>0</v>
      </c>
      <c r="Y2100">
        <v>0</v>
      </c>
      <c r="AE2100">
        <f t="shared" si="96"/>
        <v>1</v>
      </c>
      <c r="AF2100">
        <f>VLOOKUP(D2100,especies!$A$2:$C$9,3,FALSE)</f>
        <v>1</v>
      </c>
      <c r="AG2100" t="str">
        <f t="shared" si="97"/>
        <v>1-Poodle</v>
      </c>
      <c r="AH2100">
        <f>VLOOKUP('Fichas clínicas'!AG2100,razas!$A$2:$D$66,3,FALSE)</f>
        <v>6</v>
      </c>
      <c r="AI2100" t="str">
        <f t="shared" si="98"/>
        <v>H</v>
      </c>
    </row>
    <row r="2101" spans="1:35" x14ac:dyDescent="0.2">
      <c r="A2101">
        <v>2103</v>
      </c>
      <c r="B2101" t="s">
        <v>2971</v>
      </c>
      <c r="C2101" t="s">
        <v>4540</v>
      </c>
      <c r="D2101" t="s">
        <v>32</v>
      </c>
      <c r="E2101" t="s">
        <v>33</v>
      </c>
      <c r="F2101" t="s">
        <v>34</v>
      </c>
      <c r="G2101" t="s">
        <v>560</v>
      </c>
      <c r="J2101" t="s">
        <v>4541</v>
      </c>
      <c r="K2101" t="s">
        <v>38</v>
      </c>
      <c r="L2101" t="s">
        <v>38</v>
      </c>
      <c r="M2101" t="s">
        <v>38</v>
      </c>
      <c r="N2101" t="s">
        <v>38</v>
      </c>
      <c r="O2101" t="s">
        <v>38</v>
      </c>
      <c r="T2101" t="s">
        <v>38</v>
      </c>
      <c r="U2101">
        <v>0</v>
      </c>
      <c r="W2101">
        <v>0</v>
      </c>
      <c r="X2101">
        <v>0</v>
      </c>
      <c r="Y2101">
        <v>0</v>
      </c>
      <c r="AE2101">
        <f t="shared" si="96"/>
        <v>1</v>
      </c>
      <c r="AF2101">
        <f>VLOOKUP(D2101,especies!$A$2:$C$9,3,FALSE)</f>
        <v>1</v>
      </c>
      <c r="AG2101" t="str">
        <f t="shared" si="97"/>
        <v>1-Mestizo</v>
      </c>
      <c r="AH2101">
        <f>VLOOKUP('Fichas clínicas'!AG2101,razas!$A$2:$D$66,3,FALSE)</f>
        <v>1</v>
      </c>
      <c r="AI2101" t="str">
        <f t="shared" si="98"/>
        <v>H</v>
      </c>
    </row>
    <row r="2102" spans="1:35" x14ac:dyDescent="0.2">
      <c r="A2102">
        <v>2104</v>
      </c>
      <c r="B2102" t="s">
        <v>2971</v>
      </c>
      <c r="C2102" t="s">
        <v>4542</v>
      </c>
      <c r="D2102" t="s">
        <v>32</v>
      </c>
      <c r="E2102" t="s">
        <v>33</v>
      </c>
      <c r="F2102" t="s">
        <v>34</v>
      </c>
      <c r="G2102" t="s">
        <v>560</v>
      </c>
      <c r="J2102" t="s">
        <v>2197</v>
      </c>
      <c r="K2102" t="s">
        <v>38</v>
      </c>
      <c r="L2102" t="s">
        <v>38</v>
      </c>
      <c r="M2102" t="s">
        <v>38</v>
      </c>
      <c r="N2102" t="s">
        <v>38</v>
      </c>
      <c r="O2102" t="s">
        <v>38</v>
      </c>
      <c r="T2102" t="s">
        <v>38</v>
      </c>
      <c r="U2102">
        <v>0</v>
      </c>
      <c r="W2102">
        <v>0</v>
      </c>
      <c r="X2102">
        <v>0</v>
      </c>
      <c r="Y2102">
        <v>0</v>
      </c>
      <c r="AE2102">
        <f t="shared" si="96"/>
        <v>1</v>
      </c>
      <c r="AF2102">
        <f>VLOOKUP(D2102,especies!$A$2:$C$9,3,FALSE)</f>
        <v>1</v>
      </c>
      <c r="AG2102" t="str">
        <f t="shared" si="97"/>
        <v>1-Mestizo</v>
      </c>
      <c r="AH2102">
        <f>VLOOKUP('Fichas clínicas'!AG2102,razas!$A$2:$D$66,3,FALSE)</f>
        <v>1</v>
      </c>
      <c r="AI2102" t="str">
        <f t="shared" si="98"/>
        <v>H</v>
      </c>
    </row>
    <row r="2103" spans="1:35" x14ac:dyDescent="0.2">
      <c r="A2103">
        <v>2105</v>
      </c>
      <c r="B2103" t="s">
        <v>2971</v>
      </c>
      <c r="C2103" t="s">
        <v>4543</v>
      </c>
      <c r="D2103" t="s">
        <v>32</v>
      </c>
      <c r="E2103" t="s">
        <v>33</v>
      </c>
      <c r="F2103" t="s">
        <v>34</v>
      </c>
      <c r="G2103" t="s">
        <v>560</v>
      </c>
      <c r="J2103" t="s">
        <v>4541</v>
      </c>
      <c r="K2103" t="s">
        <v>38</v>
      </c>
      <c r="L2103" t="s">
        <v>38</v>
      </c>
      <c r="M2103" t="s">
        <v>38</v>
      </c>
      <c r="N2103" t="s">
        <v>38</v>
      </c>
      <c r="O2103" t="s">
        <v>38</v>
      </c>
      <c r="T2103" t="s">
        <v>38</v>
      </c>
      <c r="U2103">
        <v>0</v>
      </c>
      <c r="W2103">
        <v>0</v>
      </c>
      <c r="X2103">
        <v>0</v>
      </c>
      <c r="Y2103">
        <v>0</v>
      </c>
      <c r="AE2103">
        <f t="shared" si="96"/>
        <v>1</v>
      </c>
      <c r="AF2103">
        <f>VLOOKUP(D2103,especies!$A$2:$C$9,3,FALSE)</f>
        <v>1</v>
      </c>
      <c r="AG2103" t="str">
        <f t="shared" si="97"/>
        <v>1-Mestizo</v>
      </c>
      <c r="AH2103">
        <f>VLOOKUP('Fichas clínicas'!AG2103,razas!$A$2:$D$66,3,FALSE)</f>
        <v>1</v>
      </c>
      <c r="AI2103" t="str">
        <f t="shared" si="98"/>
        <v>H</v>
      </c>
    </row>
    <row r="2104" spans="1:35" x14ac:dyDescent="0.2">
      <c r="A2104">
        <v>2106</v>
      </c>
      <c r="B2104" t="s">
        <v>2971</v>
      </c>
      <c r="C2104" t="s">
        <v>4544</v>
      </c>
      <c r="D2104" t="s">
        <v>32</v>
      </c>
      <c r="E2104" t="s">
        <v>33</v>
      </c>
      <c r="F2104" t="s">
        <v>34</v>
      </c>
      <c r="G2104" t="s">
        <v>694</v>
      </c>
      <c r="J2104" t="s">
        <v>4541</v>
      </c>
      <c r="K2104" t="s">
        <v>38</v>
      </c>
      <c r="L2104" t="s">
        <v>38</v>
      </c>
      <c r="M2104" t="s">
        <v>38</v>
      </c>
      <c r="N2104" t="s">
        <v>38</v>
      </c>
      <c r="O2104" t="s">
        <v>38</v>
      </c>
      <c r="T2104" t="s">
        <v>38</v>
      </c>
      <c r="U2104">
        <v>0</v>
      </c>
      <c r="W2104">
        <v>0</v>
      </c>
      <c r="X2104">
        <v>0</v>
      </c>
      <c r="Y2104">
        <v>0</v>
      </c>
      <c r="AE2104">
        <f t="shared" si="96"/>
        <v>1</v>
      </c>
      <c r="AF2104">
        <f>VLOOKUP(D2104,especies!$A$2:$C$9,3,FALSE)</f>
        <v>1</v>
      </c>
      <c r="AG2104" t="str">
        <f t="shared" si="97"/>
        <v>1-Mestizo</v>
      </c>
      <c r="AH2104">
        <f>VLOOKUP('Fichas clínicas'!AG2104,razas!$A$2:$D$66,3,FALSE)</f>
        <v>1</v>
      </c>
      <c r="AI2104" t="str">
        <f t="shared" si="98"/>
        <v>H</v>
      </c>
    </row>
    <row r="2105" spans="1:35" x14ac:dyDescent="0.2">
      <c r="A2105">
        <v>2107</v>
      </c>
      <c r="B2105" t="s">
        <v>4545</v>
      </c>
      <c r="C2105" t="s">
        <v>3687</v>
      </c>
      <c r="D2105" t="s">
        <v>32</v>
      </c>
      <c r="E2105" t="s">
        <v>33</v>
      </c>
      <c r="F2105" t="s">
        <v>47</v>
      </c>
      <c r="G2105" t="s">
        <v>587</v>
      </c>
      <c r="J2105" t="s">
        <v>4546</v>
      </c>
      <c r="K2105" t="s">
        <v>38</v>
      </c>
      <c r="L2105" t="s">
        <v>38</v>
      </c>
      <c r="M2105" t="s">
        <v>38</v>
      </c>
      <c r="N2105" t="s">
        <v>38</v>
      </c>
      <c r="O2105" t="s">
        <v>38</v>
      </c>
      <c r="T2105" t="s">
        <v>38</v>
      </c>
      <c r="U2105">
        <v>0</v>
      </c>
      <c r="W2105">
        <v>0</v>
      </c>
      <c r="X2105">
        <v>0</v>
      </c>
      <c r="Y2105">
        <v>0</v>
      </c>
      <c r="AE2105">
        <f t="shared" si="96"/>
        <v>1</v>
      </c>
      <c r="AF2105">
        <f>VLOOKUP(D2105,especies!$A$2:$C$9,3,FALSE)</f>
        <v>1</v>
      </c>
      <c r="AG2105" t="str">
        <f t="shared" si="97"/>
        <v>1-Mestizo</v>
      </c>
      <c r="AH2105">
        <f>VLOOKUP('Fichas clínicas'!AG2105,razas!$A$2:$D$66,3,FALSE)</f>
        <v>1</v>
      </c>
      <c r="AI2105" t="str">
        <f t="shared" si="98"/>
        <v>M</v>
      </c>
    </row>
    <row r="2106" spans="1:35" x14ac:dyDescent="0.2">
      <c r="A2106">
        <v>2108</v>
      </c>
      <c r="B2106" t="s">
        <v>634</v>
      </c>
      <c r="C2106" t="s">
        <v>4547</v>
      </c>
      <c r="D2106" t="s">
        <v>41</v>
      </c>
      <c r="E2106" t="s">
        <v>93</v>
      </c>
      <c r="F2106" t="s">
        <v>47</v>
      </c>
      <c r="G2106" t="s">
        <v>4044</v>
      </c>
      <c r="J2106" t="s">
        <v>3777</v>
      </c>
      <c r="K2106" t="s">
        <v>38</v>
      </c>
      <c r="L2106" t="s">
        <v>38</v>
      </c>
      <c r="M2106" t="s">
        <v>38</v>
      </c>
      <c r="N2106" t="s">
        <v>38</v>
      </c>
      <c r="O2106" t="s">
        <v>38</v>
      </c>
      <c r="Q2106">
        <v>0</v>
      </c>
      <c r="T2106" t="s">
        <v>38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f t="shared" si="96"/>
        <v>1</v>
      </c>
      <c r="AF2106">
        <f>VLOOKUP(D2106,especies!$A$2:$C$9,3,FALSE)</f>
        <v>2</v>
      </c>
      <c r="AG2106" t="str">
        <f t="shared" si="97"/>
        <v>2-DPL (Doméstico de pelo Largo o DLH)</v>
      </c>
      <c r="AH2106">
        <f>VLOOKUP('Fichas clínicas'!AG2106,razas!$A$2:$D$66,3,FALSE)</f>
        <v>52</v>
      </c>
      <c r="AI2106" t="str">
        <f t="shared" si="98"/>
        <v>M</v>
      </c>
    </row>
    <row r="2107" spans="1:35" x14ac:dyDescent="0.2">
      <c r="A2107">
        <v>2109</v>
      </c>
      <c r="B2107" t="s">
        <v>2971</v>
      </c>
      <c r="C2107" t="s">
        <v>4548</v>
      </c>
      <c r="D2107" t="s">
        <v>41</v>
      </c>
      <c r="E2107" t="s">
        <v>42</v>
      </c>
      <c r="F2107" t="s">
        <v>34</v>
      </c>
      <c r="G2107" t="s">
        <v>4386</v>
      </c>
      <c r="J2107" t="s">
        <v>1825</v>
      </c>
      <c r="K2107" t="s">
        <v>38</v>
      </c>
      <c r="L2107" t="s">
        <v>38</v>
      </c>
      <c r="M2107" t="s">
        <v>38</v>
      </c>
      <c r="N2107" t="s">
        <v>38</v>
      </c>
      <c r="O2107" t="s">
        <v>38</v>
      </c>
      <c r="T2107" t="s">
        <v>38</v>
      </c>
      <c r="U2107">
        <v>0</v>
      </c>
      <c r="V2107">
        <v>1</v>
      </c>
      <c r="W2107">
        <v>0</v>
      </c>
      <c r="X2107">
        <v>0</v>
      </c>
      <c r="Y2107">
        <v>0</v>
      </c>
      <c r="AE2107">
        <f t="shared" si="96"/>
        <v>1</v>
      </c>
      <c r="AF2107">
        <f>VLOOKUP(D2107,especies!$A$2:$C$9,3,FALSE)</f>
        <v>2</v>
      </c>
      <c r="AG2107" t="str">
        <f t="shared" si="97"/>
        <v>2-DPC (Doméstico de pelo corto o DSH)</v>
      </c>
      <c r="AH2107">
        <f>VLOOKUP('Fichas clínicas'!AG2107,razas!$A$2:$D$66,3,FALSE)</f>
        <v>51</v>
      </c>
      <c r="AI2107" t="str">
        <f t="shared" si="98"/>
        <v>H</v>
      </c>
    </row>
    <row r="2108" spans="1:35" x14ac:dyDescent="0.2">
      <c r="A2108">
        <v>2110</v>
      </c>
      <c r="B2108" t="s">
        <v>4549</v>
      </c>
      <c r="C2108" t="s">
        <v>4550</v>
      </c>
      <c r="D2108" t="s">
        <v>41</v>
      </c>
      <c r="E2108" t="s">
        <v>42</v>
      </c>
      <c r="F2108" t="s">
        <v>47</v>
      </c>
      <c r="G2108" t="s">
        <v>2122</v>
      </c>
      <c r="J2108" t="s">
        <v>4551</v>
      </c>
      <c r="K2108" t="s">
        <v>38</v>
      </c>
      <c r="L2108" t="s">
        <v>38</v>
      </c>
      <c r="M2108" t="s">
        <v>38</v>
      </c>
      <c r="N2108" t="s">
        <v>38</v>
      </c>
      <c r="O2108" t="s">
        <v>38</v>
      </c>
      <c r="T2108" t="s">
        <v>38</v>
      </c>
      <c r="U2108">
        <v>0</v>
      </c>
      <c r="V2108">
        <v>1</v>
      </c>
      <c r="W2108">
        <v>0</v>
      </c>
      <c r="X2108">
        <v>0</v>
      </c>
      <c r="Y2108">
        <v>0</v>
      </c>
      <c r="AE2108">
        <f t="shared" si="96"/>
        <v>1</v>
      </c>
      <c r="AF2108">
        <f>VLOOKUP(D2108,especies!$A$2:$C$9,3,FALSE)</f>
        <v>2</v>
      </c>
      <c r="AG2108" t="str">
        <f t="shared" si="97"/>
        <v>2-DPC (Doméstico de pelo corto o DSH)</v>
      </c>
      <c r="AH2108">
        <f>VLOOKUP('Fichas clínicas'!AG2108,razas!$A$2:$D$66,3,FALSE)</f>
        <v>51</v>
      </c>
      <c r="AI2108" t="str">
        <f t="shared" si="98"/>
        <v>M</v>
      </c>
    </row>
    <row r="2109" spans="1:35" x14ac:dyDescent="0.2">
      <c r="A2109">
        <v>2111</v>
      </c>
      <c r="B2109" t="s">
        <v>4552</v>
      </c>
      <c r="C2109" t="s">
        <v>4553</v>
      </c>
      <c r="D2109" t="s">
        <v>32</v>
      </c>
      <c r="E2109" t="s">
        <v>438</v>
      </c>
      <c r="F2109" t="s">
        <v>34</v>
      </c>
      <c r="G2109" t="s">
        <v>560</v>
      </c>
      <c r="J2109" t="s">
        <v>4554</v>
      </c>
      <c r="K2109" t="s">
        <v>38</v>
      </c>
      <c r="L2109" t="s">
        <v>38</v>
      </c>
      <c r="M2109" t="s">
        <v>38</v>
      </c>
      <c r="N2109" t="s">
        <v>38</v>
      </c>
      <c r="O2109" t="s">
        <v>38</v>
      </c>
      <c r="Q2109">
        <v>0</v>
      </c>
      <c r="T2109" t="s">
        <v>38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f t="shared" si="96"/>
        <v>1</v>
      </c>
      <c r="AF2109">
        <f>VLOOKUP(D2109,especies!$A$2:$C$9,3,FALSE)</f>
        <v>1</v>
      </c>
      <c r="AG2109" t="str">
        <f t="shared" si="97"/>
        <v>1-Ovejero Alemán</v>
      </c>
      <c r="AH2109">
        <f>VLOOKUP('Fichas clínicas'!AG2109,razas!$A$2:$D$66,3,FALSE)</f>
        <v>12</v>
      </c>
      <c r="AI2109" t="str">
        <f t="shared" si="98"/>
        <v>H</v>
      </c>
    </row>
    <row r="2110" spans="1:35" x14ac:dyDescent="0.2">
      <c r="A2110">
        <v>2112</v>
      </c>
      <c r="B2110" t="s">
        <v>1572</v>
      </c>
      <c r="C2110" t="s">
        <v>4555</v>
      </c>
      <c r="D2110" t="s">
        <v>41</v>
      </c>
      <c r="E2110" t="s">
        <v>42</v>
      </c>
      <c r="F2110" t="s">
        <v>34</v>
      </c>
      <c r="G2110" t="s">
        <v>1492</v>
      </c>
      <c r="J2110" t="s">
        <v>3516</v>
      </c>
      <c r="K2110" t="s">
        <v>38</v>
      </c>
      <c r="L2110" t="s">
        <v>38</v>
      </c>
      <c r="M2110" t="s">
        <v>38</v>
      </c>
      <c r="N2110" t="s">
        <v>38</v>
      </c>
      <c r="O2110" t="s">
        <v>38</v>
      </c>
      <c r="T2110" t="s">
        <v>38</v>
      </c>
      <c r="U2110">
        <v>0</v>
      </c>
      <c r="W2110">
        <v>0</v>
      </c>
      <c r="X2110">
        <v>0</v>
      </c>
      <c r="Y2110">
        <v>0</v>
      </c>
      <c r="AE2110">
        <f t="shared" si="96"/>
        <v>1</v>
      </c>
      <c r="AF2110">
        <f>VLOOKUP(D2110,especies!$A$2:$C$9,3,FALSE)</f>
        <v>2</v>
      </c>
      <c r="AG2110" t="str">
        <f t="shared" si="97"/>
        <v>2-DPC (Doméstico de pelo corto o DSH)</v>
      </c>
      <c r="AH2110">
        <f>VLOOKUP('Fichas clínicas'!AG2110,razas!$A$2:$D$66,3,FALSE)</f>
        <v>51</v>
      </c>
      <c r="AI2110" t="str">
        <f t="shared" si="98"/>
        <v>H</v>
      </c>
    </row>
    <row r="2111" spans="1:35" x14ac:dyDescent="0.2">
      <c r="A2111">
        <v>2113</v>
      </c>
      <c r="B2111" t="s">
        <v>4556</v>
      </c>
      <c r="C2111" t="s">
        <v>4557</v>
      </c>
      <c r="D2111" t="s">
        <v>32</v>
      </c>
      <c r="E2111" t="s">
        <v>2200</v>
      </c>
      <c r="F2111" t="s">
        <v>47</v>
      </c>
      <c r="G2111" t="s">
        <v>102</v>
      </c>
      <c r="J2111" t="s">
        <v>2809</v>
      </c>
      <c r="K2111" t="s">
        <v>38</v>
      </c>
      <c r="L2111" t="s">
        <v>38</v>
      </c>
      <c r="M2111" t="s">
        <v>38</v>
      </c>
      <c r="N2111" t="s">
        <v>38</v>
      </c>
      <c r="O2111" t="s">
        <v>38</v>
      </c>
      <c r="T2111" t="s">
        <v>38</v>
      </c>
      <c r="U2111">
        <v>0</v>
      </c>
      <c r="W2111">
        <v>0</v>
      </c>
      <c r="X2111">
        <v>0</v>
      </c>
      <c r="Y2111">
        <v>0</v>
      </c>
      <c r="AE2111">
        <f t="shared" si="96"/>
        <v>1</v>
      </c>
      <c r="AF2111">
        <f>VLOOKUP(D2111,especies!$A$2:$C$9,3,FALSE)</f>
        <v>1</v>
      </c>
      <c r="AG2111" t="str">
        <f t="shared" si="97"/>
        <v>1-Bichón Maltes</v>
      </c>
      <c r="AH2111">
        <f>VLOOKUP('Fichas clínicas'!AG2111,razas!$A$2:$D$66,3,FALSE)</f>
        <v>37</v>
      </c>
      <c r="AI2111" t="str">
        <f t="shared" si="98"/>
        <v>M</v>
      </c>
    </row>
    <row r="2112" spans="1:35" x14ac:dyDescent="0.2">
      <c r="A2112">
        <v>2114</v>
      </c>
      <c r="B2112" t="s">
        <v>956</v>
      </c>
      <c r="C2112" t="s">
        <v>2279</v>
      </c>
      <c r="D2112" t="s">
        <v>41</v>
      </c>
      <c r="E2112" t="s">
        <v>93</v>
      </c>
      <c r="F2112" t="s">
        <v>47</v>
      </c>
      <c r="G2112" t="s">
        <v>616</v>
      </c>
      <c r="J2112" t="s">
        <v>4558</v>
      </c>
      <c r="K2112" t="s">
        <v>38</v>
      </c>
      <c r="L2112" t="s">
        <v>38</v>
      </c>
      <c r="M2112" t="s">
        <v>38</v>
      </c>
      <c r="N2112" t="s">
        <v>38</v>
      </c>
      <c r="O2112" t="s">
        <v>38</v>
      </c>
      <c r="Q2112">
        <v>0</v>
      </c>
      <c r="T2112" t="s">
        <v>38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f t="shared" si="96"/>
        <v>1</v>
      </c>
      <c r="AF2112">
        <f>VLOOKUP(D2112,especies!$A$2:$C$9,3,FALSE)</f>
        <v>2</v>
      </c>
      <c r="AG2112" t="str">
        <f t="shared" si="97"/>
        <v>2-DPL (Doméstico de pelo Largo o DLH)</v>
      </c>
      <c r="AH2112">
        <f>VLOOKUP('Fichas clínicas'!AG2112,razas!$A$2:$D$66,3,FALSE)</f>
        <v>52</v>
      </c>
      <c r="AI2112" t="str">
        <f t="shared" si="98"/>
        <v>M</v>
      </c>
    </row>
    <row r="2113" spans="1:35" x14ac:dyDescent="0.2">
      <c r="A2113">
        <v>2115</v>
      </c>
      <c r="B2113" t="s">
        <v>4559</v>
      </c>
      <c r="C2113" t="s">
        <v>4560</v>
      </c>
      <c r="D2113" t="s">
        <v>41</v>
      </c>
      <c r="E2113" t="s">
        <v>42</v>
      </c>
      <c r="F2113" t="s">
        <v>47</v>
      </c>
      <c r="G2113" t="s">
        <v>616</v>
      </c>
      <c r="J2113" t="s">
        <v>841</v>
      </c>
      <c r="K2113" t="s">
        <v>38</v>
      </c>
      <c r="L2113" t="s">
        <v>38</v>
      </c>
      <c r="M2113" t="s">
        <v>38</v>
      </c>
      <c r="N2113" t="s">
        <v>38</v>
      </c>
      <c r="O2113" t="s">
        <v>38</v>
      </c>
      <c r="T2113" t="s">
        <v>38</v>
      </c>
      <c r="U2113">
        <v>0</v>
      </c>
      <c r="V2113">
        <v>1</v>
      </c>
      <c r="W2113">
        <v>0</v>
      </c>
      <c r="X2113">
        <v>0</v>
      </c>
      <c r="Y2113">
        <v>0</v>
      </c>
      <c r="AE2113">
        <f t="shared" si="96"/>
        <v>1</v>
      </c>
      <c r="AF2113">
        <f>VLOOKUP(D2113,especies!$A$2:$C$9,3,FALSE)</f>
        <v>2</v>
      </c>
      <c r="AG2113" t="str">
        <f t="shared" si="97"/>
        <v>2-DPC (Doméstico de pelo corto o DSH)</v>
      </c>
      <c r="AH2113">
        <f>VLOOKUP('Fichas clínicas'!AG2113,razas!$A$2:$D$66,3,FALSE)</f>
        <v>51</v>
      </c>
      <c r="AI2113" t="str">
        <f t="shared" si="98"/>
        <v>M</v>
      </c>
    </row>
    <row r="2114" spans="1:35" x14ac:dyDescent="0.2">
      <c r="A2114">
        <v>2116</v>
      </c>
      <c r="B2114" t="s">
        <v>211</v>
      </c>
      <c r="C2114" t="s">
        <v>3909</v>
      </c>
      <c r="D2114" t="s">
        <v>32</v>
      </c>
      <c r="E2114" t="s">
        <v>33</v>
      </c>
      <c r="F2114" t="s">
        <v>34</v>
      </c>
      <c r="G2114" t="s">
        <v>1054</v>
      </c>
      <c r="J2114" t="s">
        <v>4561</v>
      </c>
      <c r="K2114" t="s">
        <v>38</v>
      </c>
      <c r="L2114" t="s">
        <v>38</v>
      </c>
      <c r="M2114" t="s">
        <v>38</v>
      </c>
      <c r="N2114" t="s">
        <v>38</v>
      </c>
      <c r="O2114" t="s">
        <v>38</v>
      </c>
      <c r="Q2114">
        <v>0</v>
      </c>
      <c r="T2114" t="s">
        <v>38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f t="shared" si="96"/>
        <v>1</v>
      </c>
      <c r="AF2114">
        <f>VLOOKUP(D2114,especies!$A$2:$C$9,3,FALSE)</f>
        <v>1</v>
      </c>
      <c r="AG2114" t="str">
        <f t="shared" si="97"/>
        <v>1-Mestizo</v>
      </c>
      <c r="AH2114">
        <f>VLOOKUP('Fichas clínicas'!AG2114,razas!$A$2:$D$66,3,FALSE)</f>
        <v>1</v>
      </c>
      <c r="AI2114" t="str">
        <f t="shared" si="98"/>
        <v>H</v>
      </c>
    </row>
    <row r="2115" spans="1:35" x14ac:dyDescent="0.2">
      <c r="A2115">
        <v>2117</v>
      </c>
      <c r="B2115" t="s">
        <v>211</v>
      </c>
      <c r="C2115" t="s">
        <v>332</v>
      </c>
      <c r="D2115" t="s">
        <v>32</v>
      </c>
      <c r="E2115" t="s">
        <v>33</v>
      </c>
      <c r="F2115" t="s">
        <v>47</v>
      </c>
      <c r="G2115" t="s">
        <v>587</v>
      </c>
      <c r="J2115" t="s">
        <v>4561</v>
      </c>
      <c r="K2115" t="s">
        <v>38</v>
      </c>
      <c r="L2115" t="s">
        <v>38</v>
      </c>
      <c r="M2115" t="s">
        <v>38</v>
      </c>
      <c r="N2115" t="s">
        <v>38</v>
      </c>
      <c r="O2115" t="s">
        <v>38</v>
      </c>
      <c r="T2115" t="s">
        <v>38</v>
      </c>
      <c r="U2115">
        <v>0</v>
      </c>
      <c r="W2115">
        <v>0</v>
      </c>
      <c r="X2115">
        <v>0</v>
      </c>
      <c r="Y2115">
        <v>0</v>
      </c>
      <c r="AE2115">
        <f t="shared" ref="AE2115:AE2178" si="99">SUBTOTAL(103,E2115)</f>
        <v>1</v>
      </c>
      <c r="AF2115">
        <f>VLOOKUP(D2115,especies!$A$2:$C$9,3,FALSE)</f>
        <v>1</v>
      </c>
      <c r="AG2115" t="str">
        <f t="shared" ref="AG2115:AG2178" si="100">AF2115&amp;"-"&amp;E2115</f>
        <v>1-Mestizo</v>
      </c>
      <c r="AH2115">
        <f>VLOOKUP('Fichas clínicas'!AG2115,razas!$A$2:$D$66,3,FALSE)</f>
        <v>1</v>
      </c>
      <c r="AI2115" t="str">
        <f t="shared" ref="AI2115:AI2178" si="101">IF(F2115="Hembra","H","M")</f>
        <v>M</v>
      </c>
    </row>
    <row r="2116" spans="1:35" x14ac:dyDescent="0.2">
      <c r="A2116">
        <v>2118</v>
      </c>
      <c r="B2116" t="s">
        <v>4562</v>
      </c>
      <c r="C2116" t="s">
        <v>4563</v>
      </c>
      <c r="D2116" t="s">
        <v>41</v>
      </c>
      <c r="E2116" t="s">
        <v>42</v>
      </c>
      <c r="F2116" t="s">
        <v>34</v>
      </c>
      <c r="G2116" t="s">
        <v>526</v>
      </c>
      <c r="J2116" t="s">
        <v>4564</v>
      </c>
      <c r="K2116" t="s">
        <v>38</v>
      </c>
      <c r="L2116" t="s">
        <v>38</v>
      </c>
      <c r="M2116" t="s">
        <v>38</v>
      </c>
      <c r="N2116" t="s">
        <v>38</v>
      </c>
      <c r="O2116" t="s">
        <v>38</v>
      </c>
      <c r="T2116" t="s">
        <v>38</v>
      </c>
      <c r="U2116">
        <v>0</v>
      </c>
      <c r="W2116">
        <v>0</v>
      </c>
      <c r="X2116">
        <v>0</v>
      </c>
      <c r="Y2116">
        <v>0</v>
      </c>
      <c r="AE2116">
        <f t="shared" si="99"/>
        <v>1</v>
      </c>
      <c r="AF2116">
        <f>VLOOKUP(D2116,especies!$A$2:$C$9,3,FALSE)</f>
        <v>2</v>
      </c>
      <c r="AG2116" t="str">
        <f t="shared" si="100"/>
        <v>2-DPC (Doméstico de pelo corto o DSH)</v>
      </c>
      <c r="AH2116">
        <f>VLOOKUP('Fichas clínicas'!AG2116,razas!$A$2:$D$66,3,FALSE)</f>
        <v>51</v>
      </c>
      <c r="AI2116" t="str">
        <f t="shared" si="101"/>
        <v>H</v>
      </c>
    </row>
    <row r="2117" spans="1:35" x14ac:dyDescent="0.2">
      <c r="A2117">
        <v>2119</v>
      </c>
      <c r="B2117" t="s">
        <v>4565</v>
      </c>
      <c r="C2117" t="s">
        <v>4566</v>
      </c>
      <c r="D2117" t="s">
        <v>41</v>
      </c>
      <c r="E2117" t="s">
        <v>42</v>
      </c>
      <c r="F2117" t="s">
        <v>34</v>
      </c>
      <c r="G2117" t="s">
        <v>587</v>
      </c>
      <c r="J2117" t="s">
        <v>4567</v>
      </c>
      <c r="K2117" t="s">
        <v>38</v>
      </c>
      <c r="L2117" t="s">
        <v>38</v>
      </c>
      <c r="M2117" t="s">
        <v>38</v>
      </c>
      <c r="N2117" t="s">
        <v>38</v>
      </c>
      <c r="O2117" t="s">
        <v>38</v>
      </c>
      <c r="T2117" t="s">
        <v>38</v>
      </c>
      <c r="U2117">
        <v>0</v>
      </c>
      <c r="V2117">
        <v>1</v>
      </c>
      <c r="W2117">
        <v>0</v>
      </c>
      <c r="X2117">
        <v>0</v>
      </c>
      <c r="Y2117">
        <v>0</v>
      </c>
      <c r="AE2117">
        <f t="shared" si="99"/>
        <v>1</v>
      </c>
      <c r="AF2117">
        <f>VLOOKUP(D2117,especies!$A$2:$C$9,3,FALSE)</f>
        <v>2</v>
      </c>
      <c r="AG2117" t="str">
        <f t="shared" si="100"/>
        <v>2-DPC (Doméstico de pelo corto o DSH)</v>
      </c>
      <c r="AH2117">
        <f>VLOOKUP('Fichas clínicas'!AG2117,razas!$A$2:$D$66,3,FALSE)</f>
        <v>51</v>
      </c>
      <c r="AI2117" t="str">
        <f t="shared" si="101"/>
        <v>H</v>
      </c>
    </row>
    <row r="2118" spans="1:35" x14ac:dyDescent="0.2">
      <c r="A2118">
        <v>2120</v>
      </c>
      <c r="B2118" t="s">
        <v>4568</v>
      </c>
      <c r="C2118" t="s">
        <v>4569</v>
      </c>
      <c r="D2118" t="s">
        <v>32</v>
      </c>
      <c r="E2118" t="s">
        <v>33</v>
      </c>
      <c r="F2118" t="s">
        <v>47</v>
      </c>
      <c r="G2118" t="s">
        <v>452</v>
      </c>
      <c r="J2118" t="s">
        <v>3006</v>
      </c>
      <c r="K2118" t="s">
        <v>38</v>
      </c>
      <c r="L2118" t="s">
        <v>38</v>
      </c>
      <c r="M2118" t="s">
        <v>38</v>
      </c>
      <c r="N2118" t="s">
        <v>38</v>
      </c>
      <c r="O2118" t="s">
        <v>38</v>
      </c>
      <c r="T2118" t="s">
        <v>38</v>
      </c>
      <c r="U2118">
        <v>0</v>
      </c>
      <c r="V2118">
        <v>1</v>
      </c>
      <c r="W2118">
        <v>0</v>
      </c>
      <c r="X2118">
        <v>0</v>
      </c>
      <c r="Y2118">
        <v>0</v>
      </c>
      <c r="AE2118">
        <f t="shared" si="99"/>
        <v>1</v>
      </c>
      <c r="AF2118">
        <f>VLOOKUP(D2118,especies!$A$2:$C$9,3,FALSE)</f>
        <v>1</v>
      </c>
      <c r="AG2118" t="str">
        <f t="shared" si="100"/>
        <v>1-Mestizo</v>
      </c>
      <c r="AH2118">
        <f>VLOOKUP('Fichas clínicas'!AG2118,razas!$A$2:$D$66,3,FALSE)</f>
        <v>1</v>
      </c>
      <c r="AI2118" t="str">
        <f t="shared" si="101"/>
        <v>M</v>
      </c>
    </row>
    <row r="2119" spans="1:35" x14ac:dyDescent="0.2">
      <c r="A2119">
        <v>2121</v>
      </c>
      <c r="B2119" t="s">
        <v>4570</v>
      </c>
      <c r="C2119" t="s">
        <v>3351</v>
      </c>
      <c r="D2119" t="s">
        <v>41</v>
      </c>
      <c r="E2119" t="s">
        <v>42</v>
      </c>
      <c r="F2119" t="s">
        <v>47</v>
      </c>
      <c r="G2119" t="s">
        <v>1769</v>
      </c>
      <c r="J2119" t="s">
        <v>1099</v>
      </c>
      <c r="K2119" t="s">
        <v>38</v>
      </c>
      <c r="L2119" t="s">
        <v>38</v>
      </c>
      <c r="M2119" t="s">
        <v>38</v>
      </c>
      <c r="N2119" t="s">
        <v>38</v>
      </c>
      <c r="O2119" t="s">
        <v>38</v>
      </c>
      <c r="T2119" t="s">
        <v>38</v>
      </c>
      <c r="U2119">
        <v>0</v>
      </c>
      <c r="V2119">
        <v>1</v>
      </c>
      <c r="W2119">
        <v>0</v>
      </c>
      <c r="X2119">
        <v>0</v>
      </c>
      <c r="Y2119">
        <v>0</v>
      </c>
      <c r="AE2119">
        <f t="shared" si="99"/>
        <v>1</v>
      </c>
      <c r="AF2119">
        <f>VLOOKUP(D2119,especies!$A$2:$C$9,3,FALSE)</f>
        <v>2</v>
      </c>
      <c r="AG2119" t="str">
        <f t="shared" si="100"/>
        <v>2-DPC (Doméstico de pelo corto o DSH)</v>
      </c>
      <c r="AH2119">
        <f>VLOOKUP('Fichas clínicas'!AG2119,razas!$A$2:$D$66,3,FALSE)</f>
        <v>51</v>
      </c>
      <c r="AI2119" t="str">
        <f t="shared" si="101"/>
        <v>M</v>
      </c>
    </row>
    <row r="2120" spans="1:35" x14ac:dyDescent="0.2">
      <c r="A2120">
        <v>2122</v>
      </c>
      <c r="B2120" t="s">
        <v>4571</v>
      </c>
      <c r="C2120" t="s">
        <v>1927</v>
      </c>
      <c r="D2120" t="s">
        <v>32</v>
      </c>
      <c r="E2120" t="s">
        <v>508</v>
      </c>
      <c r="F2120" t="s">
        <v>47</v>
      </c>
      <c r="G2120" t="s">
        <v>1402</v>
      </c>
      <c r="J2120" t="s">
        <v>4572</v>
      </c>
      <c r="K2120" t="s">
        <v>38</v>
      </c>
      <c r="L2120" t="s">
        <v>38</v>
      </c>
      <c r="M2120" t="s">
        <v>38</v>
      </c>
      <c r="N2120" t="s">
        <v>38</v>
      </c>
      <c r="O2120" t="s">
        <v>38</v>
      </c>
      <c r="T2120" t="s">
        <v>38</v>
      </c>
      <c r="U2120">
        <v>0</v>
      </c>
      <c r="W2120">
        <v>0</v>
      </c>
      <c r="X2120">
        <v>0</v>
      </c>
      <c r="Y2120">
        <v>0</v>
      </c>
      <c r="AE2120">
        <f t="shared" si="99"/>
        <v>1</v>
      </c>
      <c r="AF2120">
        <f>VLOOKUP(D2120,especies!$A$2:$C$9,3,FALSE)</f>
        <v>1</v>
      </c>
      <c r="AG2120" t="str">
        <f t="shared" si="100"/>
        <v>1-Akita Americano</v>
      </c>
      <c r="AH2120">
        <f>VLOOKUP('Fichas clínicas'!AG2120,razas!$A$2:$D$66,3,FALSE)</f>
        <v>15</v>
      </c>
      <c r="AI2120" t="str">
        <f t="shared" si="101"/>
        <v>M</v>
      </c>
    </row>
    <row r="2121" spans="1:35" x14ac:dyDescent="0.2">
      <c r="A2121">
        <v>2123</v>
      </c>
      <c r="B2121" t="s">
        <v>4573</v>
      </c>
      <c r="C2121" t="s">
        <v>4574</v>
      </c>
      <c r="D2121" t="s">
        <v>41</v>
      </c>
      <c r="E2121" t="s">
        <v>93</v>
      </c>
      <c r="F2121" t="s">
        <v>34</v>
      </c>
      <c r="G2121" t="s">
        <v>4575</v>
      </c>
      <c r="J2121" t="s">
        <v>4576</v>
      </c>
      <c r="K2121" t="s">
        <v>38</v>
      </c>
      <c r="L2121" t="s">
        <v>38</v>
      </c>
      <c r="M2121" t="s">
        <v>38</v>
      </c>
      <c r="N2121" t="s">
        <v>38</v>
      </c>
      <c r="O2121" t="s">
        <v>38</v>
      </c>
      <c r="Q2121">
        <v>0</v>
      </c>
      <c r="T2121" t="s">
        <v>38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f t="shared" si="99"/>
        <v>1</v>
      </c>
      <c r="AF2121">
        <f>VLOOKUP(D2121,especies!$A$2:$C$9,3,FALSE)</f>
        <v>2</v>
      </c>
      <c r="AG2121" t="str">
        <f t="shared" si="100"/>
        <v>2-DPL (Doméstico de pelo Largo o DLH)</v>
      </c>
      <c r="AH2121">
        <f>VLOOKUP('Fichas clínicas'!AG2121,razas!$A$2:$D$66,3,FALSE)</f>
        <v>52</v>
      </c>
      <c r="AI2121" t="str">
        <f t="shared" si="101"/>
        <v>H</v>
      </c>
    </row>
    <row r="2122" spans="1:35" x14ac:dyDescent="0.2">
      <c r="A2122">
        <v>2124</v>
      </c>
      <c r="B2122" t="s">
        <v>3080</v>
      </c>
      <c r="C2122" t="s">
        <v>4577</v>
      </c>
      <c r="D2122" t="s">
        <v>32</v>
      </c>
      <c r="E2122" t="s">
        <v>33</v>
      </c>
      <c r="F2122" t="s">
        <v>34</v>
      </c>
      <c r="G2122" t="s">
        <v>587</v>
      </c>
      <c r="J2122" t="s">
        <v>4578</v>
      </c>
      <c r="K2122" t="s">
        <v>38</v>
      </c>
      <c r="L2122" t="s">
        <v>38</v>
      </c>
      <c r="M2122" t="s">
        <v>38</v>
      </c>
      <c r="N2122" t="s">
        <v>38</v>
      </c>
      <c r="O2122" t="s">
        <v>38</v>
      </c>
      <c r="Q2122">
        <v>0</v>
      </c>
      <c r="T2122" t="s">
        <v>38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f t="shared" si="99"/>
        <v>1</v>
      </c>
      <c r="AF2122">
        <f>VLOOKUP(D2122,especies!$A$2:$C$9,3,FALSE)</f>
        <v>1</v>
      </c>
      <c r="AG2122" t="str">
        <f t="shared" si="100"/>
        <v>1-Mestizo</v>
      </c>
      <c r="AH2122">
        <f>VLOOKUP('Fichas clínicas'!AG2122,razas!$A$2:$D$66,3,FALSE)</f>
        <v>1</v>
      </c>
      <c r="AI2122" t="str">
        <f t="shared" si="101"/>
        <v>H</v>
      </c>
    </row>
    <row r="2123" spans="1:35" x14ac:dyDescent="0.2">
      <c r="A2123">
        <v>2125</v>
      </c>
      <c r="B2123" t="s">
        <v>4579</v>
      </c>
      <c r="C2123" t="s">
        <v>4153</v>
      </c>
      <c r="D2123" t="s">
        <v>41</v>
      </c>
      <c r="E2123" t="s">
        <v>42</v>
      </c>
      <c r="F2123" t="s">
        <v>47</v>
      </c>
      <c r="G2123" t="s">
        <v>2726</v>
      </c>
      <c r="J2123" t="s">
        <v>3993</v>
      </c>
      <c r="K2123" t="s">
        <v>38</v>
      </c>
      <c r="L2123" t="s">
        <v>38</v>
      </c>
      <c r="M2123" t="s">
        <v>38</v>
      </c>
      <c r="N2123" t="s">
        <v>38</v>
      </c>
      <c r="O2123" t="s">
        <v>38</v>
      </c>
      <c r="T2123" t="s">
        <v>38</v>
      </c>
      <c r="U2123">
        <v>0</v>
      </c>
      <c r="V2123">
        <v>1</v>
      </c>
      <c r="W2123">
        <v>0</v>
      </c>
      <c r="X2123">
        <v>0</v>
      </c>
      <c r="Y2123">
        <v>0</v>
      </c>
      <c r="AE2123">
        <f t="shared" si="99"/>
        <v>1</v>
      </c>
      <c r="AF2123">
        <f>VLOOKUP(D2123,especies!$A$2:$C$9,3,FALSE)</f>
        <v>2</v>
      </c>
      <c r="AG2123" t="str">
        <f t="shared" si="100"/>
        <v>2-DPC (Doméstico de pelo corto o DSH)</v>
      </c>
      <c r="AH2123">
        <f>VLOOKUP('Fichas clínicas'!AG2123,razas!$A$2:$D$66,3,FALSE)</f>
        <v>51</v>
      </c>
      <c r="AI2123" t="str">
        <f t="shared" si="101"/>
        <v>M</v>
      </c>
    </row>
    <row r="2124" spans="1:35" x14ac:dyDescent="0.2">
      <c r="A2124">
        <v>2126</v>
      </c>
      <c r="B2124" t="s">
        <v>4580</v>
      </c>
      <c r="C2124" t="s">
        <v>4581</v>
      </c>
      <c r="D2124" t="s">
        <v>32</v>
      </c>
      <c r="E2124" t="s">
        <v>33</v>
      </c>
      <c r="F2124" t="s">
        <v>47</v>
      </c>
      <c r="G2124" t="s">
        <v>1656</v>
      </c>
      <c r="J2124" t="s">
        <v>4582</v>
      </c>
      <c r="K2124" t="s">
        <v>38</v>
      </c>
      <c r="L2124" t="s">
        <v>38</v>
      </c>
      <c r="M2124" t="s">
        <v>38</v>
      </c>
      <c r="N2124" t="s">
        <v>38</v>
      </c>
      <c r="O2124" t="s">
        <v>38</v>
      </c>
      <c r="T2124" t="s">
        <v>38</v>
      </c>
      <c r="U2124">
        <v>0</v>
      </c>
      <c r="V2124">
        <v>1</v>
      </c>
      <c r="W2124">
        <v>0</v>
      </c>
      <c r="X2124">
        <v>0</v>
      </c>
      <c r="Y2124">
        <v>0</v>
      </c>
      <c r="AE2124">
        <f t="shared" si="99"/>
        <v>1</v>
      </c>
      <c r="AF2124">
        <f>VLOOKUP(D2124,especies!$A$2:$C$9,3,FALSE)</f>
        <v>1</v>
      </c>
      <c r="AG2124" t="str">
        <f t="shared" si="100"/>
        <v>1-Mestizo</v>
      </c>
      <c r="AH2124">
        <f>VLOOKUP('Fichas clínicas'!AG2124,razas!$A$2:$D$66,3,FALSE)</f>
        <v>1</v>
      </c>
      <c r="AI2124" t="str">
        <f t="shared" si="101"/>
        <v>M</v>
      </c>
    </row>
    <row r="2125" spans="1:35" x14ac:dyDescent="0.2">
      <c r="A2125">
        <v>2127</v>
      </c>
      <c r="B2125" t="s">
        <v>4583</v>
      </c>
      <c r="C2125" t="s">
        <v>4584</v>
      </c>
      <c r="D2125" t="s">
        <v>41</v>
      </c>
      <c r="E2125" t="s">
        <v>93</v>
      </c>
      <c r="F2125" t="s">
        <v>47</v>
      </c>
      <c r="G2125" t="s">
        <v>2851</v>
      </c>
      <c r="J2125" t="s">
        <v>4408</v>
      </c>
      <c r="K2125" t="s">
        <v>38</v>
      </c>
      <c r="L2125" t="s">
        <v>38</v>
      </c>
      <c r="M2125" t="s">
        <v>38</v>
      </c>
      <c r="N2125" t="s">
        <v>38</v>
      </c>
      <c r="O2125" t="s">
        <v>38</v>
      </c>
      <c r="Q2125">
        <v>0</v>
      </c>
      <c r="T2125" t="s">
        <v>38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f t="shared" si="99"/>
        <v>1</v>
      </c>
      <c r="AF2125">
        <f>VLOOKUP(D2125,especies!$A$2:$C$9,3,FALSE)</f>
        <v>2</v>
      </c>
      <c r="AG2125" t="str">
        <f t="shared" si="100"/>
        <v>2-DPL (Doméstico de pelo Largo o DLH)</v>
      </c>
      <c r="AH2125">
        <f>VLOOKUP('Fichas clínicas'!AG2125,razas!$A$2:$D$66,3,FALSE)</f>
        <v>52</v>
      </c>
      <c r="AI2125" t="str">
        <f t="shared" si="101"/>
        <v>M</v>
      </c>
    </row>
    <row r="2126" spans="1:35" x14ac:dyDescent="0.2">
      <c r="A2126">
        <v>2128</v>
      </c>
      <c r="B2126" t="s">
        <v>4585</v>
      </c>
      <c r="C2126" t="s">
        <v>4586</v>
      </c>
      <c r="D2126" t="s">
        <v>32</v>
      </c>
      <c r="E2126" t="s">
        <v>33</v>
      </c>
      <c r="F2126" t="s">
        <v>47</v>
      </c>
      <c r="G2126" t="s">
        <v>199</v>
      </c>
      <c r="J2126" t="s">
        <v>330</v>
      </c>
      <c r="K2126" t="s">
        <v>38</v>
      </c>
      <c r="L2126" t="s">
        <v>38</v>
      </c>
      <c r="M2126" t="s">
        <v>38</v>
      </c>
      <c r="N2126" t="s">
        <v>38</v>
      </c>
      <c r="O2126" t="s">
        <v>38</v>
      </c>
      <c r="T2126" t="s">
        <v>38</v>
      </c>
      <c r="U2126">
        <v>0</v>
      </c>
      <c r="W2126">
        <v>0</v>
      </c>
      <c r="X2126">
        <v>0</v>
      </c>
      <c r="Y2126">
        <v>0</v>
      </c>
      <c r="AE2126">
        <f t="shared" si="99"/>
        <v>1</v>
      </c>
      <c r="AF2126">
        <f>VLOOKUP(D2126,especies!$A$2:$C$9,3,FALSE)</f>
        <v>1</v>
      </c>
      <c r="AG2126" t="str">
        <f t="shared" si="100"/>
        <v>1-Mestizo</v>
      </c>
      <c r="AH2126">
        <f>VLOOKUP('Fichas clínicas'!AG2126,razas!$A$2:$D$66,3,FALSE)</f>
        <v>1</v>
      </c>
      <c r="AI2126" t="str">
        <f t="shared" si="101"/>
        <v>M</v>
      </c>
    </row>
    <row r="2127" spans="1:35" x14ac:dyDescent="0.2">
      <c r="A2127">
        <v>2129</v>
      </c>
      <c r="B2127" t="s">
        <v>4587</v>
      </c>
      <c r="C2127" t="s">
        <v>3484</v>
      </c>
      <c r="D2127" t="s">
        <v>32</v>
      </c>
      <c r="E2127" t="s">
        <v>33</v>
      </c>
      <c r="F2127" t="s">
        <v>47</v>
      </c>
      <c r="G2127" t="s">
        <v>3913</v>
      </c>
      <c r="J2127" t="s">
        <v>4588</v>
      </c>
      <c r="K2127" t="s">
        <v>38</v>
      </c>
      <c r="L2127" t="s">
        <v>38</v>
      </c>
      <c r="M2127" t="s">
        <v>38</v>
      </c>
      <c r="N2127" t="s">
        <v>38</v>
      </c>
      <c r="O2127" t="s">
        <v>38</v>
      </c>
      <c r="T2127" t="s">
        <v>38</v>
      </c>
      <c r="U2127">
        <v>0</v>
      </c>
      <c r="W2127">
        <v>0</v>
      </c>
      <c r="X2127">
        <v>0</v>
      </c>
      <c r="Y2127">
        <v>0</v>
      </c>
      <c r="AE2127">
        <f t="shared" si="99"/>
        <v>1</v>
      </c>
      <c r="AF2127">
        <f>VLOOKUP(D2127,especies!$A$2:$C$9,3,FALSE)</f>
        <v>1</v>
      </c>
      <c r="AG2127" t="str">
        <f t="shared" si="100"/>
        <v>1-Mestizo</v>
      </c>
      <c r="AH2127">
        <f>VLOOKUP('Fichas clínicas'!AG2127,razas!$A$2:$D$66,3,FALSE)</f>
        <v>1</v>
      </c>
      <c r="AI2127" t="str">
        <f t="shared" si="101"/>
        <v>M</v>
      </c>
    </row>
    <row r="2128" spans="1:35" x14ac:dyDescent="0.2">
      <c r="A2128">
        <v>2130</v>
      </c>
      <c r="B2128" t="s">
        <v>4398</v>
      </c>
      <c r="C2128" t="s">
        <v>4589</v>
      </c>
      <c r="D2128" t="s">
        <v>41</v>
      </c>
      <c r="E2128" t="s">
        <v>42</v>
      </c>
      <c r="F2128" t="s">
        <v>34</v>
      </c>
      <c r="G2128" t="s">
        <v>43</v>
      </c>
      <c r="I2128">
        <v>991003001868789</v>
      </c>
      <c r="J2128" t="s">
        <v>410</v>
      </c>
      <c r="K2128" t="s">
        <v>38</v>
      </c>
      <c r="L2128" t="s">
        <v>38</v>
      </c>
      <c r="M2128" t="s">
        <v>38</v>
      </c>
      <c r="N2128" t="s">
        <v>38</v>
      </c>
      <c r="O2128" t="s">
        <v>38</v>
      </c>
      <c r="Q2128">
        <v>0</v>
      </c>
      <c r="T2128" t="s">
        <v>38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f t="shared" si="99"/>
        <v>1</v>
      </c>
      <c r="AF2128">
        <f>VLOOKUP(D2128,especies!$A$2:$C$9,3,FALSE)</f>
        <v>2</v>
      </c>
      <c r="AG2128" t="str">
        <f t="shared" si="100"/>
        <v>2-DPC (Doméstico de pelo corto o DSH)</v>
      </c>
      <c r="AH2128">
        <f>VLOOKUP('Fichas clínicas'!AG2128,razas!$A$2:$D$66,3,FALSE)</f>
        <v>51</v>
      </c>
      <c r="AI2128" t="str">
        <f t="shared" si="101"/>
        <v>H</v>
      </c>
    </row>
    <row r="2129" spans="1:35" x14ac:dyDescent="0.2">
      <c r="A2129">
        <v>2131</v>
      </c>
      <c r="B2129" t="s">
        <v>3106</v>
      </c>
      <c r="C2129" t="s">
        <v>76</v>
      </c>
      <c r="D2129" t="s">
        <v>41</v>
      </c>
      <c r="E2129" t="s">
        <v>42</v>
      </c>
      <c r="F2129" t="s">
        <v>47</v>
      </c>
      <c r="G2129" t="s">
        <v>284</v>
      </c>
      <c r="J2129" t="s">
        <v>3777</v>
      </c>
      <c r="K2129" t="s">
        <v>38</v>
      </c>
      <c r="L2129" t="s">
        <v>38</v>
      </c>
      <c r="M2129" t="s">
        <v>38</v>
      </c>
      <c r="N2129" t="s">
        <v>38</v>
      </c>
      <c r="O2129" t="s">
        <v>38</v>
      </c>
      <c r="T2129" t="s">
        <v>38</v>
      </c>
      <c r="U2129">
        <v>0</v>
      </c>
      <c r="W2129">
        <v>0</v>
      </c>
      <c r="X2129">
        <v>0</v>
      </c>
      <c r="Y2129">
        <v>0</v>
      </c>
      <c r="AE2129">
        <f t="shared" si="99"/>
        <v>1</v>
      </c>
      <c r="AF2129">
        <f>VLOOKUP(D2129,especies!$A$2:$C$9,3,FALSE)</f>
        <v>2</v>
      </c>
      <c r="AG2129" t="str">
        <f t="shared" si="100"/>
        <v>2-DPC (Doméstico de pelo corto o DSH)</v>
      </c>
      <c r="AH2129">
        <f>VLOOKUP('Fichas clínicas'!AG2129,razas!$A$2:$D$66,3,FALSE)</f>
        <v>51</v>
      </c>
      <c r="AI2129" t="str">
        <f t="shared" si="101"/>
        <v>M</v>
      </c>
    </row>
    <row r="2130" spans="1:35" x14ac:dyDescent="0.2">
      <c r="A2130">
        <v>2132</v>
      </c>
      <c r="B2130" t="s">
        <v>4590</v>
      </c>
      <c r="C2130" t="s">
        <v>4591</v>
      </c>
      <c r="D2130" t="s">
        <v>41</v>
      </c>
      <c r="E2130" t="s">
        <v>42</v>
      </c>
      <c r="F2130" t="s">
        <v>34</v>
      </c>
      <c r="G2130" t="s">
        <v>4386</v>
      </c>
      <c r="J2130" t="s">
        <v>4592</v>
      </c>
      <c r="K2130" t="s">
        <v>38</v>
      </c>
      <c r="L2130" t="s">
        <v>38</v>
      </c>
      <c r="M2130" t="s">
        <v>38</v>
      </c>
      <c r="N2130" t="s">
        <v>38</v>
      </c>
      <c r="O2130" t="s">
        <v>38</v>
      </c>
      <c r="T2130" t="s">
        <v>38</v>
      </c>
      <c r="U2130">
        <v>0</v>
      </c>
      <c r="W2130">
        <v>0</v>
      </c>
      <c r="X2130">
        <v>0</v>
      </c>
      <c r="Y2130">
        <v>0</v>
      </c>
      <c r="AE2130">
        <f t="shared" si="99"/>
        <v>1</v>
      </c>
      <c r="AF2130">
        <f>VLOOKUP(D2130,especies!$A$2:$C$9,3,FALSE)</f>
        <v>2</v>
      </c>
      <c r="AG2130" t="str">
        <f t="shared" si="100"/>
        <v>2-DPC (Doméstico de pelo corto o DSH)</v>
      </c>
      <c r="AH2130">
        <f>VLOOKUP('Fichas clínicas'!AG2130,razas!$A$2:$D$66,3,FALSE)</f>
        <v>51</v>
      </c>
      <c r="AI2130" t="str">
        <f t="shared" si="101"/>
        <v>H</v>
      </c>
    </row>
    <row r="2131" spans="1:35" x14ac:dyDescent="0.2">
      <c r="A2131">
        <v>2133</v>
      </c>
      <c r="B2131" t="s">
        <v>4593</v>
      </c>
      <c r="C2131" t="s">
        <v>4594</v>
      </c>
      <c r="D2131" t="s">
        <v>41</v>
      </c>
      <c r="E2131" t="s">
        <v>42</v>
      </c>
      <c r="F2131" t="s">
        <v>34</v>
      </c>
      <c r="G2131" t="s">
        <v>2889</v>
      </c>
      <c r="J2131" t="s">
        <v>3993</v>
      </c>
      <c r="K2131" t="s">
        <v>38</v>
      </c>
      <c r="L2131" t="s">
        <v>38</v>
      </c>
      <c r="M2131" t="s">
        <v>38</v>
      </c>
      <c r="N2131" t="s">
        <v>38</v>
      </c>
      <c r="O2131" t="s">
        <v>38</v>
      </c>
      <c r="Q2131">
        <v>1</v>
      </c>
      <c r="T2131" t="s">
        <v>38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f t="shared" si="99"/>
        <v>1</v>
      </c>
      <c r="AF2131">
        <f>VLOOKUP(D2131,especies!$A$2:$C$9,3,FALSE)</f>
        <v>2</v>
      </c>
      <c r="AG2131" t="str">
        <f t="shared" si="100"/>
        <v>2-DPC (Doméstico de pelo corto o DSH)</v>
      </c>
      <c r="AH2131">
        <f>VLOOKUP('Fichas clínicas'!AG2131,razas!$A$2:$D$66,3,FALSE)</f>
        <v>51</v>
      </c>
      <c r="AI2131" t="str">
        <f t="shared" si="101"/>
        <v>H</v>
      </c>
    </row>
    <row r="2132" spans="1:35" x14ac:dyDescent="0.2">
      <c r="A2132">
        <v>2134</v>
      </c>
      <c r="B2132" t="s">
        <v>4593</v>
      </c>
      <c r="C2132" t="s">
        <v>4349</v>
      </c>
      <c r="D2132" t="s">
        <v>41</v>
      </c>
      <c r="E2132" t="s">
        <v>42</v>
      </c>
      <c r="F2132" t="s">
        <v>47</v>
      </c>
      <c r="G2132" t="s">
        <v>102</v>
      </c>
      <c r="J2132" t="s">
        <v>3777</v>
      </c>
      <c r="K2132" t="s">
        <v>38</v>
      </c>
      <c r="L2132" t="s">
        <v>38</v>
      </c>
      <c r="M2132" t="s">
        <v>38</v>
      </c>
      <c r="N2132" t="s">
        <v>38</v>
      </c>
      <c r="O2132" t="s">
        <v>38</v>
      </c>
      <c r="T2132" t="s">
        <v>38</v>
      </c>
      <c r="U2132">
        <v>0</v>
      </c>
      <c r="V2132">
        <v>1</v>
      </c>
      <c r="W2132">
        <v>0</v>
      </c>
      <c r="X2132">
        <v>0</v>
      </c>
      <c r="Y2132">
        <v>0</v>
      </c>
      <c r="AE2132">
        <f t="shared" si="99"/>
        <v>1</v>
      </c>
      <c r="AF2132">
        <f>VLOOKUP(D2132,especies!$A$2:$C$9,3,FALSE)</f>
        <v>2</v>
      </c>
      <c r="AG2132" t="str">
        <f t="shared" si="100"/>
        <v>2-DPC (Doméstico de pelo corto o DSH)</v>
      </c>
      <c r="AH2132">
        <f>VLOOKUP('Fichas clínicas'!AG2132,razas!$A$2:$D$66,3,FALSE)</f>
        <v>51</v>
      </c>
      <c r="AI2132" t="str">
        <f t="shared" si="101"/>
        <v>M</v>
      </c>
    </row>
    <row r="2133" spans="1:35" x14ac:dyDescent="0.2">
      <c r="A2133">
        <v>2135</v>
      </c>
      <c r="B2133" t="s">
        <v>4595</v>
      </c>
      <c r="C2133" t="s">
        <v>1851</v>
      </c>
      <c r="D2133" t="s">
        <v>32</v>
      </c>
      <c r="E2133" t="s">
        <v>33</v>
      </c>
      <c r="F2133" t="s">
        <v>47</v>
      </c>
      <c r="G2133" t="s">
        <v>2267</v>
      </c>
      <c r="J2133" t="s">
        <v>4596</v>
      </c>
      <c r="K2133" t="s">
        <v>38</v>
      </c>
      <c r="L2133" t="s">
        <v>38</v>
      </c>
      <c r="M2133" t="s">
        <v>38</v>
      </c>
      <c r="N2133" t="s">
        <v>38</v>
      </c>
      <c r="O2133" t="s">
        <v>38</v>
      </c>
      <c r="T2133" t="s">
        <v>38</v>
      </c>
      <c r="U2133">
        <v>0</v>
      </c>
      <c r="W2133">
        <v>0</v>
      </c>
      <c r="X2133">
        <v>0</v>
      </c>
      <c r="Y2133">
        <v>0</v>
      </c>
      <c r="AE2133">
        <f t="shared" si="99"/>
        <v>1</v>
      </c>
      <c r="AF2133">
        <f>VLOOKUP(D2133,especies!$A$2:$C$9,3,FALSE)</f>
        <v>1</v>
      </c>
      <c r="AG2133" t="str">
        <f t="shared" si="100"/>
        <v>1-Mestizo</v>
      </c>
      <c r="AH2133">
        <f>VLOOKUP('Fichas clínicas'!AG2133,razas!$A$2:$D$66,3,FALSE)</f>
        <v>1</v>
      </c>
      <c r="AI2133" t="str">
        <f t="shared" si="101"/>
        <v>M</v>
      </c>
    </row>
    <row r="2134" spans="1:35" x14ac:dyDescent="0.2">
      <c r="A2134">
        <v>2136</v>
      </c>
      <c r="B2134" t="s">
        <v>4597</v>
      </c>
      <c r="C2134" t="s">
        <v>4598</v>
      </c>
      <c r="D2134" t="s">
        <v>41</v>
      </c>
      <c r="E2134" t="s">
        <v>42</v>
      </c>
      <c r="F2134" t="s">
        <v>47</v>
      </c>
      <c r="G2134" t="s">
        <v>616</v>
      </c>
      <c r="J2134" t="s">
        <v>4599</v>
      </c>
      <c r="K2134" t="s">
        <v>38</v>
      </c>
      <c r="L2134" t="s">
        <v>38</v>
      </c>
      <c r="M2134" t="s">
        <v>38</v>
      </c>
      <c r="N2134" t="s">
        <v>38</v>
      </c>
      <c r="O2134" t="s">
        <v>38</v>
      </c>
      <c r="T2134" t="s">
        <v>38</v>
      </c>
      <c r="U2134">
        <v>0</v>
      </c>
      <c r="V2134">
        <v>1</v>
      </c>
      <c r="W2134">
        <v>0</v>
      </c>
      <c r="X2134">
        <v>0</v>
      </c>
      <c r="Y2134">
        <v>0</v>
      </c>
      <c r="AE2134">
        <f t="shared" si="99"/>
        <v>1</v>
      </c>
      <c r="AF2134">
        <f>VLOOKUP(D2134,especies!$A$2:$C$9,3,FALSE)</f>
        <v>2</v>
      </c>
      <c r="AG2134" t="str">
        <f t="shared" si="100"/>
        <v>2-DPC (Doméstico de pelo corto o DSH)</v>
      </c>
      <c r="AH2134">
        <f>VLOOKUP('Fichas clínicas'!AG2134,razas!$A$2:$D$66,3,FALSE)</f>
        <v>51</v>
      </c>
      <c r="AI2134" t="str">
        <f t="shared" si="101"/>
        <v>M</v>
      </c>
    </row>
    <row r="2135" spans="1:35" x14ac:dyDescent="0.2">
      <c r="A2135">
        <v>2137</v>
      </c>
      <c r="B2135" t="s">
        <v>4597</v>
      </c>
      <c r="C2135" t="s">
        <v>4437</v>
      </c>
      <c r="D2135" t="s">
        <v>41</v>
      </c>
      <c r="E2135" t="s">
        <v>93</v>
      </c>
      <c r="F2135" t="s">
        <v>47</v>
      </c>
      <c r="G2135" t="s">
        <v>698</v>
      </c>
      <c r="J2135" t="s">
        <v>4599</v>
      </c>
      <c r="K2135" t="s">
        <v>38</v>
      </c>
      <c r="L2135" t="s">
        <v>38</v>
      </c>
      <c r="M2135" t="s">
        <v>38</v>
      </c>
      <c r="N2135" t="s">
        <v>38</v>
      </c>
      <c r="O2135" t="s">
        <v>38</v>
      </c>
      <c r="T2135" t="s">
        <v>38</v>
      </c>
      <c r="U2135">
        <v>0</v>
      </c>
      <c r="V2135">
        <v>1</v>
      </c>
      <c r="W2135">
        <v>0</v>
      </c>
      <c r="X2135">
        <v>0</v>
      </c>
      <c r="Y2135">
        <v>0</v>
      </c>
      <c r="AE2135">
        <f t="shared" si="99"/>
        <v>1</v>
      </c>
      <c r="AF2135">
        <f>VLOOKUP(D2135,especies!$A$2:$C$9,3,FALSE)</f>
        <v>2</v>
      </c>
      <c r="AG2135" t="str">
        <f t="shared" si="100"/>
        <v>2-DPL (Doméstico de pelo Largo o DLH)</v>
      </c>
      <c r="AH2135">
        <f>VLOOKUP('Fichas clínicas'!AG2135,razas!$A$2:$D$66,3,FALSE)</f>
        <v>52</v>
      </c>
      <c r="AI2135" t="str">
        <f t="shared" si="101"/>
        <v>M</v>
      </c>
    </row>
    <row r="2136" spans="1:35" x14ac:dyDescent="0.2">
      <c r="A2136">
        <v>2138</v>
      </c>
      <c r="B2136" t="s">
        <v>4195</v>
      </c>
      <c r="C2136" t="s">
        <v>3851</v>
      </c>
      <c r="D2136" t="s">
        <v>32</v>
      </c>
      <c r="E2136" t="s">
        <v>33</v>
      </c>
      <c r="F2136" t="s">
        <v>47</v>
      </c>
      <c r="G2136" t="s">
        <v>656</v>
      </c>
      <c r="J2136" t="s">
        <v>4462</v>
      </c>
      <c r="K2136" t="s">
        <v>38</v>
      </c>
      <c r="L2136" t="s">
        <v>38</v>
      </c>
      <c r="M2136" t="s">
        <v>38</v>
      </c>
      <c r="N2136" t="s">
        <v>38</v>
      </c>
      <c r="O2136" t="s">
        <v>38</v>
      </c>
      <c r="T2136" t="s">
        <v>38</v>
      </c>
      <c r="U2136">
        <v>0</v>
      </c>
      <c r="W2136">
        <v>0</v>
      </c>
      <c r="X2136">
        <v>0</v>
      </c>
      <c r="Y2136">
        <v>0</v>
      </c>
      <c r="AE2136">
        <f t="shared" si="99"/>
        <v>1</v>
      </c>
      <c r="AF2136">
        <f>VLOOKUP(D2136,especies!$A$2:$C$9,3,FALSE)</f>
        <v>1</v>
      </c>
      <c r="AG2136" t="str">
        <f t="shared" si="100"/>
        <v>1-Mestizo</v>
      </c>
      <c r="AH2136">
        <f>VLOOKUP('Fichas clínicas'!AG2136,razas!$A$2:$D$66,3,FALSE)</f>
        <v>1</v>
      </c>
      <c r="AI2136" t="str">
        <f t="shared" si="101"/>
        <v>M</v>
      </c>
    </row>
    <row r="2137" spans="1:35" x14ac:dyDescent="0.2">
      <c r="A2137">
        <v>2139</v>
      </c>
      <c r="B2137" t="s">
        <v>4600</v>
      </c>
      <c r="C2137" t="s">
        <v>1912</v>
      </c>
      <c r="D2137" t="s">
        <v>41</v>
      </c>
      <c r="E2137" t="s">
        <v>42</v>
      </c>
      <c r="F2137" t="s">
        <v>47</v>
      </c>
      <c r="G2137" t="s">
        <v>2122</v>
      </c>
      <c r="I2137">
        <v>991003001868792</v>
      </c>
      <c r="J2137" t="s">
        <v>4107</v>
      </c>
      <c r="K2137" t="s">
        <v>38</v>
      </c>
      <c r="L2137" t="s">
        <v>38</v>
      </c>
      <c r="M2137" t="s">
        <v>38</v>
      </c>
      <c r="N2137" t="s">
        <v>38</v>
      </c>
      <c r="O2137" t="s">
        <v>38</v>
      </c>
      <c r="Q2137">
        <v>0</v>
      </c>
      <c r="R2137" t="s">
        <v>4601</v>
      </c>
      <c r="S2137" t="s">
        <v>4602</v>
      </c>
      <c r="T2137" t="s">
        <v>4603</v>
      </c>
      <c r="U2137">
        <v>4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f t="shared" si="99"/>
        <v>1</v>
      </c>
      <c r="AF2137">
        <f>VLOOKUP(D2137,especies!$A$2:$C$9,3,FALSE)</f>
        <v>2</v>
      </c>
      <c r="AG2137" t="str">
        <f t="shared" si="100"/>
        <v>2-DPC (Doméstico de pelo corto o DSH)</v>
      </c>
      <c r="AH2137">
        <f>VLOOKUP('Fichas clínicas'!AG2137,razas!$A$2:$D$66,3,FALSE)</f>
        <v>51</v>
      </c>
      <c r="AI2137" t="str">
        <f t="shared" si="101"/>
        <v>M</v>
      </c>
    </row>
    <row r="2138" spans="1:35" x14ac:dyDescent="0.2">
      <c r="A2138">
        <v>2140</v>
      </c>
      <c r="B2138" t="s">
        <v>4604</v>
      </c>
      <c r="C2138" t="s">
        <v>4605</v>
      </c>
      <c r="D2138" t="s">
        <v>41</v>
      </c>
      <c r="E2138" t="s">
        <v>42</v>
      </c>
      <c r="F2138" t="s">
        <v>47</v>
      </c>
      <c r="G2138" t="s">
        <v>4386</v>
      </c>
      <c r="J2138" t="s">
        <v>348</v>
      </c>
      <c r="K2138" t="s">
        <v>38</v>
      </c>
      <c r="L2138" t="s">
        <v>38</v>
      </c>
      <c r="M2138" t="s">
        <v>38</v>
      </c>
      <c r="N2138" t="s">
        <v>38</v>
      </c>
      <c r="O2138" t="s">
        <v>38</v>
      </c>
      <c r="T2138" t="s">
        <v>38</v>
      </c>
      <c r="U2138">
        <v>0</v>
      </c>
      <c r="V2138">
        <v>1</v>
      </c>
      <c r="W2138">
        <v>0</v>
      </c>
      <c r="X2138">
        <v>0</v>
      </c>
      <c r="Y2138">
        <v>0</v>
      </c>
      <c r="AE2138">
        <f t="shared" si="99"/>
        <v>1</v>
      </c>
      <c r="AF2138">
        <f>VLOOKUP(D2138,especies!$A$2:$C$9,3,FALSE)</f>
        <v>2</v>
      </c>
      <c r="AG2138" t="str">
        <f t="shared" si="100"/>
        <v>2-DPC (Doméstico de pelo corto o DSH)</v>
      </c>
      <c r="AH2138">
        <f>VLOOKUP('Fichas clínicas'!AG2138,razas!$A$2:$D$66,3,FALSE)</f>
        <v>51</v>
      </c>
      <c r="AI2138" t="str">
        <f t="shared" si="101"/>
        <v>M</v>
      </c>
    </row>
    <row r="2139" spans="1:35" x14ac:dyDescent="0.2">
      <c r="A2139">
        <v>2141</v>
      </c>
      <c r="B2139" t="s">
        <v>3958</v>
      </c>
      <c r="C2139" t="s">
        <v>4606</v>
      </c>
      <c r="D2139" t="s">
        <v>32</v>
      </c>
      <c r="E2139" t="s">
        <v>33</v>
      </c>
      <c r="F2139" t="s">
        <v>47</v>
      </c>
      <c r="G2139" t="s">
        <v>4607</v>
      </c>
      <c r="J2139" t="s">
        <v>4608</v>
      </c>
      <c r="K2139" t="s">
        <v>38</v>
      </c>
      <c r="L2139" t="s">
        <v>38</v>
      </c>
      <c r="M2139" t="s">
        <v>38</v>
      </c>
      <c r="N2139" t="s">
        <v>38</v>
      </c>
      <c r="O2139" t="s">
        <v>38</v>
      </c>
      <c r="T2139" t="s">
        <v>38</v>
      </c>
      <c r="U2139">
        <v>0</v>
      </c>
      <c r="W2139">
        <v>0</v>
      </c>
      <c r="X2139">
        <v>0</v>
      </c>
      <c r="Y2139">
        <v>0</v>
      </c>
      <c r="AE2139">
        <f t="shared" si="99"/>
        <v>1</v>
      </c>
      <c r="AF2139">
        <f>VLOOKUP(D2139,especies!$A$2:$C$9,3,FALSE)</f>
        <v>1</v>
      </c>
      <c r="AG2139" t="str">
        <f t="shared" si="100"/>
        <v>1-Mestizo</v>
      </c>
      <c r="AH2139">
        <f>VLOOKUP('Fichas clínicas'!AG2139,razas!$A$2:$D$66,3,FALSE)</f>
        <v>1</v>
      </c>
      <c r="AI2139" t="str">
        <f t="shared" si="101"/>
        <v>M</v>
      </c>
    </row>
    <row r="2140" spans="1:35" x14ac:dyDescent="0.2">
      <c r="A2140">
        <v>2142</v>
      </c>
      <c r="B2140" t="s">
        <v>4195</v>
      </c>
      <c r="C2140" t="s">
        <v>4609</v>
      </c>
      <c r="D2140" t="s">
        <v>32</v>
      </c>
      <c r="E2140" t="s">
        <v>33</v>
      </c>
      <c r="F2140" t="s">
        <v>34</v>
      </c>
      <c r="G2140" t="s">
        <v>4610</v>
      </c>
      <c r="J2140" t="s">
        <v>85</v>
      </c>
      <c r="K2140" t="s">
        <v>38</v>
      </c>
      <c r="L2140" t="s">
        <v>38</v>
      </c>
      <c r="M2140" t="s">
        <v>38</v>
      </c>
      <c r="N2140" t="s">
        <v>38</v>
      </c>
      <c r="O2140" t="s">
        <v>38</v>
      </c>
      <c r="T2140" t="s">
        <v>38</v>
      </c>
      <c r="U2140">
        <v>0</v>
      </c>
      <c r="V2140">
        <v>1</v>
      </c>
      <c r="W2140">
        <v>0</v>
      </c>
      <c r="X2140">
        <v>0</v>
      </c>
      <c r="Y2140">
        <v>0</v>
      </c>
      <c r="AE2140">
        <f t="shared" si="99"/>
        <v>1</v>
      </c>
      <c r="AF2140">
        <f>VLOOKUP(D2140,especies!$A$2:$C$9,3,FALSE)</f>
        <v>1</v>
      </c>
      <c r="AG2140" t="str">
        <f t="shared" si="100"/>
        <v>1-Mestizo</v>
      </c>
      <c r="AH2140">
        <f>VLOOKUP('Fichas clínicas'!AG2140,razas!$A$2:$D$66,3,FALSE)</f>
        <v>1</v>
      </c>
      <c r="AI2140" t="str">
        <f t="shared" si="101"/>
        <v>H</v>
      </c>
    </row>
    <row r="2141" spans="1:35" x14ac:dyDescent="0.2">
      <c r="A2141">
        <v>2143</v>
      </c>
      <c r="B2141" t="s">
        <v>4195</v>
      </c>
      <c r="C2141" t="s">
        <v>4611</v>
      </c>
      <c r="D2141" t="s">
        <v>32</v>
      </c>
      <c r="E2141" t="s">
        <v>63</v>
      </c>
      <c r="F2141" t="s">
        <v>47</v>
      </c>
      <c r="G2141" t="s">
        <v>3913</v>
      </c>
      <c r="J2141" t="s">
        <v>4612</v>
      </c>
      <c r="K2141" t="s">
        <v>38</v>
      </c>
      <c r="L2141" t="s">
        <v>38</v>
      </c>
      <c r="M2141" t="s">
        <v>38</v>
      </c>
      <c r="N2141" t="s">
        <v>38</v>
      </c>
      <c r="O2141" t="s">
        <v>38</v>
      </c>
      <c r="T2141" t="s">
        <v>38</v>
      </c>
      <c r="U2141">
        <v>0</v>
      </c>
      <c r="W2141">
        <v>0</v>
      </c>
      <c r="X2141">
        <v>0</v>
      </c>
      <c r="Y2141">
        <v>0</v>
      </c>
      <c r="AE2141">
        <f t="shared" si="99"/>
        <v>1</v>
      </c>
      <c r="AF2141">
        <f>VLOOKUP(D2141,especies!$A$2:$C$9,3,FALSE)</f>
        <v>1</v>
      </c>
      <c r="AG2141" t="str">
        <f t="shared" si="100"/>
        <v>1-Fox Terrier Pelo Corto</v>
      </c>
      <c r="AH2141">
        <f>VLOOKUP('Fichas clínicas'!AG2141,razas!$A$2:$D$66,3,FALSE)</f>
        <v>2</v>
      </c>
      <c r="AI2141" t="str">
        <f t="shared" si="101"/>
        <v>M</v>
      </c>
    </row>
    <row r="2142" spans="1:35" x14ac:dyDescent="0.2">
      <c r="A2142">
        <v>2144</v>
      </c>
      <c r="B2142" t="s">
        <v>4528</v>
      </c>
      <c r="C2142" t="s">
        <v>3305</v>
      </c>
      <c r="D2142" t="s">
        <v>41</v>
      </c>
      <c r="E2142" t="s">
        <v>42</v>
      </c>
      <c r="F2142" t="s">
        <v>47</v>
      </c>
      <c r="G2142" t="s">
        <v>1769</v>
      </c>
      <c r="J2142" t="s">
        <v>4613</v>
      </c>
      <c r="K2142" t="s">
        <v>38</v>
      </c>
      <c r="L2142" t="s">
        <v>38</v>
      </c>
      <c r="M2142" t="s">
        <v>38</v>
      </c>
      <c r="N2142" t="s">
        <v>38</v>
      </c>
      <c r="O2142" t="s">
        <v>38</v>
      </c>
      <c r="T2142" t="s">
        <v>38</v>
      </c>
      <c r="U2142">
        <v>0</v>
      </c>
      <c r="V2142">
        <v>1</v>
      </c>
      <c r="W2142">
        <v>0</v>
      </c>
      <c r="X2142">
        <v>0</v>
      </c>
      <c r="Y2142">
        <v>0</v>
      </c>
      <c r="AE2142">
        <f t="shared" si="99"/>
        <v>1</v>
      </c>
      <c r="AF2142">
        <f>VLOOKUP(D2142,especies!$A$2:$C$9,3,FALSE)</f>
        <v>2</v>
      </c>
      <c r="AG2142" t="str">
        <f t="shared" si="100"/>
        <v>2-DPC (Doméstico de pelo corto o DSH)</v>
      </c>
      <c r="AH2142">
        <f>VLOOKUP('Fichas clínicas'!AG2142,razas!$A$2:$D$66,3,FALSE)</f>
        <v>51</v>
      </c>
      <c r="AI2142" t="str">
        <f t="shared" si="101"/>
        <v>M</v>
      </c>
    </row>
    <row r="2143" spans="1:35" x14ac:dyDescent="0.2">
      <c r="A2143">
        <v>2145</v>
      </c>
      <c r="B2143" t="s">
        <v>4614</v>
      </c>
      <c r="C2143" t="s">
        <v>2146</v>
      </c>
      <c r="D2143" t="s">
        <v>41</v>
      </c>
      <c r="E2143" t="s">
        <v>42</v>
      </c>
      <c r="F2143" t="s">
        <v>34</v>
      </c>
      <c r="G2143" t="s">
        <v>1007</v>
      </c>
      <c r="J2143" t="s">
        <v>259</v>
      </c>
      <c r="K2143" t="s">
        <v>38</v>
      </c>
      <c r="L2143" t="s">
        <v>38</v>
      </c>
      <c r="M2143" t="s">
        <v>38</v>
      </c>
      <c r="N2143" t="s">
        <v>38</v>
      </c>
      <c r="O2143" t="s">
        <v>38</v>
      </c>
      <c r="T2143" t="s">
        <v>38</v>
      </c>
      <c r="U2143">
        <v>0</v>
      </c>
      <c r="W2143">
        <v>0</v>
      </c>
      <c r="X2143">
        <v>0</v>
      </c>
      <c r="Y2143">
        <v>0</v>
      </c>
      <c r="AE2143">
        <f t="shared" si="99"/>
        <v>1</v>
      </c>
      <c r="AF2143">
        <f>VLOOKUP(D2143,especies!$A$2:$C$9,3,FALSE)</f>
        <v>2</v>
      </c>
      <c r="AG2143" t="str">
        <f t="shared" si="100"/>
        <v>2-DPC (Doméstico de pelo corto o DSH)</v>
      </c>
      <c r="AH2143">
        <f>VLOOKUP('Fichas clínicas'!AG2143,razas!$A$2:$D$66,3,FALSE)</f>
        <v>51</v>
      </c>
      <c r="AI2143" t="str">
        <f t="shared" si="101"/>
        <v>H</v>
      </c>
    </row>
    <row r="2144" spans="1:35" x14ac:dyDescent="0.2">
      <c r="A2144">
        <v>2146</v>
      </c>
      <c r="B2144" t="s">
        <v>4614</v>
      </c>
      <c r="C2144" t="s">
        <v>4615</v>
      </c>
      <c r="D2144" t="s">
        <v>41</v>
      </c>
      <c r="E2144" t="s">
        <v>42</v>
      </c>
      <c r="F2144" t="s">
        <v>47</v>
      </c>
      <c r="G2144" t="s">
        <v>4460</v>
      </c>
      <c r="J2144" t="s">
        <v>4616</v>
      </c>
      <c r="K2144" t="s">
        <v>38</v>
      </c>
      <c r="L2144" t="s">
        <v>38</v>
      </c>
      <c r="M2144" t="s">
        <v>38</v>
      </c>
      <c r="N2144" t="s">
        <v>38</v>
      </c>
      <c r="O2144" t="s">
        <v>38</v>
      </c>
      <c r="T2144" t="s">
        <v>38</v>
      </c>
      <c r="U2144">
        <v>0</v>
      </c>
      <c r="W2144">
        <v>0</v>
      </c>
      <c r="X2144">
        <v>0</v>
      </c>
      <c r="Y2144">
        <v>0</v>
      </c>
      <c r="AE2144">
        <f t="shared" si="99"/>
        <v>1</v>
      </c>
      <c r="AF2144">
        <f>VLOOKUP(D2144,especies!$A$2:$C$9,3,FALSE)</f>
        <v>2</v>
      </c>
      <c r="AG2144" t="str">
        <f t="shared" si="100"/>
        <v>2-DPC (Doméstico de pelo corto o DSH)</v>
      </c>
      <c r="AH2144">
        <f>VLOOKUP('Fichas clínicas'!AG2144,razas!$A$2:$D$66,3,FALSE)</f>
        <v>51</v>
      </c>
      <c r="AI2144" t="str">
        <f t="shared" si="101"/>
        <v>M</v>
      </c>
    </row>
    <row r="2145" spans="1:35" x14ac:dyDescent="0.2">
      <c r="A2145">
        <v>2147</v>
      </c>
      <c r="B2145" t="s">
        <v>4617</v>
      </c>
      <c r="C2145" t="s">
        <v>2107</v>
      </c>
      <c r="D2145" t="s">
        <v>41</v>
      </c>
      <c r="E2145" t="s">
        <v>42</v>
      </c>
      <c r="F2145" t="s">
        <v>34</v>
      </c>
      <c r="G2145" t="s">
        <v>526</v>
      </c>
      <c r="J2145" t="s">
        <v>4618</v>
      </c>
      <c r="K2145" t="s">
        <v>38</v>
      </c>
      <c r="L2145" t="s">
        <v>38</v>
      </c>
      <c r="M2145" t="s">
        <v>38</v>
      </c>
      <c r="N2145" t="s">
        <v>38</v>
      </c>
      <c r="O2145" t="s">
        <v>38</v>
      </c>
      <c r="T2145" t="s">
        <v>38</v>
      </c>
      <c r="U2145">
        <v>0</v>
      </c>
      <c r="W2145">
        <v>0</v>
      </c>
      <c r="X2145">
        <v>0</v>
      </c>
      <c r="Y2145">
        <v>0</v>
      </c>
      <c r="AE2145">
        <f t="shared" si="99"/>
        <v>1</v>
      </c>
      <c r="AF2145">
        <f>VLOOKUP(D2145,especies!$A$2:$C$9,3,FALSE)</f>
        <v>2</v>
      </c>
      <c r="AG2145" t="str">
        <f t="shared" si="100"/>
        <v>2-DPC (Doméstico de pelo corto o DSH)</v>
      </c>
      <c r="AH2145">
        <f>VLOOKUP('Fichas clínicas'!AG2145,razas!$A$2:$D$66,3,FALSE)</f>
        <v>51</v>
      </c>
      <c r="AI2145" t="str">
        <f t="shared" si="101"/>
        <v>H</v>
      </c>
    </row>
    <row r="2146" spans="1:35" x14ac:dyDescent="0.2">
      <c r="A2146">
        <v>2148</v>
      </c>
      <c r="B2146" t="s">
        <v>4619</v>
      </c>
      <c r="C2146" t="s">
        <v>4620</v>
      </c>
      <c r="D2146" t="s">
        <v>41</v>
      </c>
      <c r="E2146" t="s">
        <v>42</v>
      </c>
      <c r="F2146" t="s">
        <v>34</v>
      </c>
      <c r="G2146" t="s">
        <v>587</v>
      </c>
      <c r="J2146" t="s">
        <v>4621</v>
      </c>
      <c r="K2146" t="s">
        <v>38</v>
      </c>
      <c r="L2146" t="s">
        <v>38</v>
      </c>
      <c r="M2146" t="s">
        <v>38</v>
      </c>
      <c r="N2146" t="s">
        <v>38</v>
      </c>
      <c r="O2146" t="s">
        <v>38</v>
      </c>
      <c r="T2146" t="s">
        <v>38</v>
      </c>
      <c r="U2146">
        <v>0</v>
      </c>
      <c r="W2146">
        <v>0</v>
      </c>
      <c r="X2146">
        <v>0</v>
      </c>
      <c r="Y2146">
        <v>0</v>
      </c>
      <c r="AE2146">
        <f t="shared" si="99"/>
        <v>1</v>
      </c>
      <c r="AF2146">
        <f>VLOOKUP(D2146,especies!$A$2:$C$9,3,FALSE)</f>
        <v>2</v>
      </c>
      <c r="AG2146" t="str">
        <f t="shared" si="100"/>
        <v>2-DPC (Doméstico de pelo corto o DSH)</v>
      </c>
      <c r="AH2146">
        <f>VLOOKUP('Fichas clínicas'!AG2146,razas!$A$2:$D$66,3,FALSE)</f>
        <v>51</v>
      </c>
      <c r="AI2146" t="str">
        <f t="shared" si="101"/>
        <v>H</v>
      </c>
    </row>
    <row r="2147" spans="1:35" x14ac:dyDescent="0.2">
      <c r="A2147">
        <v>2149</v>
      </c>
      <c r="B2147" t="s">
        <v>4622</v>
      </c>
      <c r="C2147" t="s">
        <v>4623</v>
      </c>
      <c r="D2147" t="s">
        <v>41</v>
      </c>
      <c r="E2147" t="s">
        <v>42</v>
      </c>
      <c r="F2147" t="s">
        <v>47</v>
      </c>
      <c r="G2147" t="s">
        <v>616</v>
      </c>
      <c r="J2147" t="s">
        <v>4624</v>
      </c>
      <c r="K2147" t="s">
        <v>38</v>
      </c>
      <c r="L2147" t="s">
        <v>38</v>
      </c>
      <c r="M2147" t="s">
        <v>38</v>
      </c>
      <c r="N2147" t="s">
        <v>38</v>
      </c>
      <c r="O2147" t="s">
        <v>38</v>
      </c>
      <c r="T2147" t="s">
        <v>38</v>
      </c>
      <c r="U2147">
        <v>0</v>
      </c>
      <c r="W2147">
        <v>0</v>
      </c>
      <c r="X2147">
        <v>0</v>
      </c>
      <c r="Y2147">
        <v>0</v>
      </c>
      <c r="AE2147">
        <f t="shared" si="99"/>
        <v>1</v>
      </c>
      <c r="AF2147">
        <f>VLOOKUP(D2147,especies!$A$2:$C$9,3,FALSE)</f>
        <v>2</v>
      </c>
      <c r="AG2147" t="str">
        <f t="shared" si="100"/>
        <v>2-DPC (Doméstico de pelo corto o DSH)</v>
      </c>
      <c r="AH2147">
        <f>VLOOKUP('Fichas clínicas'!AG2147,razas!$A$2:$D$66,3,FALSE)</f>
        <v>51</v>
      </c>
      <c r="AI2147" t="str">
        <f t="shared" si="101"/>
        <v>M</v>
      </c>
    </row>
    <row r="2148" spans="1:35" x14ac:dyDescent="0.2">
      <c r="A2148">
        <v>2150</v>
      </c>
      <c r="B2148" t="s">
        <v>4625</v>
      </c>
      <c r="C2148" t="s">
        <v>4626</v>
      </c>
      <c r="D2148" t="s">
        <v>41</v>
      </c>
      <c r="E2148" t="s">
        <v>42</v>
      </c>
      <c r="F2148" t="s">
        <v>34</v>
      </c>
      <c r="G2148" t="s">
        <v>4627</v>
      </c>
      <c r="J2148" t="s">
        <v>4178</v>
      </c>
      <c r="K2148" t="s">
        <v>38</v>
      </c>
      <c r="L2148" t="s">
        <v>38</v>
      </c>
      <c r="M2148" t="s">
        <v>38</v>
      </c>
      <c r="N2148" t="s">
        <v>38</v>
      </c>
      <c r="O2148" t="s">
        <v>38</v>
      </c>
      <c r="Q2148">
        <v>0</v>
      </c>
      <c r="T2148" t="s">
        <v>38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f t="shared" si="99"/>
        <v>1</v>
      </c>
      <c r="AF2148">
        <f>VLOOKUP(D2148,especies!$A$2:$C$9,3,FALSE)</f>
        <v>2</v>
      </c>
      <c r="AG2148" t="str">
        <f t="shared" si="100"/>
        <v>2-DPC (Doméstico de pelo corto o DSH)</v>
      </c>
      <c r="AH2148">
        <f>VLOOKUP('Fichas clínicas'!AG2148,razas!$A$2:$D$66,3,FALSE)</f>
        <v>51</v>
      </c>
      <c r="AI2148" t="str">
        <f t="shared" si="101"/>
        <v>H</v>
      </c>
    </row>
    <row r="2149" spans="1:35" x14ac:dyDescent="0.2">
      <c r="A2149">
        <v>2151</v>
      </c>
      <c r="B2149" t="s">
        <v>4628</v>
      </c>
      <c r="C2149" t="s">
        <v>3833</v>
      </c>
      <c r="D2149" t="s">
        <v>41</v>
      </c>
      <c r="E2149" t="s">
        <v>42</v>
      </c>
      <c r="F2149" t="s">
        <v>34</v>
      </c>
      <c r="G2149" t="s">
        <v>4629</v>
      </c>
      <c r="J2149" t="s">
        <v>3757</v>
      </c>
      <c r="K2149" t="s">
        <v>38</v>
      </c>
      <c r="L2149" t="s">
        <v>38</v>
      </c>
      <c r="M2149" t="s">
        <v>38</v>
      </c>
      <c r="N2149" t="s">
        <v>38</v>
      </c>
      <c r="O2149" t="s">
        <v>38</v>
      </c>
      <c r="T2149" t="s">
        <v>38</v>
      </c>
      <c r="U2149">
        <v>0</v>
      </c>
      <c r="W2149">
        <v>0</v>
      </c>
      <c r="X2149">
        <v>0</v>
      </c>
      <c r="Y2149">
        <v>0</v>
      </c>
      <c r="AE2149">
        <f t="shared" si="99"/>
        <v>1</v>
      </c>
      <c r="AF2149">
        <f>VLOOKUP(D2149,especies!$A$2:$C$9,3,FALSE)</f>
        <v>2</v>
      </c>
      <c r="AG2149" t="str">
        <f t="shared" si="100"/>
        <v>2-DPC (Doméstico de pelo corto o DSH)</v>
      </c>
      <c r="AH2149">
        <f>VLOOKUP('Fichas clínicas'!AG2149,razas!$A$2:$D$66,3,FALSE)</f>
        <v>51</v>
      </c>
      <c r="AI2149" t="str">
        <f t="shared" si="101"/>
        <v>H</v>
      </c>
    </row>
    <row r="2150" spans="1:35" x14ac:dyDescent="0.2">
      <c r="A2150">
        <v>2152</v>
      </c>
      <c r="B2150" t="s">
        <v>4630</v>
      </c>
      <c r="C2150" t="s">
        <v>2338</v>
      </c>
      <c r="D2150" t="s">
        <v>41</v>
      </c>
      <c r="E2150" t="s">
        <v>42</v>
      </c>
      <c r="F2150" t="s">
        <v>34</v>
      </c>
      <c r="G2150" t="s">
        <v>4631</v>
      </c>
      <c r="J2150" t="s">
        <v>4632</v>
      </c>
      <c r="K2150" t="s">
        <v>38</v>
      </c>
      <c r="L2150" t="s">
        <v>38</v>
      </c>
      <c r="M2150" t="s">
        <v>38</v>
      </c>
      <c r="N2150" t="s">
        <v>38</v>
      </c>
      <c r="O2150" t="s">
        <v>38</v>
      </c>
      <c r="T2150" t="s">
        <v>38</v>
      </c>
      <c r="U2150">
        <v>0</v>
      </c>
      <c r="W2150">
        <v>0</v>
      </c>
      <c r="X2150">
        <v>0</v>
      </c>
      <c r="Y2150">
        <v>0</v>
      </c>
      <c r="AE2150">
        <f t="shared" si="99"/>
        <v>1</v>
      </c>
      <c r="AF2150">
        <f>VLOOKUP(D2150,especies!$A$2:$C$9,3,FALSE)</f>
        <v>2</v>
      </c>
      <c r="AG2150" t="str">
        <f t="shared" si="100"/>
        <v>2-DPC (Doméstico de pelo corto o DSH)</v>
      </c>
      <c r="AH2150">
        <f>VLOOKUP('Fichas clínicas'!AG2150,razas!$A$2:$D$66,3,FALSE)</f>
        <v>51</v>
      </c>
      <c r="AI2150" t="str">
        <f t="shared" si="101"/>
        <v>H</v>
      </c>
    </row>
    <row r="2151" spans="1:35" x14ac:dyDescent="0.2">
      <c r="A2151">
        <v>2153</v>
      </c>
      <c r="B2151" t="s">
        <v>3481</v>
      </c>
      <c r="C2151" t="s">
        <v>4633</v>
      </c>
      <c r="D2151" t="s">
        <v>41</v>
      </c>
      <c r="E2151" t="s">
        <v>42</v>
      </c>
      <c r="F2151" t="s">
        <v>34</v>
      </c>
      <c r="G2151" t="s">
        <v>630</v>
      </c>
      <c r="J2151" t="s">
        <v>4634</v>
      </c>
      <c r="K2151" t="s">
        <v>38</v>
      </c>
      <c r="L2151" t="s">
        <v>38</v>
      </c>
      <c r="M2151" t="s">
        <v>38</v>
      </c>
      <c r="N2151" t="s">
        <v>38</v>
      </c>
      <c r="O2151" t="s">
        <v>38</v>
      </c>
      <c r="T2151" t="s">
        <v>38</v>
      </c>
      <c r="U2151">
        <v>0</v>
      </c>
      <c r="W2151">
        <v>0</v>
      </c>
      <c r="X2151">
        <v>0</v>
      </c>
      <c r="Y2151">
        <v>0</v>
      </c>
      <c r="AE2151">
        <f t="shared" si="99"/>
        <v>1</v>
      </c>
      <c r="AF2151">
        <f>VLOOKUP(D2151,especies!$A$2:$C$9,3,FALSE)</f>
        <v>2</v>
      </c>
      <c r="AG2151" t="str">
        <f t="shared" si="100"/>
        <v>2-DPC (Doméstico de pelo corto o DSH)</v>
      </c>
      <c r="AH2151">
        <f>VLOOKUP('Fichas clínicas'!AG2151,razas!$A$2:$D$66,3,FALSE)</f>
        <v>51</v>
      </c>
      <c r="AI2151" t="str">
        <f t="shared" si="101"/>
        <v>H</v>
      </c>
    </row>
    <row r="2152" spans="1:35" x14ac:dyDescent="0.2">
      <c r="A2152">
        <v>2154</v>
      </c>
      <c r="B2152" t="s">
        <v>4635</v>
      </c>
      <c r="C2152" t="s">
        <v>4636</v>
      </c>
      <c r="D2152" t="s">
        <v>32</v>
      </c>
      <c r="E2152" t="s">
        <v>823</v>
      </c>
      <c r="F2152" t="s">
        <v>47</v>
      </c>
      <c r="G2152" t="s">
        <v>102</v>
      </c>
      <c r="J2152" t="s">
        <v>4637</v>
      </c>
      <c r="K2152" t="s">
        <v>38</v>
      </c>
      <c r="L2152" t="s">
        <v>38</v>
      </c>
      <c r="M2152" t="s">
        <v>38</v>
      </c>
      <c r="N2152" t="s">
        <v>38</v>
      </c>
      <c r="O2152" t="s">
        <v>38</v>
      </c>
      <c r="T2152" t="s">
        <v>38</v>
      </c>
      <c r="U2152">
        <v>0</v>
      </c>
      <c r="W2152">
        <v>0</v>
      </c>
      <c r="X2152">
        <v>0</v>
      </c>
      <c r="Y2152">
        <v>0</v>
      </c>
      <c r="AE2152">
        <f t="shared" si="99"/>
        <v>1</v>
      </c>
      <c r="AF2152">
        <f>VLOOKUP(D2152,especies!$A$2:$C$9,3,FALSE)</f>
        <v>1</v>
      </c>
      <c r="AG2152" t="str">
        <f t="shared" si="100"/>
        <v>1-Dogo Argentino</v>
      </c>
      <c r="AH2152">
        <f>VLOOKUP('Fichas clínicas'!AG2152,razas!$A$2:$D$66,3,FALSE)</f>
        <v>19</v>
      </c>
      <c r="AI2152" t="str">
        <f t="shared" si="101"/>
        <v>M</v>
      </c>
    </row>
    <row r="2153" spans="1:35" x14ac:dyDescent="0.2">
      <c r="A2153">
        <v>2155</v>
      </c>
      <c r="B2153" t="s">
        <v>2856</v>
      </c>
      <c r="C2153" t="s">
        <v>4638</v>
      </c>
      <c r="D2153" t="s">
        <v>41</v>
      </c>
      <c r="E2153" t="s">
        <v>42</v>
      </c>
      <c r="F2153" t="s">
        <v>47</v>
      </c>
      <c r="G2153" t="s">
        <v>4639</v>
      </c>
      <c r="J2153" t="s">
        <v>512</v>
      </c>
      <c r="K2153" t="s">
        <v>38</v>
      </c>
      <c r="L2153" t="s">
        <v>38</v>
      </c>
      <c r="M2153" t="s">
        <v>38</v>
      </c>
      <c r="N2153" t="s">
        <v>38</v>
      </c>
      <c r="O2153" t="s">
        <v>38</v>
      </c>
      <c r="T2153" t="s">
        <v>38</v>
      </c>
      <c r="U2153">
        <v>0</v>
      </c>
      <c r="V2153">
        <v>1</v>
      </c>
      <c r="W2153">
        <v>0</v>
      </c>
      <c r="X2153">
        <v>0</v>
      </c>
      <c r="Y2153">
        <v>0</v>
      </c>
      <c r="AE2153">
        <f t="shared" si="99"/>
        <v>1</v>
      </c>
      <c r="AF2153">
        <f>VLOOKUP(D2153,especies!$A$2:$C$9,3,FALSE)</f>
        <v>2</v>
      </c>
      <c r="AG2153" t="str">
        <f t="shared" si="100"/>
        <v>2-DPC (Doméstico de pelo corto o DSH)</v>
      </c>
      <c r="AH2153">
        <f>VLOOKUP('Fichas clínicas'!AG2153,razas!$A$2:$D$66,3,FALSE)</f>
        <v>51</v>
      </c>
      <c r="AI2153" t="str">
        <f t="shared" si="101"/>
        <v>M</v>
      </c>
    </row>
    <row r="2154" spans="1:35" x14ac:dyDescent="0.2">
      <c r="A2154">
        <v>2156</v>
      </c>
      <c r="B2154" t="s">
        <v>4640</v>
      </c>
      <c r="C2154" t="s">
        <v>4641</v>
      </c>
      <c r="D2154" t="s">
        <v>41</v>
      </c>
      <c r="E2154" t="s">
        <v>42</v>
      </c>
      <c r="F2154" t="s">
        <v>47</v>
      </c>
      <c r="G2154" t="s">
        <v>2065</v>
      </c>
      <c r="J2154" t="s">
        <v>3993</v>
      </c>
      <c r="K2154" t="s">
        <v>38</v>
      </c>
      <c r="L2154" t="s">
        <v>38</v>
      </c>
      <c r="M2154" t="s">
        <v>38</v>
      </c>
      <c r="N2154" t="s">
        <v>38</v>
      </c>
      <c r="O2154" t="s">
        <v>38</v>
      </c>
      <c r="Q2154">
        <v>0</v>
      </c>
      <c r="T2154" t="s">
        <v>38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f t="shared" si="99"/>
        <v>1</v>
      </c>
      <c r="AF2154">
        <f>VLOOKUP(D2154,especies!$A$2:$C$9,3,FALSE)</f>
        <v>2</v>
      </c>
      <c r="AG2154" t="str">
        <f t="shared" si="100"/>
        <v>2-DPC (Doméstico de pelo corto o DSH)</v>
      </c>
      <c r="AH2154">
        <f>VLOOKUP('Fichas clínicas'!AG2154,razas!$A$2:$D$66,3,FALSE)</f>
        <v>51</v>
      </c>
      <c r="AI2154" t="str">
        <f t="shared" si="101"/>
        <v>M</v>
      </c>
    </row>
    <row r="2155" spans="1:35" x14ac:dyDescent="0.2">
      <c r="A2155">
        <v>2157</v>
      </c>
      <c r="B2155" t="s">
        <v>3370</v>
      </c>
      <c r="C2155" t="s">
        <v>4642</v>
      </c>
      <c r="D2155" t="s">
        <v>32</v>
      </c>
      <c r="E2155" t="s">
        <v>33</v>
      </c>
      <c r="F2155" t="s">
        <v>47</v>
      </c>
      <c r="G2155" t="s">
        <v>587</v>
      </c>
      <c r="J2155" t="s">
        <v>4643</v>
      </c>
      <c r="K2155" t="s">
        <v>38</v>
      </c>
      <c r="L2155" t="s">
        <v>38</v>
      </c>
      <c r="M2155" t="s">
        <v>38</v>
      </c>
      <c r="N2155" t="s">
        <v>38</v>
      </c>
      <c r="O2155" t="s">
        <v>38</v>
      </c>
      <c r="T2155" t="s">
        <v>38</v>
      </c>
      <c r="U2155">
        <v>0</v>
      </c>
      <c r="W2155">
        <v>0</v>
      </c>
      <c r="X2155">
        <v>0</v>
      </c>
      <c r="Y2155">
        <v>0</v>
      </c>
      <c r="AE2155">
        <f t="shared" si="99"/>
        <v>1</v>
      </c>
      <c r="AF2155">
        <f>VLOOKUP(D2155,especies!$A$2:$C$9,3,FALSE)</f>
        <v>1</v>
      </c>
      <c r="AG2155" t="str">
        <f t="shared" si="100"/>
        <v>1-Mestizo</v>
      </c>
      <c r="AH2155">
        <f>VLOOKUP('Fichas clínicas'!AG2155,razas!$A$2:$D$66,3,FALSE)</f>
        <v>1</v>
      </c>
      <c r="AI2155" t="str">
        <f t="shared" si="101"/>
        <v>M</v>
      </c>
    </row>
    <row r="2156" spans="1:35" x14ac:dyDescent="0.2">
      <c r="A2156">
        <v>2158</v>
      </c>
      <c r="B2156" t="s">
        <v>4644</v>
      </c>
      <c r="C2156" t="s">
        <v>3827</v>
      </c>
      <c r="D2156" t="s">
        <v>32</v>
      </c>
      <c r="E2156" t="s">
        <v>1296</v>
      </c>
      <c r="F2156" t="s">
        <v>47</v>
      </c>
      <c r="G2156" t="s">
        <v>2073</v>
      </c>
      <c r="J2156" t="s">
        <v>55</v>
      </c>
      <c r="K2156" t="s">
        <v>38</v>
      </c>
      <c r="L2156" t="s">
        <v>38</v>
      </c>
      <c r="M2156" t="s">
        <v>38</v>
      </c>
      <c r="N2156" t="s">
        <v>38</v>
      </c>
      <c r="O2156" t="s">
        <v>38</v>
      </c>
      <c r="Q2156">
        <v>0</v>
      </c>
      <c r="T2156" t="s">
        <v>38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f t="shared" si="99"/>
        <v>1</v>
      </c>
      <c r="AF2156">
        <f>VLOOKUP(D2156,especies!$A$2:$C$9,3,FALSE)</f>
        <v>1</v>
      </c>
      <c r="AG2156" t="str">
        <f t="shared" si="100"/>
        <v>1-Labrador Retriever</v>
      </c>
      <c r="AH2156">
        <f>VLOOKUP('Fichas clínicas'!AG2156,razas!$A$2:$D$66,3,FALSE)</f>
        <v>28</v>
      </c>
      <c r="AI2156" t="str">
        <f t="shared" si="101"/>
        <v>M</v>
      </c>
    </row>
    <row r="2157" spans="1:35" x14ac:dyDescent="0.2">
      <c r="A2157">
        <v>2159</v>
      </c>
      <c r="B2157" t="s">
        <v>1602</v>
      </c>
      <c r="C2157" t="s">
        <v>4547</v>
      </c>
      <c r="D2157" t="s">
        <v>41</v>
      </c>
      <c r="E2157" t="s">
        <v>93</v>
      </c>
      <c r="F2157" t="s">
        <v>47</v>
      </c>
      <c r="G2157" t="s">
        <v>1676</v>
      </c>
      <c r="J2157" t="s">
        <v>3765</v>
      </c>
      <c r="K2157" t="s">
        <v>38</v>
      </c>
      <c r="L2157" t="s">
        <v>38</v>
      </c>
      <c r="M2157" t="s">
        <v>38</v>
      </c>
      <c r="N2157" t="s">
        <v>38</v>
      </c>
      <c r="O2157" t="s">
        <v>38</v>
      </c>
      <c r="T2157" t="s">
        <v>38</v>
      </c>
      <c r="U2157">
        <v>0</v>
      </c>
      <c r="V2157">
        <v>1</v>
      </c>
      <c r="W2157">
        <v>0</v>
      </c>
      <c r="X2157">
        <v>0</v>
      </c>
      <c r="Y2157">
        <v>0</v>
      </c>
      <c r="AE2157">
        <f t="shared" si="99"/>
        <v>1</v>
      </c>
      <c r="AF2157">
        <f>VLOOKUP(D2157,especies!$A$2:$C$9,3,FALSE)</f>
        <v>2</v>
      </c>
      <c r="AG2157" t="str">
        <f t="shared" si="100"/>
        <v>2-DPL (Doméstico de pelo Largo o DLH)</v>
      </c>
      <c r="AH2157">
        <f>VLOOKUP('Fichas clínicas'!AG2157,razas!$A$2:$D$66,3,FALSE)</f>
        <v>52</v>
      </c>
      <c r="AI2157" t="str">
        <f t="shared" si="101"/>
        <v>M</v>
      </c>
    </row>
    <row r="2158" spans="1:35" x14ac:dyDescent="0.2">
      <c r="A2158">
        <v>2160</v>
      </c>
      <c r="B2158" t="s">
        <v>4125</v>
      </c>
      <c r="C2158" t="s">
        <v>4645</v>
      </c>
      <c r="D2158" t="s">
        <v>41</v>
      </c>
      <c r="E2158" t="s">
        <v>42</v>
      </c>
      <c r="F2158" t="s">
        <v>34</v>
      </c>
      <c r="G2158" t="s">
        <v>4646</v>
      </c>
      <c r="J2158" t="s">
        <v>348</v>
      </c>
      <c r="K2158" t="s">
        <v>38</v>
      </c>
      <c r="L2158" t="s">
        <v>38</v>
      </c>
      <c r="M2158" t="s">
        <v>38</v>
      </c>
      <c r="N2158" t="s">
        <v>38</v>
      </c>
      <c r="O2158" t="s">
        <v>38</v>
      </c>
      <c r="T2158" t="s">
        <v>38</v>
      </c>
      <c r="U2158">
        <v>0</v>
      </c>
      <c r="V2158">
        <v>1</v>
      </c>
      <c r="W2158">
        <v>0</v>
      </c>
      <c r="X2158">
        <v>0</v>
      </c>
      <c r="Y2158">
        <v>0</v>
      </c>
      <c r="AE2158">
        <f t="shared" si="99"/>
        <v>1</v>
      </c>
      <c r="AF2158">
        <f>VLOOKUP(D2158,especies!$A$2:$C$9,3,FALSE)</f>
        <v>2</v>
      </c>
      <c r="AG2158" t="str">
        <f t="shared" si="100"/>
        <v>2-DPC (Doméstico de pelo corto o DSH)</v>
      </c>
      <c r="AH2158">
        <f>VLOOKUP('Fichas clínicas'!AG2158,razas!$A$2:$D$66,3,FALSE)</f>
        <v>51</v>
      </c>
      <c r="AI2158" t="str">
        <f t="shared" si="101"/>
        <v>H</v>
      </c>
    </row>
    <row r="2159" spans="1:35" x14ac:dyDescent="0.2">
      <c r="A2159">
        <v>2161</v>
      </c>
      <c r="B2159" t="s">
        <v>4647</v>
      </c>
      <c r="C2159" t="s">
        <v>4648</v>
      </c>
      <c r="D2159" t="s">
        <v>41</v>
      </c>
      <c r="E2159" t="s">
        <v>42</v>
      </c>
      <c r="F2159" t="s">
        <v>47</v>
      </c>
      <c r="G2159" t="s">
        <v>1054</v>
      </c>
      <c r="J2159" t="s">
        <v>3777</v>
      </c>
      <c r="K2159" t="s">
        <v>38</v>
      </c>
      <c r="L2159" t="s">
        <v>38</v>
      </c>
      <c r="M2159" t="s">
        <v>38</v>
      </c>
      <c r="N2159" t="s">
        <v>38</v>
      </c>
      <c r="O2159" t="s">
        <v>38</v>
      </c>
      <c r="T2159" t="s">
        <v>38</v>
      </c>
      <c r="U2159">
        <v>0</v>
      </c>
      <c r="W2159">
        <v>0</v>
      </c>
      <c r="X2159">
        <v>0</v>
      </c>
      <c r="Y2159">
        <v>0</v>
      </c>
      <c r="AE2159">
        <f t="shared" si="99"/>
        <v>1</v>
      </c>
      <c r="AF2159">
        <f>VLOOKUP(D2159,especies!$A$2:$C$9,3,FALSE)</f>
        <v>2</v>
      </c>
      <c r="AG2159" t="str">
        <f t="shared" si="100"/>
        <v>2-DPC (Doméstico de pelo corto o DSH)</v>
      </c>
      <c r="AH2159">
        <f>VLOOKUP('Fichas clínicas'!AG2159,razas!$A$2:$D$66,3,FALSE)</f>
        <v>51</v>
      </c>
      <c r="AI2159" t="str">
        <f t="shared" si="101"/>
        <v>M</v>
      </c>
    </row>
    <row r="2160" spans="1:35" x14ac:dyDescent="0.2">
      <c r="A2160">
        <v>2162</v>
      </c>
      <c r="B2160" t="s">
        <v>4649</v>
      </c>
      <c r="C2160" t="s">
        <v>2642</v>
      </c>
      <c r="D2160" t="s">
        <v>41</v>
      </c>
      <c r="E2160" t="s">
        <v>42</v>
      </c>
      <c r="F2160" t="s">
        <v>47</v>
      </c>
      <c r="G2160" t="s">
        <v>2065</v>
      </c>
      <c r="J2160" t="s">
        <v>4650</v>
      </c>
      <c r="K2160" t="s">
        <v>38</v>
      </c>
      <c r="L2160" t="s">
        <v>38</v>
      </c>
      <c r="M2160" t="s">
        <v>38</v>
      </c>
      <c r="N2160" t="s">
        <v>38</v>
      </c>
      <c r="O2160" t="s">
        <v>38</v>
      </c>
      <c r="T2160" t="s">
        <v>38</v>
      </c>
      <c r="U2160">
        <v>0</v>
      </c>
      <c r="V2160">
        <v>1</v>
      </c>
      <c r="W2160">
        <v>0</v>
      </c>
      <c r="X2160">
        <v>0</v>
      </c>
      <c r="Y2160">
        <v>0</v>
      </c>
      <c r="AE2160">
        <f t="shared" si="99"/>
        <v>1</v>
      </c>
      <c r="AF2160">
        <f>VLOOKUP(D2160,especies!$A$2:$C$9,3,FALSE)</f>
        <v>2</v>
      </c>
      <c r="AG2160" t="str">
        <f t="shared" si="100"/>
        <v>2-DPC (Doméstico de pelo corto o DSH)</v>
      </c>
      <c r="AH2160">
        <f>VLOOKUP('Fichas clínicas'!AG2160,razas!$A$2:$D$66,3,FALSE)</f>
        <v>51</v>
      </c>
      <c r="AI2160" t="str">
        <f t="shared" si="101"/>
        <v>M</v>
      </c>
    </row>
    <row r="2161" spans="1:35" x14ac:dyDescent="0.2">
      <c r="A2161">
        <v>2163</v>
      </c>
      <c r="B2161" t="s">
        <v>1674</v>
      </c>
      <c r="C2161" t="s">
        <v>378</v>
      </c>
      <c r="D2161" t="s">
        <v>41</v>
      </c>
      <c r="E2161" t="s">
        <v>93</v>
      </c>
      <c r="F2161" t="s">
        <v>34</v>
      </c>
      <c r="G2161" t="s">
        <v>4651</v>
      </c>
      <c r="J2161" t="s">
        <v>4652</v>
      </c>
      <c r="K2161" t="s">
        <v>38</v>
      </c>
      <c r="L2161" t="s">
        <v>38</v>
      </c>
      <c r="M2161" t="s">
        <v>38</v>
      </c>
      <c r="N2161" t="s">
        <v>38</v>
      </c>
      <c r="O2161" t="s">
        <v>38</v>
      </c>
      <c r="T2161" t="s">
        <v>38</v>
      </c>
      <c r="U2161">
        <v>0</v>
      </c>
      <c r="W2161">
        <v>0</v>
      </c>
      <c r="X2161">
        <v>0</v>
      </c>
      <c r="Y2161">
        <v>0</v>
      </c>
      <c r="AE2161">
        <f t="shared" si="99"/>
        <v>1</v>
      </c>
      <c r="AF2161">
        <f>VLOOKUP(D2161,especies!$A$2:$C$9,3,FALSE)</f>
        <v>2</v>
      </c>
      <c r="AG2161" t="str">
        <f t="shared" si="100"/>
        <v>2-DPL (Doméstico de pelo Largo o DLH)</v>
      </c>
      <c r="AH2161">
        <f>VLOOKUP('Fichas clínicas'!AG2161,razas!$A$2:$D$66,3,FALSE)</f>
        <v>52</v>
      </c>
      <c r="AI2161" t="str">
        <f t="shared" si="101"/>
        <v>H</v>
      </c>
    </row>
    <row r="2162" spans="1:35" x14ac:dyDescent="0.2">
      <c r="A2162">
        <v>2164</v>
      </c>
      <c r="B2162" t="s">
        <v>4110</v>
      </c>
      <c r="C2162" t="s">
        <v>4653</v>
      </c>
      <c r="D2162" t="s">
        <v>41</v>
      </c>
      <c r="E2162" t="s">
        <v>42</v>
      </c>
      <c r="F2162" t="s">
        <v>47</v>
      </c>
      <c r="G2162" t="s">
        <v>102</v>
      </c>
      <c r="J2162" t="s">
        <v>4654</v>
      </c>
      <c r="K2162" t="s">
        <v>38</v>
      </c>
      <c r="L2162" t="s">
        <v>38</v>
      </c>
      <c r="M2162" t="s">
        <v>38</v>
      </c>
      <c r="N2162" t="s">
        <v>38</v>
      </c>
      <c r="O2162" t="s">
        <v>38</v>
      </c>
      <c r="T2162" t="s">
        <v>38</v>
      </c>
      <c r="U2162">
        <v>0</v>
      </c>
      <c r="W2162">
        <v>0</v>
      </c>
      <c r="X2162">
        <v>0</v>
      </c>
      <c r="Y2162">
        <v>0</v>
      </c>
      <c r="AE2162">
        <f t="shared" si="99"/>
        <v>1</v>
      </c>
      <c r="AF2162">
        <f>VLOOKUP(D2162,especies!$A$2:$C$9,3,FALSE)</f>
        <v>2</v>
      </c>
      <c r="AG2162" t="str">
        <f t="shared" si="100"/>
        <v>2-DPC (Doméstico de pelo corto o DSH)</v>
      </c>
      <c r="AH2162">
        <f>VLOOKUP('Fichas clínicas'!AG2162,razas!$A$2:$D$66,3,FALSE)</f>
        <v>51</v>
      </c>
      <c r="AI2162" t="str">
        <f t="shared" si="101"/>
        <v>M</v>
      </c>
    </row>
    <row r="2163" spans="1:35" x14ac:dyDescent="0.2">
      <c r="A2163">
        <v>2165</v>
      </c>
      <c r="B2163" t="s">
        <v>2510</v>
      </c>
      <c r="C2163" t="s">
        <v>4655</v>
      </c>
      <c r="D2163" t="s">
        <v>32</v>
      </c>
      <c r="E2163" t="s">
        <v>823</v>
      </c>
      <c r="F2163" t="s">
        <v>47</v>
      </c>
      <c r="G2163" t="s">
        <v>1928</v>
      </c>
      <c r="J2163" t="s">
        <v>3625</v>
      </c>
      <c r="K2163" t="s">
        <v>38</v>
      </c>
      <c r="L2163" t="s">
        <v>38</v>
      </c>
      <c r="M2163" t="s">
        <v>38</v>
      </c>
      <c r="N2163" t="s">
        <v>38</v>
      </c>
      <c r="O2163" t="s">
        <v>38</v>
      </c>
      <c r="T2163" t="s">
        <v>38</v>
      </c>
      <c r="U2163">
        <v>0</v>
      </c>
      <c r="W2163">
        <v>0</v>
      </c>
      <c r="X2163">
        <v>0</v>
      </c>
      <c r="Y2163">
        <v>0</v>
      </c>
      <c r="AE2163">
        <f t="shared" si="99"/>
        <v>1</v>
      </c>
      <c r="AF2163">
        <f>VLOOKUP(D2163,especies!$A$2:$C$9,3,FALSE)</f>
        <v>1</v>
      </c>
      <c r="AG2163" t="str">
        <f t="shared" si="100"/>
        <v>1-Dogo Argentino</v>
      </c>
      <c r="AH2163">
        <f>VLOOKUP('Fichas clínicas'!AG2163,razas!$A$2:$D$66,3,FALSE)</f>
        <v>19</v>
      </c>
      <c r="AI2163" t="str">
        <f t="shared" si="101"/>
        <v>M</v>
      </c>
    </row>
    <row r="2164" spans="1:35" x14ac:dyDescent="0.2">
      <c r="A2164">
        <v>2166</v>
      </c>
      <c r="B2164" t="s">
        <v>79</v>
      </c>
      <c r="C2164" t="s">
        <v>1758</v>
      </c>
      <c r="D2164" t="s">
        <v>32</v>
      </c>
      <c r="E2164" t="s">
        <v>508</v>
      </c>
      <c r="F2164" t="s">
        <v>47</v>
      </c>
      <c r="G2164" t="s">
        <v>1054</v>
      </c>
      <c r="J2164" t="s">
        <v>4558</v>
      </c>
      <c r="K2164" t="s">
        <v>38</v>
      </c>
      <c r="L2164" t="s">
        <v>38</v>
      </c>
      <c r="M2164" t="s">
        <v>38</v>
      </c>
      <c r="N2164" t="s">
        <v>38</v>
      </c>
      <c r="O2164" t="s">
        <v>38</v>
      </c>
      <c r="T2164" t="s">
        <v>38</v>
      </c>
      <c r="U2164">
        <v>0</v>
      </c>
      <c r="W2164">
        <v>0</v>
      </c>
      <c r="X2164">
        <v>0</v>
      </c>
      <c r="Y2164">
        <v>0</v>
      </c>
      <c r="AE2164">
        <f t="shared" si="99"/>
        <v>1</v>
      </c>
      <c r="AF2164">
        <f>VLOOKUP(D2164,especies!$A$2:$C$9,3,FALSE)</f>
        <v>1</v>
      </c>
      <c r="AG2164" t="str">
        <f t="shared" si="100"/>
        <v>1-Akita Americano</v>
      </c>
      <c r="AH2164">
        <f>VLOOKUP('Fichas clínicas'!AG2164,razas!$A$2:$D$66,3,FALSE)</f>
        <v>15</v>
      </c>
      <c r="AI2164" t="str">
        <f t="shared" si="101"/>
        <v>M</v>
      </c>
    </row>
    <row r="2165" spans="1:35" x14ac:dyDescent="0.2">
      <c r="A2165">
        <v>2167</v>
      </c>
      <c r="B2165" t="s">
        <v>4656</v>
      </c>
      <c r="C2165" t="s">
        <v>3737</v>
      </c>
      <c r="D2165" t="s">
        <v>32</v>
      </c>
      <c r="E2165" t="s">
        <v>897</v>
      </c>
      <c r="F2165" t="s">
        <v>47</v>
      </c>
      <c r="G2165" t="s">
        <v>1402</v>
      </c>
      <c r="J2165" t="s">
        <v>4657</v>
      </c>
      <c r="K2165" t="s">
        <v>38</v>
      </c>
      <c r="L2165" t="s">
        <v>38</v>
      </c>
      <c r="M2165" t="s">
        <v>38</v>
      </c>
      <c r="N2165" t="s">
        <v>38</v>
      </c>
      <c r="O2165" t="s">
        <v>38</v>
      </c>
      <c r="T2165" t="s">
        <v>38</v>
      </c>
      <c r="U2165">
        <v>0</v>
      </c>
      <c r="W2165">
        <v>0</v>
      </c>
      <c r="X2165">
        <v>0</v>
      </c>
      <c r="Y2165">
        <v>0</v>
      </c>
      <c r="AE2165">
        <f t="shared" si="99"/>
        <v>1</v>
      </c>
      <c r="AF2165">
        <f>VLOOKUP(D2165,especies!$A$2:$C$9,3,FALSE)</f>
        <v>1</v>
      </c>
      <c r="AG2165" t="str">
        <f t="shared" si="100"/>
        <v>1-Collie de Pelo Largo</v>
      </c>
      <c r="AH2165">
        <f>VLOOKUP('Fichas clínicas'!AG2165,razas!$A$2:$D$66,3,FALSE)</f>
        <v>23</v>
      </c>
      <c r="AI2165" t="str">
        <f t="shared" si="101"/>
        <v>M</v>
      </c>
    </row>
    <row r="2166" spans="1:35" x14ac:dyDescent="0.2">
      <c r="A2166">
        <v>2168</v>
      </c>
      <c r="B2166" t="s">
        <v>4658</v>
      </c>
      <c r="C2166" t="s">
        <v>4659</v>
      </c>
      <c r="D2166" t="s">
        <v>41</v>
      </c>
      <c r="E2166" t="s">
        <v>42</v>
      </c>
      <c r="F2166" t="s">
        <v>47</v>
      </c>
      <c r="G2166" t="s">
        <v>2833</v>
      </c>
      <c r="J2166" t="s">
        <v>3570</v>
      </c>
      <c r="K2166" t="s">
        <v>38</v>
      </c>
      <c r="L2166" t="s">
        <v>38</v>
      </c>
      <c r="M2166" t="s">
        <v>38</v>
      </c>
      <c r="N2166" t="s">
        <v>38</v>
      </c>
      <c r="O2166" t="s">
        <v>38</v>
      </c>
      <c r="T2166" t="s">
        <v>38</v>
      </c>
      <c r="U2166">
        <v>0</v>
      </c>
      <c r="V2166">
        <v>1</v>
      </c>
      <c r="W2166">
        <v>0</v>
      </c>
      <c r="X2166">
        <v>0</v>
      </c>
      <c r="Y2166">
        <v>0</v>
      </c>
      <c r="AE2166">
        <f t="shared" si="99"/>
        <v>1</v>
      </c>
      <c r="AF2166">
        <f>VLOOKUP(D2166,especies!$A$2:$C$9,3,FALSE)</f>
        <v>2</v>
      </c>
      <c r="AG2166" t="str">
        <f t="shared" si="100"/>
        <v>2-DPC (Doméstico de pelo corto o DSH)</v>
      </c>
      <c r="AH2166">
        <f>VLOOKUP('Fichas clínicas'!AG2166,razas!$A$2:$D$66,3,FALSE)</f>
        <v>51</v>
      </c>
      <c r="AI2166" t="str">
        <f t="shared" si="101"/>
        <v>M</v>
      </c>
    </row>
    <row r="2167" spans="1:35" x14ac:dyDescent="0.2">
      <c r="A2167">
        <v>2169</v>
      </c>
      <c r="B2167" t="s">
        <v>4658</v>
      </c>
      <c r="C2167" t="s">
        <v>2620</v>
      </c>
      <c r="D2167" t="s">
        <v>41</v>
      </c>
      <c r="E2167" t="s">
        <v>42</v>
      </c>
      <c r="F2167" t="s">
        <v>47</v>
      </c>
      <c r="G2167" t="s">
        <v>4177</v>
      </c>
      <c r="J2167" t="s">
        <v>4660</v>
      </c>
      <c r="K2167" t="s">
        <v>38</v>
      </c>
      <c r="L2167" t="s">
        <v>38</v>
      </c>
      <c r="M2167" t="s">
        <v>38</v>
      </c>
      <c r="N2167" t="s">
        <v>38</v>
      </c>
      <c r="O2167" t="s">
        <v>38</v>
      </c>
      <c r="T2167" t="s">
        <v>38</v>
      </c>
      <c r="U2167">
        <v>0</v>
      </c>
      <c r="V2167">
        <v>1</v>
      </c>
      <c r="W2167">
        <v>0</v>
      </c>
      <c r="X2167">
        <v>0</v>
      </c>
      <c r="Y2167">
        <v>0</v>
      </c>
      <c r="AE2167">
        <f t="shared" si="99"/>
        <v>1</v>
      </c>
      <c r="AF2167">
        <f>VLOOKUP(D2167,especies!$A$2:$C$9,3,FALSE)</f>
        <v>2</v>
      </c>
      <c r="AG2167" t="str">
        <f t="shared" si="100"/>
        <v>2-DPC (Doméstico de pelo corto o DSH)</v>
      </c>
      <c r="AH2167">
        <f>VLOOKUP('Fichas clínicas'!AG2167,razas!$A$2:$D$66,3,FALSE)</f>
        <v>51</v>
      </c>
      <c r="AI2167" t="str">
        <f t="shared" si="101"/>
        <v>M</v>
      </c>
    </row>
    <row r="2168" spans="1:35" x14ac:dyDescent="0.2">
      <c r="A2168">
        <v>2170</v>
      </c>
      <c r="B2168" t="s">
        <v>4195</v>
      </c>
      <c r="C2168" t="s">
        <v>4661</v>
      </c>
      <c r="D2168" t="s">
        <v>32</v>
      </c>
      <c r="E2168" t="s">
        <v>33</v>
      </c>
      <c r="F2168" t="s">
        <v>34</v>
      </c>
      <c r="G2168" t="s">
        <v>587</v>
      </c>
      <c r="J2168" t="s">
        <v>4662</v>
      </c>
      <c r="K2168" t="s">
        <v>38</v>
      </c>
      <c r="L2168" t="s">
        <v>38</v>
      </c>
      <c r="M2168" t="s">
        <v>38</v>
      </c>
      <c r="N2168" t="s">
        <v>38</v>
      </c>
      <c r="O2168" t="s">
        <v>38</v>
      </c>
      <c r="T2168" t="s">
        <v>38</v>
      </c>
      <c r="U2168">
        <v>0</v>
      </c>
      <c r="W2168">
        <v>0</v>
      </c>
      <c r="X2168">
        <v>0</v>
      </c>
      <c r="Y2168">
        <v>0</v>
      </c>
      <c r="AE2168">
        <f t="shared" si="99"/>
        <v>1</v>
      </c>
      <c r="AF2168">
        <f>VLOOKUP(D2168,especies!$A$2:$C$9,3,FALSE)</f>
        <v>1</v>
      </c>
      <c r="AG2168" t="str">
        <f t="shared" si="100"/>
        <v>1-Mestizo</v>
      </c>
      <c r="AH2168">
        <f>VLOOKUP('Fichas clínicas'!AG2168,razas!$A$2:$D$66,3,FALSE)</f>
        <v>1</v>
      </c>
      <c r="AI2168" t="str">
        <f t="shared" si="101"/>
        <v>H</v>
      </c>
    </row>
    <row r="2169" spans="1:35" x14ac:dyDescent="0.2">
      <c r="A2169">
        <v>2171</v>
      </c>
      <c r="B2169" t="s">
        <v>4663</v>
      </c>
      <c r="C2169" t="s">
        <v>4664</v>
      </c>
      <c r="D2169" t="s">
        <v>41</v>
      </c>
      <c r="E2169" t="s">
        <v>42</v>
      </c>
      <c r="F2169" t="s">
        <v>34</v>
      </c>
      <c r="G2169" t="s">
        <v>4665</v>
      </c>
      <c r="J2169" t="s">
        <v>4162</v>
      </c>
      <c r="K2169" t="s">
        <v>38</v>
      </c>
      <c r="L2169" t="s">
        <v>38</v>
      </c>
      <c r="M2169" t="s">
        <v>38</v>
      </c>
      <c r="N2169" t="s">
        <v>38</v>
      </c>
      <c r="O2169" t="s">
        <v>38</v>
      </c>
      <c r="T2169" t="s">
        <v>38</v>
      </c>
      <c r="U2169">
        <v>0</v>
      </c>
      <c r="W2169">
        <v>0</v>
      </c>
      <c r="X2169">
        <v>0</v>
      </c>
      <c r="Y2169">
        <v>0</v>
      </c>
      <c r="AE2169">
        <f t="shared" si="99"/>
        <v>1</v>
      </c>
      <c r="AF2169">
        <f>VLOOKUP(D2169,especies!$A$2:$C$9,3,FALSE)</f>
        <v>2</v>
      </c>
      <c r="AG2169" t="str">
        <f t="shared" si="100"/>
        <v>2-DPC (Doméstico de pelo corto o DSH)</v>
      </c>
      <c r="AH2169">
        <f>VLOOKUP('Fichas clínicas'!AG2169,razas!$A$2:$D$66,3,FALSE)</f>
        <v>51</v>
      </c>
      <c r="AI2169" t="str">
        <f t="shared" si="101"/>
        <v>H</v>
      </c>
    </row>
    <row r="2170" spans="1:35" x14ac:dyDescent="0.2">
      <c r="A2170">
        <v>2172</v>
      </c>
      <c r="B2170" t="s">
        <v>4663</v>
      </c>
      <c r="C2170" t="s">
        <v>4666</v>
      </c>
      <c r="D2170" t="s">
        <v>41</v>
      </c>
      <c r="E2170" t="s">
        <v>42</v>
      </c>
      <c r="F2170" t="s">
        <v>34</v>
      </c>
      <c r="G2170" t="s">
        <v>4667</v>
      </c>
      <c r="J2170" t="s">
        <v>4162</v>
      </c>
      <c r="K2170" t="s">
        <v>38</v>
      </c>
      <c r="L2170" t="s">
        <v>38</v>
      </c>
      <c r="M2170" t="s">
        <v>38</v>
      </c>
      <c r="N2170" t="s">
        <v>38</v>
      </c>
      <c r="O2170" t="s">
        <v>38</v>
      </c>
      <c r="T2170" t="s">
        <v>38</v>
      </c>
      <c r="U2170">
        <v>0</v>
      </c>
      <c r="W2170">
        <v>0</v>
      </c>
      <c r="X2170">
        <v>0</v>
      </c>
      <c r="Y2170">
        <v>0</v>
      </c>
      <c r="AE2170">
        <f t="shared" si="99"/>
        <v>1</v>
      </c>
      <c r="AF2170">
        <f>VLOOKUP(D2170,especies!$A$2:$C$9,3,FALSE)</f>
        <v>2</v>
      </c>
      <c r="AG2170" t="str">
        <f t="shared" si="100"/>
        <v>2-DPC (Doméstico de pelo corto o DSH)</v>
      </c>
      <c r="AH2170">
        <f>VLOOKUP('Fichas clínicas'!AG2170,razas!$A$2:$D$66,3,FALSE)</f>
        <v>51</v>
      </c>
      <c r="AI2170" t="str">
        <f t="shared" si="101"/>
        <v>H</v>
      </c>
    </row>
    <row r="2171" spans="1:35" x14ac:dyDescent="0.2">
      <c r="A2171">
        <v>2173</v>
      </c>
      <c r="B2171" t="s">
        <v>4668</v>
      </c>
      <c r="C2171" t="s">
        <v>1573</v>
      </c>
      <c r="D2171" t="s">
        <v>41</v>
      </c>
      <c r="E2171" t="s">
        <v>42</v>
      </c>
      <c r="F2171" t="s">
        <v>34</v>
      </c>
      <c r="G2171" t="s">
        <v>1547</v>
      </c>
      <c r="J2171" t="s">
        <v>2032</v>
      </c>
      <c r="K2171" t="s">
        <v>38</v>
      </c>
      <c r="L2171" t="s">
        <v>38</v>
      </c>
      <c r="M2171" t="s">
        <v>38</v>
      </c>
      <c r="N2171" t="s">
        <v>38</v>
      </c>
      <c r="O2171" t="s">
        <v>38</v>
      </c>
      <c r="T2171" t="s">
        <v>38</v>
      </c>
      <c r="U2171">
        <v>0</v>
      </c>
      <c r="W2171">
        <v>0</v>
      </c>
      <c r="X2171">
        <v>0</v>
      </c>
      <c r="Y2171">
        <v>0</v>
      </c>
      <c r="AE2171">
        <f t="shared" si="99"/>
        <v>1</v>
      </c>
      <c r="AF2171">
        <f>VLOOKUP(D2171,especies!$A$2:$C$9,3,FALSE)</f>
        <v>2</v>
      </c>
      <c r="AG2171" t="str">
        <f t="shared" si="100"/>
        <v>2-DPC (Doméstico de pelo corto o DSH)</v>
      </c>
      <c r="AH2171">
        <f>VLOOKUP('Fichas clínicas'!AG2171,razas!$A$2:$D$66,3,FALSE)</f>
        <v>51</v>
      </c>
      <c r="AI2171" t="str">
        <f t="shared" si="101"/>
        <v>H</v>
      </c>
    </row>
    <row r="2172" spans="1:35" x14ac:dyDescent="0.2">
      <c r="A2172">
        <v>2174</v>
      </c>
      <c r="B2172" t="s">
        <v>4125</v>
      </c>
      <c r="C2172" t="s">
        <v>1283</v>
      </c>
      <c r="D2172" t="s">
        <v>41</v>
      </c>
      <c r="E2172" t="s">
        <v>42</v>
      </c>
      <c r="F2172" t="s">
        <v>34</v>
      </c>
      <c r="G2172" t="s">
        <v>4669</v>
      </c>
      <c r="J2172" t="s">
        <v>1997</v>
      </c>
      <c r="K2172" t="s">
        <v>38</v>
      </c>
      <c r="L2172" t="s">
        <v>38</v>
      </c>
      <c r="M2172" t="s">
        <v>38</v>
      </c>
      <c r="N2172" t="s">
        <v>38</v>
      </c>
      <c r="O2172" t="s">
        <v>38</v>
      </c>
      <c r="T2172" t="s">
        <v>38</v>
      </c>
      <c r="U2172">
        <v>0</v>
      </c>
      <c r="W2172">
        <v>0</v>
      </c>
      <c r="X2172">
        <v>0</v>
      </c>
      <c r="Y2172">
        <v>0</v>
      </c>
      <c r="AE2172">
        <f t="shared" si="99"/>
        <v>1</v>
      </c>
      <c r="AF2172">
        <f>VLOOKUP(D2172,especies!$A$2:$C$9,3,FALSE)</f>
        <v>2</v>
      </c>
      <c r="AG2172" t="str">
        <f t="shared" si="100"/>
        <v>2-DPC (Doméstico de pelo corto o DSH)</v>
      </c>
      <c r="AH2172">
        <f>VLOOKUP('Fichas clínicas'!AG2172,razas!$A$2:$D$66,3,FALSE)</f>
        <v>51</v>
      </c>
      <c r="AI2172" t="str">
        <f t="shared" si="101"/>
        <v>H</v>
      </c>
    </row>
    <row r="2173" spans="1:35" x14ac:dyDescent="0.2">
      <c r="A2173">
        <v>2175</v>
      </c>
      <c r="B2173" t="s">
        <v>4670</v>
      </c>
      <c r="C2173" t="s">
        <v>4671</v>
      </c>
      <c r="D2173" t="s">
        <v>32</v>
      </c>
      <c r="E2173" t="s">
        <v>33</v>
      </c>
      <c r="F2173" t="s">
        <v>34</v>
      </c>
      <c r="G2173" t="s">
        <v>116</v>
      </c>
      <c r="J2173" t="s">
        <v>4672</v>
      </c>
      <c r="K2173" t="s">
        <v>38</v>
      </c>
      <c r="L2173" t="s">
        <v>38</v>
      </c>
      <c r="M2173" t="s">
        <v>38</v>
      </c>
      <c r="N2173" t="s">
        <v>38</v>
      </c>
      <c r="O2173" t="s">
        <v>38</v>
      </c>
      <c r="T2173" t="s">
        <v>38</v>
      </c>
      <c r="U2173">
        <v>0</v>
      </c>
      <c r="W2173">
        <v>0</v>
      </c>
      <c r="X2173">
        <v>0</v>
      </c>
      <c r="Y2173">
        <v>0</v>
      </c>
      <c r="AE2173">
        <f t="shared" si="99"/>
        <v>1</v>
      </c>
      <c r="AF2173">
        <f>VLOOKUP(D2173,especies!$A$2:$C$9,3,FALSE)</f>
        <v>1</v>
      </c>
      <c r="AG2173" t="str">
        <f t="shared" si="100"/>
        <v>1-Mestizo</v>
      </c>
      <c r="AH2173">
        <f>VLOOKUP('Fichas clínicas'!AG2173,razas!$A$2:$D$66,3,FALSE)</f>
        <v>1</v>
      </c>
      <c r="AI2173" t="str">
        <f t="shared" si="101"/>
        <v>H</v>
      </c>
    </row>
    <row r="2174" spans="1:35" x14ac:dyDescent="0.2">
      <c r="A2174">
        <v>2176</v>
      </c>
      <c r="B2174" t="s">
        <v>4673</v>
      </c>
      <c r="C2174" t="s">
        <v>4674</v>
      </c>
      <c r="D2174" t="s">
        <v>41</v>
      </c>
      <c r="E2174" t="s">
        <v>42</v>
      </c>
      <c r="F2174" t="s">
        <v>47</v>
      </c>
      <c r="G2174" t="s">
        <v>2065</v>
      </c>
      <c r="J2174" t="s">
        <v>3891</v>
      </c>
      <c r="K2174" t="s">
        <v>38</v>
      </c>
      <c r="L2174" t="s">
        <v>38</v>
      </c>
      <c r="M2174" t="s">
        <v>38</v>
      </c>
      <c r="N2174" t="s">
        <v>38</v>
      </c>
      <c r="O2174" t="s">
        <v>38</v>
      </c>
      <c r="T2174" t="s">
        <v>38</v>
      </c>
      <c r="U2174">
        <v>0</v>
      </c>
      <c r="W2174">
        <v>0</v>
      </c>
      <c r="X2174">
        <v>0</v>
      </c>
      <c r="Y2174">
        <v>0</v>
      </c>
      <c r="AE2174">
        <f t="shared" si="99"/>
        <v>1</v>
      </c>
      <c r="AF2174">
        <f>VLOOKUP(D2174,especies!$A$2:$C$9,3,FALSE)</f>
        <v>2</v>
      </c>
      <c r="AG2174" t="str">
        <f t="shared" si="100"/>
        <v>2-DPC (Doméstico de pelo corto o DSH)</v>
      </c>
      <c r="AH2174">
        <f>VLOOKUP('Fichas clínicas'!AG2174,razas!$A$2:$D$66,3,FALSE)</f>
        <v>51</v>
      </c>
      <c r="AI2174" t="str">
        <f t="shared" si="101"/>
        <v>M</v>
      </c>
    </row>
    <row r="2175" spans="1:35" x14ac:dyDescent="0.2">
      <c r="A2175">
        <v>2177</v>
      </c>
      <c r="B2175" t="s">
        <v>4675</v>
      </c>
      <c r="C2175" t="s">
        <v>4676</v>
      </c>
      <c r="D2175" t="s">
        <v>41</v>
      </c>
      <c r="E2175" t="s">
        <v>93</v>
      </c>
      <c r="F2175" t="s">
        <v>47</v>
      </c>
      <c r="G2175" t="s">
        <v>1054</v>
      </c>
      <c r="J2175" t="s">
        <v>4465</v>
      </c>
      <c r="K2175" t="s">
        <v>38</v>
      </c>
      <c r="L2175" t="s">
        <v>38</v>
      </c>
      <c r="M2175" t="s">
        <v>38</v>
      </c>
      <c r="N2175" t="s">
        <v>38</v>
      </c>
      <c r="O2175" t="s">
        <v>38</v>
      </c>
      <c r="T2175" t="s">
        <v>38</v>
      </c>
      <c r="U2175">
        <v>0</v>
      </c>
      <c r="V2175">
        <v>1</v>
      </c>
      <c r="W2175">
        <v>0</v>
      </c>
      <c r="X2175">
        <v>0</v>
      </c>
      <c r="Y2175">
        <v>0</v>
      </c>
      <c r="AE2175">
        <f t="shared" si="99"/>
        <v>1</v>
      </c>
      <c r="AF2175">
        <f>VLOOKUP(D2175,especies!$A$2:$C$9,3,FALSE)</f>
        <v>2</v>
      </c>
      <c r="AG2175" t="str">
        <f t="shared" si="100"/>
        <v>2-DPL (Doméstico de pelo Largo o DLH)</v>
      </c>
      <c r="AH2175">
        <f>VLOOKUP('Fichas clínicas'!AG2175,razas!$A$2:$D$66,3,FALSE)</f>
        <v>52</v>
      </c>
      <c r="AI2175" t="str">
        <f t="shared" si="101"/>
        <v>M</v>
      </c>
    </row>
    <row r="2176" spans="1:35" x14ac:dyDescent="0.2">
      <c r="A2176">
        <v>2178</v>
      </c>
      <c r="B2176" t="s">
        <v>1457</v>
      </c>
      <c r="C2176" t="s">
        <v>4677</v>
      </c>
      <c r="D2176" t="s">
        <v>32</v>
      </c>
      <c r="E2176" t="s">
        <v>473</v>
      </c>
      <c r="F2176" t="s">
        <v>47</v>
      </c>
      <c r="G2176" t="s">
        <v>4678</v>
      </c>
      <c r="J2176" t="s">
        <v>4284</v>
      </c>
      <c r="K2176" t="s">
        <v>38</v>
      </c>
      <c r="L2176" t="s">
        <v>38</v>
      </c>
      <c r="M2176" t="s">
        <v>38</v>
      </c>
      <c r="N2176" t="s">
        <v>38</v>
      </c>
      <c r="O2176" t="s">
        <v>38</v>
      </c>
      <c r="T2176" t="s">
        <v>38</v>
      </c>
      <c r="U2176">
        <v>0</v>
      </c>
      <c r="W2176">
        <v>0</v>
      </c>
      <c r="X2176">
        <v>0</v>
      </c>
      <c r="Y2176">
        <v>0</v>
      </c>
      <c r="AE2176">
        <f t="shared" si="99"/>
        <v>1</v>
      </c>
      <c r="AF2176">
        <f>VLOOKUP(D2176,especies!$A$2:$C$9,3,FALSE)</f>
        <v>1</v>
      </c>
      <c r="AG2176" t="str">
        <f t="shared" si="100"/>
        <v>1-Boxer</v>
      </c>
      <c r="AH2176">
        <f>VLOOKUP('Fichas clínicas'!AG2176,razas!$A$2:$D$66,3,FALSE)</f>
        <v>14</v>
      </c>
      <c r="AI2176" t="str">
        <f t="shared" si="101"/>
        <v>M</v>
      </c>
    </row>
    <row r="2177" spans="1:35" x14ac:dyDescent="0.2">
      <c r="A2177">
        <v>2179</v>
      </c>
      <c r="B2177" t="s">
        <v>4679</v>
      </c>
      <c r="C2177" t="s">
        <v>2690</v>
      </c>
      <c r="D2177" t="s">
        <v>32</v>
      </c>
      <c r="E2177" t="s">
        <v>309</v>
      </c>
      <c r="F2177" t="s">
        <v>47</v>
      </c>
      <c r="G2177" t="s">
        <v>300</v>
      </c>
      <c r="J2177" t="s">
        <v>4680</v>
      </c>
      <c r="K2177" t="s">
        <v>38</v>
      </c>
      <c r="L2177" t="s">
        <v>38</v>
      </c>
      <c r="M2177" t="s">
        <v>38</v>
      </c>
      <c r="N2177" t="s">
        <v>38</v>
      </c>
      <c r="O2177" t="s">
        <v>38</v>
      </c>
      <c r="T2177" t="s">
        <v>38</v>
      </c>
      <c r="U2177">
        <v>0</v>
      </c>
      <c r="W2177">
        <v>0</v>
      </c>
      <c r="X2177">
        <v>0</v>
      </c>
      <c r="Y2177">
        <v>0</v>
      </c>
      <c r="AE2177">
        <f t="shared" si="99"/>
        <v>1</v>
      </c>
      <c r="AF2177">
        <f>VLOOKUP(D2177,especies!$A$2:$C$9,3,FALSE)</f>
        <v>1</v>
      </c>
      <c r="AG2177" t="str">
        <f t="shared" si="100"/>
        <v>1-Pug</v>
      </c>
      <c r="AH2177">
        <f>VLOOKUP('Fichas clínicas'!AG2177,razas!$A$2:$D$66,3,FALSE)</f>
        <v>11</v>
      </c>
      <c r="AI2177" t="str">
        <f t="shared" si="101"/>
        <v>M</v>
      </c>
    </row>
    <row r="2178" spans="1:35" x14ac:dyDescent="0.2">
      <c r="A2178">
        <v>2180</v>
      </c>
      <c r="B2178" t="s">
        <v>4681</v>
      </c>
      <c r="C2178" t="s">
        <v>2338</v>
      </c>
      <c r="D2178" t="s">
        <v>32</v>
      </c>
      <c r="E2178" t="s">
        <v>33</v>
      </c>
      <c r="F2178" t="s">
        <v>34</v>
      </c>
      <c r="G2178" t="s">
        <v>1915</v>
      </c>
      <c r="J2178" t="s">
        <v>2798</v>
      </c>
      <c r="K2178" t="s">
        <v>38</v>
      </c>
      <c r="L2178" t="s">
        <v>38</v>
      </c>
      <c r="M2178" t="s">
        <v>38</v>
      </c>
      <c r="N2178" t="s">
        <v>38</v>
      </c>
      <c r="O2178" t="s">
        <v>38</v>
      </c>
      <c r="T2178" t="s">
        <v>38</v>
      </c>
      <c r="U2178">
        <v>0</v>
      </c>
      <c r="V2178">
        <v>1</v>
      </c>
      <c r="W2178">
        <v>0</v>
      </c>
      <c r="X2178">
        <v>0</v>
      </c>
      <c r="Y2178">
        <v>0</v>
      </c>
      <c r="AE2178">
        <f t="shared" si="99"/>
        <v>1</v>
      </c>
      <c r="AF2178">
        <f>VLOOKUP(D2178,especies!$A$2:$C$9,3,FALSE)</f>
        <v>1</v>
      </c>
      <c r="AG2178" t="str">
        <f t="shared" si="100"/>
        <v>1-Mestizo</v>
      </c>
      <c r="AH2178">
        <f>VLOOKUP('Fichas clínicas'!AG2178,razas!$A$2:$D$66,3,FALSE)</f>
        <v>1</v>
      </c>
      <c r="AI2178" t="str">
        <f t="shared" si="101"/>
        <v>H</v>
      </c>
    </row>
    <row r="2179" spans="1:35" x14ac:dyDescent="0.2">
      <c r="A2179">
        <v>2181</v>
      </c>
      <c r="B2179" t="s">
        <v>4682</v>
      </c>
      <c r="C2179" t="s">
        <v>2565</v>
      </c>
      <c r="D2179" t="s">
        <v>32</v>
      </c>
      <c r="E2179" t="s">
        <v>150</v>
      </c>
      <c r="F2179" t="s">
        <v>47</v>
      </c>
      <c r="G2179" t="s">
        <v>1547</v>
      </c>
      <c r="J2179" t="s">
        <v>3516</v>
      </c>
      <c r="K2179" t="s">
        <v>38</v>
      </c>
      <c r="L2179" t="s">
        <v>38</v>
      </c>
      <c r="M2179" t="s">
        <v>38</v>
      </c>
      <c r="N2179" t="s">
        <v>38</v>
      </c>
      <c r="O2179" t="s">
        <v>38</v>
      </c>
      <c r="T2179" t="s">
        <v>38</v>
      </c>
      <c r="U2179">
        <v>0</v>
      </c>
      <c r="W2179">
        <v>0</v>
      </c>
      <c r="X2179">
        <v>0</v>
      </c>
      <c r="Y2179">
        <v>0</v>
      </c>
      <c r="AE2179">
        <f t="shared" ref="AE2179:AE2242" si="102">SUBTOTAL(103,E2179)</f>
        <v>1</v>
      </c>
      <c r="AF2179">
        <f>VLOOKUP(D2179,especies!$A$2:$C$9,3,FALSE)</f>
        <v>1</v>
      </c>
      <c r="AG2179" t="str">
        <f t="shared" ref="AG2179:AG2242" si="103">AF2179&amp;"-"&amp;E2179</f>
        <v>1-Poodle</v>
      </c>
      <c r="AH2179">
        <f>VLOOKUP('Fichas clínicas'!AG2179,razas!$A$2:$D$66,3,FALSE)</f>
        <v>6</v>
      </c>
      <c r="AI2179" t="str">
        <f t="shared" ref="AI2179:AI2242" si="104">IF(F2179="Hembra","H","M")</f>
        <v>M</v>
      </c>
    </row>
    <row r="2180" spans="1:35" x14ac:dyDescent="0.2">
      <c r="A2180">
        <v>2182</v>
      </c>
      <c r="B2180" t="s">
        <v>4683</v>
      </c>
      <c r="C2180" t="s">
        <v>4684</v>
      </c>
      <c r="D2180" t="s">
        <v>41</v>
      </c>
      <c r="E2180" t="s">
        <v>42</v>
      </c>
      <c r="F2180" t="s">
        <v>47</v>
      </c>
      <c r="G2180" t="s">
        <v>587</v>
      </c>
      <c r="J2180" t="s">
        <v>4513</v>
      </c>
      <c r="K2180" t="s">
        <v>38</v>
      </c>
      <c r="L2180" t="s">
        <v>38</v>
      </c>
      <c r="M2180" t="s">
        <v>38</v>
      </c>
      <c r="N2180" t="s">
        <v>38</v>
      </c>
      <c r="O2180" t="s">
        <v>38</v>
      </c>
      <c r="Q2180">
        <v>0</v>
      </c>
      <c r="T2180" t="s">
        <v>38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f t="shared" si="102"/>
        <v>1</v>
      </c>
      <c r="AF2180">
        <f>VLOOKUP(D2180,especies!$A$2:$C$9,3,FALSE)</f>
        <v>2</v>
      </c>
      <c r="AG2180" t="str">
        <f t="shared" si="103"/>
        <v>2-DPC (Doméstico de pelo corto o DSH)</v>
      </c>
      <c r="AH2180">
        <f>VLOOKUP('Fichas clínicas'!AG2180,razas!$A$2:$D$66,3,FALSE)</f>
        <v>51</v>
      </c>
      <c r="AI2180" t="str">
        <f t="shared" si="104"/>
        <v>M</v>
      </c>
    </row>
    <row r="2181" spans="1:35" x14ac:dyDescent="0.2">
      <c r="A2181">
        <v>2183</v>
      </c>
      <c r="B2181" t="s">
        <v>4685</v>
      </c>
      <c r="C2181" t="s">
        <v>4686</v>
      </c>
      <c r="D2181" t="s">
        <v>41</v>
      </c>
      <c r="E2181" t="s">
        <v>93</v>
      </c>
      <c r="F2181" t="s">
        <v>47</v>
      </c>
      <c r="G2181" t="s">
        <v>1656</v>
      </c>
      <c r="J2181" t="s">
        <v>4513</v>
      </c>
      <c r="K2181" t="s">
        <v>38</v>
      </c>
      <c r="L2181" t="s">
        <v>38</v>
      </c>
      <c r="M2181" t="s">
        <v>38</v>
      </c>
      <c r="N2181" t="s">
        <v>38</v>
      </c>
      <c r="O2181" t="s">
        <v>38</v>
      </c>
      <c r="T2181" t="s">
        <v>38</v>
      </c>
      <c r="U2181">
        <v>0</v>
      </c>
      <c r="W2181">
        <v>0</v>
      </c>
      <c r="X2181">
        <v>0</v>
      </c>
      <c r="Y2181">
        <v>0</v>
      </c>
      <c r="AE2181">
        <f t="shared" si="102"/>
        <v>1</v>
      </c>
      <c r="AF2181">
        <f>VLOOKUP(D2181,especies!$A$2:$C$9,3,FALSE)</f>
        <v>2</v>
      </c>
      <c r="AG2181" t="str">
        <f t="shared" si="103"/>
        <v>2-DPL (Doméstico de pelo Largo o DLH)</v>
      </c>
      <c r="AH2181">
        <f>VLOOKUP('Fichas clínicas'!AG2181,razas!$A$2:$D$66,3,FALSE)</f>
        <v>52</v>
      </c>
      <c r="AI2181" t="str">
        <f t="shared" si="104"/>
        <v>M</v>
      </c>
    </row>
    <row r="2182" spans="1:35" x14ac:dyDescent="0.2">
      <c r="A2182">
        <v>2184</v>
      </c>
      <c r="B2182" t="s">
        <v>4687</v>
      </c>
      <c r="C2182" t="s">
        <v>2690</v>
      </c>
      <c r="D2182" t="s">
        <v>32</v>
      </c>
      <c r="E2182" t="s">
        <v>33</v>
      </c>
      <c r="F2182" t="s">
        <v>47</v>
      </c>
      <c r="G2182" t="s">
        <v>1656</v>
      </c>
      <c r="J2182" t="s">
        <v>4688</v>
      </c>
      <c r="K2182" t="s">
        <v>38</v>
      </c>
      <c r="L2182" t="s">
        <v>38</v>
      </c>
      <c r="M2182" t="s">
        <v>38</v>
      </c>
      <c r="N2182" t="s">
        <v>38</v>
      </c>
      <c r="O2182" t="s">
        <v>38</v>
      </c>
      <c r="T2182" t="s">
        <v>38</v>
      </c>
      <c r="U2182">
        <v>0</v>
      </c>
      <c r="W2182">
        <v>0</v>
      </c>
      <c r="X2182">
        <v>0</v>
      </c>
      <c r="Y2182">
        <v>0</v>
      </c>
      <c r="AE2182">
        <f t="shared" si="102"/>
        <v>1</v>
      </c>
      <c r="AF2182">
        <f>VLOOKUP(D2182,especies!$A$2:$C$9,3,FALSE)</f>
        <v>1</v>
      </c>
      <c r="AG2182" t="str">
        <f t="shared" si="103"/>
        <v>1-Mestizo</v>
      </c>
      <c r="AH2182">
        <f>VLOOKUP('Fichas clínicas'!AG2182,razas!$A$2:$D$66,3,FALSE)</f>
        <v>1</v>
      </c>
      <c r="AI2182" t="str">
        <f t="shared" si="104"/>
        <v>M</v>
      </c>
    </row>
    <row r="2183" spans="1:35" x14ac:dyDescent="0.2">
      <c r="A2183">
        <v>2185</v>
      </c>
      <c r="B2183" t="s">
        <v>4689</v>
      </c>
      <c r="C2183" t="s">
        <v>1503</v>
      </c>
      <c r="D2183" t="s">
        <v>41</v>
      </c>
      <c r="E2183" t="s">
        <v>42</v>
      </c>
      <c r="F2183" t="s">
        <v>34</v>
      </c>
      <c r="G2183" t="s">
        <v>1656</v>
      </c>
      <c r="J2183" t="s">
        <v>4690</v>
      </c>
      <c r="K2183" t="s">
        <v>38</v>
      </c>
      <c r="L2183" t="s">
        <v>38</v>
      </c>
      <c r="M2183" t="s">
        <v>38</v>
      </c>
      <c r="N2183" t="s">
        <v>38</v>
      </c>
      <c r="O2183" t="s">
        <v>38</v>
      </c>
      <c r="T2183" t="s">
        <v>38</v>
      </c>
      <c r="U2183">
        <v>0</v>
      </c>
      <c r="V2183">
        <v>1</v>
      </c>
      <c r="W2183">
        <v>0</v>
      </c>
      <c r="X2183">
        <v>0</v>
      </c>
      <c r="Y2183">
        <v>0</v>
      </c>
      <c r="AE2183">
        <f t="shared" si="102"/>
        <v>1</v>
      </c>
      <c r="AF2183">
        <f>VLOOKUP(D2183,especies!$A$2:$C$9,3,FALSE)</f>
        <v>2</v>
      </c>
      <c r="AG2183" t="str">
        <f t="shared" si="103"/>
        <v>2-DPC (Doméstico de pelo corto o DSH)</v>
      </c>
      <c r="AH2183">
        <f>VLOOKUP('Fichas clínicas'!AG2183,razas!$A$2:$D$66,3,FALSE)</f>
        <v>51</v>
      </c>
      <c r="AI2183" t="str">
        <f t="shared" si="104"/>
        <v>H</v>
      </c>
    </row>
    <row r="2184" spans="1:35" x14ac:dyDescent="0.2">
      <c r="A2184">
        <v>2186</v>
      </c>
      <c r="B2184" t="s">
        <v>4691</v>
      </c>
      <c r="C2184" t="s">
        <v>4512</v>
      </c>
      <c r="D2184" t="s">
        <v>41</v>
      </c>
      <c r="E2184" t="s">
        <v>93</v>
      </c>
      <c r="F2184" t="s">
        <v>34</v>
      </c>
      <c r="G2184" t="s">
        <v>2851</v>
      </c>
      <c r="J2184" t="s">
        <v>4513</v>
      </c>
      <c r="K2184" t="s">
        <v>38</v>
      </c>
      <c r="L2184" t="s">
        <v>38</v>
      </c>
      <c r="M2184" t="s">
        <v>38</v>
      </c>
      <c r="N2184" t="s">
        <v>38</v>
      </c>
      <c r="O2184" t="s">
        <v>38</v>
      </c>
      <c r="Q2184">
        <v>0</v>
      </c>
      <c r="T2184" t="s">
        <v>38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f t="shared" si="102"/>
        <v>1</v>
      </c>
      <c r="AF2184">
        <f>VLOOKUP(D2184,especies!$A$2:$C$9,3,FALSE)</f>
        <v>2</v>
      </c>
      <c r="AG2184" t="str">
        <f t="shared" si="103"/>
        <v>2-DPL (Doméstico de pelo Largo o DLH)</v>
      </c>
      <c r="AH2184">
        <f>VLOOKUP('Fichas clínicas'!AG2184,razas!$A$2:$D$66,3,FALSE)</f>
        <v>52</v>
      </c>
      <c r="AI2184" t="str">
        <f t="shared" si="104"/>
        <v>H</v>
      </c>
    </row>
    <row r="2185" spans="1:35" x14ac:dyDescent="0.2">
      <c r="A2185">
        <v>2187</v>
      </c>
      <c r="B2185" t="s">
        <v>4692</v>
      </c>
      <c r="C2185" t="s">
        <v>2800</v>
      </c>
      <c r="D2185" t="s">
        <v>41</v>
      </c>
      <c r="E2185" t="s">
        <v>93</v>
      </c>
      <c r="F2185" t="s">
        <v>34</v>
      </c>
      <c r="G2185" t="s">
        <v>1593</v>
      </c>
      <c r="J2185" t="s">
        <v>4693</v>
      </c>
      <c r="K2185" t="s">
        <v>38</v>
      </c>
      <c r="L2185" t="s">
        <v>38</v>
      </c>
      <c r="M2185" t="s">
        <v>38</v>
      </c>
      <c r="N2185" t="s">
        <v>38</v>
      </c>
      <c r="O2185" t="s">
        <v>38</v>
      </c>
      <c r="T2185" t="s">
        <v>38</v>
      </c>
      <c r="U2185">
        <v>0</v>
      </c>
      <c r="V2185">
        <v>1</v>
      </c>
      <c r="W2185">
        <v>0</v>
      </c>
      <c r="X2185">
        <v>0</v>
      </c>
      <c r="Y2185">
        <v>0</v>
      </c>
      <c r="AE2185">
        <f t="shared" si="102"/>
        <v>1</v>
      </c>
      <c r="AF2185">
        <f>VLOOKUP(D2185,especies!$A$2:$C$9,3,FALSE)</f>
        <v>2</v>
      </c>
      <c r="AG2185" t="str">
        <f t="shared" si="103"/>
        <v>2-DPL (Doméstico de pelo Largo o DLH)</v>
      </c>
      <c r="AH2185">
        <f>VLOOKUP('Fichas clínicas'!AG2185,razas!$A$2:$D$66,3,FALSE)</f>
        <v>52</v>
      </c>
      <c r="AI2185" t="str">
        <f t="shared" si="104"/>
        <v>H</v>
      </c>
    </row>
    <row r="2186" spans="1:35" x14ac:dyDescent="0.2">
      <c r="A2186">
        <v>2188</v>
      </c>
      <c r="B2186" t="s">
        <v>4694</v>
      </c>
      <c r="C2186" t="s">
        <v>3014</v>
      </c>
      <c r="D2186" t="s">
        <v>41</v>
      </c>
      <c r="E2186" t="s">
        <v>93</v>
      </c>
      <c r="F2186" t="s">
        <v>34</v>
      </c>
      <c r="G2186" t="s">
        <v>2851</v>
      </c>
      <c r="J2186" t="s">
        <v>4695</v>
      </c>
      <c r="K2186" t="s">
        <v>38</v>
      </c>
      <c r="L2186" t="s">
        <v>38</v>
      </c>
      <c r="M2186" t="s">
        <v>38</v>
      </c>
      <c r="N2186" t="s">
        <v>38</v>
      </c>
      <c r="O2186" t="s">
        <v>38</v>
      </c>
      <c r="Q2186">
        <v>0</v>
      </c>
      <c r="T2186" t="s">
        <v>38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f t="shared" si="102"/>
        <v>1</v>
      </c>
      <c r="AF2186">
        <f>VLOOKUP(D2186,especies!$A$2:$C$9,3,FALSE)</f>
        <v>2</v>
      </c>
      <c r="AG2186" t="str">
        <f t="shared" si="103"/>
        <v>2-DPL (Doméstico de pelo Largo o DLH)</v>
      </c>
      <c r="AH2186">
        <f>VLOOKUP('Fichas clínicas'!AG2186,razas!$A$2:$D$66,3,FALSE)</f>
        <v>52</v>
      </c>
      <c r="AI2186" t="str">
        <f t="shared" si="104"/>
        <v>H</v>
      </c>
    </row>
    <row r="2187" spans="1:35" x14ac:dyDescent="0.2">
      <c r="A2187">
        <v>2189</v>
      </c>
      <c r="B2187" t="s">
        <v>4696</v>
      </c>
      <c r="C2187" t="s">
        <v>4697</v>
      </c>
      <c r="D2187" t="s">
        <v>41</v>
      </c>
      <c r="E2187" t="s">
        <v>42</v>
      </c>
      <c r="F2187" t="s">
        <v>34</v>
      </c>
      <c r="G2187" t="s">
        <v>1054</v>
      </c>
      <c r="J2187" t="s">
        <v>4621</v>
      </c>
      <c r="K2187" t="s">
        <v>38</v>
      </c>
      <c r="L2187" t="s">
        <v>38</v>
      </c>
      <c r="M2187" t="s">
        <v>38</v>
      </c>
      <c r="N2187" t="s">
        <v>38</v>
      </c>
      <c r="O2187" t="s">
        <v>38</v>
      </c>
      <c r="T2187" t="s">
        <v>38</v>
      </c>
      <c r="U2187">
        <v>0</v>
      </c>
      <c r="V2187">
        <v>1</v>
      </c>
      <c r="W2187">
        <v>0</v>
      </c>
      <c r="X2187">
        <v>0</v>
      </c>
      <c r="Y2187">
        <v>0</v>
      </c>
      <c r="AE2187">
        <f t="shared" si="102"/>
        <v>1</v>
      </c>
      <c r="AF2187">
        <f>VLOOKUP(D2187,especies!$A$2:$C$9,3,FALSE)</f>
        <v>2</v>
      </c>
      <c r="AG2187" t="str">
        <f t="shared" si="103"/>
        <v>2-DPC (Doméstico de pelo corto o DSH)</v>
      </c>
      <c r="AH2187">
        <f>VLOOKUP('Fichas clínicas'!AG2187,razas!$A$2:$D$66,3,FALSE)</f>
        <v>51</v>
      </c>
      <c r="AI2187" t="str">
        <f t="shared" si="104"/>
        <v>H</v>
      </c>
    </row>
    <row r="2188" spans="1:35" x14ac:dyDescent="0.2">
      <c r="A2188">
        <v>2190</v>
      </c>
      <c r="B2188" t="s">
        <v>4125</v>
      </c>
      <c r="C2188" t="s">
        <v>4698</v>
      </c>
      <c r="D2188" t="s">
        <v>41</v>
      </c>
      <c r="E2188" t="s">
        <v>42</v>
      </c>
      <c r="F2188" t="s">
        <v>47</v>
      </c>
      <c r="G2188" t="s">
        <v>2122</v>
      </c>
      <c r="J2188" t="s">
        <v>4699</v>
      </c>
      <c r="K2188" t="s">
        <v>38</v>
      </c>
      <c r="L2188" t="s">
        <v>38</v>
      </c>
      <c r="M2188" t="s">
        <v>38</v>
      </c>
      <c r="N2188" t="s">
        <v>38</v>
      </c>
      <c r="O2188" t="s">
        <v>38</v>
      </c>
      <c r="T2188" t="s">
        <v>38</v>
      </c>
      <c r="U2188">
        <v>0</v>
      </c>
      <c r="W2188">
        <v>0</v>
      </c>
      <c r="X2188">
        <v>0</v>
      </c>
      <c r="Y2188">
        <v>0</v>
      </c>
      <c r="AE2188">
        <f t="shared" si="102"/>
        <v>1</v>
      </c>
      <c r="AF2188">
        <f>VLOOKUP(D2188,especies!$A$2:$C$9,3,FALSE)</f>
        <v>2</v>
      </c>
      <c r="AG2188" t="str">
        <f t="shared" si="103"/>
        <v>2-DPC (Doméstico de pelo corto o DSH)</v>
      </c>
      <c r="AH2188">
        <f>VLOOKUP('Fichas clínicas'!AG2188,razas!$A$2:$D$66,3,FALSE)</f>
        <v>51</v>
      </c>
      <c r="AI2188" t="str">
        <f t="shared" si="104"/>
        <v>M</v>
      </c>
    </row>
    <row r="2189" spans="1:35" x14ac:dyDescent="0.2">
      <c r="A2189">
        <v>2191</v>
      </c>
      <c r="B2189" t="s">
        <v>4700</v>
      </c>
      <c r="C2189" t="s">
        <v>1912</v>
      </c>
      <c r="D2189" t="s">
        <v>32</v>
      </c>
      <c r="E2189" t="s">
        <v>143</v>
      </c>
      <c r="F2189" t="s">
        <v>47</v>
      </c>
      <c r="G2189" t="s">
        <v>4701</v>
      </c>
      <c r="J2189" t="s">
        <v>4702</v>
      </c>
      <c r="K2189" t="s">
        <v>38</v>
      </c>
      <c r="L2189" t="s">
        <v>38</v>
      </c>
      <c r="M2189" t="s">
        <v>38</v>
      </c>
      <c r="N2189" t="s">
        <v>38</v>
      </c>
      <c r="O2189" t="s">
        <v>38</v>
      </c>
      <c r="T2189" t="s">
        <v>38</v>
      </c>
      <c r="U2189">
        <v>0</v>
      </c>
      <c r="V2189">
        <v>1</v>
      </c>
      <c r="W2189">
        <v>0</v>
      </c>
      <c r="X2189">
        <v>0</v>
      </c>
      <c r="Y2189">
        <v>0</v>
      </c>
      <c r="AE2189">
        <f t="shared" si="102"/>
        <v>1</v>
      </c>
      <c r="AF2189">
        <f>VLOOKUP(D2189,especies!$A$2:$C$9,3,FALSE)</f>
        <v>1</v>
      </c>
      <c r="AG2189" t="str">
        <f t="shared" si="103"/>
        <v>1-Yorkshire Terrier</v>
      </c>
      <c r="AH2189">
        <f>VLOOKUP('Fichas clínicas'!AG2189,razas!$A$2:$D$66,3,FALSE)</f>
        <v>5</v>
      </c>
      <c r="AI2189" t="str">
        <f t="shared" si="104"/>
        <v>M</v>
      </c>
    </row>
    <row r="2190" spans="1:35" x14ac:dyDescent="0.2">
      <c r="A2190">
        <v>2192</v>
      </c>
      <c r="B2190" t="s">
        <v>4703</v>
      </c>
      <c r="C2190" t="s">
        <v>4704</v>
      </c>
      <c r="D2190" t="s">
        <v>41</v>
      </c>
      <c r="E2190" t="s">
        <v>42</v>
      </c>
      <c r="F2190" t="s">
        <v>34</v>
      </c>
      <c r="G2190" t="s">
        <v>2833</v>
      </c>
      <c r="J2190" t="s">
        <v>44</v>
      </c>
      <c r="K2190" t="s">
        <v>38</v>
      </c>
      <c r="L2190" t="s">
        <v>38</v>
      </c>
      <c r="M2190" t="s">
        <v>38</v>
      </c>
      <c r="N2190" t="s">
        <v>38</v>
      </c>
      <c r="O2190" t="s">
        <v>38</v>
      </c>
      <c r="T2190" t="s">
        <v>38</v>
      </c>
      <c r="U2190">
        <v>0</v>
      </c>
      <c r="V2190">
        <v>1</v>
      </c>
      <c r="W2190">
        <v>0</v>
      </c>
      <c r="X2190">
        <v>0</v>
      </c>
      <c r="Y2190">
        <v>0</v>
      </c>
      <c r="AE2190">
        <f t="shared" si="102"/>
        <v>1</v>
      </c>
      <c r="AF2190">
        <f>VLOOKUP(D2190,especies!$A$2:$C$9,3,FALSE)</f>
        <v>2</v>
      </c>
      <c r="AG2190" t="str">
        <f t="shared" si="103"/>
        <v>2-DPC (Doméstico de pelo corto o DSH)</v>
      </c>
      <c r="AH2190">
        <f>VLOOKUP('Fichas clínicas'!AG2190,razas!$A$2:$D$66,3,FALSE)</f>
        <v>51</v>
      </c>
      <c r="AI2190" t="str">
        <f t="shared" si="104"/>
        <v>H</v>
      </c>
    </row>
    <row r="2191" spans="1:35" x14ac:dyDescent="0.2">
      <c r="A2191">
        <v>2193</v>
      </c>
      <c r="B2191" t="s">
        <v>1113</v>
      </c>
      <c r="C2191" t="s">
        <v>4480</v>
      </c>
      <c r="D2191" t="s">
        <v>41</v>
      </c>
      <c r="E2191" t="s">
        <v>42</v>
      </c>
      <c r="F2191" t="s">
        <v>34</v>
      </c>
      <c r="G2191" t="s">
        <v>1561</v>
      </c>
      <c r="J2191" t="s">
        <v>741</v>
      </c>
      <c r="K2191" t="s">
        <v>38</v>
      </c>
      <c r="L2191" t="s">
        <v>38</v>
      </c>
      <c r="M2191" t="s">
        <v>38</v>
      </c>
      <c r="N2191" t="s">
        <v>38</v>
      </c>
      <c r="O2191" t="s">
        <v>38</v>
      </c>
      <c r="T2191" t="s">
        <v>38</v>
      </c>
      <c r="U2191">
        <v>0</v>
      </c>
      <c r="V2191">
        <v>1</v>
      </c>
      <c r="W2191">
        <v>0</v>
      </c>
      <c r="X2191">
        <v>0</v>
      </c>
      <c r="Y2191">
        <v>0</v>
      </c>
      <c r="AE2191">
        <f t="shared" si="102"/>
        <v>1</v>
      </c>
      <c r="AF2191">
        <f>VLOOKUP(D2191,especies!$A$2:$C$9,3,FALSE)</f>
        <v>2</v>
      </c>
      <c r="AG2191" t="str">
        <f t="shared" si="103"/>
        <v>2-DPC (Doméstico de pelo corto o DSH)</v>
      </c>
      <c r="AH2191">
        <f>VLOOKUP('Fichas clínicas'!AG2191,razas!$A$2:$D$66,3,FALSE)</f>
        <v>51</v>
      </c>
      <c r="AI2191" t="str">
        <f t="shared" si="104"/>
        <v>H</v>
      </c>
    </row>
    <row r="2192" spans="1:35" x14ac:dyDescent="0.2">
      <c r="A2192">
        <v>2194</v>
      </c>
      <c r="B2192" t="s">
        <v>4705</v>
      </c>
      <c r="C2192" t="s">
        <v>2223</v>
      </c>
      <c r="D2192" t="s">
        <v>41</v>
      </c>
      <c r="E2192" t="s">
        <v>42</v>
      </c>
      <c r="F2192" t="s">
        <v>47</v>
      </c>
      <c r="G2192" t="s">
        <v>4706</v>
      </c>
      <c r="J2192" t="s">
        <v>4707</v>
      </c>
      <c r="K2192" t="s">
        <v>38</v>
      </c>
      <c r="L2192" t="s">
        <v>38</v>
      </c>
      <c r="M2192" t="s">
        <v>38</v>
      </c>
      <c r="N2192" t="s">
        <v>38</v>
      </c>
      <c r="O2192" t="s">
        <v>38</v>
      </c>
      <c r="T2192" t="s">
        <v>38</v>
      </c>
      <c r="U2192">
        <v>0</v>
      </c>
      <c r="V2192">
        <v>1</v>
      </c>
      <c r="W2192">
        <v>0</v>
      </c>
      <c r="X2192">
        <v>0</v>
      </c>
      <c r="Y2192">
        <v>0</v>
      </c>
      <c r="AE2192">
        <f t="shared" si="102"/>
        <v>1</v>
      </c>
      <c r="AF2192">
        <f>VLOOKUP(D2192,especies!$A$2:$C$9,3,FALSE)</f>
        <v>2</v>
      </c>
      <c r="AG2192" t="str">
        <f t="shared" si="103"/>
        <v>2-DPC (Doméstico de pelo corto o DSH)</v>
      </c>
      <c r="AH2192">
        <f>VLOOKUP('Fichas clínicas'!AG2192,razas!$A$2:$D$66,3,FALSE)</f>
        <v>51</v>
      </c>
      <c r="AI2192" t="str">
        <f t="shared" si="104"/>
        <v>M</v>
      </c>
    </row>
    <row r="2193" spans="1:35" x14ac:dyDescent="0.2">
      <c r="A2193">
        <v>2195</v>
      </c>
      <c r="B2193" t="s">
        <v>4708</v>
      </c>
      <c r="C2193" t="s">
        <v>2310</v>
      </c>
      <c r="D2193" t="s">
        <v>32</v>
      </c>
      <c r="E2193" t="s">
        <v>33</v>
      </c>
      <c r="F2193" t="s">
        <v>34</v>
      </c>
      <c r="G2193" t="s">
        <v>4709</v>
      </c>
      <c r="J2193" t="s">
        <v>4710</v>
      </c>
      <c r="K2193" t="s">
        <v>38</v>
      </c>
      <c r="L2193" t="s">
        <v>38</v>
      </c>
      <c r="M2193" t="s">
        <v>38</v>
      </c>
      <c r="N2193" t="s">
        <v>38</v>
      </c>
      <c r="O2193" t="s">
        <v>38</v>
      </c>
      <c r="T2193" t="s">
        <v>38</v>
      </c>
      <c r="U2193">
        <v>0</v>
      </c>
      <c r="V2193">
        <v>1</v>
      </c>
      <c r="W2193">
        <v>0</v>
      </c>
      <c r="X2193">
        <v>0</v>
      </c>
      <c r="Y2193">
        <v>0</v>
      </c>
      <c r="AE2193">
        <f t="shared" si="102"/>
        <v>1</v>
      </c>
      <c r="AF2193">
        <f>VLOOKUP(D2193,especies!$A$2:$C$9,3,FALSE)</f>
        <v>1</v>
      </c>
      <c r="AG2193" t="str">
        <f t="shared" si="103"/>
        <v>1-Mestizo</v>
      </c>
      <c r="AH2193">
        <f>VLOOKUP('Fichas clínicas'!AG2193,razas!$A$2:$D$66,3,FALSE)</f>
        <v>1</v>
      </c>
      <c r="AI2193" t="str">
        <f t="shared" si="104"/>
        <v>H</v>
      </c>
    </row>
    <row r="2194" spans="1:35" x14ac:dyDescent="0.2">
      <c r="A2194">
        <v>2196</v>
      </c>
      <c r="B2194" t="s">
        <v>4711</v>
      </c>
      <c r="C2194" t="s">
        <v>2880</v>
      </c>
      <c r="D2194" t="s">
        <v>32</v>
      </c>
      <c r="E2194" t="s">
        <v>150</v>
      </c>
      <c r="F2194" t="s">
        <v>47</v>
      </c>
      <c r="G2194" t="s">
        <v>102</v>
      </c>
      <c r="J2194" t="s">
        <v>4465</v>
      </c>
      <c r="K2194" t="s">
        <v>38</v>
      </c>
      <c r="L2194" t="s">
        <v>38</v>
      </c>
      <c r="M2194" t="s">
        <v>38</v>
      </c>
      <c r="N2194" t="s">
        <v>38</v>
      </c>
      <c r="O2194" t="s">
        <v>38</v>
      </c>
      <c r="T2194" t="s">
        <v>38</v>
      </c>
      <c r="U2194">
        <v>0</v>
      </c>
      <c r="W2194">
        <v>0</v>
      </c>
      <c r="X2194">
        <v>0</v>
      </c>
      <c r="Y2194">
        <v>0</v>
      </c>
      <c r="AE2194">
        <f t="shared" si="102"/>
        <v>1</v>
      </c>
      <c r="AF2194">
        <f>VLOOKUP(D2194,especies!$A$2:$C$9,3,FALSE)</f>
        <v>1</v>
      </c>
      <c r="AG2194" t="str">
        <f t="shared" si="103"/>
        <v>1-Poodle</v>
      </c>
      <c r="AH2194">
        <f>VLOOKUP('Fichas clínicas'!AG2194,razas!$A$2:$D$66,3,FALSE)</f>
        <v>6</v>
      </c>
      <c r="AI2194" t="str">
        <f t="shared" si="104"/>
        <v>M</v>
      </c>
    </row>
    <row r="2195" spans="1:35" x14ac:dyDescent="0.2">
      <c r="A2195">
        <v>2197</v>
      </c>
      <c r="B2195" t="s">
        <v>4712</v>
      </c>
      <c r="C2195" t="s">
        <v>1584</v>
      </c>
      <c r="D2195" t="s">
        <v>32</v>
      </c>
      <c r="E2195" t="s">
        <v>473</v>
      </c>
      <c r="F2195" t="s">
        <v>47</v>
      </c>
      <c r="G2195" t="s">
        <v>4713</v>
      </c>
      <c r="J2195" t="s">
        <v>4650</v>
      </c>
      <c r="K2195" t="s">
        <v>38</v>
      </c>
      <c r="L2195" t="s">
        <v>38</v>
      </c>
      <c r="M2195" t="s">
        <v>38</v>
      </c>
      <c r="N2195" t="s">
        <v>38</v>
      </c>
      <c r="O2195" t="s">
        <v>38</v>
      </c>
      <c r="T2195" t="s">
        <v>38</v>
      </c>
      <c r="U2195">
        <v>0</v>
      </c>
      <c r="W2195">
        <v>0</v>
      </c>
      <c r="X2195">
        <v>0</v>
      </c>
      <c r="Y2195">
        <v>0</v>
      </c>
      <c r="AE2195">
        <f t="shared" si="102"/>
        <v>1</v>
      </c>
      <c r="AF2195">
        <f>VLOOKUP(D2195,especies!$A$2:$C$9,3,FALSE)</f>
        <v>1</v>
      </c>
      <c r="AG2195" t="str">
        <f t="shared" si="103"/>
        <v>1-Boxer</v>
      </c>
      <c r="AH2195">
        <f>VLOOKUP('Fichas clínicas'!AG2195,razas!$A$2:$D$66,3,FALSE)</f>
        <v>14</v>
      </c>
      <c r="AI2195" t="str">
        <f t="shared" si="104"/>
        <v>M</v>
      </c>
    </row>
    <row r="2196" spans="1:35" x14ac:dyDescent="0.2">
      <c r="A2196">
        <v>2198</v>
      </c>
      <c r="B2196" t="s">
        <v>3677</v>
      </c>
      <c r="C2196" t="s">
        <v>4714</v>
      </c>
      <c r="D2196" t="s">
        <v>41</v>
      </c>
      <c r="E2196" t="s">
        <v>42</v>
      </c>
      <c r="F2196" t="s">
        <v>34</v>
      </c>
      <c r="G2196" t="s">
        <v>4665</v>
      </c>
      <c r="J2196" t="s">
        <v>441</v>
      </c>
      <c r="K2196" t="s">
        <v>38</v>
      </c>
      <c r="L2196" t="s">
        <v>38</v>
      </c>
      <c r="M2196" t="s">
        <v>38</v>
      </c>
      <c r="N2196" t="s">
        <v>38</v>
      </c>
      <c r="O2196" t="s">
        <v>38</v>
      </c>
      <c r="Q2196">
        <v>0</v>
      </c>
      <c r="T2196" t="s">
        <v>38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f t="shared" si="102"/>
        <v>1</v>
      </c>
      <c r="AF2196">
        <f>VLOOKUP(D2196,especies!$A$2:$C$9,3,FALSE)</f>
        <v>2</v>
      </c>
      <c r="AG2196" t="str">
        <f t="shared" si="103"/>
        <v>2-DPC (Doméstico de pelo corto o DSH)</v>
      </c>
      <c r="AH2196">
        <f>VLOOKUP('Fichas clínicas'!AG2196,razas!$A$2:$D$66,3,FALSE)</f>
        <v>51</v>
      </c>
      <c r="AI2196" t="str">
        <f t="shared" si="104"/>
        <v>H</v>
      </c>
    </row>
    <row r="2197" spans="1:35" x14ac:dyDescent="0.2">
      <c r="A2197">
        <v>2199</v>
      </c>
      <c r="B2197" t="s">
        <v>4715</v>
      </c>
      <c r="C2197" t="s">
        <v>3708</v>
      </c>
      <c r="D2197" t="s">
        <v>32</v>
      </c>
      <c r="E2197" t="s">
        <v>122</v>
      </c>
      <c r="F2197" t="s">
        <v>34</v>
      </c>
      <c r="G2197" t="s">
        <v>102</v>
      </c>
      <c r="J2197" t="s">
        <v>4716</v>
      </c>
      <c r="K2197" t="s">
        <v>38</v>
      </c>
      <c r="L2197" t="s">
        <v>38</v>
      </c>
      <c r="M2197" t="s">
        <v>38</v>
      </c>
      <c r="N2197" t="s">
        <v>38</v>
      </c>
      <c r="O2197" t="s">
        <v>38</v>
      </c>
      <c r="T2197" t="s">
        <v>38</v>
      </c>
      <c r="U2197">
        <v>0</v>
      </c>
      <c r="V2197">
        <v>1</v>
      </c>
      <c r="W2197">
        <v>0</v>
      </c>
      <c r="X2197">
        <v>0</v>
      </c>
      <c r="Y2197">
        <v>0</v>
      </c>
      <c r="AE2197">
        <f t="shared" si="102"/>
        <v>1</v>
      </c>
      <c r="AF2197">
        <f>VLOOKUP(D2197,especies!$A$2:$C$9,3,FALSE)</f>
        <v>1</v>
      </c>
      <c r="AG2197" t="str">
        <f t="shared" si="103"/>
        <v>1-Caniche</v>
      </c>
      <c r="AH2197">
        <f>VLOOKUP('Fichas clínicas'!AG2197,razas!$A$2:$D$66,3,FALSE)</f>
        <v>4</v>
      </c>
      <c r="AI2197" t="str">
        <f t="shared" si="104"/>
        <v>H</v>
      </c>
    </row>
    <row r="2198" spans="1:35" x14ac:dyDescent="0.2">
      <c r="A2198">
        <v>2200</v>
      </c>
      <c r="B2198" t="s">
        <v>4717</v>
      </c>
      <c r="C2198" t="s">
        <v>4718</v>
      </c>
      <c r="D2198" t="s">
        <v>41</v>
      </c>
      <c r="E2198" t="s">
        <v>42</v>
      </c>
      <c r="F2198" t="s">
        <v>34</v>
      </c>
      <c r="G2198" t="s">
        <v>4477</v>
      </c>
      <c r="J2198" t="s">
        <v>4719</v>
      </c>
      <c r="K2198" t="s">
        <v>38</v>
      </c>
      <c r="L2198" t="s">
        <v>38</v>
      </c>
      <c r="M2198" t="s">
        <v>38</v>
      </c>
      <c r="N2198" t="s">
        <v>38</v>
      </c>
      <c r="O2198" t="s">
        <v>38</v>
      </c>
      <c r="T2198" t="s">
        <v>38</v>
      </c>
      <c r="U2198">
        <v>0</v>
      </c>
      <c r="V2198">
        <v>1</v>
      </c>
      <c r="W2198">
        <v>0</v>
      </c>
      <c r="X2198">
        <v>0</v>
      </c>
      <c r="Y2198">
        <v>0</v>
      </c>
      <c r="AE2198">
        <f t="shared" si="102"/>
        <v>1</v>
      </c>
      <c r="AF2198">
        <f>VLOOKUP(D2198,especies!$A$2:$C$9,3,FALSE)</f>
        <v>2</v>
      </c>
      <c r="AG2198" t="str">
        <f t="shared" si="103"/>
        <v>2-DPC (Doméstico de pelo corto o DSH)</v>
      </c>
      <c r="AH2198">
        <f>VLOOKUP('Fichas clínicas'!AG2198,razas!$A$2:$D$66,3,FALSE)</f>
        <v>51</v>
      </c>
      <c r="AI2198" t="str">
        <f t="shared" si="104"/>
        <v>H</v>
      </c>
    </row>
    <row r="2199" spans="1:35" x14ac:dyDescent="0.2">
      <c r="A2199">
        <v>2201</v>
      </c>
      <c r="B2199" t="s">
        <v>558</v>
      </c>
      <c r="C2199" t="s">
        <v>1619</v>
      </c>
      <c r="D2199" t="s">
        <v>32</v>
      </c>
      <c r="E2199" t="s">
        <v>164</v>
      </c>
      <c r="F2199" t="s">
        <v>34</v>
      </c>
      <c r="G2199" t="s">
        <v>73</v>
      </c>
      <c r="J2199" t="s">
        <v>4720</v>
      </c>
      <c r="K2199" t="s">
        <v>38</v>
      </c>
      <c r="L2199" t="s">
        <v>38</v>
      </c>
      <c r="M2199" t="s">
        <v>38</v>
      </c>
      <c r="N2199" t="s">
        <v>38</v>
      </c>
      <c r="O2199" t="s">
        <v>38</v>
      </c>
      <c r="T2199" t="s">
        <v>38</v>
      </c>
      <c r="U2199">
        <v>0</v>
      </c>
      <c r="W2199">
        <v>0</v>
      </c>
      <c r="X2199">
        <v>0</v>
      </c>
      <c r="Y2199">
        <v>0</v>
      </c>
      <c r="AE2199">
        <f t="shared" si="102"/>
        <v>1</v>
      </c>
      <c r="AF2199">
        <f>VLOOKUP(D2199,especies!$A$2:$C$9,3,FALSE)</f>
        <v>1</v>
      </c>
      <c r="AG2199" t="str">
        <f t="shared" si="103"/>
        <v>1-Teckel</v>
      </c>
      <c r="AH2199">
        <f>VLOOKUP('Fichas clínicas'!AG2199,razas!$A$2:$D$66,3,FALSE)</f>
        <v>8</v>
      </c>
      <c r="AI2199" t="str">
        <f t="shared" si="104"/>
        <v>H</v>
      </c>
    </row>
    <row r="2200" spans="1:35" x14ac:dyDescent="0.2">
      <c r="A2200">
        <v>2202</v>
      </c>
      <c r="B2200" t="s">
        <v>995</v>
      </c>
      <c r="C2200" t="s">
        <v>2189</v>
      </c>
      <c r="D2200" t="s">
        <v>32</v>
      </c>
      <c r="E2200" t="s">
        <v>33</v>
      </c>
      <c r="F2200" t="s">
        <v>47</v>
      </c>
      <c r="G2200" t="s">
        <v>1402</v>
      </c>
      <c r="J2200" t="s">
        <v>489</v>
      </c>
      <c r="K2200" t="s">
        <v>38</v>
      </c>
      <c r="L2200" t="s">
        <v>38</v>
      </c>
      <c r="M2200" t="s">
        <v>38</v>
      </c>
      <c r="N2200" t="s">
        <v>38</v>
      </c>
      <c r="O2200" t="s">
        <v>38</v>
      </c>
      <c r="T2200" t="s">
        <v>38</v>
      </c>
      <c r="U2200">
        <v>0</v>
      </c>
      <c r="W2200">
        <v>0</v>
      </c>
      <c r="X2200">
        <v>0</v>
      </c>
      <c r="Y2200">
        <v>0</v>
      </c>
      <c r="AE2200">
        <f t="shared" si="102"/>
        <v>1</v>
      </c>
      <c r="AF2200">
        <f>VLOOKUP(D2200,especies!$A$2:$C$9,3,FALSE)</f>
        <v>1</v>
      </c>
      <c r="AG2200" t="str">
        <f t="shared" si="103"/>
        <v>1-Mestizo</v>
      </c>
      <c r="AH2200">
        <f>VLOOKUP('Fichas clínicas'!AG2200,razas!$A$2:$D$66,3,FALSE)</f>
        <v>1</v>
      </c>
      <c r="AI2200" t="str">
        <f t="shared" si="104"/>
        <v>M</v>
      </c>
    </row>
    <row r="2201" spans="1:35" x14ac:dyDescent="0.2">
      <c r="A2201">
        <v>2203</v>
      </c>
      <c r="B2201" t="s">
        <v>91</v>
      </c>
      <c r="C2201" t="s">
        <v>4721</v>
      </c>
      <c r="D2201" t="s">
        <v>41</v>
      </c>
      <c r="E2201" t="s">
        <v>93</v>
      </c>
      <c r="F2201" t="s">
        <v>47</v>
      </c>
      <c r="G2201" t="s">
        <v>1402</v>
      </c>
      <c r="J2201" t="s">
        <v>3196</v>
      </c>
      <c r="K2201" t="s">
        <v>38</v>
      </c>
      <c r="L2201" t="s">
        <v>38</v>
      </c>
      <c r="M2201" t="s">
        <v>38</v>
      </c>
      <c r="N2201" t="s">
        <v>38</v>
      </c>
      <c r="O2201" t="s">
        <v>38</v>
      </c>
      <c r="Q2201">
        <v>0</v>
      </c>
      <c r="T2201" t="s">
        <v>38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f t="shared" si="102"/>
        <v>1</v>
      </c>
      <c r="AF2201">
        <f>VLOOKUP(D2201,especies!$A$2:$C$9,3,FALSE)</f>
        <v>2</v>
      </c>
      <c r="AG2201" t="str">
        <f t="shared" si="103"/>
        <v>2-DPL (Doméstico de pelo Largo o DLH)</v>
      </c>
      <c r="AH2201">
        <f>VLOOKUP('Fichas clínicas'!AG2201,razas!$A$2:$D$66,3,FALSE)</f>
        <v>52</v>
      </c>
      <c r="AI2201" t="str">
        <f t="shared" si="104"/>
        <v>M</v>
      </c>
    </row>
    <row r="2202" spans="1:35" x14ac:dyDescent="0.2">
      <c r="A2202">
        <v>2204</v>
      </c>
      <c r="B2202" t="s">
        <v>3710</v>
      </c>
      <c r="C2202" t="s">
        <v>4722</v>
      </c>
      <c r="D2202" t="s">
        <v>41</v>
      </c>
      <c r="E2202" t="s">
        <v>42</v>
      </c>
      <c r="F2202" t="s">
        <v>47</v>
      </c>
      <c r="G2202" t="s">
        <v>1007</v>
      </c>
      <c r="J2202" t="s">
        <v>4723</v>
      </c>
      <c r="K2202" t="s">
        <v>38</v>
      </c>
      <c r="L2202" t="s">
        <v>38</v>
      </c>
      <c r="M2202" t="s">
        <v>38</v>
      </c>
      <c r="N2202" t="s">
        <v>38</v>
      </c>
      <c r="O2202" t="s">
        <v>38</v>
      </c>
      <c r="T2202" t="s">
        <v>38</v>
      </c>
      <c r="U2202">
        <v>0</v>
      </c>
      <c r="W2202">
        <v>0</v>
      </c>
      <c r="X2202">
        <v>0</v>
      </c>
      <c r="Y2202">
        <v>0</v>
      </c>
      <c r="AE2202">
        <f t="shared" si="102"/>
        <v>1</v>
      </c>
      <c r="AF2202">
        <f>VLOOKUP(D2202,especies!$A$2:$C$9,3,FALSE)</f>
        <v>2</v>
      </c>
      <c r="AG2202" t="str">
        <f t="shared" si="103"/>
        <v>2-DPC (Doméstico de pelo corto o DSH)</v>
      </c>
      <c r="AH2202">
        <f>VLOOKUP('Fichas clínicas'!AG2202,razas!$A$2:$D$66,3,FALSE)</f>
        <v>51</v>
      </c>
      <c r="AI2202" t="str">
        <f t="shared" si="104"/>
        <v>M</v>
      </c>
    </row>
    <row r="2203" spans="1:35" x14ac:dyDescent="0.2">
      <c r="A2203">
        <v>2205</v>
      </c>
      <c r="B2203" t="s">
        <v>2657</v>
      </c>
      <c r="C2203" t="s">
        <v>2972</v>
      </c>
      <c r="D2203" t="s">
        <v>41</v>
      </c>
      <c r="E2203" t="s">
        <v>42</v>
      </c>
      <c r="F2203" t="s">
        <v>34</v>
      </c>
      <c r="G2203" t="s">
        <v>2296</v>
      </c>
      <c r="J2203" t="s">
        <v>103</v>
      </c>
      <c r="K2203" t="s">
        <v>38</v>
      </c>
      <c r="L2203" t="s">
        <v>38</v>
      </c>
      <c r="M2203" t="s">
        <v>38</v>
      </c>
      <c r="N2203" t="s">
        <v>38</v>
      </c>
      <c r="O2203" t="s">
        <v>38</v>
      </c>
      <c r="T2203" t="s">
        <v>38</v>
      </c>
      <c r="U2203">
        <v>0</v>
      </c>
      <c r="V2203">
        <v>1</v>
      </c>
      <c r="W2203">
        <v>0</v>
      </c>
      <c r="X2203">
        <v>0</v>
      </c>
      <c r="Y2203">
        <v>0</v>
      </c>
      <c r="AE2203">
        <f t="shared" si="102"/>
        <v>1</v>
      </c>
      <c r="AF2203">
        <f>VLOOKUP(D2203,especies!$A$2:$C$9,3,FALSE)</f>
        <v>2</v>
      </c>
      <c r="AG2203" t="str">
        <f t="shared" si="103"/>
        <v>2-DPC (Doméstico de pelo corto o DSH)</v>
      </c>
      <c r="AH2203">
        <f>VLOOKUP('Fichas clínicas'!AG2203,razas!$A$2:$D$66,3,FALSE)</f>
        <v>51</v>
      </c>
      <c r="AI2203" t="str">
        <f t="shared" si="104"/>
        <v>H</v>
      </c>
    </row>
    <row r="2204" spans="1:35" x14ac:dyDescent="0.2">
      <c r="A2204">
        <v>2206</v>
      </c>
      <c r="B2204" t="s">
        <v>4724</v>
      </c>
      <c r="C2204" t="s">
        <v>4725</v>
      </c>
      <c r="D2204" t="s">
        <v>41</v>
      </c>
      <c r="E2204" t="s">
        <v>42</v>
      </c>
      <c r="F2204" t="s">
        <v>34</v>
      </c>
      <c r="G2204" t="s">
        <v>4726</v>
      </c>
      <c r="J2204" t="s">
        <v>4727</v>
      </c>
      <c r="K2204" t="s">
        <v>38</v>
      </c>
      <c r="L2204" t="s">
        <v>38</v>
      </c>
      <c r="M2204" t="s">
        <v>38</v>
      </c>
      <c r="N2204" t="s">
        <v>38</v>
      </c>
      <c r="O2204" t="s">
        <v>38</v>
      </c>
      <c r="T2204" t="s">
        <v>38</v>
      </c>
      <c r="U2204">
        <v>0</v>
      </c>
      <c r="W2204">
        <v>0</v>
      </c>
      <c r="X2204">
        <v>0</v>
      </c>
      <c r="Y2204">
        <v>0</v>
      </c>
      <c r="AE2204">
        <f t="shared" si="102"/>
        <v>1</v>
      </c>
      <c r="AF2204">
        <f>VLOOKUP(D2204,especies!$A$2:$C$9,3,FALSE)</f>
        <v>2</v>
      </c>
      <c r="AG2204" t="str">
        <f t="shared" si="103"/>
        <v>2-DPC (Doméstico de pelo corto o DSH)</v>
      </c>
      <c r="AH2204">
        <f>VLOOKUP('Fichas clínicas'!AG2204,razas!$A$2:$D$66,3,FALSE)</f>
        <v>51</v>
      </c>
      <c r="AI2204" t="str">
        <f t="shared" si="104"/>
        <v>H</v>
      </c>
    </row>
    <row r="2205" spans="1:35" x14ac:dyDescent="0.2">
      <c r="A2205">
        <v>2207</v>
      </c>
      <c r="B2205" t="s">
        <v>4728</v>
      </c>
      <c r="C2205" t="s">
        <v>4729</v>
      </c>
      <c r="D2205" t="s">
        <v>41</v>
      </c>
      <c r="E2205" t="s">
        <v>42</v>
      </c>
      <c r="F2205" t="s">
        <v>34</v>
      </c>
      <c r="G2205" t="s">
        <v>2308</v>
      </c>
      <c r="J2205" t="s">
        <v>4730</v>
      </c>
      <c r="K2205" t="s">
        <v>38</v>
      </c>
      <c r="L2205" t="s">
        <v>38</v>
      </c>
      <c r="M2205" t="s">
        <v>38</v>
      </c>
      <c r="N2205" t="s">
        <v>38</v>
      </c>
      <c r="O2205" t="s">
        <v>38</v>
      </c>
      <c r="T2205" t="s">
        <v>38</v>
      </c>
      <c r="U2205">
        <v>0</v>
      </c>
      <c r="V2205">
        <v>1</v>
      </c>
      <c r="W2205">
        <v>0</v>
      </c>
      <c r="X2205">
        <v>0</v>
      </c>
      <c r="Y2205">
        <v>0</v>
      </c>
      <c r="AE2205">
        <f t="shared" si="102"/>
        <v>1</v>
      </c>
      <c r="AF2205">
        <f>VLOOKUP(D2205,especies!$A$2:$C$9,3,FALSE)</f>
        <v>2</v>
      </c>
      <c r="AG2205" t="str">
        <f t="shared" si="103"/>
        <v>2-DPC (Doméstico de pelo corto o DSH)</v>
      </c>
      <c r="AH2205">
        <f>VLOOKUP('Fichas clínicas'!AG2205,razas!$A$2:$D$66,3,FALSE)</f>
        <v>51</v>
      </c>
      <c r="AI2205" t="str">
        <f t="shared" si="104"/>
        <v>H</v>
      </c>
    </row>
    <row r="2206" spans="1:35" x14ac:dyDescent="0.2">
      <c r="A2206">
        <v>2208</v>
      </c>
      <c r="B2206" t="s">
        <v>4731</v>
      </c>
      <c r="C2206" t="s">
        <v>4732</v>
      </c>
      <c r="D2206" t="s">
        <v>32</v>
      </c>
      <c r="E2206" t="s">
        <v>150</v>
      </c>
      <c r="F2206" t="s">
        <v>47</v>
      </c>
      <c r="G2206" t="s">
        <v>587</v>
      </c>
      <c r="J2206" t="s">
        <v>4733</v>
      </c>
      <c r="K2206" t="s">
        <v>38</v>
      </c>
      <c r="L2206" t="s">
        <v>38</v>
      </c>
      <c r="M2206" t="s">
        <v>38</v>
      </c>
      <c r="N2206" t="s">
        <v>38</v>
      </c>
      <c r="O2206" t="s">
        <v>38</v>
      </c>
      <c r="T2206" t="s">
        <v>38</v>
      </c>
      <c r="U2206">
        <v>0</v>
      </c>
      <c r="W2206">
        <v>0</v>
      </c>
      <c r="X2206">
        <v>0</v>
      </c>
      <c r="Y2206">
        <v>0</v>
      </c>
      <c r="AE2206">
        <f t="shared" si="102"/>
        <v>1</v>
      </c>
      <c r="AF2206">
        <f>VLOOKUP(D2206,especies!$A$2:$C$9,3,FALSE)</f>
        <v>1</v>
      </c>
      <c r="AG2206" t="str">
        <f t="shared" si="103"/>
        <v>1-Poodle</v>
      </c>
      <c r="AH2206">
        <f>VLOOKUP('Fichas clínicas'!AG2206,razas!$A$2:$D$66,3,FALSE)</f>
        <v>6</v>
      </c>
      <c r="AI2206" t="str">
        <f t="shared" si="104"/>
        <v>M</v>
      </c>
    </row>
    <row r="2207" spans="1:35" x14ac:dyDescent="0.2">
      <c r="A2207">
        <v>2209</v>
      </c>
      <c r="B2207" t="s">
        <v>4734</v>
      </c>
      <c r="C2207" t="s">
        <v>4735</v>
      </c>
      <c r="D2207" t="s">
        <v>32</v>
      </c>
      <c r="E2207" t="s">
        <v>33</v>
      </c>
      <c r="F2207" t="s">
        <v>34</v>
      </c>
      <c r="G2207" t="s">
        <v>4736</v>
      </c>
      <c r="J2207" t="s">
        <v>4652</v>
      </c>
      <c r="K2207" t="s">
        <v>38</v>
      </c>
      <c r="L2207" t="s">
        <v>38</v>
      </c>
      <c r="M2207" t="s">
        <v>38</v>
      </c>
      <c r="N2207" t="s">
        <v>38</v>
      </c>
      <c r="O2207" t="s">
        <v>38</v>
      </c>
      <c r="T2207" t="s">
        <v>38</v>
      </c>
      <c r="U2207">
        <v>0</v>
      </c>
      <c r="V2207">
        <v>1</v>
      </c>
      <c r="W2207">
        <v>0</v>
      </c>
      <c r="X2207">
        <v>0</v>
      </c>
      <c r="Y2207">
        <v>0</v>
      </c>
      <c r="AE2207">
        <f t="shared" si="102"/>
        <v>1</v>
      </c>
      <c r="AF2207">
        <f>VLOOKUP(D2207,especies!$A$2:$C$9,3,FALSE)</f>
        <v>1</v>
      </c>
      <c r="AG2207" t="str">
        <f t="shared" si="103"/>
        <v>1-Mestizo</v>
      </c>
      <c r="AH2207">
        <f>VLOOKUP('Fichas clínicas'!AG2207,razas!$A$2:$D$66,3,FALSE)</f>
        <v>1</v>
      </c>
      <c r="AI2207" t="str">
        <f t="shared" si="104"/>
        <v>H</v>
      </c>
    </row>
    <row r="2208" spans="1:35" x14ac:dyDescent="0.2">
      <c r="A2208">
        <v>2210</v>
      </c>
      <c r="B2208" t="s">
        <v>4737</v>
      </c>
      <c r="C2208" t="s">
        <v>2695</v>
      </c>
      <c r="D2208" t="s">
        <v>41</v>
      </c>
      <c r="E2208" t="s">
        <v>42</v>
      </c>
      <c r="F2208" t="s">
        <v>34</v>
      </c>
      <c r="G2208" t="s">
        <v>3471</v>
      </c>
      <c r="J2208" t="s">
        <v>4727</v>
      </c>
      <c r="K2208" t="s">
        <v>38</v>
      </c>
      <c r="L2208" t="s">
        <v>38</v>
      </c>
      <c r="M2208" t="s">
        <v>38</v>
      </c>
      <c r="N2208" t="s">
        <v>38</v>
      </c>
      <c r="O2208" t="s">
        <v>38</v>
      </c>
      <c r="T2208" t="s">
        <v>38</v>
      </c>
      <c r="U2208">
        <v>0</v>
      </c>
      <c r="W2208">
        <v>0</v>
      </c>
      <c r="X2208">
        <v>0</v>
      </c>
      <c r="Y2208">
        <v>0</v>
      </c>
      <c r="AE2208">
        <f t="shared" si="102"/>
        <v>1</v>
      </c>
      <c r="AF2208">
        <f>VLOOKUP(D2208,especies!$A$2:$C$9,3,FALSE)</f>
        <v>2</v>
      </c>
      <c r="AG2208" t="str">
        <f t="shared" si="103"/>
        <v>2-DPC (Doméstico de pelo corto o DSH)</v>
      </c>
      <c r="AH2208">
        <f>VLOOKUP('Fichas clínicas'!AG2208,razas!$A$2:$D$66,3,FALSE)</f>
        <v>51</v>
      </c>
      <c r="AI2208" t="str">
        <f t="shared" si="104"/>
        <v>H</v>
      </c>
    </row>
    <row r="2209" spans="1:35" x14ac:dyDescent="0.2">
      <c r="A2209">
        <v>2211</v>
      </c>
      <c r="B2209" t="s">
        <v>4737</v>
      </c>
      <c r="C2209" t="s">
        <v>332</v>
      </c>
      <c r="D2209" t="s">
        <v>41</v>
      </c>
      <c r="E2209" t="s">
        <v>42</v>
      </c>
      <c r="F2209" t="s">
        <v>47</v>
      </c>
      <c r="G2209" t="s">
        <v>1054</v>
      </c>
      <c r="J2209" t="s">
        <v>4727</v>
      </c>
      <c r="K2209" t="s">
        <v>38</v>
      </c>
      <c r="L2209" t="s">
        <v>38</v>
      </c>
      <c r="M2209" t="s">
        <v>38</v>
      </c>
      <c r="N2209" t="s">
        <v>38</v>
      </c>
      <c r="O2209" t="s">
        <v>38</v>
      </c>
      <c r="T2209" t="s">
        <v>38</v>
      </c>
      <c r="U2209">
        <v>0</v>
      </c>
      <c r="W2209">
        <v>0</v>
      </c>
      <c r="X2209">
        <v>0</v>
      </c>
      <c r="Y2209">
        <v>0</v>
      </c>
      <c r="AE2209">
        <f t="shared" si="102"/>
        <v>1</v>
      </c>
      <c r="AF2209">
        <f>VLOOKUP(D2209,especies!$A$2:$C$9,3,FALSE)</f>
        <v>2</v>
      </c>
      <c r="AG2209" t="str">
        <f t="shared" si="103"/>
        <v>2-DPC (Doméstico de pelo corto o DSH)</v>
      </c>
      <c r="AH2209">
        <f>VLOOKUP('Fichas clínicas'!AG2209,razas!$A$2:$D$66,3,FALSE)</f>
        <v>51</v>
      </c>
      <c r="AI2209" t="str">
        <f t="shared" si="104"/>
        <v>M</v>
      </c>
    </row>
    <row r="2210" spans="1:35" x14ac:dyDescent="0.2">
      <c r="A2210">
        <v>2212</v>
      </c>
      <c r="B2210" t="s">
        <v>4125</v>
      </c>
      <c r="C2210" t="s">
        <v>4738</v>
      </c>
      <c r="D2210" t="s">
        <v>41</v>
      </c>
      <c r="E2210" t="s">
        <v>42</v>
      </c>
      <c r="F2210" t="s">
        <v>47</v>
      </c>
      <c r="G2210" t="s">
        <v>2065</v>
      </c>
      <c r="J2210" t="s">
        <v>58</v>
      </c>
      <c r="K2210" t="s">
        <v>38</v>
      </c>
      <c r="L2210" t="s">
        <v>38</v>
      </c>
      <c r="M2210" t="s">
        <v>38</v>
      </c>
      <c r="N2210" t="s">
        <v>38</v>
      </c>
      <c r="O2210" t="s">
        <v>38</v>
      </c>
      <c r="T2210" t="s">
        <v>38</v>
      </c>
      <c r="U2210">
        <v>0</v>
      </c>
      <c r="W2210">
        <v>0</v>
      </c>
      <c r="X2210">
        <v>0</v>
      </c>
      <c r="Y2210">
        <v>0</v>
      </c>
      <c r="AE2210">
        <f t="shared" si="102"/>
        <v>1</v>
      </c>
      <c r="AF2210">
        <f>VLOOKUP(D2210,especies!$A$2:$C$9,3,FALSE)</f>
        <v>2</v>
      </c>
      <c r="AG2210" t="str">
        <f t="shared" si="103"/>
        <v>2-DPC (Doméstico de pelo corto o DSH)</v>
      </c>
      <c r="AH2210">
        <f>VLOOKUP('Fichas clínicas'!AG2210,razas!$A$2:$D$66,3,FALSE)</f>
        <v>51</v>
      </c>
      <c r="AI2210" t="str">
        <f t="shared" si="104"/>
        <v>M</v>
      </c>
    </row>
    <row r="2211" spans="1:35" x14ac:dyDescent="0.2">
      <c r="A2211">
        <v>2213</v>
      </c>
      <c r="B2211" t="s">
        <v>3088</v>
      </c>
      <c r="C2211" t="s">
        <v>2150</v>
      </c>
      <c r="D2211" t="s">
        <v>41</v>
      </c>
      <c r="E2211" t="s">
        <v>42</v>
      </c>
      <c r="F2211" t="s">
        <v>47</v>
      </c>
      <c r="G2211" t="s">
        <v>4739</v>
      </c>
      <c r="J2211" t="s">
        <v>4740</v>
      </c>
      <c r="K2211" t="s">
        <v>38</v>
      </c>
      <c r="L2211" t="s">
        <v>38</v>
      </c>
      <c r="M2211" t="s">
        <v>38</v>
      </c>
      <c r="N2211" t="s">
        <v>38</v>
      </c>
      <c r="O2211" t="s">
        <v>38</v>
      </c>
      <c r="Q2211">
        <v>0</v>
      </c>
      <c r="T2211" t="s">
        <v>38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f t="shared" si="102"/>
        <v>1</v>
      </c>
      <c r="AF2211">
        <f>VLOOKUP(D2211,especies!$A$2:$C$9,3,FALSE)</f>
        <v>2</v>
      </c>
      <c r="AG2211" t="str">
        <f t="shared" si="103"/>
        <v>2-DPC (Doméstico de pelo corto o DSH)</v>
      </c>
      <c r="AH2211">
        <f>VLOOKUP('Fichas clínicas'!AG2211,razas!$A$2:$D$66,3,FALSE)</f>
        <v>51</v>
      </c>
      <c r="AI2211" t="str">
        <f t="shared" si="104"/>
        <v>M</v>
      </c>
    </row>
    <row r="2212" spans="1:35" x14ac:dyDescent="0.2">
      <c r="A2212">
        <v>2214</v>
      </c>
      <c r="B2212" t="s">
        <v>909</v>
      </c>
      <c r="C2212" t="s">
        <v>3827</v>
      </c>
      <c r="D2212" t="s">
        <v>32</v>
      </c>
      <c r="E2212" t="s">
        <v>33</v>
      </c>
      <c r="F2212" t="s">
        <v>47</v>
      </c>
      <c r="G2212" t="s">
        <v>1492</v>
      </c>
      <c r="J2212" t="s">
        <v>4672</v>
      </c>
      <c r="K2212" t="s">
        <v>38</v>
      </c>
      <c r="L2212" t="s">
        <v>38</v>
      </c>
      <c r="M2212" t="s">
        <v>38</v>
      </c>
      <c r="N2212" t="s">
        <v>38</v>
      </c>
      <c r="O2212" t="s">
        <v>38</v>
      </c>
      <c r="T2212" t="s">
        <v>38</v>
      </c>
      <c r="U2212">
        <v>0</v>
      </c>
      <c r="W2212">
        <v>0</v>
      </c>
      <c r="X2212">
        <v>0</v>
      </c>
      <c r="Y2212">
        <v>0</v>
      </c>
      <c r="AE2212">
        <f t="shared" si="102"/>
        <v>1</v>
      </c>
      <c r="AF2212">
        <f>VLOOKUP(D2212,especies!$A$2:$C$9,3,FALSE)</f>
        <v>1</v>
      </c>
      <c r="AG2212" t="str">
        <f t="shared" si="103"/>
        <v>1-Mestizo</v>
      </c>
      <c r="AH2212">
        <f>VLOOKUP('Fichas clínicas'!AG2212,razas!$A$2:$D$66,3,FALSE)</f>
        <v>1</v>
      </c>
      <c r="AI2212" t="str">
        <f t="shared" si="104"/>
        <v>M</v>
      </c>
    </row>
    <row r="2213" spans="1:35" x14ac:dyDescent="0.2">
      <c r="A2213">
        <v>2215</v>
      </c>
      <c r="B2213" t="s">
        <v>1854</v>
      </c>
      <c r="C2213" t="s">
        <v>3827</v>
      </c>
      <c r="D2213" t="s">
        <v>32</v>
      </c>
      <c r="E2213" t="s">
        <v>143</v>
      </c>
      <c r="F2213" t="s">
        <v>47</v>
      </c>
      <c r="G2213" t="s">
        <v>1543</v>
      </c>
      <c r="J2213" t="s">
        <v>4741</v>
      </c>
      <c r="K2213" t="s">
        <v>38</v>
      </c>
      <c r="L2213" t="s">
        <v>38</v>
      </c>
      <c r="M2213" t="s">
        <v>38</v>
      </c>
      <c r="N2213" t="s">
        <v>38</v>
      </c>
      <c r="O2213" t="s">
        <v>38</v>
      </c>
      <c r="T2213" t="s">
        <v>38</v>
      </c>
      <c r="U2213">
        <v>0</v>
      </c>
      <c r="W2213">
        <v>0</v>
      </c>
      <c r="X2213">
        <v>0</v>
      </c>
      <c r="Y2213">
        <v>0</v>
      </c>
      <c r="AE2213">
        <f t="shared" si="102"/>
        <v>1</v>
      </c>
      <c r="AF2213">
        <f>VLOOKUP(D2213,especies!$A$2:$C$9,3,FALSE)</f>
        <v>1</v>
      </c>
      <c r="AG2213" t="str">
        <f t="shared" si="103"/>
        <v>1-Yorkshire Terrier</v>
      </c>
      <c r="AH2213">
        <f>VLOOKUP('Fichas clínicas'!AG2213,razas!$A$2:$D$66,3,FALSE)</f>
        <v>5</v>
      </c>
      <c r="AI2213" t="str">
        <f t="shared" si="104"/>
        <v>M</v>
      </c>
    </row>
    <row r="2214" spans="1:35" x14ac:dyDescent="0.2">
      <c r="A2214">
        <v>2216</v>
      </c>
      <c r="B2214" t="s">
        <v>1854</v>
      </c>
      <c r="C2214" t="s">
        <v>3916</v>
      </c>
      <c r="D2214" t="s">
        <v>32</v>
      </c>
      <c r="E2214" t="s">
        <v>143</v>
      </c>
      <c r="F2214" t="s">
        <v>34</v>
      </c>
      <c r="G2214" t="s">
        <v>694</v>
      </c>
      <c r="J2214" t="s">
        <v>4742</v>
      </c>
      <c r="K2214" t="s">
        <v>38</v>
      </c>
      <c r="L2214" t="s">
        <v>38</v>
      </c>
      <c r="M2214" t="s">
        <v>38</v>
      </c>
      <c r="N2214" t="s">
        <v>38</v>
      </c>
      <c r="O2214" t="s">
        <v>38</v>
      </c>
      <c r="T2214" t="s">
        <v>38</v>
      </c>
      <c r="U2214">
        <v>0</v>
      </c>
      <c r="W2214">
        <v>0</v>
      </c>
      <c r="X2214">
        <v>0</v>
      </c>
      <c r="Y2214">
        <v>0</v>
      </c>
      <c r="AE2214">
        <f t="shared" si="102"/>
        <v>1</v>
      </c>
      <c r="AF2214">
        <f>VLOOKUP(D2214,especies!$A$2:$C$9,3,FALSE)</f>
        <v>1</v>
      </c>
      <c r="AG2214" t="str">
        <f t="shared" si="103"/>
        <v>1-Yorkshire Terrier</v>
      </c>
      <c r="AH2214">
        <f>VLOOKUP('Fichas clínicas'!AG2214,razas!$A$2:$D$66,3,FALSE)</f>
        <v>5</v>
      </c>
      <c r="AI2214" t="str">
        <f t="shared" si="104"/>
        <v>H</v>
      </c>
    </row>
    <row r="2215" spans="1:35" x14ac:dyDescent="0.2">
      <c r="A2215">
        <v>2217</v>
      </c>
      <c r="B2215" t="s">
        <v>1854</v>
      </c>
      <c r="C2215" t="s">
        <v>2125</v>
      </c>
      <c r="D2215" t="s">
        <v>32</v>
      </c>
      <c r="E2215" t="s">
        <v>143</v>
      </c>
      <c r="F2215" t="s">
        <v>47</v>
      </c>
      <c r="G2215" t="s">
        <v>694</v>
      </c>
      <c r="J2215" t="s">
        <v>4741</v>
      </c>
      <c r="K2215" t="s">
        <v>38</v>
      </c>
      <c r="L2215" t="s">
        <v>38</v>
      </c>
      <c r="M2215" t="s">
        <v>38</v>
      </c>
      <c r="N2215" t="s">
        <v>38</v>
      </c>
      <c r="O2215" t="s">
        <v>38</v>
      </c>
      <c r="T2215" t="s">
        <v>38</v>
      </c>
      <c r="U2215">
        <v>0</v>
      </c>
      <c r="W2215">
        <v>0</v>
      </c>
      <c r="X2215">
        <v>0</v>
      </c>
      <c r="Y2215">
        <v>0</v>
      </c>
      <c r="AE2215">
        <f t="shared" si="102"/>
        <v>1</v>
      </c>
      <c r="AF2215">
        <f>VLOOKUP(D2215,especies!$A$2:$C$9,3,FALSE)</f>
        <v>1</v>
      </c>
      <c r="AG2215" t="str">
        <f t="shared" si="103"/>
        <v>1-Yorkshire Terrier</v>
      </c>
      <c r="AH2215">
        <f>VLOOKUP('Fichas clínicas'!AG2215,razas!$A$2:$D$66,3,FALSE)</f>
        <v>5</v>
      </c>
      <c r="AI2215" t="str">
        <f t="shared" si="104"/>
        <v>M</v>
      </c>
    </row>
    <row r="2216" spans="1:35" x14ac:dyDescent="0.2">
      <c r="A2216">
        <v>2218</v>
      </c>
      <c r="B2216" t="s">
        <v>1854</v>
      </c>
      <c r="C2216" t="s">
        <v>4743</v>
      </c>
      <c r="D2216" t="s">
        <v>32</v>
      </c>
      <c r="E2216" t="s">
        <v>143</v>
      </c>
      <c r="F2216" t="s">
        <v>47</v>
      </c>
      <c r="G2216" t="s">
        <v>694</v>
      </c>
      <c r="J2216" t="s">
        <v>4741</v>
      </c>
      <c r="K2216" t="s">
        <v>38</v>
      </c>
      <c r="L2216" t="s">
        <v>38</v>
      </c>
      <c r="M2216" t="s">
        <v>38</v>
      </c>
      <c r="N2216" t="s">
        <v>38</v>
      </c>
      <c r="O2216" t="s">
        <v>38</v>
      </c>
      <c r="Q2216">
        <v>0</v>
      </c>
      <c r="T2216" t="s">
        <v>38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f t="shared" si="102"/>
        <v>1</v>
      </c>
      <c r="AF2216">
        <f>VLOOKUP(D2216,especies!$A$2:$C$9,3,FALSE)</f>
        <v>1</v>
      </c>
      <c r="AG2216" t="str">
        <f t="shared" si="103"/>
        <v>1-Yorkshire Terrier</v>
      </c>
      <c r="AH2216">
        <f>VLOOKUP('Fichas clínicas'!AG2216,razas!$A$2:$D$66,3,FALSE)</f>
        <v>5</v>
      </c>
      <c r="AI2216" t="str">
        <f t="shared" si="104"/>
        <v>M</v>
      </c>
    </row>
    <row r="2217" spans="1:35" x14ac:dyDescent="0.2">
      <c r="A2217">
        <v>2219</v>
      </c>
      <c r="B2217" t="s">
        <v>4744</v>
      </c>
      <c r="C2217" t="s">
        <v>3888</v>
      </c>
      <c r="D2217" t="s">
        <v>41</v>
      </c>
      <c r="E2217" t="s">
        <v>93</v>
      </c>
      <c r="F2217" t="s">
        <v>34</v>
      </c>
      <c r="G2217" t="s">
        <v>4745</v>
      </c>
      <c r="J2217" t="s">
        <v>4513</v>
      </c>
      <c r="K2217" t="s">
        <v>38</v>
      </c>
      <c r="L2217" t="s">
        <v>38</v>
      </c>
      <c r="M2217" t="s">
        <v>38</v>
      </c>
      <c r="N2217" t="s">
        <v>38</v>
      </c>
      <c r="O2217" t="s">
        <v>38</v>
      </c>
      <c r="T2217" t="s">
        <v>38</v>
      </c>
      <c r="U2217">
        <v>0</v>
      </c>
      <c r="W2217">
        <v>0</v>
      </c>
      <c r="X2217">
        <v>0</v>
      </c>
      <c r="Y2217">
        <v>0</v>
      </c>
      <c r="AE2217">
        <f t="shared" si="102"/>
        <v>1</v>
      </c>
      <c r="AF2217">
        <f>VLOOKUP(D2217,especies!$A$2:$C$9,3,FALSE)</f>
        <v>2</v>
      </c>
      <c r="AG2217" t="str">
        <f t="shared" si="103"/>
        <v>2-DPL (Doméstico de pelo Largo o DLH)</v>
      </c>
      <c r="AH2217">
        <f>VLOOKUP('Fichas clínicas'!AG2217,razas!$A$2:$D$66,3,FALSE)</f>
        <v>52</v>
      </c>
      <c r="AI2217" t="str">
        <f t="shared" si="104"/>
        <v>H</v>
      </c>
    </row>
    <row r="2218" spans="1:35" x14ac:dyDescent="0.2">
      <c r="A2218">
        <v>2220</v>
      </c>
      <c r="B2218" t="s">
        <v>4195</v>
      </c>
      <c r="C2218" t="s">
        <v>3515</v>
      </c>
      <c r="D2218" t="s">
        <v>32</v>
      </c>
      <c r="E2218" t="s">
        <v>33</v>
      </c>
      <c r="F2218" t="s">
        <v>47</v>
      </c>
      <c r="G2218" t="s">
        <v>102</v>
      </c>
      <c r="J2218" t="s">
        <v>4746</v>
      </c>
      <c r="K2218" t="s">
        <v>38</v>
      </c>
      <c r="L2218" t="s">
        <v>38</v>
      </c>
      <c r="M2218" t="s">
        <v>38</v>
      </c>
      <c r="N2218" t="s">
        <v>38</v>
      </c>
      <c r="O2218" t="s">
        <v>38</v>
      </c>
      <c r="T2218" t="s">
        <v>38</v>
      </c>
      <c r="U2218">
        <v>0</v>
      </c>
      <c r="W2218">
        <v>0</v>
      </c>
      <c r="X2218">
        <v>0</v>
      </c>
      <c r="Y2218">
        <v>0</v>
      </c>
      <c r="AE2218">
        <f t="shared" si="102"/>
        <v>1</v>
      </c>
      <c r="AF2218">
        <f>VLOOKUP(D2218,especies!$A$2:$C$9,3,FALSE)</f>
        <v>1</v>
      </c>
      <c r="AG2218" t="str">
        <f t="shared" si="103"/>
        <v>1-Mestizo</v>
      </c>
      <c r="AH2218">
        <f>VLOOKUP('Fichas clínicas'!AG2218,razas!$A$2:$D$66,3,FALSE)</f>
        <v>1</v>
      </c>
      <c r="AI2218" t="str">
        <f t="shared" si="104"/>
        <v>M</v>
      </c>
    </row>
    <row r="2219" spans="1:35" x14ac:dyDescent="0.2">
      <c r="A2219">
        <v>2221</v>
      </c>
      <c r="B2219" t="s">
        <v>4747</v>
      </c>
      <c r="C2219" t="s">
        <v>4748</v>
      </c>
      <c r="D2219" t="s">
        <v>32</v>
      </c>
      <c r="E2219" t="s">
        <v>33</v>
      </c>
      <c r="F2219" t="s">
        <v>34</v>
      </c>
      <c r="G2219" t="s">
        <v>656</v>
      </c>
      <c r="J2219" t="s">
        <v>4465</v>
      </c>
      <c r="K2219" t="s">
        <v>38</v>
      </c>
      <c r="L2219" t="s">
        <v>38</v>
      </c>
      <c r="M2219" t="s">
        <v>38</v>
      </c>
      <c r="N2219" t="s">
        <v>38</v>
      </c>
      <c r="O2219" t="s">
        <v>38</v>
      </c>
      <c r="T2219" t="s">
        <v>38</v>
      </c>
      <c r="U2219">
        <v>0</v>
      </c>
      <c r="V2219">
        <v>1</v>
      </c>
      <c r="W2219">
        <v>0</v>
      </c>
      <c r="X2219">
        <v>0</v>
      </c>
      <c r="Y2219">
        <v>0</v>
      </c>
      <c r="AE2219">
        <f t="shared" si="102"/>
        <v>1</v>
      </c>
      <c r="AF2219">
        <f>VLOOKUP(D2219,especies!$A$2:$C$9,3,FALSE)</f>
        <v>1</v>
      </c>
      <c r="AG2219" t="str">
        <f t="shared" si="103"/>
        <v>1-Mestizo</v>
      </c>
      <c r="AH2219">
        <f>VLOOKUP('Fichas clínicas'!AG2219,razas!$A$2:$D$66,3,FALSE)</f>
        <v>1</v>
      </c>
      <c r="AI2219" t="str">
        <f t="shared" si="104"/>
        <v>H</v>
      </c>
    </row>
    <row r="2220" spans="1:35" x14ac:dyDescent="0.2">
      <c r="A2220">
        <v>2222</v>
      </c>
      <c r="B2220" t="s">
        <v>4749</v>
      </c>
      <c r="C2220" t="s">
        <v>4750</v>
      </c>
      <c r="D2220" t="s">
        <v>41</v>
      </c>
      <c r="E2220" t="s">
        <v>42</v>
      </c>
      <c r="F2220" t="s">
        <v>47</v>
      </c>
      <c r="G2220" t="s">
        <v>1402</v>
      </c>
      <c r="J2220" t="s">
        <v>4751</v>
      </c>
      <c r="K2220" t="s">
        <v>38</v>
      </c>
      <c r="L2220" t="s">
        <v>38</v>
      </c>
      <c r="M2220" t="s">
        <v>38</v>
      </c>
      <c r="N2220" t="s">
        <v>38</v>
      </c>
      <c r="O2220" t="s">
        <v>38</v>
      </c>
      <c r="T2220" t="s">
        <v>38</v>
      </c>
      <c r="U2220">
        <v>0</v>
      </c>
      <c r="W2220">
        <v>0</v>
      </c>
      <c r="X2220">
        <v>0</v>
      </c>
      <c r="Y2220">
        <v>0</v>
      </c>
      <c r="AE2220">
        <f t="shared" si="102"/>
        <v>1</v>
      </c>
      <c r="AF2220">
        <f>VLOOKUP(D2220,especies!$A$2:$C$9,3,FALSE)</f>
        <v>2</v>
      </c>
      <c r="AG2220" t="str">
        <f t="shared" si="103"/>
        <v>2-DPC (Doméstico de pelo corto o DSH)</v>
      </c>
      <c r="AH2220">
        <f>VLOOKUP('Fichas clínicas'!AG2220,razas!$A$2:$D$66,3,FALSE)</f>
        <v>51</v>
      </c>
      <c r="AI2220" t="str">
        <f t="shared" si="104"/>
        <v>M</v>
      </c>
    </row>
    <row r="2221" spans="1:35" x14ac:dyDescent="0.2">
      <c r="A2221">
        <v>2223</v>
      </c>
      <c r="B2221" t="s">
        <v>2548</v>
      </c>
      <c r="C2221" t="s">
        <v>3653</v>
      </c>
      <c r="D2221" t="s">
        <v>32</v>
      </c>
      <c r="E2221" t="s">
        <v>33</v>
      </c>
      <c r="F2221" t="s">
        <v>34</v>
      </c>
      <c r="G2221" t="s">
        <v>351</v>
      </c>
      <c r="J2221" t="s">
        <v>4752</v>
      </c>
      <c r="K2221" t="s">
        <v>38</v>
      </c>
      <c r="L2221" t="s">
        <v>38</v>
      </c>
      <c r="M2221" t="s">
        <v>38</v>
      </c>
      <c r="N2221" t="s">
        <v>38</v>
      </c>
      <c r="O2221" t="s">
        <v>38</v>
      </c>
      <c r="Q2221">
        <v>0</v>
      </c>
      <c r="T2221" t="s">
        <v>38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f t="shared" si="102"/>
        <v>1</v>
      </c>
      <c r="AF2221">
        <f>VLOOKUP(D2221,especies!$A$2:$C$9,3,FALSE)</f>
        <v>1</v>
      </c>
      <c r="AG2221" t="str">
        <f t="shared" si="103"/>
        <v>1-Mestizo</v>
      </c>
      <c r="AH2221">
        <f>VLOOKUP('Fichas clínicas'!AG2221,razas!$A$2:$D$66,3,FALSE)</f>
        <v>1</v>
      </c>
      <c r="AI2221" t="str">
        <f t="shared" si="104"/>
        <v>H</v>
      </c>
    </row>
    <row r="2222" spans="1:35" x14ac:dyDescent="0.2">
      <c r="A2222">
        <v>2224</v>
      </c>
      <c r="B2222" t="s">
        <v>2674</v>
      </c>
      <c r="C2222" t="s">
        <v>4753</v>
      </c>
      <c r="D2222" t="s">
        <v>41</v>
      </c>
      <c r="E2222" t="s">
        <v>93</v>
      </c>
      <c r="F2222" t="s">
        <v>47</v>
      </c>
      <c r="G2222" t="s">
        <v>1769</v>
      </c>
      <c r="J2222" t="s">
        <v>4754</v>
      </c>
      <c r="K2222" t="s">
        <v>38</v>
      </c>
      <c r="L2222" t="s">
        <v>38</v>
      </c>
      <c r="M2222" t="s">
        <v>38</v>
      </c>
      <c r="N2222" t="s">
        <v>38</v>
      </c>
      <c r="O2222" t="s">
        <v>38</v>
      </c>
      <c r="T2222" t="s">
        <v>38</v>
      </c>
      <c r="U2222">
        <v>0</v>
      </c>
      <c r="V2222">
        <v>1</v>
      </c>
      <c r="W2222">
        <v>0</v>
      </c>
      <c r="X2222">
        <v>0</v>
      </c>
      <c r="Y2222">
        <v>0</v>
      </c>
      <c r="AE2222">
        <f t="shared" si="102"/>
        <v>1</v>
      </c>
      <c r="AF2222">
        <f>VLOOKUP(D2222,especies!$A$2:$C$9,3,FALSE)</f>
        <v>2</v>
      </c>
      <c r="AG2222" t="str">
        <f t="shared" si="103"/>
        <v>2-DPL (Doméstico de pelo Largo o DLH)</v>
      </c>
      <c r="AH2222">
        <f>VLOOKUP('Fichas clínicas'!AG2222,razas!$A$2:$D$66,3,FALSE)</f>
        <v>52</v>
      </c>
      <c r="AI2222" t="str">
        <f t="shared" si="104"/>
        <v>M</v>
      </c>
    </row>
    <row r="2223" spans="1:35" x14ac:dyDescent="0.2">
      <c r="A2223">
        <v>2225</v>
      </c>
      <c r="B2223" t="s">
        <v>4755</v>
      </c>
      <c r="C2223" t="s">
        <v>4756</v>
      </c>
      <c r="D2223" t="s">
        <v>32</v>
      </c>
      <c r="E2223" t="s">
        <v>33</v>
      </c>
      <c r="F2223" t="s">
        <v>47</v>
      </c>
      <c r="G2223" t="s">
        <v>2804</v>
      </c>
      <c r="J2223" t="s">
        <v>348</v>
      </c>
      <c r="K2223" t="s">
        <v>38</v>
      </c>
      <c r="L2223" t="s">
        <v>38</v>
      </c>
      <c r="M2223" t="s">
        <v>38</v>
      </c>
      <c r="N2223" t="s">
        <v>38</v>
      </c>
      <c r="O2223" t="s">
        <v>38</v>
      </c>
      <c r="T2223" t="s">
        <v>38</v>
      </c>
      <c r="U2223">
        <v>0</v>
      </c>
      <c r="V2223">
        <v>1</v>
      </c>
      <c r="W2223">
        <v>0</v>
      </c>
      <c r="X2223">
        <v>0</v>
      </c>
      <c r="Y2223">
        <v>0</v>
      </c>
      <c r="AE2223">
        <f t="shared" si="102"/>
        <v>1</v>
      </c>
      <c r="AF2223">
        <f>VLOOKUP(D2223,especies!$A$2:$C$9,3,FALSE)</f>
        <v>1</v>
      </c>
      <c r="AG2223" t="str">
        <f t="shared" si="103"/>
        <v>1-Mestizo</v>
      </c>
      <c r="AH2223">
        <f>VLOOKUP('Fichas clínicas'!AG2223,razas!$A$2:$D$66,3,FALSE)</f>
        <v>1</v>
      </c>
      <c r="AI2223" t="str">
        <f t="shared" si="104"/>
        <v>M</v>
      </c>
    </row>
    <row r="2224" spans="1:35" x14ac:dyDescent="0.2">
      <c r="A2224">
        <v>2226</v>
      </c>
      <c r="B2224" t="s">
        <v>49</v>
      </c>
      <c r="C2224" t="s">
        <v>4757</v>
      </c>
      <c r="D2224" t="s">
        <v>32</v>
      </c>
      <c r="E2224" t="s">
        <v>33</v>
      </c>
      <c r="F2224" t="s">
        <v>34</v>
      </c>
      <c r="G2224" t="s">
        <v>4044</v>
      </c>
      <c r="J2224" t="s">
        <v>4758</v>
      </c>
      <c r="K2224" t="s">
        <v>38</v>
      </c>
      <c r="L2224" t="s">
        <v>38</v>
      </c>
      <c r="M2224" t="s">
        <v>38</v>
      </c>
      <c r="N2224" t="s">
        <v>38</v>
      </c>
      <c r="O2224" t="s">
        <v>38</v>
      </c>
      <c r="T2224" t="s">
        <v>38</v>
      </c>
      <c r="U2224">
        <v>0</v>
      </c>
      <c r="W2224">
        <v>0</v>
      </c>
      <c r="X2224">
        <v>0</v>
      </c>
      <c r="Y2224">
        <v>0</v>
      </c>
      <c r="AE2224">
        <f t="shared" si="102"/>
        <v>1</v>
      </c>
      <c r="AF2224">
        <f>VLOOKUP(D2224,especies!$A$2:$C$9,3,FALSE)</f>
        <v>1</v>
      </c>
      <c r="AG2224" t="str">
        <f t="shared" si="103"/>
        <v>1-Mestizo</v>
      </c>
      <c r="AH2224">
        <f>VLOOKUP('Fichas clínicas'!AG2224,razas!$A$2:$D$66,3,FALSE)</f>
        <v>1</v>
      </c>
      <c r="AI2224" t="str">
        <f t="shared" si="104"/>
        <v>H</v>
      </c>
    </row>
    <row r="2225" spans="1:35" x14ac:dyDescent="0.2">
      <c r="A2225">
        <v>2227</v>
      </c>
      <c r="B2225" t="s">
        <v>363</v>
      </c>
      <c r="C2225" t="s">
        <v>1812</v>
      </c>
      <c r="D2225" t="s">
        <v>32</v>
      </c>
      <c r="E2225" t="s">
        <v>33</v>
      </c>
      <c r="F2225" t="s">
        <v>47</v>
      </c>
      <c r="G2225" t="s">
        <v>1054</v>
      </c>
      <c r="J2225" t="s">
        <v>4759</v>
      </c>
      <c r="K2225" t="s">
        <v>38</v>
      </c>
      <c r="L2225" t="s">
        <v>38</v>
      </c>
      <c r="M2225" t="s">
        <v>38</v>
      </c>
      <c r="N2225" t="s">
        <v>38</v>
      </c>
      <c r="O2225" t="s">
        <v>38</v>
      </c>
      <c r="T2225" t="s">
        <v>38</v>
      </c>
      <c r="U2225">
        <v>0</v>
      </c>
      <c r="W2225">
        <v>0</v>
      </c>
      <c r="X2225">
        <v>0</v>
      </c>
      <c r="Y2225">
        <v>0</v>
      </c>
      <c r="AE2225">
        <f t="shared" si="102"/>
        <v>1</v>
      </c>
      <c r="AF2225">
        <f>VLOOKUP(D2225,especies!$A$2:$C$9,3,FALSE)</f>
        <v>1</v>
      </c>
      <c r="AG2225" t="str">
        <f t="shared" si="103"/>
        <v>1-Mestizo</v>
      </c>
      <c r="AH2225">
        <f>VLOOKUP('Fichas clínicas'!AG2225,razas!$A$2:$D$66,3,FALSE)</f>
        <v>1</v>
      </c>
      <c r="AI2225" t="str">
        <f t="shared" si="104"/>
        <v>M</v>
      </c>
    </row>
    <row r="2226" spans="1:35" x14ac:dyDescent="0.2">
      <c r="A2226">
        <v>2228</v>
      </c>
      <c r="B2226" t="s">
        <v>2084</v>
      </c>
      <c r="C2226" t="s">
        <v>4760</v>
      </c>
      <c r="D2226" t="s">
        <v>41</v>
      </c>
      <c r="E2226" t="s">
        <v>42</v>
      </c>
      <c r="F2226" t="s">
        <v>34</v>
      </c>
      <c r="G2226" t="s">
        <v>4709</v>
      </c>
      <c r="J2226" t="s">
        <v>4761</v>
      </c>
      <c r="K2226" t="s">
        <v>38</v>
      </c>
      <c r="L2226" t="s">
        <v>38</v>
      </c>
      <c r="M2226" t="s">
        <v>38</v>
      </c>
      <c r="N2226" t="s">
        <v>38</v>
      </c>
      <c r="O2226" t="s">
        <v>38</v>
      </c>
      <c r="T2226" t="s">
        <v>38</v>
      </c>
      <c r="U2226">
        <v>0</v>
      </c>
      <c r="W2226">
        <v>0</v>
      </c>
      <c r="X2226">
        <v>0</v>
      </c>
      <c r="Y2226">
        <v>0</v>
      </c>
      <c r="AE2226">
        <f t="shared" si="102"/>
        <v>1</v>
      </c>
      <c r="AF2226">
        <f>VLOOKUP(D2226,especies!$A$2:$C$9,3,FALSE)</f>
        <v>2</v>
      </c>
      <c r="AG2226" t="str">
        <f t="shared" si="103"/>
        <v>2-DPC (Doméstico de pelo corto o DSH)</v>
      </c>
      <c r="AH2226">
        <f>VLOOKUP('Fichas clínicas'!AG2226,razas!$A$2:$D$66,3,FALSE)</f>
        <v>51</v>
      </c>
      <c r="AI2226" t="str">
        <f t="shared" si="104"/>
        <v>H</v>
      </c>
    </row>
    <row r="2227" spans="1:35" x14ac:dyDescent="0.2">
      <c r="A2227">
        <v>2229</v>
      </c>
      <c r="B2227" t="s">
        <v>4762</v>
      </c>
      <c r="C2227" t="s">
        <v>4763</v>
      </c>
      <c r="D2227" t="s">
        <v>32</v>
      </c>
      <c r="E2227" t="s">
        <v>164</v>
      </c>
      <c r="F2227" t="s">
        <v>34</v>
      </c>
      <c r="G2227" t="s">
        <v>587</v>
      </c>
      <c r="J2227" t="s">
        <v>4764</v>
      </c>
      <c r="K2227" t="s">
        <v>38</v>
      </c>
      <c r="L2227" t="s">
        <v>38</v>
      </c>
      <c r="M2227" t="s">
        <v>38</v>
      </c>
      <c r="N2227" t="s">
        <v>38</v>
      </c>
      <c r="O2227" t="s">
        <v>38</v>
      </c>
      <c r="Q2227">
        <v>0</v>
      </c>
      <c r="T2227" t="s">
        <v>38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f t="shared" si="102"/>
        <v>1</v>
      </c>
      <c r="AF2227">
        <f>VLOOKUP(D2227,especies!$A$2:$C$9,3,FALSE)</f>
        <v>1</v>
      </c>
      <c r="AG2227" t="str">
        <f t="shared" si="103"/>
        <v>1-Teckel</v>
      </c>
      <c r="AH2227">
        <f>VLOOKUP('Fichas clínicas'!AG2227,razas!$A$2:$D$66,3,FALSE)</f>
        <v>8</v>
      </c>
      <c r="AI2227" t="str">
        <f t="shared" si="104"/>
        <v>H</v>
      </c>
    </row>
    <row r="2228" spans="1:35" x14ac:dyDescent="0.2">
      <c r="A2228">
        <v>2230</v>
      </c>
      <c r="B2228" t="s">
        <v>4765</v>
      </c>
      <c r="C2228" t="s">
        <v>3219</v>
      </c>
      <c r="D2228" t="s">
        <v>41</v>
      </c>
      <c r="E2228" t="s">
        <v>42</v>
      </c>
      <c r="F2228" t="s">
        <v>34</v>
      </c>
      <c r="G2228" t="s">
        <v>1837</v>
      </c>
      <c r="J2228" t="s">
        <v>130</v>
      </c>
      <c r="K2228" t="s">
        <v>38</v>
      </c>
      <c r="L2228" t="s">
        <v>38</v>
      </c>
      <c r="M2228" t="s">
        <v>38</v>
      </c>
      <c r="N2228" t="s">
        <v>38</v>
      </c>
      <c r="O2228" t="s">
        <v>38</v>
      </c>
      <c r="T2228" t="s">
        <v>38</v>
      </c>
      <c r="U2228">
        <v>0</v>
      </c>
      <c r="V2228">
        <v>1</v>
      </c>
      <c r="W2228">
        <v>0</v>
      </c>
      <c r="X2228">
        <v>0</v>
      </c>
      <c r="Y2228">
        <v>0</v>
      </c>
      <c r="AE2228">
        <f t="shared" si="102"/>
        <v>1</v>
      </c>
      <c r="AF2228">
        <f>VLOOKUP(D2228,especies!$A$2:$C$9,3,FALSE)</f>
        <v>2</v>
      </c>
      <c r="AG2228" t="str">
        <f t="shared" si="103"/>
        <v>2-DPC (Doméstico de pelo corto o DSH)</v>
      </c>
      <c r="AH2228">
        <f>VLOOKUP('Fichas clínicas'!AG2228,razas!$A$2:$D$66,3,FALSE)</f>
        <v>51</v>
      </c>
      <c r="AI2228" t="str">
        <f t="shared" si="104"/>
        <v>H</v>
      </c>
    </row>
    <row r="2229" spans="1:35" x14ac:dyDescent="0.2">
      <c r="A2229">
        <v>2231</v>
      </c>
      <c r="B2229" t="s">
        <v>4749</v>
      </c>
      <c r="C2229" t="s">
        <v>646</v>
      </c>
      <c r="D2229" t="s">
        <v>41</v>
      </c>
      <c r="E2229" t="s">
        <v>93</v>
      </c>
      <c r="F2229" t="s">
        <v>47</v>
      </c>
      <c r="G2229" t="s">
        <v>370</v>
      </c>
      <c r="J2229" t="s">
        <v>4766</v>
      </c>
      <c r="K2229" t="s">
        <v>38</v>
      </c>
      <c r="L2229" t="s">
        <v>38</v>
      </c>
      <c r="M2229" t="s">
        <v>38</v>
      </c>
      <c r="N2229" t="s">
        <v>38</v>
      </c>
      <c r="O2229" t="s">
        <v>38</v>
      </c>
      <c r="T2229" t="s">
        <v>38</v>
      </c>
      <c r="U2229">
        <v>0</v>
      </c>
      <c r="W2229">
        <v>0</v>
      </c>
      <c r="X2229">
        <v>0</v>
      </c>
      <c r="Y2229">
        <v>0</v>
      </c>
      <c r="AE2229">
        <f t="shared" si="102"/>
        <v>1</v>
      </c>
      <c r="AF2229">
        <f>VLOOKUP(D2229,especies!$A$2:$C$9,3,FALSE)</f>
        <v>2</v>
      </c>
      <c r="AG2229" t="str">
        <f t="shared" si="103"/>
        <v>2-DPL (Doméstico de pelo Largo o DLH)</v>
      </c>
      <c r="AH2229">
        <f>VLOOKUP('Fichas clínicas'!AG2229,razas!$A$2:$D$66,3,FALSE)</f>
        <v>52</v>
      </c>
      <c r="AI2229" t="str">
        <f t="shared" si="104"/>
        <v>M</v>
      </c>
    </row>
    <row r="2230" spans="1:35" x14ac:dyDescent="0.2">
      <c r="A2230">
        <v>2232</v>
      </c>
      <c r="B2230" t="s">
        <v>3844</v>
      </c>
      <c r="C2230" t="s">
        <v>4767</v>
      </c>
      <c r="D2230" t="s">
        <v>41</v>
      </c>
      <c r="E2230" t="s">
        <v>42</v>
      </c>
      <c r="F2230" t="s">
        <v>34</v>
      </c>
      <c r="G2230" t="s">
        <v>300</v>
      </c>
      <c r="J2230" t="s">
        <v>4768</v>
      </c>
      <c r="K2230" t="s">
        <v>38</v>
      </c>
      <c r="L2230" t="s">
        <v>38</v>
      </c>
      <c r="M2230" t="s">
        <v>38</v>
      </c>
      <c r="N2230" t="s">
        <v>38</v>
      </c>
      <c r="O2230" t="s">
        <v>38</v>
      </c>
      <c r="Q2230">
        <v>0</v>
      </c>
      <c r="T2230" t="s">
        <v>38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f t="shared" si="102"/>
        <v>1</v>
      </c>
      <c r="AF2230">
        <f>VLOOKUP(D2230,especies!$A$2:$C$9,3,FALSE)</f>
        <v>2</v>
      </c>
      <c r="AG2230" t="str">
        <f t="shared" si="103"/>
        <v>2-DPC (Doméstico de pelo corto o DSH)</v>
      </c>
      <c r="AH2230">
        <f>VLOOKUP('Fichas clínicas'!AG2230,razas!$A$2:$D$66,3,FALSE)</f>
        <v>51</v>
      </c>
      <c r="AI2230" t="str">
        <f t="shared" si="104"/>
        <v>H</v>
      </c>
    </row>
    <row r="2231" spans="1:35" x14ac:dyDescent="0.2">
      <c r="A2231">
        <v>2233</v>
      </c>
      <c r="B2231" t="s">
        <v>1178</v>
      </c>
      <c r="C2231" t="s">
        <v>4769</v>
      </c>
      <c r="D2231" t="s">
        <v>32</v>
      </c>
      <c r="E2231" t="s">
        <v>63</v>
      </c>
      <c r="F2231" t="s">
        <v>34</v>
      </c>
      <c r="G2231" t="s">
        <v>199</v>
      </c>
      <c r="J2231" t="s">
        <v>2798</v>
      </c>
      <c r="K2231" t="s">
        <v>38</v>
      </c>
      <c r="L2231" t="s">
        <v>38</v>
      </c>
      <c r="M2231" t="s">
        <v>38</v>
      </c>
      <c r="N2231" t="s">
        <v>38</v>
      </c>
      <c r="O2231" t="s">
        <v>38</v>
      </c>
      <c r="T2231" t="s">
        <v>38</v>
      </c>
      <c r="U2231">
        <v>0</v>
      </c>
      <c r="W2231">
        <v>0</v>
      </c>
      <c r="X2231">
        <v>0</v>
      </c>
      <c r="Y2231">
        <v>0</v>
      </c>
      <c r="AE2231">
        <f t="shared" si="102"/>
        <v>1</v>
      </c>
      <c r="AF2231">
        <f>VLOOKUP(D2231,especies!$A$2:$C$9,3,FALSE)</f>
        <v>1</v>
      </c>
      <c r="AG2231" t="str">
        <f t="shared" si="103"/>
        <v>1-Fox Terrier Pelo Corto</v>
      </c>
      <c r="AH2231">
        <f>VLOOKUP('Fichas clínicas'!AG2231,razas!$A$2:$D$66,3,FALSE)</f>
        <v>2</v>
      </c>
      <c r="AI2231" t="str">
        <f t="shared" si="104"/>
        <v>H</v>
      </c>
    </row>
    <row r="2232" spans="1:35" x14ac:dyDescent="0.2">
      <c r="A2232">
        <v>2234</v>
      </c>
      <c r="B2232" t="s">
        <v>2084</v>
      </c>
      <c r="C2232" t="s">
        <v>4770</v>
      </c>
      <c r="D2232" t="s">
        <v>41</v>
      </c>
      <c r="E2232" t="s">
        <v>42</v>
      </c>
      <c r="F2232" t="s">
        <v>34</v>
      </c>
      <c r="G2232" t="s">
        <v>4771</v>
      </c>
      <c r="J2232" t="s">
        <v>4772</v>
      </c>
      <c r="K2232" t="s">
        <v>38</v>
      </c>
      <c r="L2232" t="s">
        <v>38</v>
      </c>
      <c r="M2232" t="s">
        <v>38</v>
      </c>
      <c r="N2232" t="s">
        <v>38</v>
      </c>
      <c r="O2232" t="s">
        <v>38</v>
      </c>
      <c r="T2232" t="s">
        <v>38</v>
      </c>
      <c r="U2232">
        <v>0</v>
      </c>
      <c r="W2232">
        <v>0</v>
      </c>
      <c r="X2232">
        <v>0</v>
      </c>
      <c r="Y2232">
        <v>0</v>
      </c>
      <c r="AE2232">
        <f t="shared" si="102"/>
        <v>1</v>
      </c>
      <c r="AF2232">
        <f>VLOOKUP(D2232,especies!$A$2:$C$9,3,FALSE)</f>
        <v>2</v>
      </c>
      <c r="AG2232" t="str">
        <f t="shared" si="103"/>
        <v>2-DPC (Doméstico de pelo corto o DSH)</v>
      </c>
      <c r="AH2232">
        <f>VLOOKUP('Fichas clínicas'!AG2232,razas!$A$2:$D$66,3,FALSE)</f>
        <v>51</v>
      </c>
      <c r="AI2232" t="str">
        <f t="shared" si="104"/>
        <v>H</v>
      </c>
    </row>
    <row r="2233" spans="1:35" x14ac:dyDescent="0.2">
      <c r="A2233">
        <v>2235</v>
      </c>
      <c r="B2233" t="s">
        <v>2084</v>
      </c>
      <c r="C2233" t="s">
        <v>4773</v>
      </c>
      <c r="D2233" t="s">
        <v>41</v>
      </c>
      <c r="E2233" t="s">
        <v>93</v>
      </c>
      <c r="F2233" t="s">
        <v>47</v>
      </c>
      <c r="G2233" t="s">
        <v>2122</v>
      </c>
      <c r="J2233" t="s">
        <v>4727</v>
      </c>
      <c r="K2233" t="s">
        <v>38</v>
      </c>
      <c r="L2233" t="s">
        <v>38</v>
      </c>
      <c r="M2233" t="s">
        <v>38</v>
      </c>
      <c r="N2233" t="s">
        <v>38</v>
      </c>
      <c r="O2233" t="s">
        <v>38</v>
      </c>
      <c r="T2233" t="s">
        <v>38</v>
      </c>
      <c r="U2233">
        <v>0</v>
      </c>
      <c r="W2233">
        <v>0</v>
      </c>
      <c r="X2233">
        <v>0</v>
      </c>
      <c r="Y2233">
        <v>0</v>
      </c>
      <c r="AE2233">
        <f t="shared" si="102"/>
        <v>1</v>
      </c>
      <c r="AF2233">
        <f>VLOOKUP(D2233,especies!$A$2:$C$9,3,FALSE)</f>
        <v>2</v>
      </c>
      <c r="AG2233" t="str">
        <f t="shared" si="103"/>
        <v>2-DPL (Doméstico de pelo Largo o DLH)</v>
      </c>
      <c r="AH2233">
        <f>VLOOKUP('Fichas clínicas'!AG2233,razas!$A$2:$D$66,3,FALSE)</f>
        <v>52</v>
      </c>
      <c r="AI2233" t="str">
        <f t="shared" si="104"/>
        <v>M</v>
      </c>
    </row>
    <row r="2234" spans="1:35" x14ac:dyDescent="0.2">
      <c r="A2234">
        <v>2236</v>
      </c>
      <c r="B2234" t="s">
        <v>1741</v>
      </c>
      <c r="C2234" t="s">
        <v>4194</v>
      </c>
      <c r="D2234" t="s">
        <v>41</v>
      </c>
      <c r="E2234" t="s">
        <v>42</v>
      </c>
      <c r="F2234" t="s">
        <v>47</v>
      </c>
      <c r="G2234" t="s">
        <v>2122</v>
      </c>
      <c r="J2234" t="s">
        <v>4727</v>
      </c>
      <c r="K2234" t="s">
        <v>38</v>
      </c>
      <c r="L2234" t="s">
        <v>38</v>
      </c>
      <c r="M2234" t="s">
        <v>38</v>
      </c>
      <c r="N2234" t="s">
        <v>38</v>
      </c>
      <c r="O2234" t="s">
        <v>38</v>
      </c>
      <c r="T2234" t="s">
        <v>38</v>
      </c>
      <c r="U2234">
        <v>0</v>
      </c>
      <c r="W2234">
        <v>0</v>
      </c>
      <c r="X2234">
        <v>0</v>
      </c>
      <c r="Y2234">
        <v>0</v>
      </c>
      <c r="AE2234">
        <f t="shared" si="102"/>
        <v>1</v>
      </c>
      <c r="AF2234">
        <f>VLOOKUP(D2234,especies!$A$2:$C$9,3,FALSE)</f>
        <v>2</v>
      </c>
      <c r="AG2234" t="str">
        <f t="shared" si="103"/>
        <v>2-DPC (Doméstico de pelo corto o DSH)</v>
      </c>
      <c r="AH2234">
        <f>VLOOKUP('Fichas clínicas'!AG2234,razas!$A$2:$D$66,3,FALSE)</f>
        <v>51</v>
      </c>
      <c r="AI2234" t="str">
        <f t="shared" si="104"/>
        <v>M</v>
      </c>
    </row>
    <row r="2235" spans="1:35" x14ac:dyDescent="0.2">
      <c r="A2235">
        <v>2237</v>
      </c>
      <c r="B2235" t="s">
        <v>1741</v>
      </c>
      <c r="C2235" t="s">
        <v>2690</v>
      </c>
      <c r="D2235" t="s">
        <v>41</v>
      </c>
      <c r="E2235" t="s">
        <v>93</v>
      </c>
      <c r="F2235" t="s">
        <v>47</v>
      </c>
      <c r="G2235" t="s">
        <v>2122</v>
      </c>
      <c r="J2235" t="s">
        <v>4727</v>
      </c>
      <c r="K2235" t="s">
        <v>38</v>
      </c>
      <c r="L2235" t="s">
        <v>38</v>
      </c>
      <c r="M2235" t="s">
        <v>38</v>
      </c>
      <c r="N2235" t="s">
        <v>38</v>
      </c>
      <c r="O2235" t="s">
        <v>38</v>
      </c>
      <c r="T2235" t="s">
        <v>38</v>
      </c>
      <c r="U2235">
        <v>0</v>
      </c>
      <c r="W2235">
        <v>0</v>
      </c>
      <c r="X2235">
        <v>0</v>
      </c>
      <c r="Y2235">
        <v>0</v>
      </c>
      <c r="AE2235">
        <f t="shared" si="102"/>
        <v>1</v>
      </c>
      <c r="AF2235">
        <f>VLOOKUP(D2235,especies!$A$2:$C$9,3,FALSE)</f>
        <v>2</v>
      </c>
      <c r="AG2235" t="str">
        <f t="shared" si="103"/>
        <v>2-DPL (Doméstico de pelo Largo o DLH)</v>
      </c>
      <c r="AH2235">
        <f>VLOOKUP('Fichas clínicas'!AG2235,razas!$A$2:$D$66,3,FALSE)</f>
        <v>52</v>
      </c>
      <c r="AI2235" t="str">
        <f t="shared" si="104"/>
        <v>M</v>
      </c>
    </row>
    <row r="2236" spans="1:35" x14ac:dyDescent="0.2">
      <c r="A2236">
        <v>2238</v>
      </c>
      <c r="B2236" t="s">
        <v>1741</v>
      </c>
      <c r="C2236" t="s">
        <v>4774</v>
      </c>
      <c r="D2236" t="s">
        <v>41</v>
      </c>
      <c r="E2236" t="s">
        <v>42</v>
      </c>
      <c r="F2236" t="s">
        <v>47</v>
      </c>
      <c r="G2236" t="s">
        <v>2122</v>
      </c>
      <c r="J2236" t="s">
        <v>4727</v>
      </c>
      <c r="K2236" t="s">
        <v>38</v>
      </c>
      <c r="L2236" t="s">
        <v>38</v>
      </c>
      <c r="M2236" t="s">
        <v>38</v>
      </c>
      <c r="N2236" t="s">
        <v>38</v>
      </c>
      <c r="O2236" t="s">
        <v>38</v>
      </c>
      <c r="T2236" t="s">
        <v>38</v>
      </c>
      <c r="U2236">
        <v>0</v>
      </c>
      <c r="W2236">
        <v>0</v>
      </c>
      <c r="X2236">
        <v>0</v>
      </c>
      <c r="Y2236">
        <v>0</v>
      </c>
      <c r="AE2236">
        <f t="shared" si="102"/>
        <v>1</v>
      </c>
      <c r="AF2236">
        <f>VLOOKUP(D2236,especies!$A$2:$C$9,3,FALSE)</f>
        <v>2</v>
      </c>
      <c r="AG2236" t="str">
        <f t="shared" si="103"/>
        <v>2-DPC (Doméstico de pelo corto o DSH)</v>
      </c>
      <c r="AH2236">
        <f>VLOOKUP('Fichas clínicas'!AG2236,razas!$A$2:$D$66,3,FALSE)</f>
        <v>51</v>
      </c>
      <c r="AI2236" t="str">
        <f t="shared" si="104"/>
        <v>M</v>
      </c>
    </row>
    <row r="2237" spans="1:35" x14ac:dyDescent="0.2">
      <c r="A2237">
        <v>2239</v>
      </c>
      <c r="B2237" t="s">
        <v>4775</v>
      </c>
      <c r="C2237" t="s">
        <v>3067</v>
      </c>
      <c r="D2237" t="s">
        <v>32</v>
      </c>
      <c r="E2237" t="s">
        <v>150</v>
      </c>
      <c r="F2237" t="s">
        <v>47</v>
      </c>
      <c r="G2237" t="s">
        <v>102</v>
      </c>
      <c r="J2237" t="s">
        <v>44</v>
      </c>
      <c r="K2237" t="s">
        <v>38</v>
      </c>
      <c r="L2237" t="s">
        <v>38</v>
      </c>
      <c r="M2237" t="s">
        <v>38</v>
      </c>
      <c r="N2237" t="s">
        <v>38</v>
      </c>
      <c r="O2237" t="s">
        <v>38</v>
      </c>
      <c r="Q2237">
        <v>0</v>
      </c>
      <c r="T2237" t="s">
        <v>38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f t="shared" si="102"/>
        <v>1</v>
      </c>
      <c r="AF2237">
        <f>VLOOKUP(D2237,especies!$A$2:$C$9,3,FALSE)</f>
        <v>1</v>
      </c>
      <c r="AG2237" t="str">
        <f t="shared" si="103"/>
        <v>1-Poodle</v>
      </c>
      <c r="AH2237">
        <f>VLOOKUP('Fichas clínicas'!AG2237,razas!$A$2:$D$66,3,FALSE)</f>
        <v>6</v>
      </c>
      <c r="AI2237" t="str">
        <f t="shared" si="104"/>
        <v>M</v>
      </c>
    </row>
    <row r="2238" spans="1:35" x14ac:dyDescent="0.2">
      <c r="A2238">
        <v>2240</v>
      </c>
      <c r="B2238" t="s">
        <v>4776</v>
      </c>
      <c r="C2238" t="s">
        <v>4777</v>
      </c>
      <c r="D2238" t="s">
        <v>41</v>
      </c>
      <c r="E2238" t="s">
        <v>42</v>
      </c>
      <c r="F2238" t="s">
        <v>47</v>
      </c>
      <c r="G2238" t="s">
        <v>587</v>
      </c>
      <c r="J2238" t="s">
        <v>4778</v>
      </c>
      <c r="K2238" t="s">
        <v>38</v>
      </c>
      <c r="L2238" t="s">
        <v>38</v>
      </c>
      <c r="M2238" t="s">
        <v>38</v>
      </c>
      <c r="N2238" t="s">
        <v>38</v>
      </c>
      <c r="O2238" t="s">
        <v>38</v>
      </c>
      <c r="Q2238">
        <v>0</v>
      </c>
      <c r="T2238" t="s">
        <v>38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f t="shared" si="102"/>
        <v>1</v>
      </c>
      <c r="AF2238">
        <f>VLOOKUP(D2238,especies!$A$2:$C$9,3,FALSE)</f>
        <v>2</v>
      </c>
      <c r="AG2238" t="str">
        <f t="shared" si="103"/>
        <v>2-DPC (Doméstico de pelo corto o DSH)</v>
      </c>
      <c r="AH2238">
        <f>VLOOKUP('Fichas clínicas'!AG2238,razas!$A$2:$D$66,3,FALSE)</f>
        <v>51</v>
      </c>
      <c r="AI2238" t="str">
        <f t="shared" si="104"/>
        <v>M</v>
      </c>
    </row>
    <row r="2239" spans="1:35" x14ac:dyDescent="0.2">
      <c r="A2239">
        <v>2241</v>
      </c>
      <c r="B2239" t="s">
        <v>4779</v>
      </c>
      <c r="C2239" t="s">
        <v>2853</v>
      </c>
      <c r="D2239" t="s">
        <v>41</v>
      </c>
      <c r="E2239" t="s">
        <v>42</v>
      </c>
      <c r="F2239" t="s">
        <v>47</v>
      </c>
      <c r="G2239" t="s">
        <v>81</v>
      </c>
      <c r="J2239" t="s">
        <v>3786</v>
      </c>
      <c r="K2239" t="s">
        <v>38</v>
      </c>
      <c r="L2239" t="s">
        <v>38</v>
      </c>
      <c r="M2239" t="s">
        <v>38</v>
      </c>
      <c r="N2239" t="s">
        <v>38</v>
      </c>
      <c r="O2239" t="s">
        <v>38</v>
      </c>
      <c r="T2239" t="s">
        <v>38</v>
      </c>
      <c r="U2239">
        <v>0</v>
      </c>
      <c r="V2239">
        <v>1</v>
      </c>
      <c r="W2239">
        <v>0</v>
      </c>
      <c r="X2239">
        <v>0</v>
      </c>
      <c r="Y2239">
        <v>0</v>
      </c>
      <c r="AE2239">
        <f t="shared" si="102"/>
        <v>1</v>
      </c>
      <c r="AF2239">
        <f>VLOOKUP(D2239,especies!$A$2:$C$9,3,FALSE)</f>
        <v>2</v>
      </c>
      <c r="AG2239" t="str">
        <f t="shared" si="103"/>
        <v>2-DPC (Doméstico de pelo corto o DSH)</v>
      </c>
      <c r="AH2239">
        <f>VLOOKUP('Fichas clínicas'!AG2239,razas!$A$2:$D$66,3,FALSE)</f>
        <v>51</v>
      </c>
      <c r="AI2239" t="str">
        <f t="shared" si="104"/>
        <v>M</v>
      </c>
    </row>
    <row r="2240" spans="1:35" x14ac:dyDescent="0.2">
      <c r="A2240">
        <v>2242</v>
      </c>
      <c r="B2240" t="s">
        <v>4765</v>
      </c>
      <c r="C2240" t="s">
        <v>4780</v>
      </c>
      <c r="D2240" t="s">
        <v>41</v>
      </c>
      <c r="E2240" t="s">
        <v>42</v>
      </c>
      <c r="F2240" t="s">
        <v>34</v>
      </c>
      <c r="G2240" t="s">
        <v>2308</v>
      </c>
      <c r="J2240" t="s">
        <v>1968</v>
      </c>
      <c r="K2240" t="s">
        <v>38</v>
      </c>
      <c r="L2240" t="s">
        <v>38</v>
      </c>
      <c r="M2240" t="s">
        <v>38</v>
      </c>
      <c r="N2240" t="s">
        <v>38</v>
      </c>
      <c r="O2240" t="s">
        <v>38</v>
      </c>
      <c r="T2240" t="s">
        <v>38</v>
      </c>
      <c r="U2240">
        <v>0</v>
      </c>
      <c r="V2240">
        <v>1</v>
      </c>
      <c r="W2240">
        <v>0</v>
      </c>
      <c r="X2240">
        <v>0</v>
      </c>
      <c r="Y2240">
        <v>0</v>
      </c>
      <c r="AE2240">
        <f t="shared" si="102"/>
        <v>1</v>
      </c>
      <c r="AF2240">
        <f>VLOOKUP(D2240,especies!$A$2:$C$9,3,FALSE)</f>
        <v>2</v>
      </c>
      <c r="AG2240" t="str">
        <f t="shared" si="103"/>
        <v>2-DPC (Doméstico de pelo corto o DSH)</v>
      </c>
      <c r="AH2240">
        <f>VLOOKUP('Fichas clínicas'!AG2240,razas!$A$2:$D$66,3,FALSE)</f>
        <v>51</v>
      </c>
      <c r="AI2240" t="str">
        <f t="shared" si="104"/>
        <v>H</v>
      </c>
    </row>
    <row r="2241" spans="1:35" x14ac:dyDescent="0.2">
      <c r="A2241">
        <v>2243</v>
      </c>
      <c r="B2241" t="s">
        <v>4781</v>
      </c>
      <c r="C2241" t="s">
        <v>1523</v>
      </c>
      <c r="D2241" t="s">
        <v>32</v>
      </c>
      <c r="E2241" t="s">
        <v>143</v>
      </c>
      <c r="F2241" t="s">
        <v>34</v>
      </c>
      <c r="G2241" t="s">
        <v>3919</v>
      </c>
      <c r="J2241" t="s">
        <v>2115</v>
      </c>
      <c r="K2241" t="s">
        <v>38</v>
      </c>
      <c r="L2241" t="s">
        <v>38</v>
      </c>
      <c r="M2241" t="s">
        <v>38</v>
      </c>
      <c r="N2241" t="s">
        <v>38</v>
      </c>
      <c r="O2241" t="s">
        <v>38</v>
      </c>
      <c r="T2241" t="s">
        <v>38</v>
      </c>
      <c r="U2241">
        <v>0</v>
      </c>
      <c r="W2241">
        <v>0</v>
      </c>
      <c r="X2241">
        <v>0</v>
      </c>
      <c r="Y2241">
        <v>0</v>
      </c>
      <c r="AE2241">
        <f t="shared" si="102"/>
        <v>1</v>
      </c>
      <c r="AF2241">
        <f>VLOOKUP(D2241,especies!$A$2:$C$9,3,FALSE)</f>
        <v>1</v>
      </c>
      <c r="AG2241" t="str">
        <f t="shared" si="103"/>
        <v>1-Yorkshire Terrier</v>
      </c>
      <c r="AH2241">
        <f>VLOOKUP('Fichas clínicas'!AG2241,razas!$A$2:$D$66,3,FALSE)</f>
        <v>5</v>
      </c>
      <c r="AI2241" t="str">
        <f t="shared" si="104"/>
        <v>H</v>
      </c>
    </row>
    <row r="2242" spans="1:35" x14ac:dyDescent="0.2">
      <c r="A2242">
        <v>2244</v>
      </c>
      <c r="B2242" t="s">
        <v>4782</v>
      </c>
      <c r="C2242" t="s">
        <v>4783</v>
      </c>
      <c r="D2242" t="s">
        <v>32</v>
      </c>
      <c r="E2242" t="s">
        <v>160</v>
      </c>
      <c r="F2242" t="s">
        <v>47</v>
      </c>
      <c r="G2242" t="s">
        <v>199</v>
      </c>
      <c r="J2242" t="s">
        <v>4784</v>
      </c>
      <c r="K2242" t="s">
        <v>38</v>
      </c>
      <c r="L2242" t="s">
        <v>38</v>
      </c>
      <c r="M2242" t="s">
        <v>38</v>
      </c>
      <c r="N2242" t="s">
        <v>38</v>
      </c>
      <c r="O2242" t="s">
        <v>38</v>
      </c>
      <c r="T2242" t="s">
        <v>38</v>
      </c>
      <c r="U2242">
        <v>0</v>
      </c>
      <c r="W2242">
        <v>0</v>
      </c>
      <c r="X2242">
        <v>0</v>
      </c>
      <c r="Y2242">
        <v>0</v>
      </c>
      <c r="AE2242">
        <f t="shared" si="102"/>
        <v>1</v>
      </c>
      <c r="AF2242">
        <f>VLOOKUP(D2242,especies!$A$2:$C$9,3,FALSE)</f>
        <v>1</v>
      </c>
      <c r="AG2242" t="str">
        <f t="shared" si="103"/>
        <v>1-Shih Tzu</v>
      </c>
      <c r="AH2242">
        <f>VLOOKUP('Fichas clínicas'!AG2242,razas!$A$2:$D$66,3,FALSE)</f>
        <v>7</v>
      </c>
      <c r="AI2242" t="str">
        <f t="shared" si="104"/>
        <v>M</v>
      </c>
    </row>
    <row r="2243" spans="1:35" x14ac:dyDescent="0.2">
      <c r="A2243">
        <v>2245</v>
      </c>
      <c r="B2243" t="s">
        <v>4785</v>
      </c>
      <c r="C2243" t="s">
        <v>646</v>
      </c>
      <c r="D2243" t="s">
        <v>41</v>
      </c>
      <c r="E2243" t="s">
        <v>42</v>
      </c>
      <c r="F2243" t="s">
        <v>34</v>
      </c>
      <c r="G2243" t="s">
        <v>4771</v>
      </c>
      <c r="J2243" t="s">
        <v>4786</v>
      </c>
      <c r="K2243" t="s">
        <v>38</v>
      </c>
      <c r="L2243" t="s">
        <v>38</v>
      </c>
      <c r="M2243" t="s">
        <v>38</v>
      </c>
      <c r="N2243" t="s">
        <v>38</v>
      </c>
      <c r="O2243" t="s">
        <v>38</v>
      </c>
      <c r="T2243" t="s">
        <v>38</v>
      </c>
      <c r="U2243">
        <v>0</v>
      </c>
      <c r="W2243">
        <v>0</v>
      </c>
      <c r="X2243">
        <v>0</v>
      </c>
      <c r="Y2243">
        <v>0</v>
      </c>
      <c r="AE2243">
        <f t="shared" ref="AE2243:AE2306" si="105">SUBTOTAL(103,E2243)</f>
        <v>1</v>
      </c>
      <c r="AF2243">
        <f>VLOOKUP(D2243,especies!$A$2:$C$9,3,FALSE)</f>
        <v>2</v>
      </c>
      <c r="AG2243" t="str">
        <f t="shared" ref="AG2243:AG2306" si="106">AF2243&amp;"-"&amp;E2243</f>
        <v>2-DPC (Doméstico de pelo corto o DSH)</v>
      </c>
      <c r="AH2243">
        <f>VLOOKUP('Fichas clínicas'!AG2243,razas!$A$2:$D$66,3,FALSE)</f>
        <v>51</v>
      </c>
      <c r="AI2243" t="str">
        <f t="shared" ref="AI2243:AI2306" si="107">IF(F2243="Hembra","H","M")</f>
        <v>H</v>
      </c>
    </row>
    <row r="2244" spans="1:35" x14ac:dyDescent="0.2">
      <c r="A2244">
        <v>2246</v>
      </c>
      <c r="B2244" t="s">
        <v>4787</v>
      </c>
      <c r="C2244" t="s">
        <v>4788</v>
      </c>
      <c r="D2244" t="s">
        <v>41</v>
      </c>
      <c r="E2244" t="s">
        <v>42</v>
      </c>
      <c r="F2244" t="s">
        <v>34</v>
      </c>
      <c r="G2244" t="s">
        <v>322</v>
      </c>
      <c r="J2244" t="s">
        <v>330</v>
      </c>
      <c r="K2244" t="s">
        <v>38</v>
      </c>
      <c r="L2244" t="s">
        <v>38</v>
      </c>
      <c r="M2244" t="s">
        <v>38</v>
      </c>
      <c r="N2244" t="s">
        <v>38</v>
      </c>
      <c r="O2244" t="s">
        <v>38</v>
      </c>
      <c r="T2244" t="s">
        <v>38</v>
      </c>
      <c r="U2244">
        <v>0</v>
      </c>
      <c r="V2244">
        <v>1</v>
      </c>
      <c r="W2244">
        <v>0</v>
      </c>
      <c r="X2244">
        <v>0</v>
      </c>
      <c r="Y2244">
        <v>0</v>
      </c>
      <c r="AE2244">
        <f t="shared" si="105"/>
        <v>1</v>
      </c>
      <c r="AF2244">
        <f>VLOOKUP(D2244,especies!$A$2:$C$9,3,FALSE)</f>
        <v>2</v>
      </c>
      <c r="AG2244" t="str">
        <f t="shared" si="106"/>
        <v>2-DPC (Doméstico de pelo corto o DSH)</v>
      </c>
      <c r="AH2244">
        <f>VLOOKUP('Fichas clínicas'!AG2244,razas!$A$2:$D$66,3,FALSE)</f>
        <v>51</v>
      </c>
      <c r="AI2244" t="str">
        <f t="shared" si="107"/>
        <v>H</v>
      </c>
    </row>
    <row r="2245" spans="1:35" x14ac:dyDescent="0.2">
      <c r="A2245">
        <v>2247</v>
      </c>
      <c r="B2245" t="s">
        <v>4787</v>
      </c>
      <c r="C2245" t="s">
        <v>4789</v>
      </c>
      <c r="D2245" t="s">
        <v>41</v>
      </c>
      <c r="E2245" t="s">
        <v>93</v>
      </c>
      <c r="F2245" t="s">
        <v>34</v>
      </c>
      <c r="G2245" t="s">
        <v>694</v>
      </c>
      <c r="J2245" t="s">
        <v>1825</v>
      </c>
      <c r="K2245" t="s">
        <v>38</v>
      </c>
      <c r="L2245" t="s">
        <v>38</v>
      </c>
      <c r="M2245" t="s">
        <v>38</v>
      </c>
      <c r="N2245" t="s">
        <v>38</v>
      </c>
      <c r="O2245" t="s">
        <v>38</v>
      </c>
      <c r="T2245" t="s">
        <v>38</v>
      </c>
      <c r="U2245">
        <v>0</v>
      </c>
      <c r="V2245">
        <v>1</v>
      </c>
      <c r="W2245">
        <v>0</v>
      </c>
      <c r="X2245">
        <v>0</v>
      </c>
      <c r="Y2245">
        <v>0</v>
      </c>
      <c r="AE2245">
        <f t="shared" si="105"/>
        <v>1</v>
      </c>
      <c r="AF2245">
        <f>VLOOKUP(D2245,especies!$A$2:$C$9,3,FALSE)</f>
        <v>2</v>
      </c>
      <c r="AG2245" t="str">
        <f t="shared" si="106"/>
        <v>2-DPL (Doméstico de pelo Largo o DLH)</v>
      </c>
      <c r="AH2245">
        <f>VLOOKUP('Fichas clínicas'!AG2245,razas!$A$2:$D$66,3,FALSE)</f>
        <v>52</v>
      </c>
      <c r="AI2245" t="str">
        <f t="shared" si="107"/>
        <v>H</v>
      </c>
    </row>
    <row r="2246" spans="1:35" x14ac:dyDescent="0.2">
      <c r="A2246">
        <v>2248</v>
      </c>
      <c r="B2246" t="s">
        <v>4790</v>
      </c>
      <c r="C2246" t="s">
        <v>4791</v>
      </c>
      <c r="D2246" t="s">
        <v>41</v>
      </c>
      <c r="E2246" t="s">
        <v>42</v>
      </c>
      <c r="F2246" t="s">
        <v>34</v>
      </c>
      <c r="G2246" t="s">
        <v>4792</v>
      </c>
      <c r="J2246" t="s">
        <v>4793</v>
      </c>
      <c r="K2246" t="s">
        <v>38</v>
      </c>
      <c r="L2246" t="s">
        <v>38</v>
      </c>
      <c r="M2246" t="s">
        <v>38</v>
      </c>
      <c r="N2246" t="s">
        <v>38</v>
      </c>
      <c r="O2246" t="s">
        <v>38</v>
      </c>
      <c r="T2246" t="s">
        <v>38</v>
      </c>
      <c r="U2246">
        <v>0</v>
      </c>
      <c r="V2246">
        <v>1</v>
      </c>
      <c r="W2246">
        <v>0</v>
      </c>
      <c r="X2246">
        <v>0</v>
      </c>
      <c r="Y2246">
        <v>0</v>
      </c>
      <c r="AE2246">
        <f t="shared" si="105"/>
        <v>1</v>
      </c>
      <c r="AF2246">
        <f>VLOOKUP(D2246,especies!$A$2:$C$9,3,FALSE)</f>
        <v>2</v>
      </c>
      <c r="AG2246" t="str">
        <f t="shared" si="106"/>
        <v>2-DPC (Doméstico de pelo corto o DSH)</v>
      </c>
      <c r="AH2246">
        <f>VLOOKUP('Fichas clínicas'!AG2246,razas!$A$2:$D$66,3,FALSE)</f>
        <v>51</v>
      </c>
      <c r="AI2246" t="str">
        <f t="shared" si="107"/>
        <v>H</v>
      </c>
    </row>
    <row r="2247" spans="1:35" x14ac:dyDescent="0.2">
      <c r="A2247">
        <v>2249</v>
      </c>
      <c r="B2247" t="s">
        <v>4794</v>
      </c>
      <c r="C2247" t="s">
        <v>4795</v>
      </c>
      <c r="D2247" t="s">
        <v>32</v>
      </c>
      <c r="E2247" t="s">
        <v>970</v>
      </c>
      <c r="F2247" t="s">
        <v>47</v>
      </c>
      <c r="G2247" t="s">
        <v>452</v>
      </c>
      <c r="J2247" t="s">
        <v>4796</v>
      </c>
      <c r="K2247" t="s">
        <v>38</v>
      </c>
      <c r="L2247" t="s">
        <v>38</v>
      </c>
      <c r="M2247" t="s">
        <v>38</v>
      </c>
      <c r="N2247" t="s">
        <v>38</v>
      </c>
      <c r="O2247" t="s">
        <v>38</v>
      </c>
      <c r="Q2247">
        <v>0</v>
      </c>
      <c r="T2247" t="s">
        <v>38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f t="shared" si="105"/>
        <v>1</v>
      </c>
      <c r="AF2247">
        <f>VLOOKUP(D2247,especies!$A$2:$C$9,3,FALSE)</f>
        <v>1</v>
      </c>
      <c r="AG2247" t="str">
        <f t="shared" si="106"/>
        <v>1-American Pit Bull Terrier</v>
      </c>
      <c r="AH2247">
        <f>VLOOKUP('Fichas clínicas'!AG2247,razas!$A$2:$D$66,3,FALSE)</f>
        <v>25</v>
      </c>
      <c r="AI2247" t="str">
        <f t="shared" si="107"/>
        <v>M</v>
      </c>
    </row>
    <row r="2248" spans="1:35" x14ac:dyDescent="0.2">
      <c r="A2248">
        <v>2250</v>
      </c>
      <c r="B2248" t="s">
        <v>4797</v>
      </c>
      <c r="C2248" t="s">
        <v>2345</v>
      </c>
      <c r="D2248" t="s">
        <v>41</v>
      </c>
      <c r="E2248" t="s">
        <v>42</v>
      </c>
      <c r="F2248" t="s">
        <v>34</v>
      </c>
      <c r="G2248" t="s">
        <v>4798</v>
      </c>
      <c r="J2248" t="s">
        <v>4465</v>
      </c>
      <c r="K2248" t="s">
        <v>38</v>
      </c>
      <c r="L2248" t="s">
        <v>38</v>
      </c>
      <c r="M2248" t="s">
        <v>38</v>
      </c>
      <c r="N2248" t="s">
        <v>38</v>
      </c>
      <c r="O2248" t="s">
        <v>38</v>
      </c>
      <c r="T2248" t="s">
        <v>38</v>
      </c>
      <c r="U2248">
        <v>0</v>
      </c>
      <c r="V2248">
        <v>1</v>
      </c>
      <c r="W2248">
        <v>0</v>
      </c>
      <c r="X2248">
        <v>0</v>
      </c>
      <c r="Y2248">
        <v>0</v>
      </c>
      <c r="AE2248">
        <f t="shared" si="105"/>
        <v>1</v>
      </c>
      <c r="AF2248">
        <f>VLOOKUP(D2248,especies!$A$2:$C$9,3,FALSE)</f>
        <v>2</v>
      </c>
      <c r="AG2248" t="str">
        <f t="shared" si="106"/>
        <v>2-DPC (Doméstico de pelo corto o DSH)</v>
      </c>
      <c r="AH2248">
        <f>VLOOKUP('Fichas clínicas'!AG2248,razas!$A$2:$D$66,3,FALSE)</f>
        <v>51</v>
      </c>
      <c r="AI2248" t="str">
        <f t="shared" si="107"/>
        <v>H</v>
      </c>
    </row>
    <row r="2249" spans="1:35" x14ac:dyDescent="0.2">
      <c r="A2249">
        <v>2251</v>
      </c>
      <c r="B2249" t="s">
        <v>4799</v>
      </c>
      <c r="C2249" t="s">
        <v>4385</v>
      </c>
      <c r="D2249" t="s">
        <v>32</v>
      </c>
      <c r="E2249" t="s">
        <v>33</v>
      </c>
      <c r="F2249" t="s">
        <v>34</v>
      </c>
      <c r="G2249" t="s">
        <v>64</v>
      </c>
      <c r="J2249" t="s">
        <v>4800</v>
      </c>
      <c r="K2249" t="s">
        <v>38</v>
      </c>
      <c r="L2249" t="s">
        <v>38</v>
      </c>
      <c r="M2249" t="s">
        <v>38</v>
      </c>
      <c r="N2249" t="s">
        <v>38</v>
      </c>
      <c r="O2249" t="s">
        <v>38</v>
      </c>
      <c r="T2249" t="s">
        <v>38</v>
      </c>
      <c r="U2249">
        <v>0</v>
      </c>
      <c r="W2249">
        <v>0</v>
      </c>
      <c r="X2249">
        <v>0</v>
      </c>
      <c r="Y2249">
        <v>0</v>
      </c>
      <c r="AE2249">
        <f t="shared" si="105"/>
        <v>1</v>
      </c>
      <c r="AF2249">
        <f>VLOOKUP(D2249,especies!$A$2:$C$9,3,FALSE)</f>
        <v>1</v>
      </c>
      <c r="AG2249" t="str">
        <f t="shared" si="106"/>
        <v>1-Mestizo</v>
      </c>
      <c r="AH2249">
        <f>VLOOKUP('Fichas clínicas'!AG2249,razas!$A$2:$D$66,3,FALSE)</f>
        <v>1</v>
      </c>
      <c r="AI2249" t="str">
        <f t="shared" si="107"/>
        <v>H</v>
      </c>
    </row>
    <row r="2250" spans="1:35" x14ac:dyDescent="0.2">
      <c r="A2250">
        <v>2252</v>
      </c>
      <c r="B2250" t="s">
        <v>3670</v>
      </c>
      <c r="C2250" t="s">
        <v>4801</v>
      </c>
      <c r="D2250" t="s">
        <v>32</v>
      </c>
      <c r="E2250" t="s">
        <v>33</v>
      </c>
      <c r="F2250" t="s">
        <v>34</v>
      </c>
      <c r="G2250" t="s">
        <v>566</v>
      </c>
      <c r="J2250" t="s">
        <v>4802</v>
      </c>
      <c r="K2250" t="s">
        <v>38</v>
      </c>
      <c r="L2250" t="s">
        <v>38</v>
      </c>
      <c r="M2250" t="s">
        <v>38</v>
      </c>
      <c r="N2250" t="s">
        <v>38</v>
      </c>
      <c r="O2250" t="s">
        <v>38</v>
      </c>
      <c r="T2250" t="s">
        <v>38</v>
      </c>
      <c r="U2250">
        <v>0</v>
      </c>
      <c r="V2250">
        <v>1</v>
      </c>
      <c r="W2250">
        <v>0</v>
      </c>
      <c r="X2250">
        <v>0</v>
      </c>
      <c r="Y2250">
        <v>0</v>
      </c>
      <c r="AE2250">
        <f t="shared" si="105"/>
        <v>1</v>
      </c>
      <c r="AF2250">
        <f>VLOOKUP(D2250,especies!$A$2:$C$9,3,FALSE)</f>
        <v>1</v>
      </c>
      <c r="AG2250" t="str">
        <f t="shared" si="106"/>
        <v>1-Mestizo</v>
      </c>
      <c r="AH2250">
        <f>VLOOKUP('Fichas clínicas'!AG2250,razas!$A$2:$D$66,3,FALSE)</f>
        <v>1</v>
      </c>
      <c r="AI2250" t="str">
        <f t="shared" si="107"/>
        <v>H</v>
      </c>
    </row>
    <row r="2251" spans="1:35" x14ac:dyDescent="0.2">
      <c r="A2251">
        <v>2253</v>
      </c>
      <c r="B2251" t="s">
        <v>4803</v>
      </c>
      <c r="C2251" t="s">
        <v>4804</v>
      </c>
      <c r="D2251" t="s">
        <v>41</v>
      </c>
      <c r="E2251" t="s">
        <v>42</v>
      </c>
      <c r="F2251" t="s">
        <v>47</v>
      </c>
      <c r="G2251" t="s">
        <v>4706</v>
      </c>
      <c r="J2251" t="s">
        <v>4162</v>
      </c>
      <c r="K2251" t="s">
        <v>38</v>
      </c>
      <c r="L2251" t="s">
        <v>38</v>
      </c>
      <c r="M2251" t="s">
        <v>38</v>
      </c>
      <c r="N2251" t="s">
        <v>38</v>
      </c>
      <c r="O2251" t="s">
        <v>38</v>
      </c>
      <c r="Q2251">
        <v>0</v>
      </c>
      <c r="T2251" t="s">
        <v>38</v>
      </c>
      <c r="U2251">
        <v>0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f t="shared" si="105"/>
        <v>1</v>
      </c>
      <c r="AF2251">
        <f>VLOOKUP(D2251,especies!$A$2:$C$9,3,FALSE)</f>
        <v>2</v>
      </c>
      <c r="AG2251" t="str">
        <f t="shared" si="106"/>
        <v>2-DPC (Doméstico de pelo corto o DSH)</v>
      </c>
      <c r="AH2251">
        <f>VLOOKUP('Fichas clínicas'!AG2251,razas!$A$2:$D$66,3,FALSE)</f>
        <v>51</v>
      </c>
      <c r="AI2251" t="str">
        <f t="shared" si="107"/>
        <v>M</v>
      </c>
    </row>
    <row r="2252" spans="1:35" x14ac:dyDescent="0.2">
      <c r="A2252">
        <v>2254</v>
      </c>
      <c r="B2252" t="s">
        <v>4803</v>
      </c>
      <c r="C2252" t="s">
        <v>4805</v>
      </c>
      <c r="D2252" t="s">
        <v>41</v>
      </c>
      <c r="E2252" t="s">
        <v>42</v>
      </c>
      <c r="F2252" t="s">
        <v>47</v>
      </c>
      <c r="G2252" t="s">
        <v>4706</v>
      </c>
      <c r="J2252" t="s">
        <v>4162</v>
      </c>
      <c r="K2252" t="s">
        <v>38</v>
      </c>
      <c r="L2252" t="s">
        <v>38</v>
      </c>
      <c r="M2252" t="s">
        <v>38</v>
      </c>
      <c r="N2252" t="s">
        <v>38</v>
      </c>
      <c r="O2252" t="s">
        <v>38</v>
      </c>
      <c r="T2252" t="s">
        <v>38</v>
      </c>
      <c r="U2252">
        <v>0</v>
      </c>
      <c r="V2252">
        <v>1</v>
      </c>
      <c r="W2252">
        <v>0</v>
      </c>
      <c r="X2252">
        <v>0</v>
      </c>
      <c r="Y2252">
        <v>0</v>
      </c>
      <c r="AE2252">
        <f t="shared" si="105"/>
        <v>1</v>
      </c>
      <c r="AF2252">
        <f>VLOOKUP(D2252,especies!$A$2:$C$9,3,FALSE)</f>
        <v>2</v>
      </c>
      <c r="AG2252" t="str">
        <f t="shared" si="106"/>
        <v>2-DPC (Doméstico de pelo corto o DSH)</v>
      </c>
      <c r="AH2252">
        <f>VLOOKUP('Fichas clínicas'!AG2252,razas!$A$2:$D$66,3,FALSE)</f>
        <v>51</v>
      </c>
      <c r="AI2252" t="str">
        <f t="shared" si="107"/>
        <v>M</v>
      </c>
    </row>
    <row r="2253" spans="1:35" x14ac:dyDescent="0.2">
      <c r="A2253">
        <v>2255</v>
      </c>
      <c r="B2253" t="s">
        <v>4277</v>
      </c>
      <c r="C2253" t="s">
        <v>2948</v>
      </c>
      <c r="D2253" t="s">
        <v>41</v>
      </c>
      <c r="E2253" t="s">
        <v>42</v>
      </c>
      <c r="F2253" t="s">
        <v>34</v>
      </c>
      <c r="G2253" t="s">
        <v>2122</v>
      </c>
      <c r="J2253" t="s">
        <v>4806</v>
      </c>
      <c r="K2253" t="s">
        <v>38</v>
      </c>
      <c r="L2253" t="s">
        <v>38</v>
      </c>
      <c r="M2253" t="s">
        <v>38</v>
      </c>
      <c r="N2253" t="s">
        <v>38</v>
      </c>
      <c r="O2253" t="s">
        <v>38</v>
      </c>
      <c r="Q2253">
        <v>0</v>
      </c>
      <c r="T2253" t="s">
        <v>38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f t="shared" si="105"/>
        <v>1</v>
      </c>
      <c r="AF2253">
        <f>VLOOKUP(D2253,especies!$A$2:$C$9,3,FALSE)</f>
        <v>2</v>
      </c>
      <c r="AG2253" t="str">
        <f t="shared" si="106"/>
        <v>2-DPC (Doméstico de pelo corto o DSH)</v>
      </c>
      <c r="AH2253">
        <f>VLOOKUP('Fichas clínicas'!AG2253,razas!$A$2:$D$66,3,FALSE)</f>
        <v>51</v>
      </c>
      <c r="AI2253" t="str">
        <f t="shared" si="107"/>
        <v>H</v>
      </c>
    </row>
    <row r="2254" spans="1:35" x14ac:dyDescent="0.2">
      <c r="A2254">
        <v>2256</v>
      </c>
      <c r="B2254" t="s">
        <v>602</v>
      </c>
      <c r="C2254" t="s">
        <v>822</v>
      </c>
      <c r="D2254" t="s">
        <v>32</v>
      </c>
      <c r="E2254" t="s">
        <v>33</v>
      </c>
      <c r="F2254" t="s">
        <v>47</v>
      </c>
      <c r="G2254" t="s">
        <v>1007</v>
      </c>
      <c r="J2254" t="s">
        <v>90</v>
      </c>
      <c r="K2254" t="s">
        <v>38</v>
      </c>
      <c r="L2254" t="s">
        <v>38</v>
      </c>
      <c r="M2254" t="s">
        <v>38</v>
      </c>
      <c r="N2254" t="s">
        <v>38</v>
      </c>
      <c r="O2254" t="s">
        <v>38</v>
      </c>
      <c r="T2254" t="s">
        <v>38</v>
      </c>
      <c r="U2254">
        <v>0</v>
      </c>
      <c r="V2254">
        <v>1</v>
      </c>
      <c r="W2254">
        <v>0</v>
      </c>
      <c r="X2254">
        <v>0</v>
      </c>
      <c r="Y2254">
        <v>0</v>
      </c>
      <c r="AE2254">
        <f t="shared" si="105"/>
        <v>1</v>
      </c>
      <c r="AF2254">
        <f>VLOOKUP(D2254,especies!$A$2:$C$9,3,FALSE)</f>
        <v>1</v>
      </c>
      <c r="AG2254" t="str">
        <f t="shared" si="106"/>
        <v>1-Mestizo</v>
      </c>
      <c r="AH2254">
        <f>VLOOKUP('Fichas clínicas'!AG2254,razas!$A$2:$D$66,3,FALSE)</f>
        <v>1</v>
      </c>
      <c r="AI2254" t="str">
        <f t="shared" si="107"/>
        <v>M</v>
      </c>
    </row>
    <row r="2255" spans="1:35" x14ac:dyDescent="0.2">
      <c r="A2255">
        <v>2257</v>
      </c>
      <c r="B2255" t="s">
        <v>4807</v>
      </c>
      <c r="C2255" t="s">
        <v>4808</v>
      </c>
      <c r="D2255" t="s">
        <v>32</v>
      </c>
      <c r="E2255" t="s">
        <v>545</v>
      </c>
      <c r="F2255" t="s">
        <v>34</v>
      </c>
      <c r="G2255" t="s">
        <v>1515</v>
      </c>
      <c r="J2255" t="s">
        <v>4778</v>
      </c>
      <c r="K2255" t="s">
        <v>38</v>
      </c>
      <c r="L2255" t="s">
        <v>38</v>
      </c>
      <c r="M2255" t="s">
        <v>38</v>
      </c>
      <c r="N2255" t="s">
        <v>38</v>
      </c>
      <c r="O2255" t="s">
        <v>38</v>
      </c>
      <c r="T2255" t="s">
        <v>38</v>
      </c>
      <c r="U2255">
        <v>0</v>
      </c>
      <c r="W2255">
        <v>0</v>
      </c>
      <c r="X2255">
        <v>0</v>
      </c>
      <c r="Y2255">
        <v>0</v>
      </c>
      <c r="AE2255">
        <f t="shared" si="105"/>
        <v>1</v>
      </c>
      <c r="AF2255">
        <f>VLOOKUP(D2255,especies!$A$2:$C$9,3,FALSE)</f>
        <v>1</v>
      </c>
      <c r="AG2255" t="str">
        <f t="shared" si="106"/>
        <v>1-Golden Retriever</v>
      </c>
      <c r="AH2255">
        <f>VLOOKUP('Fichas clínicas'!AG2255,razas!$A$2:$D$66,3,FALSE)</f>
        <v>16</v>
      </c>
      <c r="AI2255" t="str">
        <f t="shared" si="107"/>
        <v>H</v>
      </c>
    </row>
    <row r="2256" spans="1:35" x14ac:dyDescent="0.2">
      <c r="A2256">
        <v>2258</v>
      </c>
      <c r="B2256" t="s">
        <v>4809</v>
      </c>
      <c r="C2256" t="s">
        <v>1619</v>
      </c>
      <c r="D2256" t="s">
        <v>41</v>
      </c>
      <c r="E2256" t="s">
        <v>42</v>
      </c>
      <c r="F2256" t="s">
        <v>34</v>
      </c>
      <c r="G2256" t="s">
        <v>2851</v>
      </c>
      <c r="J2256" t="s">
        <v>3105</v>
      </c>
      <c r="K2256" t="s">
        <v>38</v>
      </c>
      <c r="L2256" t="s">
        <v>38</v>
      </c>
      <c r="M2256" t="s">
        <v>38</v>
      </c>
      <c r="N2256" t="s">
        <v>38</v>
      </c>
      <c r="O2256" t="s">
        <v>38</v>
      </c>
      <c r="T2256" t="s">
        <v>38</v>
      </c>
      <c r="U2256">
        <v>0</v>
      </c>
      <c r="W2256">
        <v>0</v>
      </c>
      <c r="X2256">
        <v>0</v>
      </c>
      <c r="Y2256">
        <v>0</v>
      </c>
      <c r="AE2256">
        <f t="shared" si="105"/>
        <v>1</v>
      </c>
      <c r="AF2256">
        <f>VLOOKUP(D2256,especies!$A$2:$C$9,3,FALSE)</f>
        <v>2</v>
      </c>
      <c r="AG2256" t="str">
        <f t="shared" si="106"/>
        <v>2-DPC (Doméstico de pelo corto o DSH)</v>
      </c>
      <c r="AH2256">
        <f>VLOOKUP('Fichas clínicas'!AG2256,razas!$A$2:$D$66,3,FALSE)</f>
        <v>51</v>
      </c>
      <c r="AI2256" t="str">
        <f t="shared" si="107"/>
        <v>H</v>
      </c>
    </row>
    <row r="2257" spans="1:35" x14ac:dyDescent="0.2">
      <c r="A2257">
        <v>2259</v>
      </c>
      <c r="B2257" t="s">
        <v>983</v>
      </c>
      <c r="C2257" t="s">
        <v>4810</v>
      </c>
      <c r="D2257" t="s">
        <v>32</v>
      </c>
      <c r="E2257" t="s">
        <v>545</v>
      </c>
      <c r="F2257" t="s">
        <v>34</v>
      </c>
      <c r="G2257" t="s">
        <v>1515</v>
      </c>
      <c r="J2257" t="s">
        <v>4811</v>
      </c>
      <c r="K2257" t="s">
        <v>38</v>
      </c>
      <c r="L2257" t="s">
        <v>38</v>
      </c>
      <c r="M2257" t="s">
        <v>38</v>
      </c>
      <c r="N2257" t="s">
        <v>38</v>
      </c>
      <c r="O2257" t="s">
        <v>38</v>
      </c>
      <c r="T2257" t="s">
        <v>38</v>
      </c>
      <c r="U2257">
        <v>0</v>
      </c>
      <c r="W2257">
        <v>0</v>
      </c>
      <c r="X2257">
        <v>0</v>
      </c>
      <c r="Y2257">
        <v>0</v>
      </c>
      <c r="AE2257">
        <f t="shared" si="105"/>
        <v>1</v>
      </c>
      <c r="AF2257">
        <f>VLOOKUP(D2257,especies!$A$2:$C$9,3,FALSE)</f>
        <v>1</v>
      </c>
      <c r="AG2257" t="str">
        <f t="shared" si="106"/>
        <v>1-Golden Retriever</v>
      </c>
      <c r="AH2257">
        <f>VLOOKUP('Fichas clínicas'!AG2257,razas!$A$2:$D$66,3,FALSE)</f>
        <v>16</v>
      </c>
      <c r="AI2257" t="str">
        <f t="shared" si="107"/>
        <v>H</v>
      </c>
    </row>
    <row r="2258" spans="1:35" x14ac:dyDescent="0.2">
      <c r="A2258">
        <v>2260</v>
      </c>
      <c r="B2258" t="s">
        <v>4812</v>
      </c>
      <c r="C2258" t="s">
        <v>2642</v>
      </c>
      <c r="D2258" t="s">
        <v>41</v>
      </c>
      <c r="E2258" t="s">
        <v>42</v>
      </c>
      <c r="F2258" t="s">
        <v>47</v>
      </c>
      <c r="G2258" t="s">
        <v>2851</v>
      </c>
      <c r="J2258" t="s">
        <v>2115</v>
      </c>
      <c r="K2258" t="s">
        <v>38</v>
      </c>
      <c r="L2258" t="s">
        <v>38</v>
      </c>
      <c r="M2258" t="s">
        <v>38</v>
      </c>
      <c r="N2258" t="s">
        <v>38</v>
      </c>
      <c r="O2258" t="s">
        <v>38</v>
      </c>
      <c r="T2258" t="s">
        <v>38</v>
      </c>
      <c r="U2258">
        <v>0</v>
      </c>
      <c r="V2258">
        <v>1</v>
      </c>
      <c r="W2258">
        <v>0</v>
      </c>
      <c r="X2258">
        <v>0</v>
      </c>
      <c r="Y2258">
        <v>0</v>
      </c>
      <c r="AE2258">
        <f t="shared" si="105"/>
        <v>1</v>
      </c>
      <c r="AF2258">
        <f>VLOOKUP(D2258,especies!$A$2:$C$9,3,FALSE)</f>
        <v>2</v>
      </c>
      <c r="AG2258" t="str">
        <f t="shared" si="106"/>
        <v>2-DPC (Doméstico de pelo corto o DSH)</v>
      </c>
      <c r="AH2258">
        <f>VLOOKUP('Fichas clínicas'!AG2258,razas!$A$2:$D$66,3,FALSE)</f>
        <v>51</v>
      </c>
      <c r="AI2258" t="str">
        <f t="shared" si="107"/>
        <v>M</v>
      </c>
    </row>
    <row r="2259" spans="1:35" x14ac:dyDescent="0.2">
      <c r="A2259">
        <v>2261</v>
      </c>
      <c r="B2259" t="s">
        <v>4290</v>
      </c>
      <c r="C2259" t="s">
        <v>4813</v>
      </c>
      <c r="D2259" t="s">
        <v>32</v>
      </c>
      <c r="E2259" t="s">
        <v>1963</v>
      </c>
      <c r="F2259" t="s">
        <v>47</v>
      </c>
      <c r="G2259" t="s">
        <v>102</v>
      </c>
      <c r="J2259" t="s">
        <v>4814</v>
      </c>
      <c r="K2259" t="s">
        <v>38</v>
      </c>
      <c r="L2259" t="s">
        <v>38</v>
      </c>
      <c r="M2259" t="s">
        <v>38</v>
      </c>
      <c r="N2259" t="s">
        <v>38</v>
      </c>
      <c r="O2259" t="s">
        <v>38</v>
      </c>
      <c r="Q2259">
        <v>0</v>
      </c>
      <c r="T2259" t="s">
        <v>38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f t="shared" si="105"/>
        <v>1</v>
      </c>
      <c r="AF2259">
        <f>VLOOKUP(D2259,especies!$A$2:$C$9,3,FALSE)</f>
        <v>1</v>
      </c>
      <c r="AG2259" t="str">
        <f t="shared" si="106"/>
        <v>1-Pastor de los Pirineos de pelo largo</v>
      </c>
      <c r="AH2259">
        <f>VLOOKUP('Fichas clínicas'!AG2259,razas!$A$2:$D$66,3,FALSE)</f>
        <v>34</v>
      </c>
      <c r="AI2259" t="str">
        <f t="shared" si="107"/>
        <v>M</v>
      </c>
    </row>
    <row r="2260" spans="1:35" x14ac:dyDescent="0.2">
      <c r="A2260">
        <v>2262</v>
      </c>
      <c r="B2260" t="s">
        <v>367</v>
      </c>
      <c r="C2260" t="s">
        <v>4815</v>
      </c>
      <c r="D2260" t="s">
        <v>41</v>
      </c>
      <c r="E2260" t="s">
        <v>42</v>
      </c>
      <c r="F2260" t="s">
        <v>47</v>
      </c>
      <c r="G2260" t="s">
        <v>1054</v>
      </c>
      <c r="J2260" t="s">
        <v>4816</v>
      </c>
      <c r="K2260" t="s">
        <v>38</v>
      </c>
      <c r="L2260" t="s">
        <v>38</v>
      </c>
      <c r="M2260" t="s">
        <v>38</v>
      </c>
      <c r="N2260" t="s">
        <v>38</v>
      </c>
      <c r="O2260" t="s">
        <v>38</v>
      </c>
      <c r="Q2260">
        <v>0</v>
      </c>
      <c r="T2260" t="s">
        <v>38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f t="shared" si="105"/>
        <v>1</v>
      </c>
      <c r="AF2260">
        <f>VLOOKUP(D2260,especies!$A$2:$C$9,3,FALSE)</f>
        <v>2</v>
      </c>
      <c r="AG2260" t="str">
        <f t="shared" si="106"/>
        <v>2-DPC (Doméstico de pelo corto o DSH)</v>
      </c>
      <c r="AH2260">
        <f>VLOOKUP('Fichas clínicas'!AG2260,razas!$A$2:$D$66,3,FALSE)</f>
        <v>51</v>
      </c>
      <c r="AI2260" t="str">
        <f t="shared" si="107"/>
        <v>M</v>
      </c>
    </row>
    <row r="2261" spans="1:35" x14ac:dyDescent="0.2">
      <c r="A2261">
        <v>2263</v>
      </c>
      <c r="B2261" t="s">
        <v>4125</v>
      </c>
      <c r="C2261" t="s">
        <v>4817</v>
      </c>
      <c r="D2261" t="s">
        <v>41</v>
      </c>
      <c r="E2261" t="s">
        <v>42</v>
      </c>
      <c r="F2261" t="s">
        <v>34</v>
      </c>
      <c r="G2261" t="s">
        <v>4639</v>
      </c>
      <c r="J2261" t="s">
        <v>3856</v>
      </c>
      <c r="K2261" t="s">
        <v>38</v>
      </c>
      <c r="L2261" t="s">
        <v>38</v>
      </c>
      <c r="M2261" t="s">
        <v>38</v>
      </c>
      <c r="N2261" t="s">
        <v>38</v>
      </c>
      <c r="O2261" t="s">
        <v>38</v>
      </c>
      <c r="T2261" t="s">
        <v>38</v>
      </c>
      <c r="U2261">
        <v>0</v>
      </c>
      <c r="W2261">
        <v>0</v>
      </c>
      <c r="X2261">
        <v>0</v>
      </c>
      <c r="Y2261">
        <v>0</v>
      </c>
      <c r="AE2261">
        <f t="shared" si="105"/>
        <v>1</v>
      </c>
      <c r="AF2261">
        <f>VLOOKUP(D2261,especies!$A$2:$C$9,3,FALSE)</f>
        <v>2</v>
      </c>
      <c r="AG2261" t="str">
        <f t="shared" si="106"/>
        <v>2-DPC (Doméstico de pelo corto o DSH)</v>
      </c>
      <c r="AH2261">
        <f>VLOOKUP('Fichas clínicas'!AG2261,razas!$A$2:$D$66,3,FALSE)</f>
        <v>51</v>
      </c>
      <c r="AI2261" t="str">
        <f t="shared" si="107"/>
        <v>H</v>
      </c>
    </row>
    <row r="2262" spans="1:35" x14ac:dyDescent="0.2">
      <c r="A2262">
        <v>2264</v>
      </c>
      <c r="B2262" t="s">
        <v>4125</v>
      </c>
      <c r="C2262" t="s">
        <v>4818</v>
      </c>
      <c r="D2262" t="s">
        <v>41</v>
      </c>
      <c r="E2262" t="s">
        <v>42</v>
      </c>
      <c r="F2262" t="s">
        <v>47</v>
      </c>
      <c r="G2262" t="s">
        <v>4639</v>
      </c>
      <c r="J2262" t="s">
        <v>4819</v>
      </c>
      <c r="K2262" t="s">
        <v>38</v>
      </c>
      <c r="L2262" t="s">
        <v>38</v>
      </c>
      <c r="M2262" t="s">
        <v>38</v>
      </c>
      <c r="N2262" t="s">
        <v>38</v>
      </c>
      <c r="O2262" t="s">
        <v>38</v>
      </c>
      <c r="Q2262">
        <v>1</v>
      </c>
      <c r="T2262" t="s">
        <v>38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f t="shared" si="105"/>
        <v>1</v>
      </c>
      <c r="AF2262">
        <f>VLOOKUP(D2262,especies!$A$2:$C$9,3,FALSE)</f>
        <v>2</v>
      </c>
      <c r="AG2262" t="str">
        <f t="shared" si="106"/>
        <v>2-DPC (Doméstico de pelo corto o DSH)</v>
      </c>
      <c r="AH2262">
        <f>VLOOKUP('Fichas clínicas'!AG2262,razas!$A$2:$D$66,3,FALSE)</f>
        <v>51</v>
      </c>
      <c r="AI2262" t="str">
        <f t="shared" si="107"/>
        <v>M</v>
      </c>
    </row>
    <row r="2263" spans="1:35" x14ac:dyDescent="0.2">
      <c r="A2263">
        <v>2265</v>
      </c>
      <c r="B2263" t="s">
        <v>4820</v>
      </c>
      <c r="C2263" t="s">
        <v>4821</v>
      </c>
      <c r="D2263" t="s">
        <v>41</v>
      </c>
      <c r="E2263" t="s">
        <v>42</v>
      </c>
      <c r="F2263" t="s">
        <v>34</v>
      </c>
      <c r="G2263" t="s">
        <v>825</v>
      </c>
      <c r="J2263" t="s">
        <v>4822</v>
      </c>
      <c r="K2263" t="s">
        <v>38</v>
      </c>
      <c r="L2263" t="s">
        <v>38</v>
      </c>
      <c r="M2263" t="s">
        <v>38</v>
      </c>
      <c r="N2263" t="s">
        <v>38</v>
      </c>
      <c r="O2263" t="s">
        <v>38</v>
      </c>
      <c r="T2263" t="s">
        <v>38</v>
      </c>
      <c r="U2263">
        <v>0</v>
      </c>
      <c r="V2263">
        <v>1</v>
      </c>
      <c r="W2263">
        <v>0</v>
      </c>
      <c r="X2263">
        <v>0</v>
      </c>
      <c r="Y2263">
        <v>0</v>
      </c>
      <c r="AE2263">
        <f t="shared" si="105"/>
        <v>1</v>
      </c>
      <c r="AF2263">
        <f>VLOOKUP(D2263,especies!$A$2:$C$9,3,FALSE)</f>
        <v>2</v>
      </c>
      <c r="AG2263" t="str">
        <f t="shared" si="106"/>
        <v>2-DPC (Doméstico de pelo corto o DSH)</v>
      </c>
      <c r="AH2263">
        <f>VLOOKUP('Fichas clínicas'!AG2263,razas!$A$2:$D$66,3,FALSE)</f>
        <v>51</v>
      </c>
      <c r="AI2263" t="str">
        <f t="shared" si="107"/>
        <v>H</v>
      </c>
    </row>
    <row r="2264" spans="1:35" x14ac:dyDescent="0.2">
      <c r="A2264">
        <v>2266</v>
      </c>
      <c r="B2264" t="s">
        <v>4823</v>
      </c>
      <c r="C2264" t="s">
        <v>4824</v>
      </c>
      <c r="D2264" t="s">
        <v>32</v>
      </c>
      <c r="E2264" t="s">
        <v>33</v>
      </c>
      <c r="F2264" t="s">
        <v>47</v>
      </c>
      <c r="G2264" t="s">
        <v>1402</v>
      </c>
      <c r="J2264" t="s">
        <v>1918</v>
      </c>
      <c r="K2264" t="s">
        <v>38</v>
      </c>
      <c r="L2264" t="s">
        <v>38</v>
      </c>
      <c r="M2264" t="s">
        <v>38</v>
      </c>
      <c r="N2264" t="s">
        <v>38</v>
      </c>
      <c r="O2264" t="s">
        <v>38</v>
      </c>
      <c r="Q2264">
        <v>0</v>
      </c>
      <c r="T2264" t="s">
        <v>38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f t="shared" si="105"/>
        <v>1</v>
      </c>
      <c r="AF2264">
        <f>VLOOKUP(D2264,especies!$A$2:$C$9,3,FALSE)</f>
        <v>1</v>
      </c>
      <c r="AG2264" t="str">
        <f t="shared" si="106"/>
        <v>1-Mestizo</v>
      </c>
      <c r="AH2264">
        <f>VLOOKUP('Fichas clínicas'!AG2264,razas!$A$2:$D$66,3,FALSE)</f>
        <v>1</v>
      </c>
      <c r="AI2264" t="str">
        <f t="shared" si="107"/>
        <v>M</v>
      </c>
    </row>
    <row r="2265" spans="1:35" x14ac:dyDescent="0.2">
      <c r="A2265">
        <v>2267</v>
      </c>
      <c r="B2265" t="s">
        <v>4825</v>
      </c>
      <c r="C2265" t="s">
        <v>2551</v>
      </c>
      <c r="D2265" t="s">
        <v>32</v>
      </c>
      <c r="E2265" t="s">
        <v>33</v>
      </c>
      <c r="F2265" t="s">
        <v>47</v>
      </c>
      <c r="G2265" t="s">
        <v>2296</v>
      </c>
      <c r="J2265" t="s">
        <v>4826</v>
      </c>
      <c r="K2265" t="s">
        <v>38</v>
      </c>
      <c r="L2265" t="s">
        <v>38</v>
      </c>
      <c r="M2265" t="s">
        <v>38</v>
      </c>
      <c r="N2265" t="s">
        <v>38</v>
      </c>
      <c r="O2265" t="s">
        <v>38</v>
      </c>
      <c r="T2265" t="s">
        <v>38</v>
      </c>
      <c r="U2265">
        <v>0</v>
      </c>
      <c r="W2265">
        <v>0</v>
      </c>
      <c r="X2265">
        <v>0</v>
      </c>
      <c r="Y2265">
        <v>0</v>
      </c>
      <c r="AE2265">
        <f t="shared" si="105"/>
        <v>1</v>
      </c>
      <c r="AF2265">
        <f>VLOOKUP(D2265,especies!$A$2:$C$9,3,FALSE)</f>
        <v>1</v>
      </c>
      <c r="AG2265" t="str">
        <f t="shared" si="106"/>
        <v>1-Mestizo</v>
      </c>
      <c r="AH2265">
        <f>VLOOKUP('Fichas clínicas'!AG2265,razas!$A$2:$D$66,3,FALSE)</f>
        <v>1</v>
      </c>
      <c r="AI2265" t="str">
        <f t="shared" si="107"/>
        <v>M</v>
      </c>
    </row>
    <row r="2266" spans="1:35" x14ac:dyDescent="0.2">
      <c r="A2266">
        <v>2268</v>
      </c>
      <c r="B2266" t="s">
        <v>482</v>
      </c>
      <c r="C2266" t="s">
        <v>2964</v>
      </c>
      <c r="D2266" t="s">
        <v>41</v>
      </c>
      <c r="E2266" t="s">
        <v>42</v>
      </c>
      <c r="F2266" t="s">
        <v>47</v>
      </c>
      <c r="G2266" t="s">
        <v>587</v>
      </c>
      <c r="J2266" t="s">
        <v>4827</v>
      </c>
      <c r="K2266" t="s">
        <v>38</v>
      </c>
      <c r="L2266" t="s">
        <v>38</v>
      </c>
      <c r="M2266" t="s">
        <v>38</v>
      </c>
      <c r="N2266" t="s">
        <v>38</v>
      </c>
      <c r="O2266" t="s">
        <v>38</v>
      </c>
      <c r="Q2266">
        <v>1</v>
      </c>
      <c r="T2266" t="s">
        <v>4603</v>
      </c>
      <c r="U2266">
        <v>4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f t="shared" si="105"/>
        <v>1</v>
      </c>
      <c r="AF2266">
        <f>VLOOKUP(D2266,especies!$A$2:$C$9,3,FALSE)</f>
        <v>2</v>
      </c>
      <c r="AG2266" t="str">
        <f t="shared" si="106"/>
        <v>2-DPC (Doméstico de pelo corto o DSH)</v>
      </c>
      <c r="AH2266">
        <f>VLOOKUP('Fichas clínicas'!AG2266,razas!$A$2:$D$66,3,FALSE)</f>
        <v>51</v>
      </c>
      <c r="AI2266" t="str">
        <f t="shared" si="107"/>
        <v>M</v>
      </c>
    </row>
    <row r="2267" spans="1:35" x14ac:dyDescent="0.2">
      <c r="A2267">
        <v>2269</v>
      </c>
      <c r="B2267" t="s">
        <v>4828</v>
      </c>
      <c r="C2267" t="s">
        <v>4829</v>
      </c>
      <c r="D2267" t="s">
        <v>41</v>
      </c>
      <c r="E2267" t="s">
        <v>42</v>
      </c>
      <c r="F2267" t="s">
        <v>34</v>
      </c>
      <c r="G2267" t="s">
        <v>825</v>
      </c>
      <c r="J2267" t="s">
        <v>2063</v>
      </c>
      <c r="K2267" t="s">
        <v>38</v>
      </c>
      <c r="L2267" t="s">
        <v>38</v>
      </c>
      <c r="M2267" t="s">
        <v>38</v>
      </c>
      <c r="N2267" t="s">
        <v>38</v>
      </c>
      <c r="O2267" t="s">
        <v>38</v>
      </c>
      <c r="T2267" t="s">
        <v>38</v>
      </c>
      <c r="U2267">
        <v>0</v>
      </c>
      <c r="V2267">
        <v>1</v>
      </c>
      <c r="W2267">
        <v>0</v>
      </c>
      <c r="X2267">
        <v>0</v>
      </c>
      <c r="Y2267">
        <v>0</v>
      </c>
      <c r="AE2267">
        <f t="shared" si="105"/>
        <v>1</v>
      </c>
      <c r="AF2267">
        <f>VLOOKUP(D2267,especies!$A$2:$C$9,3,FALSE)</f>
        <v>2</v>
      </c>
      <c r="AG2267" t="str">
        <f t="shared" si="106"/>
        <v>2-DPC (Doméstico de pelo corto o DSH)</v>
      </c>
      <c r="AH2267">
        <f>VLOOKUP('Fichas clínicas'!AG2267,razas!$A$2:$D$66,3,FALSE)</f>
        <v>51</v>
      </c>
      <c r="AI2267" t="str">
        <f t="shared" si="107"/>
        <v>H</v>
      </c>
    </row>
    <row r="2268" spans="1:35" x14ac:dyDescent="0.2">
      <c r="A2268">
        <v>2270</v>
      </c>
      <c r="B2268" t="s">
        <v>4278</v>
      </c>
      <c r="C2268" t="s">
        <v>4830</v>
      </c>
      <c r="D2268" t="s">
        <v>32</v>
      </c>
      <c r="E2268" t="s">
        <v>438</v>
      </c>
      <c r="F2268" t="s">
        <v>34</v>
      </c>
      <c r="G2268" t="s">
        <v>694</v>
      </c>
      <c r="J2268" t="s">
        <v>1522</v>
      </c>
      <c r="K2268" t="s">
        <v>38</v>
      </c>
      <c r="L2268" t="s">
        <v>38</v>
      </c>
      <c r="M2268" t="s">
        <v>38</v>
      </c>
      <c r="N2268" t="s">
        <v>38</v>
      </c>
      <c r="O2268" t="s">
        <v>38</v>
      </c>
      <c r="Q2268">
        <v>0</v>
      </c>
      <c r="T2268" t="s">
        <v>38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f t="shared" si="105"/>
        <v>1</v>
      </c>
      <c r="AF2268">
        <f>VLOOKUP(D2268,especies!$A$2:$C$9,3,FALSE)</f>
        <v>1</v>
      </c>
      <c r="AG2268" t="str">
        <f t="shared" si="106"/>
        <v>1-Ovejero Alemán</v>
      </c>
      <c r="AH2268">
        <f>VLOOKUP('Fichas clínicas'!AG2268,razas!$A$2:$D$66,3,FALSE)</f>
        <v>12</v>
      </c>
      <c r="AI2268" t="str">
        <f t="shared" si="107"/>
        <v>H</v>
      </c>
    </row>
    <row r="2269" spans="1:35" x14ac:dyDescent="0.2">
      <c r="A2269">
        <v>2271</v>
      </c>
      <c r="B2269" t="s">
        <v>4831</v>
      </c>
      <c r="C2269" t="s">
        <v>2213</v>
      </c>
      <c r="D2269" t="s">
        <v>32</v>
      </c>
      <c r="E2269" t="s">
        <v>33</v>
      </c>
      <c r="F2269" t="s">
        <v>34</v>
      </c>
      <c r="G2269" t="s">
        <v>351</v>
      </c>
      <c r="J2269" t="s">
        <v>1434</v>
      </c>
      <c r="K2269" t="s">
        <v>38</v>
      </c>
      <c r="L2269" t="s">
        <v>38</v>
      </c>
      <c r="M2269" t="s">
        <v>38</v>
      </c>
      <c r="N2269" t="s">
        <v>38</v>
      </c>
      <c r="O2269" t="s">
        <v>38</v>
      </c>
      <c r="T2269" t="s">
        <v>38</v>
      </c>
      <c r="U2269">
        <v>0</v>
      </c>
      <c r="V2269">
        <v>1</v>
      </c>
      <c r="W2269">
        <v>0</v>
      </c>
      <c r="X2269">
        <v>0</v>
      </c>
      <c r="Y2269">
        <v>0</v>
      </c>
      <c r="AE2269">
        <f t="shared" si="105"/>
        <v>1</v>
      </c>
      <c r="AF2269">
        <f>VLOOKUP(D2269,especies!$A$2:$C$9,3,FALSE)</f>
        <v>1</v>
      </c>
      <c r="AG2269" t="str">
        <f t="shared" si="106"/>
        <v>1-Mestizo</v>
      </c>
      <c r="AH2269">
        <f>VLOOKUP('Fichas clínicas'!AG2269,razas!$A$2:$D$66,3,FALSE)</f>
        <v>1</v>
      </c>
      <c r="AI2269" t="str">
        <f t="shared" si="107"/>
        <v>H</v>
      </c>
    </row>
    <row r="2270" spans="1:35" x14ac:dyDescent="0.2">
      <c r="A2270">
        <v>2272</v>
      </c>
      <c r="B2270" t="s">
        <v>4832</v>
      </c>
      <c r="C2270" t="s">
        <v>4833</v>
      </c>
      <c r="D2270" t="s">
        <v>32</v>
      </c>
      <c r="E2270" t="s">
        <v>33</v>
      </c>
      <c r="F2270" t="s">
        <v>47</v>
      </c>
      <c r="G2270" t="s">
        <v>351</v>
      </c>
      <c r="J2270" t="s">
        <v>4834</v>
      </c>
      <c r="K2270" t="s">
        <v>38</v>
      </c>
      <c r="L2270" t="s">
        <v>38</v>
      </c>
      <c r="M2270" t="s">
        <v>38</v>
      </c>
      <c r="N2270" t="s">
        <v>38</v>
      </c>
      <c r="O2270" t="s">
        <v>38</v>
      </c>
      <c r="T2270" t="s">
        <v>38</v>
      </c>
      <c r="U2270">
        <v>0</v>
      </c>
      <c r="W2270">
        <v>0</v>
      </c>
      <c r="X2270">
        <v>0</v>
      </c>
      <c r="Y2270">
        <v>0</v>
      </c>
      <c r="AE2270">
        <f t="shared" si="105"/>
        <v>1</v>
      </c>
      <c r="AF2270">
        <f>VLOOKUP(D2270,especies!$A$2:$C$9,3,FALSE)</f>
        <v>1</v>
      </c>
      <c r="AG2270" t="str">
        <f t="shared" si="106"/>
        <v>1-Mestizo</v>
      </c>
      <c r="AH2270">
        <f>VLOOKUP('Fichas clínicas'!AG2270,razas!$A$2:$D$66,3,FALSE)</f>
        <v>1</v>
      </c>
      <c r="AI2270" t="str">
        <f t="shared" si="107"/>
        <v>M</v>
      </c>
    </row>
    <row r="2271" spans="1:35" x14ac:dyDescent="0.2">
      <c r="A2271">
        <v>2273</v>
      </c>
      <c r="B2271" t="s">
        <v>4832</v>
      </c>
      <c r="C2271" t="s">
        <v>2725</v>
      </c>
      <c r="D2271" t="s">
        <v>41</v>
      </c>
      <c r="E2271" t="s">
        <v>93</v>
      </c>
      <c r="F2271" t="s">
        <v>34</v>
      </c>
      <c r="G2271" t="s">
        <v>4835</v>
      </c>
      <c r="J2271" t="s">
        <v>4836</v>
      </c>
      <c r="K2271" t="s">
        <v>38</v>
      </c>
      <c r="L2271" t="s">
        <v>38</v>
      </c>
      <c r="M2271" t="s">
        <v>38</v>
      </c>
      <c r="N2271" t="s">
        <v>38</v>
      </c>
      <c r="O2271" t="s">
        <v>38</v>
      </c>
      <c r="T2271" t="s">
        <v>38</v>
      </c>
      <c r="U2271">
        <v>0</v>
      </c>
      <c r="W2271">
        <v>0</v>
      </c>
      <c r="X2271">
        <v>0</v>
      </c>
      <c r="Y2271">
        <v>0</v>
      </c>
      <c r="AE2271">
        <f t="shared" si="105"/>
        <v>1</v>
      </c>
      <c r="AF2271">
        <f>VLOOKUP(D2271,especies!$A$2:$C$9,3,FALSE)</f>
        <v>2</v>
      </c>
      <c r="AG2271" t="str">
        <f t="shared" si="106"/>
        <v>2-DPL (Doméstico de pelo Largo o DLH)</v>
      </c>
      <c r="AH2271">
        <f>VLOOKUP('Fichas clínicas'!AG2271,razas!$A$2:$D$66,3,FALSE)</f>
        <v>52</v>
      </c>
      <c r="AI2271" t="str">
        <f t="shared" si="107"/>
        <v>H</v>
      </c>
    </row>
    <row r="2272" spans="1:35" x14ac:dyDescent="0.2">
      <c r="A2272">
        <v>2274</v>
      </c>
      <c r="B2272" t="s">
        <v>2474</v>
      </c>
      <c r="C2272" t="s">
        <v>4837</v>
      </c>
      <c r="D2272" t="s">
        <v>32</v>
      </c>
      <c r="E2272" t="s">
        <v>33</v>
      </c>
      <c r="F2272" t="s">
        <v>47</v>
      </c>
      <c r="G2272" t="s">
        <v>971</v>
      </c>
      <c r="J2272" t="s">
        <v>4838</v>
      </c>
      <c r="K2272" t="s">
        <v>38</v>
      </c>
      <c r="L2272" t="s">
        <v>38</v>
      </c>
      <c r="M2272" t="s">
        <v>38</v>
      </c>
      <c r="N2272" t="s">
        <v>38</v>
      </c>
      <c r="O2272" t="s">
        <v>38</v>
      </c>
      <c r="T2272" t="s">
        <v>38</v>
      </c>
      <c r="U2272">
        <v>0</v>
      </c>
      <c r="V2272">
        <v>1</v>
      </c>
      <c r="W2272">
        <v>0</v>
      </c>
      <c r="X2272">
        <v>0</v>
      </c>
      <c r="Y2272">
        <v>0</v>
      </c>
      <c r="AE2272">
        <f t="shared" si="105"/>
        <v>1</v>
      </c>
      <c r="AF2272">
        <f>VLOOKUP(D2272,especies!$A$2:$C$9,3,FALSE)</f>
        <v>1</v>
      </c>
      <c r="AG2272" t="str">
        <f t="shared" si="106"/>
        <v>1-Mestizo</v>
      </c>
      <c r="AH2272">
        <f>VLOOKUP('Fichas clínicas'!AG2272,razas!$A$2:$D$66,3,FALSE)</f>
        <v>1</v>
      </c>
      <c r="AI2272" t="str">
        <f t="shared" si="107"/>
        <v>M</v>
      </c>
    </row>
    <row r="2273" spans="1:35" x14ac:dyDescent="0.2">
      <c r="A2273">
        <v>2275</v>
      </c>
      <c r="B2273" t="s">
        <v>4839</v>
      </c>
      <c r="C2273" t="s">
        <v>4840</v>
      </c>
      <c r="D2273" t="s">
        <v>32</v>
      </c>
      <c r="E2273" t="s">
        <v>33</v>
      </c>
      <c r="F2273" t="s">
        <v>47</v>
      </c>
      <c r="G2273" t="s">
        <v>2804</v>
      </c>
      <c r="J2273" t="s">
        <v>4841</v>
      </c>
      <c r="K2273" t="s">
        <v>38</v>
      </c>
      <c r="L2273" t="s">
        <v>38</v>
      </c>
      <c r="M2273" t="s">
        <v>38</v>
      </c>
      <c r="N2273" t="s">
        <v>38</v>
      </c>
      <c r="O2273" t="s">
        <v>38</v>
      </c>
      <c r="T2273" t="s">
        <v>38</v>
      </c>
      <c r="U2273">
        <v>0</v>
      </c>
      <c r="W2273">
        <v>0</v>
      </c>
      <c r="X2273">
        <v>0</v>
      </c>
      <c r="Y2273">
        <v>0</v>
      </c>
      <c r="AE2273">
        <f t="shared" si="105"/>
        <v>1</v>
      </c>
      <c r="AF2273">
        <f>VLOOKUP(D2273,especies!$A$2:$C$9,3,FALSE)</f>
        <v>1</v>
      </c>
      <c r="AG2273" t="str">
        <f t="shared" si="106"/>
        <v>1-Mestizo</v>
      </c>
      <c r="AH2273">
        <f>VLOOKUP('Fichas clínicas'!AG2273,razas!$A$2:$D$66,3,FALSE)</f>
        <v>1</v>
      </c>
      <c r="AI2273" t="str">
        <f t="shared" si="107"/>
        <v>M</v>
      </c>
    </row>
    <row r="2274" spans="1:35" x14ac:dyDescent="0.2">
      <c r="A2274">
        <v>2276</v>
      </c>
      <c r="B2274" t="s">
        <v>4842</v>
      </c>
      <c r="C2274" t="s">
        <v>3351</v>
      </c>
      <c r="D2274" t="s">
        <v>41</v>
      </c>
      <c r="E2274" t="s">
        <v>42</v>
      </c>
      <c r="F2274" t="s">
        <v>47</v>
      </c>
      <c r="G2274" t="s">
        <v>4843</v>
      </c>
      <c r="J2274" t="s">
        <v>2941</v>
      </c>
      <c r="K2274" t="s">
        <v>38</v>
      </c>
      <c r="L2274" t="s">
        <v>38</v>
      </c>
      <c r="M2274" t="s">
        <v>38</v>
      </c>
      <c r="N2274" t="s">
        <v>38</v>
      </c>
      <c r="O2274" t="s">
        <v>38</v>
      </c>
      <c r="T2274" t="s">
        <v>38</v>
      </c>
      <c r="U2274">
        <v>0</v>
      </c>
      <c r="V2274">
        <v>1</v>
      </c>
      <c r="W2274">
        <v>0</v>
      </c>
      <c r="X2274">
        <v>0</v>
      </c>
      <c r="Y2274">
        <v>0</v>
      </c>
      <c r="AE2274">
        <f t="shared" si="105"/>
        <v>1</v>
      </c>
      <c r="AF2274">
        <f>VLOOKUP(D2274,especies!$A$2:$C$9,3,FALSE)</f>
        <v>2</v>
      </c>
      <c r="AG2274" t="str">
        <f t="shared" si="106"/>
        <v>2-DPC (Doméstico de pelo corto o DSH)</v>
      </c>
      <c r="AH2274">
        <f>VLOOKUP('Fichas clínicas'!AG2274,razas!$A$2:$D$66,3,FALSE)</f>
        <v>51</v>
      </c>
      <c r="AI2274" t="str">
        <f t="shared" si="107"/>
        <v>M</v>
      </c>
    </row>
    <row r="2275" spans="1:35" x14ac:dyDescent="0.2">
      <c r="A2275">
        <v>2277</v>
      </c>
      <c r="B2275" t="s">
        <v>4844</v>
      </c>
      <c r="C2275" t="s">
        <v>4223</v>
      </c>
      <c r="D2275" t="s">
        <v>41</v>
      </c>
      <c r="E2275" t="s">
        <v>42</v>
      </c>
      <c r="F2275" t="s">
        <v>34</v>
      </c>
      <c r="G2275" t="s">
        <v>4845</v>
      </c>
      <c r="J2275" t="s">
        <v>4819</v>
      </c>
      <c r="K2275" t="s">
        <v>38</v>
      </c>
      <c r="L2275" t="s">
        <v>38</v>
      </c>
      <c r="M2275" t="s">
        <v>38</v>
      </c>
      <c r="N2275" t="s">
        <v>38</v>
      </c>
      <c r="O2275" t="s">
        <v>38</v>
      </c>
      <c r="T2275" t="s">
        <v>38</v>
      </c>
      <c r="U2275">
        <v>0</v>
      </c>
      <c r="W2275">
        <v>0</v>
      </c>
      <c r="X2275">
        <v>0</v>
      </c>
      <c r="Y2275">
        <v>0</v>
      </c>
      <c r="AE2275">
        <f t="shared" si="105"/>
        <v>1</v>
      </c>
      <c r="AF2275">
        <f>VLOOKUP(D2275,especies!$A$2:$C$9,3,FALSE)</f>
        <v>2</v>
      </c>
      <c r="AG2275" t="str">
        <f t="shared" si="106"/>
        <v>2-DPC (Doméstico de pelo corto o DSH)</v>
      </c>
      <c r="AH2275">
        <f>VLOOKUP('Fichas clínicas'!AG2275,razas!$A$2:$D$66,3,FALSE)</f>
        <v>51</v>
      </c>
      <c r="AI2275" t="str">
        <f t="shared" si="107"/>
        <v>H</v>
      </c>
    </row>
    <row r="2276" spans="1:35" x14ac:dyDescent="0.2">
      <c r="A2276">
        <v>2278</v>
      </c>
      <c r="B2276" t="s">
        <v>4846</v>
      </c>
      <c r="C2276" t="s">
        <v>4847</v>
      </c>
      <c r="D2276" t="s">
        <v>32</v>
      </c>
      <c r="E2276" t="s">
        <v>33</v>
      </c>
      <c r="F2276" t="s">
        <v>47</v>
      </c>
      <c r="G2276" t="s">
        <v>81</v>
      </c>
      <c r="J2276" t="s">
        <v>4848</v>
      </c>
      <c r="K2276" t="s">
        <v>38</v>
      </c>
      <c r="L2276" t="s">
        <v>38</v>
      </c>
      <c r="M2276" t="s">
        <v>38</v>
      </c>
      <c r="N2276" t="s">
        <v>38</v>
      </c>
      <c r="O2276" t="s">
        <v>38</v>
      </c>
      <c r="T2276" t="s">
        <v>38</v>
      </c>
      <c r="U2276">
        <v>0</v>
      </c>
      <c r="W2276">
        <v>0</v>
      </c>
      <c r="X2276">
        <v>0</v>
      </c>
      <c r="Y2276">
        <v>0</v>
      </c>
      <c r="AE2276">
        <f t="shared" si="105"/>
        <v>1</v>
      </c>
      <c r="AF2276">
        <f>VLOOKUP(D2276,especies!$A$2:$C$9,3,FALSE)</f>
        <v>1</v>
      </c>
      <c r="AG2276" t="str">
        <f t="shared" si="106"/>
        <v>1-Mestizo</v>
      </c>
      <c r="AH2276">
        <f>VLOOKUP('Fichas clínicas'!AG2276,razas!$A$2:$D$66,3,FALSE)</f>
        <v>1</v>
      </c>
      <c r="AI2276" t="str">
        <f t="shared" si="107"/>
        <v>M</v>
      </c>
    </row>
    <row r="2277" spans="1:35" x14ac:dyDescent="0.2">
      <c r="A2277">
        <v>2279</v>
      </c>
      <c r="B2277" t="s">
        <v>4849</v>
      </c>
      <c r="C2277" t="s">
        <v>4850</v>
      </c>
      <c r="D2277" t="s">
        <v>41</v>
      </c>
      <c r="E2277" t="s">
        <v>42</v>
      </c>
      <c r="F2277" t="s">
        <v>47</v>
      </c>
      <c r="G2277" t="s">
        <v>1769</v>
      </c>
      <c r="J2277" t="s">
        <v>4851</v>
      </c>
      <c r="K2277" t="s">
        <v>38</v>
      </c>
      <c r="L2277" t="s">
        <v>38</v>
      </c>
      <c r="M2277" t="s">
        <v>38</v>
      </c>
      <c r="N2277" t="s">
        <v>38</v>
      </c>
      <c r="O2277" t="s">
        <v>38</v>
      </c>
      <c r="T2277" t="s">
        <v>38</v>
      </c>
      <c r="U2277">
        <v>0</v>
      </c>
      <c r="V2277">
        <v>1</v>
      </c>
      <c r="W2277">
        <v>0</v>
      </c>
      <c r="X2277">
        <v>0</v>
      </c>
      <c r="Y2277">
        <v>0</v>
      </c>
      <c r="AE2277">
        <f t="shared" si="105"/>
        <v>1</v>
      </c>
      <c r="AF2277">
        <f>VLOOKUP(D2277,especies!$A$2:$C$9,3,FALSE)</f>
        <v>2</v>
      </c>
      <c r="AG2277" t="str">
        <f t="shared" si="106"/>
        <v>2-DPC (Doméstico de pelo corto o DSH)</v>
      </c>
      <c r="AH2277">
        <f>VLOOKUP('Fichas clínicas'!AG2277,razas!$A$2:$D$66,3,FALSE)</f>
        <v>51</v>
      </c>
      <c r="AI2277" t="str">
        <f t="shared" si="107"/>
        <v>M</v>
      </c>
    </row>
    <row r="2278" spans="1:35" x14ac:dyDescent="0.2">
      <c r="A2278">
        <v>2280</v>
      </c>
      <c r="B2278" t="s">
        <v>4852</v>
      </c>
      <c r="C2278" t="s">
        <v>3305</v>
      </c>
      <c r="D2278" t="s">
        <v>41</v>
      </c>
      <c r="E2278" t="s">
        <v>42</v>
      </c>
      <c r="F2278" t="s">
        <v>34</v>
      </c>
      <c r="G2278" t="s">
        <v>2763</v>
      </c>
      <c r="J2278" t="s">
        <v>3738</v>
      </c>
      <c r="K2278" t="s">
        <v>38</v>
      </c>
      <c r="L2278" t="s">
        <v>38</v>
      </c>
      <c r="M2278" t="s">
        <v>38</v>
      </c>
      <c r="N2278" t="s">
        <v>38</v>
      </c>
      <c r="O2278" t="s">
        <v>38</v>
      </c>
      <c r="T2278" t="s">
        <v>38</v>
      </c>
      <c r="U2278">
        <v>0</v>
      </c>
      <c r="V2278">
        <v>1</v>
      </c>
      <c r="W2278">
        <v>0</v>
      </c>
      <c r="X2278">
        <v>0</v>
      </c>
      <c r="Y2278">
        <v>0</v>
      </c>
      <c r="AE2278">
        <f t="shared" si="105"/>
        <v>1</v>
      </c>
      <c r="AF2278">
        <f>VLOOKUP(D2278,especies!$A$2:$C$9,3,FALSE)</f>
        <v>2</v>
      </c>
      <c r="AG2278" t="str">
        <f t="shared" si="106"/>
        <v>2-DPC (Doméstico de pelo corto o DSH)</v>
      </c>
      <c r="AH2278">
        <f>VLOOKUP('Fichas clínicas'!AG2278,razas!$A$2:$D$66,3,FALSE)</f>
        <v>51</v>
      </c>
      <c r="AI2278" t="str">
        <f t="shared" si="107"/>
        <v>H</v>
      </c>
    </row>
    <row r="2279" spans="1:35" x14ac:dyDescent="0.2">
      <c r="A2279">
        <v>2281</v>
      </c>
      <c r="B2279" t="s">
        <v>4853</v>
      </c>
      <c r="C2279" t="s">
        <v>4035</v>
      </c>
      <c r="D2279" t="s">
        <v>32</v>
      </c>
      <c r="E2279" t="s">
        <v>33</v>
      </c>
      <c r="F2279" t="s">
        <v>47</v>
      </c>
      <c r="G2279" t="s">
        <v>4854</v>
      </c>
      <c r="J2279" t="s">
        <v>4855</v>
      </c>
      <c r="K2279" t="s">
        <v>38</v>
      </c>
      <c r="L2279" t="s">
        <v>38</v>
      </c>
      <c r="M2279" t="s">
        <v>38</v>
      </c>
      <c r="N2279" t="s">
        <v>38</v>
      </c>
      <c r="O2279" t="s">
        <v>38</v>
      </c>
      <c r="T2279" t="s">
        <v>38</v>
      </c>
      <c r="U2279">
        <v>0</v>
      </c>
      <c r="W2279">
        <v>0</v>
      </c>
      <c r="X2279">
        <v>0</v>
      </c>
      <c r="Y2279">
        <v>0</v>
      </c>
      <c r="AE2279">
        <f t="shared" si="105"/>
        <v>1</v>
      </c>
      <c r="AF2279">
        <f>VLOOKUP(D2279,especies!$A$2:$C$9,3,FALSE)</f>
        <v>1</v>
      </c>
      <c r="AG2279" t="str">
        <f t="shared" si="106"/>
        <v>1-Mestizo</v>
      </c>
      <c r="AH2279">
        <f>VLOOKUP('Fichas clínicas'!AG2279,razas!$A$2:$D$66,3,FALSE)</f>
        <v>1</v>
      </c>
      <c r="AI2279" t="str">
        <f t="shared" si="107"/>
        <v>M</v>
      </c>
    </row>
    <row r="2280" spans="1:35" x14ac:dyDescent="0.2">
      <c r="A2280">
        <v>2282</v>
      </c>
      <c r="B2280" t="s">
        <v>1373</v>
      </c>
      <c r="C2280" t="s">
        <v>2374</v>
      </c>
      <c r="D2280" t="s">
        <v>41</v>
      </c>
      <c r="E2280" t="s">
        <v>42</v>
      </c>
      <c r="F2280" t="s">
        <v>47</v>
      </c>
      <c r="G2280" t="s">
        <v>1054</v>
      </c>
      <c r="J2280" t="s">
        <v>4856</v>
      </c>
      <c r="K2280" t="s">
        <v>38</v>
      </c>
      <c r="L2280" t="s">
        <v>38</v>
      </c>
      <c r="M2280" t="s">
        <v>38</v>
      </c>
      <c r="N2280" t="s">
        <v>38</v>
      </c>
      <c r="O2280" t="s">
        <v>38</v>
      </c>
      <c r="T2280" t="s">
        <v>38</v>
      </c>
      <c r="U2280">
        <v>0</v>
      </c>
      <c r="W2280">
        <v>0</v>
      </c>
      <c r="X2280">
        <v>0</v>
      </c>
      <c r="Y2280">
        <v>0</v>
      </c>
      <c r="AE2280">
        <f t="shared" si="105"/>
        <v>1</v>
      </c>
      <c r="AF2280">
        <f>VLOOKUP(D2280,especies!$A$2:$C$9,3,FALSE)</f>
        <v>2</v>
      </c>
      <c r="AG2280" t="str">
        <f t="shared" si="106"/>
        <v>2-DPC (Doméstico de pelo corto o DSH)</v>
      </c>
      <c r="AH2280">
        <f>VLOOKUP('Fichas clínicas'!AG2280,razas!$A$2:$D$66,3,FALSE)</f>
        <v>51</v>
      </c>
      <c r="AI2280" t="str">
        <f t="shared" si="107"/>
        <v>M</v>
      </c>
    </row>
    <row r="2281" spans="1:35" x14ac:dyDescent="0.2">
      <c r="A2281">
        <v>2283</v>
      </c>
      <c r="B2281" t="s">
        <v>4857</v>
      </c>
      <c r="C2281" t="s">
        <v>4858</v>
      </c>
      <c r="D2281" t="s">
        <v>41</v>
      </c>
      <c r="E2281" t="s">
        <v>42</v>
      </c>
      <c r="F2281" t="s">
        <v>34</v>
      </c>
      <c r="G2281" t="s">
        <v>1837</v>
      </c>
      <c r="J2281" t="s">
        <v>3952</v>
      </c>
      <c r="K2281" t="s">
        <v>38</v>
      </c>
      <c r="L2281" t="s">
        <v>38</v>
      </c>
      <c r="M2281" t="s">
        <v>38</v>
      </c>
      <c r="N2281" t="s">
        <v>38</v>
      </c>
      <c r="O2281" t="s">
        <v>38</v>
      </c>
      <c r="T2281" t="s">
        <v>38</v>
      </c>
      <c r="U2281">
        <v>0</v>
      </c>
      <c r="W2281">
        <v>0</v>
      </c>
      <c r="X2281">
        <v>0</v>
      </c>
      <c r="Y2281">
        <v>0</v>
      </c>
      <c r="AE2281">
        <f t="shared" si="105"/>
        <v>1</v>
      </c>
      <c r="AF2281">
        <f>VLOOKUP(D2281,especies!$A$2:$C$9,3,FALSE)</f>
        <v>2</v>
      </c>
      <c r="AG2281" t="str">
        <f t="shared" si="106"/>
        <v>2-DPC (Doméstico de pelo corto o DSH)</v>
      </c>
      <c r="AH2281">
        <f>VLOOKUP('Fichas clínicas'!AG2281,razas!$A$2:$D$66,3,FALSE)</f>
        <v>51</v>
      </c>
      <c r="AI2281" t="str">
        <f t="shared" si="107"/>
        <v>H</v>
      </c>
    </row>
    <row r="2282" spans="1:35" x14ac:dyDescent="0.2">
      <c r="A2282">
        <v>2284</v>
      </c>
      <c r="B2282" t="s">
        <v>4859</v>
      </c>
      <c r="C2282" t="s">
        <v>4860</v>
      </c>
      <c r="D2282" t="s">
        <v>41</v>
      </c>
      <c r="E2282" t="s">
        <v>42</v>
      </c>
      <c r="F2282" t="s">
        <v>34</v>
      </c>
      <c r="G2282" t="s">
        <v>4861</v>
      </c>
      <c r="J2282" t="s">
        <v>4862</v>
      </c>
      <c r="K2282" t="s">
        <v>38</v>
      </c>
      <c r="L2282" t="s">
        <v>38</v>
      </c>
      <c r="M2282" t="s">
        <v>38</v>
      </c>
      <c r="N2282" t="s">
        <v>38</v>
      </c>
      <c r="O2282" t="s">
        <v>38</v>
      </c>
      <c r="T2282" t="s">
        <v>38</v>
      </c>
      <c r="U2282">
        <v>0</v>
      </c>
      <c r="W2282">
        <v>0</v>
      </c>
      <c r="X2282">
        <v>0</v>
      </c>
      <c r="Y2282">
        <v>0</v>
      </c>
      <c r="AE2282">
        <f t="shared" si="105"/>
        <v>1</v>
      </c>
      <c r="AF2282">
        <f>VLOOKUP(D2282,especies!$A$2:$C$9,3,FALSE)</f>
        <v>2</v>
      </c>
      <c r="AG2282" t="str">
        <f t="shared" si="106"/>
        <v>2-DPC (Doméstico de pelo corto o DSH)</v>
      </c>
      <c r="AH2282">
        <f>VLOOKUP('Fichas clínicas'!AG2282,razas!$A$2:$D$66,3,FALSE)</f>
        <v>51</v>
      </c>
      <c r="AI2282" t="str">
        <f t="shared" si="107"/>
        <v>H</v>
      </c>
    </row>
    <row r="2283" spans="1:35" x14ac:dyDescent="0.2">
      <c r="A2283">
        <v>2285</v>
      </c>
      <c r="B2283" t="s">
        <v>4797</v>
      </c>
      <c r="C2283" t="s">
        <v>4863</v>
      </c>
      <c r="D2283" t="s">
        <v>41</v>
      </c>
      <c r="E2283" t="s">
        <v>42</v>
      </c>
      <c r="F2283" t="s">
        <v>34</v>
      </c>
      <c r="G2283" t="s">
        <v>2308</v>
      </c>
      <c r="J2283" t="s">
        <v>4650</v>
      </c>
      <c r="K2283" t="s">
        <v>38</v>
      </c>
      <c r="L2283" t="s">
        <v>38</v>
      </c>
      <c r="M2283" t="s">
        <v>38</v>
      </c>
      <c r="N2283" t="s">
        <v>38</v>
      </c>
      <c r="O2283" t="s">
        <v>38</v>
      </c>
      <c r="T2283" t="s">
        <v>38</v>
      </c>
      <c r="U2283">
        <v>0</v>
      </c>
      <c r="W2283">
        <v>0</v>
      </c>
      <c r="X2283">
        <v>0</v>
      </c>
      <c r="Y2283">
        <v>0</v>
      </c>
      <c r="AE2283">
        <f t="shared" si="105"/>
        <v>1</v>
      </c>
      <c r="AF2283">
        <f>VLOOKUP(D2283,especies!$A$2:$C$9,3,FALSE)</f>
        <v>2</v>
      </c>
      <c r="AG2283" t="str">
        <f t="shared" si="106"/>
        <v>2-DPC (Doméstico de pelo corto o DSH)</v>
      </c>
      <c r="AH2283">
        <f>VLOOKUP('Fichas clínicas'!AG2283,razas!$A$2:$D$66,3,FALSE)</f>
        <v>51</v>
      </c>
      <c r="AI2283" t="str">
        <f t="shared" si="107"/>
        <v>H</v>
      </c>
    </row>
    <row r="2284" spans="1:35" x14ac:dyDescent="0.2">
      <c r="A2284">
        <v>2286</v>
      </c>
      <c r="B2284" t="s">
        <v>4864</v>
      </c>
      <c r="C2284" t="s">
        <v>2189</v>
      </c>
      <c r="D2284" t="s">
        <v>41</v>
      </c>
      <c r="E2284" t="s">
        <v>93</v>
      </c>
      <c r="F2284" t="s">
        <v>47</v>
      </c>
      <c r="G2284" t="s">
        <v>1054</v>
      </c>
      <c r="J2284" t="s">
        <v>4465</v>
      </c>
      <c r="K2284" t="s">
        <v>38</v>
      </c>
      <c r="L2284" t="s">
        <v>38</v>
      </c>
      <c r="M2284" t="s">
        <v>38</v>
      </c>
      <c r="N2284" t="s">
        <v>38</v>
      </c>
      <c r="O2284" t="s">
        <v>38</v>
      </c>
      <c r="T2284" t="s">
        <v>38</v>
      </c>
      <c r="U2284">
        <v>0</v>
      </c>
      <c r="W2284">
        <v>0</v>
      </c>
      <c r="X2284">
        <v>0</v>
      </c>
      <c r="Y2284">
        <v>0</v>
      </c>
      <c r="AE2284">
        <f t="shared" si="105"/>
        <v>1</v>
      </c>
      <c r="AF2284">
        <f>VLOOKUP(D2284,especies!$A$2:$C$9,3,FALSE)</f>
        <v>2</v>
      </c>
      <c r="AG2284" t="str">
        <f t="shared" si="106"/>
        <v>2-DPL (Doméstico de pelo Largo o DLH)</v>
      </c>
      <c r="AH2284">
        <f>VLOOKUP('Fichas clínicas'!AG2284,razas!$A$2:$D$66,3,FALSE)</f>
        <v>52</v>
      </c>
      <c r="AI2284" t="str">
        <f t="shared" si="107"/>
        <v>M</v>
      </c>
    </row>
    <row r="2285" spans="1:35" x14ac:dyDescent="0.2">
      <c r="A2285">
        <v>2287</v>
      </c>
      <c r="B2285" t="s">
        <v>4865</v>
      </c>
      <c r="C2285" t="s">
        <v>4866</v>
      </c>
      <c r="D2285" t="s">
        <v>41</v>
      </c>
      <c r="E2285" t="s">
        <v>42</v>
      </c>
      <c r="F2285" t="s">
        <v>34</v>
      </c>
      <c r="G2285" t="s">
        <v>4867</v>
      </c>
      <c r="J2285" t="s">
        <v>4778</v>
      </c>
      <c r="K2285" t="s">
        <v>38</v>
      </c>
      <c r="L2285" t="s">
        <v>38</v>
      </c>
      <c r="M2285" t="s">
        <v>38</v>
      </c>
      <c r="N2285" t="s">
        <v>38</v>
      </c>
      <c r="O2285" t="s">
        <v>38</v>
      </c>
      <c r="T2285" t="s">
        <v>38</v>
      </c>
      <c r="U2285">
        <v>0</v>
      </c>
      <c r="W2285">
        <v>0</v>
      </c>
      <c r="X2285">
        <v>0</v>
      </c>
      <c r="Y2285">
        <v>0</v>
      </c>
      <c r="AE2285">
        <f t="shared" si="105"/>
        <v>1</v>
      </c>
      <c r="AF2285">
        <f>VLOOKUP(D2285,especies!$A$2:$C$9,3,FALSE)</f>
        <v>2</v>
      </c>
      <c r="AG2285" t="str">
        <f t="shared" si="106"/>
        <v>2-DPC (Doméstico de pelo corto o DSH)</v>
      </c>
      <c r="AH2285">
        <f>VLOOKUP('Fichas clínicas'!AG2285,razas!$A$2:$D$66,3,FALSE)</f>
        <v>51</v>
      </c>
      <c r="AI2285" t="str">
        <f t="shared" si="107"/>
        <v>H</v>
      </c>
    </row>
    <row r="2286" spans="1:35" x14ac:dyDescent="0.2">
      <c r="A2286">
        <v>2288</v>
      </c>
      <c r="B2286" t="s">
        <v>4278</v>
      </c>
      <c r="C2286" t="s">
        <v>3994</v>
      </c>
      <c r="D2286" t="s">
        <v>41</v>
      </c>
      <c r="E2286" t="s">
        <v>42</v>
      </c>
      <c r="F2286" t="s">
        <v>47</v>
      </c>
      <c r="G2286" t="s">
        <v>1073</v>
      </c>
      <c r="J2286" t="s">
        <v>4816</v>
      </c>
      <c r="K2286" t="s">
        <v>38</v>
      </c>
      <c r="L2286" t="s">
        <v>38</v>
      </c>
      <c r="M2286" t="s">
        <v>38</v>
      </c>
      <c r="N2286" t="s">
        <v>38</v>
      </c>
      <c r="O2286" t="s">
        <v>38</v>
      </c>
      <c r="T2286" t="s">
        <v>38</v>
      </c>
      <c r="U2286">
        <v>0</v>
      </c>
      <c r="W2286">
        <v>0</v>
      </c>
      <c r="X2286">
        <v>0</v>
      </c>
      <c r="Y2286">
        <v>0</v>
      </c>
      <c r="AE2286">
        <f t="shared" si="105"/>
        <v>1</v>
      </c>
      <c r="AF2286">
        <f>VLOOKUP(D2286,especies!$A$2:$C$9,3,FALSE)</f>
        <v>2</v>
      </c>
      <c r="AG2286" t="str">
        <f t="shared" si="106"/>
        <v>2-DPC (Doméstico de pelo corto o DSH)</v>
      </c>
      <c r="AH2286">
        <f>VLOOKUP('Fichas clínicas'!AG2286,razas!$A$2:$D$66,3,FALSE)</f>
        <v>51</v>
      </c>
      <c r="AI2286" t="str">
        <f t="shared" si="107"/>
        <v>M</v>
      </c>
    </row>
    <row r="2287" spans="1:35" x14ac:dyDescent="0.2">
      <c r="A2287">
        <v>2289</v>
      </c>
      <c r="B2287" t="s">
        <v>4868</v>
      </c>
      <c r="C2287" t="s">
        <v>4815</v>
      </c>
      <c r="D2287" t="s">
        <v>41</v>
      </c>
      <c r="E2287" t="s">
        <v>42</v>
      </c>
      <c r="F2287" t="s">
        <v>47</v>
      </c>
      <c r="G2287" t="s">
        <v>1054</v>
      </c>
      <c r="J2287" t="s">
        <v>4816</v>
      </c>
      <c r="K2287" t="s">
        <v>38</v>
      </c>
      <c r="L2287" t="s">
        <v>38</v>
      </c>
      <c r="M2287" t="s">
        <v>38</v>
      </c>
      <c r="N2287" t="s">
        <v>38</v>
      </c>
      <c r="O2287" t="s">
        <v>38</v>
      </c>
      <c r="Q2287">
        <v>0</v>
      </c>
      <c r="T2287" t="s">
        <v>38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f t="shared" si="105"/>
        <v>1</v>
      </c>
      <c r="AF2287">
        <f>VLOOKUP(D2287,especies!$A$2:$C$9,3,FALSE)</f>
        <v>2</v>
      </c>
      <c r="AG2287" t="str">
        <f t="shared" si="106"/>
        <v>2-DPC (Doméstico de pelo corto o DSH)</v>
      </c>
      <c r="AH2287">
        <f>VLOOKUP('Fichas clínicas'!AG2287,razas!$A$2:$D$66,3,FALSE)</f>
        <v>51</v>
      </c>
      <c r="AI2287" t="str">
        <f t="shared" si="107"/>
        <v>M</v>
      </c>
    </row>
    <row r="2288" spans="1:35" x14ac:dyDescent="0.2">
      <c r="A2288">
        <v>2290</v>
      </c>
      <c r="B2288" t="s">
        <v>4869</v>
      </c>
      <c r="C2288" t="s">
        <v>2818</v>
      </c>
      <c r="D2288" t="s">
        <v>32</v>
      </c>
      <c r="E2288" t="s">
        <v>33</v>
      </c>
      <c r="F2288" t="s">
        <v>34</v>
      </c>
      <c r="G2288" t="s">
        <v>73</v>
      </c>
      <c r="J2288" t="s">
        <v>4870</v>
      </c>
      <c r="K2288" t="s">
        <v>38</v>
      </c>
      <c r="L2288" t="s">
        <v>38</v>
      </c>
      <c r="M2288" t="s">
        <v>38</v>
      </c>
      <c r="N2288" t="s">
        <v>38</v>
      </c>
      <c r="O2288" t="s">
        <v>38</v>
      </c>
      <c r="T2288" t="s">
        <v>38</v>
      </c>
      <c r="U2288">
        <v>0</v>
      </c>
      <c r="V2288">
        <v>1</v>
      </c>
      <c r="W2288">
        <v>0</v>
      </c>
      <c r="X2288">
        <v>0</v>
      </c>
      <c r="Y2288">
        <v>0</v>
      </c>
      <c r="AE2288">
        <f t="shared" si="105"/>
        <v>1</v>
      </c>
      <c r="AF2288">
        <f>VLOOKUP(D2288,especies!$A$2:$C$9,3,FALSE)</f>
        <v>1</v>
      </c>
      <c r="AG2288" t="str">
        <f t="shared" si="106"/>
        <v>1-Mestizo</v>
      </c>
      <c r="AH2288">
        <f>VLOOKUP('Fichas clínicas'!AG2288,razas!$A$2:$D$66,3,FALSE)</f>
        <v>1</v>
      </c>
      <c r="AI2288" t="str">
        <f t="shared" si="107"/>
        <v>H</v>
      </c>
    </row>
    <row r="2289" spans="1:35" x14ac:dyDescent="0.2">
      <c r="A2289">
        <v>2291</v>
      </c>
      <c r="B2289" t="s">
        <v>4871</v>
      </c>
      <c r="C2289" t="s">
        <v>3792</v>
      </c>
      <c r="D2289" t="s">
        <v>41</v>
      </c>
      <c r="E2289" t="s">
        <v>42</v>
      </c>
      <c r="F2289" t="s">
        <v>34</v>
      </c>
      <c r="G2289" t="s">
        <v>4872</v>
      </c>
      <c r="J2289" t="s">
        <v>4390</v>
      </c>
      <c r="K2289" t="s">
        <v>38</v>
      </c>
      <c r="L2289" t="s">
        <v>38</v>
      </c>
      <c r="M2289" t="s">
        <v>38</v>
      </c>
      <c r="N2289" t="s">
        <v>38</v>
      </c>
      <c r="O2289" t="s">
        <v>38</v>
      </c>
      <c r="T2289" t="s">
        <v>38</v>
      </c>
      <c r="U2289">
        <v>0</v>
      </c>
      <c r="V2289">
        <v>1</v>
      </c>
      <c r="W2289">
        <v>0</v>
      </c>
      <c r="X2289">
        <v>0</v>
      </c>
      <c r="Y2289">
        <v>0</v>
      </c>
      <c r="AE2289">
        <f t="shared" si="105"/>
        <v>1</v>
      </c>
      <c r="AF2289">
        <f>VLOOKUP(D2289,especies!$A$2:$C$9,3,FALSE)</f>
        <v>2</v>
      </c>
      <c r="AG2289" t="str">
        <f t="shared" si="106"/>
        <v>2-DPC (Doméstico de pelo corto o DSH)</v>
      </c>
      <c r="AH2289">
        <f>VLOOKUP('Fichas clínicas'!AG2289,razas!$A$2:$D$66,3,FALSE)</f>
        <v>51</v>
      </c>
      <c r="AI2289" t="str">
        <f t="shared" si="107"/>
        <v>H</v>
      </c>
    </row>
    <row r="2290" spans="1:35" x14ac:dyDescent="0.2">
      <c r="A2290">
        <v>2292</v>
      </c>
      <c r="B2290" t="s">
        <v>4873</v>
      </c>
      <c r="C2290" t="s">
        <v>2565</v>
      </c>
      <c r="D2290" t="s">
        <v>41</v>
      </c>
      <c r="E2290" t="s">
        <v>42</v>
      </c>
      <c r="F2290" t="s">
        <v>47</v>
      </c>
      <c r="G2290" t="s">
        <v>4798</v>
      </c>
      <c r="J2290" t="s">
        <v>4874</v>
      </c>
      <c r="K2290" t="s">
        <v>38</v>
      </c>
      <c r="L2290" t="s">
        <v>38</v>
      </c>
      <c r="M2290" t="s">
        <v>38</v>
      </c>
      <c r="N2290" t="s">
        <v>38</v>
      </c>
      <c r="O2290" t="s">
        <v>38</v>
      </c>
      <c r="T2290" t="s">
        <v>38</v>
      </c>
      <c r="U2290">
        <v>0</v>
      </c>
      <c r="W2290">
        <v>0</v>
      </c>
      <c r="X2290">
        <v>0</v>
      </c>
      <c r="Y2290">
        <v>0</v>
      </c>
      <c r="AE2290">
        <f t="shared" si="105"/>
        <v>1</v>
      </c>
      <c r="AF2290">
        <f>VLOOKUP(D2290,especies!$A$2:$C$9,3,FALSE)</f>
        <v>2</v>
      </c>
      <c r="AG2290" t="str">
        <f t="shared" si="106"/>
        <v>2-DPC (Doméstico de pelo corto o DSH)</v>
      </c>
      <c r="AH2290">
        <f>VLOOKUP('Fichas clínicas'!AG2290,razas!$A$2:$D$66,3,FALSE)</f>
        <v>51</v>
      </c>
      <c r="AI2290" t="str">
        <f t="shared" si="107"/>
        <v>M</v>
      </c>
    </row>
    <row r="2291" spans="1:35" x14ac:dyDescent="0.2">
      <c r="A2291">
        <v>2293</v>
      </c>
      <c r="B2291" t="s">
        <v>4389</v>
      </c>
      <c r="C2291" t="s">
        <v>2346</v>
      </c>
      <c r="D2291" t="s">
        <v>32</v>
      </c>
      <c r="E2291" t="s">
        <v>150</v>
      </c>
      <c r="F2291" t="s">
        <v>34</v>
      </c>
      <c r="G2291" t="s">
        <v>102</v>
      </c>
      <c r="J2291" t="s">
        <v>4875</v>
      </c>
      <c r="K2291" t="s">
        <v>38</v>
      </c>
      <c r="L2291" t="s">
        <v>38</v>
      </c>
      <c r="M2291" t="s">
        <v>38</v>
      </c>
      <c r="N2291" t="s">
        <v>38</v>
      </c>
      <c r="O2291" t="s">
        <v>38</v>
      </c>
      <c r="Q2291">
        <v>0</v>
      </c>
      <c r="T2291" t="s">
        <v>38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f t="shared" si="105"/>
        <v>1</v>
      </c>
      <c r="AF2291">
        <f>VLOOKUP(D2291,especies!$A$2:$C$9,3,FALSE)</f>
        <v>1</v>
      </c>
      <c r="AG2291" t="str">
        <f t="shared" si="106"/>
        <v>1-Poodle</v>
      </c>
      <c r="AH2291">
        <f>VLOOKUP('Fichas clínicas'!AG2291,razas!$A$2:$D$66,3,FALSE)</f>
        <v>6</v>
      </c>
      <c r="AI2291" t="str">
        <f t="shared" si="107"/>
        <v>H</v>
      </c>
    </row>
    <row r="2292" spans="1:35" x14ac:dyDescent="0.2">
      <c r="A2292">
        <v>2294</v>
      </c>
      <c r="B2292" t="s">
        <v>4876</v>
      </c>
      <c r="C2292" t="s">
        <v>4877</v>
      </c>
      <c r="D2292" t="s">
        <v>41</v>
      </c>
      <c r="E2292" t="s">
        <v>93</v>
      </c>
      <c r="F2292" t="s">
        <v>47</v>
      </c>
      <c r="G2292" t="s">
        <v>2763</v>
      </c>
      <c r="J2292" t="s">
        <v>4878</v>
      </c>
      <c r="K2292" t="s">
        <v>38</v>
      </c>
      <c r="L2292" t="s">
        <v>38</v>
      </c>
      <c r="M2292" t="s">
        <v>38</v>
      </c>
      <c r="N2292" t="s">
        <v>38</v>
      </c>
      <c r="O2292" t="s">
        <v>38</v>
      </c>
      <c r="T2292" t="s">
        <v>38</v>
      </c>
      <c r="U2292">
        <v>0</v>
      </c>
      <c r="V2292">
        <v>1</v>
      </c>
      <c r="W2292">
        <v>0</v>
      </c>
      <c r="X2292">
        <v>0</v>
      </c>
      <c r="Y2292">
        <v>0</v>
      </c>
      <c r="AE2292">
        <f t="shared" si="105"/>
        <v>1</v>
      </c>
      <c r="AF2292">
        <f>VLOOKUP(D2292,especies!$A$2:$C$9,3,FALSE)</f>
        <v>2</v>
      </c>
      <c r="AG2292" t="str">
        <f t="shared" si="106"/>
        <v>2-DPL (Doméstico de pelo Largo o DLH)</v>
      </c>
      <c r="AH2292">
        <f>VLOOKUP('Fichas clínicas'!AG2292,razas!$A$2:$D$66,3,FALSE)</f>
        <v>52</v>
      </c>
      <c r="AI2292" t="str">
        <f t="shared" si="107"/>
        <v>M</v>
      </c>
    </row>
    <row r="2293" spans="1:35" x14ac:dyDescent="0.2">
      <c r="A2293">
        <v>2295</v>
      </c>
      <c r="B2293" t="s">
        <v>4879</v>
      </c>
      <c r="C2293" t="s">
        <v>1768</v>
      </c>
      <c r="D2293" t="s">
        <v>41</v>
      </c>
      <c r="E2293" t="s">
        <v>42</v>
      </c>
      <c r="F2293" t="s">
        <v>47</v>
      </c>
      <c r="G2293" t="s">
        <v>4880</v>
      </c>
      <c r="J2293" t="s">
        <v>151</v>
      </c>
      <c r="K2293" t="s">
        <v>38</v>
      </c>
      <c r="L2293" t="s">
        <v>38</v>
      </c>
      <c r="M2293" t="s">
        <v>38</v>
      </c>
      <c r="N2293" t="s">
        <v>38</v>
      </c>
      <c r="O2293" t="s">
        <v>38</v>
      </c>
      <c r="T2293" t="s">
        <v>38</v>
      </c>
      <c r="U2293">
        <v>0</v>
      </c>
      <c r="V2293">
        <v>1</v>
      </c>
      <c r="W2293">
        <v>0</v>
      </c>
      <c r="X2293">
        <v>0</v>
      </c>
      <c r="Y2293">
        <v>0</v>
      </c>
      <c r="AE2293">
        <f t="shared" si="105"/>
        <v>1</v>
      </c>
      <c r="AF2293">
        <f>VLOOKUP(D2293,especies!$A$2:$C$9,3,FALSE)</f>
        <v>2</v>
      </c>
      <c r="AG2293" t="str">
        <f t="shared" si="106"/>
        <v>2-DPC (Doméstico de pelo corto o DSH)</v>
      </c>
      <c r="AH2293">
        <f>VLOOKUP('Fichas clínicas'!AG2293,razas!$A$2:$D$66,3,FALSE)</f>
        <v>51</v>
      </c>
      <c r="AI2293" t="str">
        <f t="shared" si="107"/>
        <v>M</v>
      </c>
    </row>
    <row r="2294" spans="1:35" x14ac:dyDescent="0.2">
      <c r="A2294">
        <v>2296</v>
      </c>
      <c r="B2294" t="s">
        <v>4881</v>
      </c>
      <c r="C2294" t="s">
        <v>4882</v>
      </c>
      <c r="D2294" t="s">
        <v>32</v>
      </c>
      <c r="E2294" t="s">
        <v>33</v>
      </c>
      <c r="F2294" t="s">
        <v>34</v>
      </c>
      <c r="G2294" t="s">
        <v>4044</v>
      </c>
      <c r="J2294" t="s">
        <v>1524</v>
      </c>
      <c r="K2294" t="s">
        <v>38</v>
      </c>
      <c r="L2294" t="s">
        <v>38</v>
      </c>
      <c r="M2294" t="s">
        <v>38</v>
      </c>
      <c r="N2294" t="s">
        <v>38</v>
      </c>
      <c r="O2294" t="s">
        <v>38</v>
      </c>
      <c r="T2294" t="s">
        <v>38</v>
      </c>
      <c r="U2294">
        <v>0</v>
      </c>
      <c r="W2294">
        <v>0</v>
      </c>
      <c r="X2294">
        <v>0</v>
      </c>
      <c r="Y2294">
        <v>0</v>
      </c>
      <c r="AE2294">
        <f t="shared" si="105"/>
        <v>1</v>
      </c>
      <c r="AF2294">
        <f>VLOOKUP(D2294,especies!$A$2:$C$9,3,FALSE)</f>
        <v>1</v>
      </c>
      <c r="AG2294" t="str">
        <f t="shared" si="106"/>
        <v>1-Mestizo</v>
      </c>
      <c r="AH2294">
        <f>VLOOKUP('Fichas clínicas'!AG2294,razas!$A$2:$D$66,3,FALSE)</f>
        <v>1</v>
      </c>
      <c r="AI2294" t="str">
        <f t="shared" si="107"/>
        <v>H</v>
      </c>
    </row>
    <row r="2295" spans="1:35" x14ac:dyDescent="0.2">
      <c r="A2295">
        <v>2297</v>
      </c>
      <c r="B2295" t="s">
        <v>4375</v>
      </c>
      <c r="C2295" t="s">
        <v>3067</v>
      </c>
      <c r="D2295" t="s">
        <v>41</v>
      </c>
      <c r="E2295" t="s">
        <v>42</v>
      </c>
      <c r="F2295" t="s">
        <v>34</v>
      </c>
      <c r="G2295" t="s">
        <v>1054</v>
      </c>
      <c r="J2295" t="s">
        <v>4883</v>
      </c>
      <c r="K2295" t="s">
        <v>38</v>
      </c>
      <c r="L2295" t="s">
        <v>38</v>
      </c>
      <c r="M2295" t="s">
        <v>38</v>
      </c>
      <c r="N2295" t="s">
        <v>38</v>
      </c>
      <c r="O2295" t="s">
        <v>38</v>
      </c>
      <c r="T2295" t="s">
        <v>38</v>
      </c>
      <c r="U2295">
        <v>0</v>
      </c>
      <c r="V2295">
        <v>1</v>
      </c>
      <c r="W2295">
        <v>0</v>
      </c>
      <c r="X2295">
        <v>0</v>
      </c>
      <c r="Y2295">
        <v>0</v>
      </c>
      <c r="AE2295">
        <f t="shared" si="105"/>
        <v>1</v>
      </c>
      <c r="AF2295">
        <f>VLOOKUP(D2295,especies!$A$2:$C$9,3,FALSE)</f>
        <v>2</v>
      </c>
      <c r="AG2295" t="str">
        <f t="shared" si="106"/>
        <v>2-DPC (Doméstico de pelo corto o DSH)</v>
      </c>
      <c r="AH2295">
        <f>VLOOKUP('Fichas clínicas'!AG2295,razas!$A$2:$D$66,3,FALSE)</f>
        <v>51</v>
      </c>
      <c r="AI2295" t="str">
        <f t="shared" si="107"/>
        <v>H</v>
      </c>
    </row>
    <row r="2296" spans="1:35" x14ac:dyDescent="0.2">
      <c r="A2296">
        <v>2298</v>
      </c>
      <c r="B2296" t="s">
        <v>4884</v>
      </c>
      <c r="C2296" t="s">
        <v>4885</v>
      </c>
      <c r="D2296" t="s">
        <v>41</v>
      </c>
      <c r="E2296" t="s">
        <v>42</v>
      </c>
      <c r="F2296" t="s">
        <v>34</v>
      </c>
      <c r="G2296" t="s">
        <v>2827</v>
      </c>
      <c r="J2296" t="s">
        <v>4025</v>
      </c>
      <c r="K2296" t="s">
        <v>38</v>
      </c>
      <c r="L2296" t="s">
        <v>38</v>
      </c>
      <c r="M2296" t="s">
        <v>38</v>
      </c>
      <c r="N2296" t="s">
        <v>38</v>
      </c>
      <c r="O2296" t="s">
        <v>38</v>
      </c>
      <c r="T2296" t="s">
        <v>38</v>
      </c>
      <c r="U2296">
        <v>0</v>
      </c>
      <c r="W2296">
        <v>0</v>
      </c>
      <c r="X2296">
        <v>0</v>
      </c>
      <c r="Y2296">
        <v>0</v>
      </c>
      <c r="AE2296">
        <f t="shared" si="105"/>
        <v>1</v>
      </c>
      <c r="AF2296">
        <f>VLOOKUP(D2296,especies!$A$2:$C$9,3,FALSE)</f>
        <v>2</v>
      </c>
      <c r="AG2296" t="str">
        <f t="shared" si="106"/>
        <v>2-DPC (Doméstico de pelo corto o DSH)</v>
      </c>
      <c r="AH2296">
        <f>VLOOKUP('Fichas clínicas'!AG2296,razas!$A$2:$D$66,3,FALSE)</f>
        <v>51</v>
      </c>
      <c r="AI2296" t="str">
        <f t="shared" si="107"/>
        <v>H</v>
      </c>
    </row>
    <row r="2297" spans="1:35" x14ac:dyDescent="0.2">
      <c r="A2297">
        <v>2299</v>
      </c>
      <c r="B2297" t="s">
        <v>4886</v>
      </c>
      <c r="C2297" t="s">
        <v>4887</v>
      </c>
      <c r="D2297" t="s">
        <v>32</v>
      </c>
      <c r="E2297" t="s">
        <v>1963</v>
      </c>
      <c r="F2297" t="s">
        <v>47</v>
      </c>
      <c r="G2297" t="s">
        <v>102</v>
      </c>
      <c r="J2297" t="s">
        <v>4814</v>
      </c>
      <c r="K2297" t="s">
        <v>38</v>
      </c>
      <c r="L2297" t="s">
        <v>38</v>
      </c>
      <c r="M2297" t="s">
        <v>38</v>
      </c>
      <c r="N2297" t="s">
        <v>38</v>
      </c>
      <c r="O2297" t="s">
        <v>38</v>
      </c>
      <c r="T2297" t="s">
        <v>38</v>
      </c>
      <c r="U2297">
        <v>0</v>
      </c>
      <c r="W2297">
        <v>0</v>
      </c>
      <c r="X2297">
        <v>0</v>
      </c>
      <c r="Y2297">
        <v>0</v>
      </c>
      <c r="AE2297">
        <f t="shared" si="105"/>
        <v>1</v>
      </c>
      <c r="AF2297">
        <f>VLOOKUP(D2297,especies!$A$2:$C$9,3,FALSE)</f>
        <v>1</v>
      </c>
      <c r="AG2297" t="str">
        <f t="shared" si="106"/>
        <v>1-Pastor de los Pirineos de pelo largo</v>
      </c>
      <c r="AH2297">
        <f>VLOOKUP('Fichas clínicas'!AG2297,razas!$A$2:$D$66,3,FALSE)</f>
        <v>34</v>
      </c>
      <c r="AI2297" t="str">
        <f t="shared" si="107"/>
        <v>M</v>
      </c>
    </row>
    <row r="2298" spans="1:35" x14ac:dyDescent="0.2">
      <c r="A2298">
        <v>2300</v>
      </c>
      <c r="B2298" t="s">
        <v>4125</v>
      </c>
      <c r="C2298" t="s">
        <v>4888</v>
      </c>
      <c r="D2298" t="s">
        <v>41</v>
      </c>
      <c r="E2298" t="s">
        <v>42</v>
      </c>
      <c r="F2298" t="s">
        <v>34</v>
      </c>
      <c r="G2298" t="s">
        <v>4889</v>
      </c>
      <c r="J2298" t="s">
        <v>3777</v>
      </c>
      <c r="K2298" t="s">
        <v>38</v>
      </c>
      <c r="L2298" t="s">
        <v>38</v>
      </c>
      <c r="M2298" t="s">
        <v>38</v>
      </c>
      <c r="N2298" t="s">
        <v>38</v>
      </c>
      <c r="O2298" t="s">
        <v>38</v>
      </c>
      <c r="T2298" t="s">
        <v>38</v>
      </c>
      <c r="U2298">
        <v>0</v>
      </c>
      <c r="V2298">
        <v>1</v>
      </c>
      <c r="W2298">
        <v>0</v>
      </c>
      <c r="X2298">
        <v>0</v>
      </c>
      <c r="Y2298">
        <v>0</v>
      </c>
      <c r="AE2298">
        <f t="shared" si="105"/>
        <v>1</v>
      </c>
      <c r="AF2298">
        <f>VLOOKUP(D2298,especies!$A$2:$C$9,3,FALSE)</f>
        <v>2</v>
      </c>
      <c r="AG2298" t="str">
        <f t="shared" si="106"/>
        <v>2-DPC (Doméstico de pelo corto o DSH)</v>
      </c>
      <c r="AH2298">
        <f>VLOOKUP('Fichas clínicas'!AG2298,razas!$A$2:$D$66,3,FALSE)</f>
        <v>51</v>
      </c>
      <c r="AI2298" t="str">
        <f t="shared" si="107"/>
        <v>H</v>
      </c>
    </row>
    <row r="2299" spans="1:35" x14ac:dyDescent="0.2">
      <c r="A2299">
        <v>2301</v>
      </c>
      <c r="B2299" t="s">
        <v>4890</v>
      </c>
      <c r="C2299" t="s">
        <v>4891</v>
      </c>
      <c r="D2299" t="s">
        <v>32</v>
      </c>
      <c r="E2299" t="s">
        <v>33</v>
      </c>
      <c r="F2299" t="s">
        <v>47</v>
      </c>
      <c r="G2299" t="s">
        <v>587</v>
      </c>
      <c r="J2299" t="s">
        <v>4827</v>
      </c>
      <c r="K2299" t="s">
        <v>38</v>
      </c>
      <c r="L2299" t="s">
        <v>38</v>
      </c>
      <c r="M2299" t="s">
        <v>38</v>
      </c>
      <c r="N2299" t="s">
        <v>38</v>
      </c>
      <c r="O2299" t="s">
        <v>38</v>
      </c>
      <c r="T2299" t="s">
        <v>38</v>
      </c>
      <c r="U2299">
        <v>0</v>
      </c>
      <c r="W2299">
        <v>0</v>
      </c>
      <c r="X2299">
        <v>0</v>
      </c>
      <c r="Y2299">
        <v>0</v>
      </c>
      <c r="AE2299">
        <f t="shared" si="105"/>
        <v>1</v>
      </c>
      <c r="AF2299">
        <f>VLOOKUP(D2299,especies!$A$2:$C$9,3,FALSE)</f>
        <v>1</v>
      </c>
      <c r="AG2299" t="str">
        <f t="shared" si="106"/>
        <v>1-Mestizo</v>
      </c>
      <c r="AH2299">
        <f>VLOOKUP('Fichas clínicas'!AG2299,razas!$A$2:$D$66,3,FALSE)</f>
        <v>1</v>
      </c>
      <c r="AI2299" t="str">
        <f t="shared" si="107"/>
        <v>M</v>
      </c>
    </row>
    <row r="2300" spans="1:35" x14ac:dyDescent="0.2">
      <c r="A2300">
        <v>2302</v>
      </c>
      <c r="B2300" t="s">
        <v>2767</v>
      </c>
      <c r="C2300" t="s">
        <v>4892</v>
      </c>
      <c r="D2300" t="s">
        <v>32</v>
      </c>
      <c r="E2300" t="s">
        <v>33</v>
      </c>
      <c r="F2300" t="s">
        <v>47</v>
      </c>
      <c r="G2300" t="s">
        <v>1928</v>
      </c>
      <c r="J2300" t="s">
        <v>4893</v>
      </c>
      <c r="K2300" t="s">
        <v>38</v>
      </c>
      <c r="L2300" t="s">
        <v>38</v>
      </c>
      <c r="M2300" t="s">
        <v>38</v>
      </c>
      <c r="N2300" t="s">
        <v>38</v>
      </c>
      <c r="O2300" t="s">
        <v>38</v>
      </c>
      <c r="T2300" t="s">
        <v>38</v>
      </c>
      <c r="U2300">
        <v>0</v>
      </c>
      <c r="V2300">
        <v>1</v>
      </c>
      <c r="W2300">
        <v>0</v>
      </c>
      <c r="X2300">
        <v>0</v>
      </c>
      <c r="Y2300">
        <v>0</v>
      </c>
      <c r="AE2300">
        <f t="shared" si="105"/>
        <v>1</v>
      </c>
      <c r="AF2300">
        <f>VLOOKUP(D2300,especies!$A$2:$C$9,3,FALSE)</f>
        <v>1</v>
      </c>
      <c r="AG2300" t="str">
        <f t="shared" si="106"/>
        <v>1-Mestizo</v>
      </c>
      <c r="AH2300">
        <f>VLOOKUP('Fichas clínicas'!AG2300,razas!$A$2:$D$66,3,FALSE)</f>
        <v>1</v>
      </c>
      <c r="AI2300" t="str">
        <f t="shared" si="107"/>
        <v>M</v>
      </c>
    </row>
    <row r="2301" spans="1:35" x14ac:dyDescent="0.2">
      <c r="A2301">
        <v>2303</v>
      </c>
      <c r="B2301" t="s">
        <v>4894</v>
      </c>
      <c r="C2301" t="s">
        <v>3317</v>
      </c>
      <c r="D2301" t="s">
        <v>41</v>
      </c>
      <c r="E2301" t="s">
        <v>42</v>
      </c>
      <c r="F2301" t="s">
        <v>47</v>
      </c>
      <c r="G2301" t="s">
        <v>4895</v>
      </c>
      <c r="J2301" t="s">
        <v>288</v>
      </c>
      <c r="K2301" t="s">
        <v>38</v>
      </c>
      <c r="L2301" t="s">
        <v>38</v>
      </c>
      <c r="M2301" t="s">
        <v>38</v>
      </c>
      <c r="N2301" t="s">
        <v>38</v>
      </c>
      <c r="O2301" t="s">
        <v>38</v>
      </c>
      <c r="T2301" t="s">
        <v>38</v>
      </c>
      <c r="U2301">
        <v>0</v>
      </c>
      <c r="V2301">
        <v>1</v>
      </c>
      <c r="W2301">
        <v>0</v>
      </c>
      <c r="X2301">
        <v>0</v>
      </c>
      <c r="Y2301">
        <v>0</v>
      </c>
      <c r="AE2301">
        <f t="shared" si="105"/>
        <v>1</v>
      </c>
      <c r="AF2301">
        <f>VLOOKUP(D2301,especies!$A$2:$C$9,3,FALSE)</f>
        <v>2</v>
      </c>
      <c r="AG2301" t="str">
        <f t="shared" si="106"/>
        <v>2-DPC (Doméstico de pelo corto o DSH)</v>
      </c>
      <c r="AH2301">
        <f>VLOOKUP('Fichas clínicas'!AG2301,razas!$A$2:$D$66,3,FALSE)</f>
        <v>51</v>
      </c>
      <c r="AI2301" t="str">
        <f t="shared" si="107"/>
        <v>M</v>
      </c>
    </row>
    <row r="2302" spans="1:35" x14ac:dyDescent="0.2">
      <c r="A2302">
        <v>2304</v>
      </c>
      <c r="B2302" t="s">
        <v>4896</v>
      </c>
      <c r="C2302" t="s">
        <v>2331</v>
      </c>
      <c r="D2302" t="s">
        <v>41</v>
      </c>
      <c r="E2302" t="s">
        <v>42</v>
      </c>
      <c r="F2302" t="s">
        <v>34</v>
      </c>
      <c r="G2302" t="s">
        <v>2122</v>
      </c>
      <c r="J2302" t="s">
        <v>140</v>
      </c>
      <c r="K2302" t="s">
        <v>38</v>
      </c>
      <c r="L2302" t="s">
        <v>38</v>
      </c>
      <c r="M2302" t="s">
        <v>38</v>
      </c>
      <c r="N2302" t="s">
        <v>38</v>
      </c>
      <c r="O2302" t="s">
        <v>38</v>
      </c>
      <c r="T2302" t="s">
        <v>38</v>
      </c>
      <c r="U2302">
        <v>0</v>
      </c>
      <c r="V2302">
        <v>1</v>
      </c>
      <c r="W2302">
        <v>0</v>
      </c>
      <c r="X2302">
        <v>0</v>
      </c>
      <c r="Y2302">
        <v>0</v>
      </c>
      <c r="AE2302">
        <f t="shared" si="105"/>
        <v>1</v>
      </c>
      <c r="AF2302">
        <f>VLOOKUP(D2302,especies!$A$2:$C$9,3,FALSE)</f>
        <v>2</v>
      </c>
      <c r="AG2302" t="str">
        <f t="shared" si="106"/>
        <v>2-DPC (Doméstico de pelo corto o DSH)</v>
      </c>
      <c r="AH2302">
        <f>VLOOKUP('Fichas clínicas'!AG2302,razas!$A$2:$D$66,3,FALSE)</f>
        <v>51</v>
      </c>
      <c r="AI2302" t="str">
        <f t="shared" si="107"/>
        <v>H</v>
      </c>
    </row>
    <row r="2303" spans="1:35" x14ac:dyDescent="0.2">
      <c r="A2303">
        <v>2305</v>
      </c>
      <c r="B2303" t="s">
        <v>1206</v>
      </c>
      <c r="C2303" t="s">
        <v>378</v>
      </c>
      <c r="D2303" t="s">
        <v>32</v>
      </c>
      <c r="E2303" t="s">
        <v>893</v>
      </c>
      <c r="F2303" t="s">
        <v>34</v>
      </c>
      <c r="G2303" t="s">
        <v>1915</v>
      </c>
      <c r="J2303" t="s">
        <v>3786</v>
      </c>
      <c r="K2303" t="s">
        <v>38</v>
      </c>
      <c r="L2303" t="s">
        <v>38</v>
      </c>
      <c r="M2303" t="s">
        <v>38</v>
      </c>
      <c r="N2303" t="s">
        <v>38</v>
      </c>
      <c r="O2303" t="s">
        <v>38</v>
      </c>
      <c r="T2303" t="s">
        <v>38</v>
      </c>
      <c r="U2303">
        <v>0</v>
      </c>
      <c r="V2303">
        <v>1</v>
      </c>
      <c r="W2303">
        <v>0</v>
      </c>
      <c r="X2303">
        <v>0</v>
      </c>
      <c r="Y2303">
        <v>0</v>
      </c>
      <c r="AE2303">
        <f t="shared" si="105"/>
        <v>1</v>
      </c>
      <c r="AF2303">
        <f>VLOOKUP(D2303,especies!$A$2:$C$9,3,FALSE)</f>
        <v>1</v>
      </c>
      <c r="AG2303" t="str">
        <f t="shared" si="106"/>
        <v>1-Mudi</v>
      </c>
      <c r="AH2303">
        <f>VLOOKUP('Fichas clínicas'!AG2303,razas!$A$2:$D$66,3,FALSE)</f>
        <v>22</v>
      </c>
      <c r="AI2303" t="str">
        <f t="shared" si="107"/>
        <v>H</v>
      </c>
    </row>
    <row r="2304" spans="1:35" x14ac:dyDescent="0.2">
      <c r="A2304">
        <v>2306</v>
      </c>
      <c r="B2304" t="s">
        <v>3041</v>
      </c>
      <c r="C2304" t="s">
        <v>4897</v>
      </c>
      <c r="D2304" t="s">
        <v>32</v>
      </c>
      <c r="E2304" t="s">
        <v>812</v>
      </c>
      <c r="F2304" t="s">
        <v>34</v>
      </c>
      <c r="G2304" t="s">
        <v>526</v>
      </c>
      <c r="J2304" t="s">
        <v>3993</v>
      </c>
      <c r="K2304" t="s">
        <v>38</v>
      </c>
      <c r="L2304" t="s">
        <v>38</v>
      </c>
      <c r="M2304" t="s">
        <v>38</v>
      </c>
      <c r="N2304" t="s">
        <v>38</v>
      </c>
      <c r="O2304" t="s">
        <v>38</v>
      </c>
      <c r="T2304" t="s">
        <v>38</v>
      </c>
      <c r="U2304">
        <v>0</v>
      </c>
      <c r="W2304">
        <v>0</v>
      </c>
      <c r="X2304">
        <v>0</v>
      </c>
      <c r="Y2304">
        <v>0</v>
      </c>
      <c r="AE2304">
        <f t="shared" si="105"/>
        <v>1</v>
      </c>
      <c r="AF2304">
        <f>VLOOKUP(D2304,especies!$A$2:$C$9,3,FALSE)</f>
        <v>1</v>
      </c>
      <c r="AG2304" t="str">
        <f t="shared" si="106"/>
        <v>1-Fox Terrier de Pelo Duro</v>
      </c>
      <c r="AH2304">
        <f>VLOOKUP('Fichas clínicas'!AG2304,razas!$A$2:$D$66,3,FALSE)</f>
        <v>18</v>
      </c>
      <c r="AI2304" t="str">
        <f t="shared" si="107"/>
        <v>H</v>
      </c>
    </row>
    <row r="2305" spans="1:35" x14ac:dyDescent="0.2">
      <c r="A2305">
        <v>2307</v>
      </c>
      <c r="B2305" t="s">
        <v>4896</v>
      </c>
      <c r="C2305" t="s">
        <v>4898</v>
      </c>
      <c r="D2305" t="s">
        <v>41</v>
      </c>
      <c r="E2305" t="s">
        <v>42</v>
      </c>
      <c r="F2305" t="s">
        <v>47</v>
      </c>
      <c r="G2305" t="s">
        <v>1862</v>
      </c>
      <c r="J2305" t="s">
        <v>140</v>
      </c>
      <c r="K2305" t="s">
        <v>38</v>
      </c>
      <c r="L2305" t="s">
        <v>38</v>
      </c>
      <c r="M2305" t="s">
        <v>38</v>
      </c>
      <c r="N2305" t="s">
        <v>38</v>
      </c>
      <c r="O2305" t="s">
        <v>38</v>
      </c>
      <c r="T2305" t="s">
        <v>38</v>
      </c>
      <c r="U2305">
        <v>0</v>
      </c>
      <c r="V2305">
        <v>1</v>
      </c>
      <c r="W2305">
        <v>0</v>
      </c>
      <c r="X2305">
        <v>0</v>
      </c>
      <c r="Y2305">
        <v>0</v>
      </c>
      <c r="AE2305">
        <f t="shared" si="105"/>
        <v>1</v>
      </c>
      <c r="AF2305">
        <f>VLOOKUP(D2305,especies!$A$2:$C$9,3,FALSE)</f>
        <v>2</v>
      </c>
      <c r="AG2305" t="str">
        <f t="shared" si="106"/>
        <v>2-DPC (Doméstico de pelo corto o DSH)</v>
      </c>
      <c r="AH2305">
        <f>VLOOKUP('Fichas clínicas'!AG2305,razas!$A$2:$D$66,3,FALSE)</f>
        <v>51</v>
      </c>
      <c r="AI2305" t="str">
        <f t="shared" si="107"/>
        <v>M</v>
      </c>
    </row>
    <row r="2306" spans="1:35" x14ac:dyDescent="0.2">
      <c r="A2306">
        <v>2308</v>
      </c>
      <c r="B2306" t="s">
        <v>4896</v>
      </c>
      <c r="C2306" t="s">
        <v>1559</v>
      </c>
      <c r="D2306" t="s">
        <v>32</v>
      </c>
      <c r="E2306" t="s">
        <v>33</v>
      </c>
      <c r="F2306" t="s">
        <v>34</v>
      </c>
      <c r="G2306" t="s">
        <v>1656</v>
      </c>
      <c r="J2306" t="s">
        <v>2026</v>
      </c>
      <c r="K2306" t="s">
        <v>38</v>
      </c>
      <c r="L2306" t="s">
        <v>38</v>
      </c>
      <c r="M2306" t="s">
        <v>38</v>
      </c>
      <c r="N2306" t="s">
        <v>38</v>
      </c>
      <c r="O2306" t="s">
        <v>38</v>
      </c>
      <c r="T2306" t="s">
        <v>38</v>
      </c>
      <c r="U2306">
        <v>0</v>
      </c>
      <c r="W2306">
        <v>0</v>
      </c>
      <c r="X2306">
        <v>0</v>
      </c>
      <c r="Y2306">
        <v>0</v>
      </c>
      <c r="AE2306">
        <f t="shared" si="105"/>
        <v>1</v>
      </c>
      <c r="AF2306">
        <f>VLOOKUP(D2306,especies!$A$2:$C$9,3,FALSE)</f>
        <v>1</v>
      </c>
      <c r="AG2306" t="str">
        <f t="shared" si="106"/>
        <v>1-Mestizo</v>
      </c>
      <c r="AH2306">
        <f>VLOOKUP('Fichas clínicas'!AG2306,razas!$A$2:$D$66,3,FALSE)</f>
        <v>1</v>
      </c>
      <c r="AI2306" t="str">
        <f t="shared" si="107"/>
        <v>H</v>
      </c>
    </row>
    <row r="2307" spans="1:35" x14ac:dyDescent="0.2">
      <c r="A2307">
        <v>2309</v>
      </c>
      <c r="B2307" t="s">
        <v>1533</v>
      </c>
      <c r="C2307" t="s">
        <v>4899</v>
      </c>
      <c r="D2307" t="s">
        <v>41</v>
      </c>
      <c r="E2307" t="s">
        <v>42</v>
      </c>
      <c r="F2307" t="s">
        <v>34</v>
      </c>
      <c r="G2307" t="s">
        <v>825</v>
      </c>
      <c r="J2307" t="s">
        <v>426</v>
      </c>
      <c r="K2307" t="s">
        <v>38</v>
      </c>
      <c r="L2307" t="s">
        <v>38</v>
      </c>
      <c r="M2307" t="s">
        <v>38</v>
      </c>
      <c r="N2307" t="s">
        <v>38</v>
      </c>
      <c r="O2307" t="s">
        <v>38</v>
      </c>
      <c r="T2307" t="s">
        <v>38</v>
      </c>
      <c r="U2307">
        <v>0</v>
      </c>
      <c r="V2307">
        <v>1</v>
      </c>
      <c r="W2307">
        <v>0</v>
      </c>
      <c r="X2307">
        <v>0</v>
      </c>
      <c r="Y2307">
        <v>0</v>
      </c>
      <c r="AE2307">
        <f t="shared" ref="AE2307:AE2357" si="108">SUBTOTAL(103,E2307)</f>
        <v>1</v>
      </c>
      <c r="AF2307">
        <f>VLOOKUP(D2307,especies!$A$2:$C$9,3,FALSE)</f>
        <v>2</v>
      </c>
      <c r="AG2307" t="str">
        <f t="shared" ref="AG2307:AG2357" si="109">AF2307&amp;"-"&amp;E2307</f>
        <v>2-DPC (Doméstico de pelo corto o DSH)</v>
      </c>
      <c r="AH2307">
        <f>VLOOKUP('Fichas clínicas'!AG2307,razas!$A$2:$D$66,3,FALSE)</f>
        <v>51</v>
      </c>
      <c r="AI2307" t="str">
        <f t="shared" ref="AI2307:AI2357" si="110">IF(F2307="Hembra","H","M")</f>
        <v>H</v>
      </c>
    </row>
    <row r="2308" spans="1:35" x14ac:dyDescent="0.2">
      <c r="A2308">
        <v>2310</v>
      </c>
      <c r="B2308" t="s">
        <v>4900</v>
      </c>
      <c r="C2308" t="s">
        <v>4901</v>
      </c>
      <c r="D2308" t="s">
        <v>32</v>
      </c>
      <c r="E2308" t="s">
        <v>150</v>
      </c>
      <c r="F2308" t="s">
        <v>47</v>
      </c>
      <c r="G2308" t="s">
        <v>102</v>
      </c>
      <c r="J2308" t="s">
        <v>4902</v>
      </c>
      <c r="K2308" t="s">
        <v>38</v>
      </c>
      <c r="L2308" t="s">
        <v>38</v>
      </c>
      <c r="M2308" t="s">
        <v>38</v>
      </c>
      <c r="N2308" t="s">
        <v>38</v>
      </c>
      <c r="O2308" t="s">
        <v>38</v>
      </c>
      <c r="T2308" t="s">
        <v>38</v>
      </c>
      <c r="U2308">
        <v>0</v>
      </c>
      <c r="W2308">
        <v>0</v>
      </c>
      <c r="X2308">
        <v>0</v>
      </c>
      <c r="Y2308">
        <v>0</v>
      </c>
      <c r="AE2308">
        <f t="shared" si="108"/>
        <v>1</v>
      </c>
      <c r="AF2308">
        <f>VLOOKUP(D2308,especies!$A$2:$C$9,3,FALSE)</f>
        <v>1</v>
      </c>
      <c r="AG2308" t="str">
        <f t="shared" si="109"/>
        <v>1-Poodle</v>
      </c>
      <c r="AH2308">
        <f>VLOOKUP('Fichas clínicas'!AG2308,razas!$A$2:$D$66,3,FALSE)</f>
        <v>6</v>
      </c>
      <c r="AI2308" t="str">
        <f t="shared" si="110"/>
        <v>M</v>
      </c>
    </row>
    <row r="2309" spans="1:35" x14ac:dyDescent="0.2">
      <c r="A2309">
        <v>2311</v>
      </c>
      <c r="B2309" t="s">
        <v>4903</v>
      </c>
      <c r="C2309" t="s">
        <v>3351</v>
      </c>
      <c r="D2309" t="s">
        <v>32</v>
      </c>
      <c r="E2309" t="s">
        <v>33</v>
      </c>
      <c r="F2309" t="s">
        <v>47</v>
      </c>
      <c r="G2309" t="s">
        <v>587</v>
      </c>
      <c r="J2309" t="s">
        <v>4904</v>
      </c>
      <c r="K2309" t="s">
        <v>38</v>
      </c>
      <c r="L2309" t="s">
        <v>38</v>
      </c>
      <c r="M2309" t="s">
        <v>38</v>
      </c>
      <c r="N2309" t="s">
        <v>38</v>
      </c>
      <c r="O2309" t="s">
        <v>38</v>
      </c>
      <c r="T2309" t="s">
        <v>38</v>
      </c>
      <c r="U2309">
        <v>0</v>
      </c>
      <c r="W2309">
        <v>0</v>
      </c>
      <c r="X2309">
        <v>0</v>
      </c>
      <c r="Y2309">
        <v>0</v>
      </c>
      <c r="AE2309">
        <f t="shared" si="108"/>
        <v>1</v>
      </c>
      <c r="AF2309">
        <f>VLOOKUP(D2309,especies!$A$2:$C$9,3,FALSE)</f>
        <v>1</v>
      </c>
      <c r="AG2309" t="str">
        <f t="shared" si="109"/>
        <v>1-Mestizo</v>
      </c>
      <c r="AH2309">
        <f>VLOOKUP('Fichas clínicas'!AG2309,razas!$A$2:$D$66,3,FALSE)</f>
        <v>1</v>
      </c>
      <c r="AI2309" t="str">
        <f t="shared" si="110"/>
        <v>M</v>
      </c>
    </row>
    <row r="2310" spans="1:35" x14ac:dyDescent="0.2">
      <c r="A2310">
        <v>2312</v>
      </c>
      <c r="B2310" t="s">
        <v>3481</v>
      </c>
      <c r="C2310" t="s">
        <v>4905</v>
      </c>
      <c r="D2310" t="s">
        <v>41</v>
      </c>
      <c r="E2310" t="s">
        <v>42</v>
      </c>
      <c r="F2310" t="s">
        <v>47</v>
      </c>
      <c r="G2310" t="s">
        <v>2763</v>
      </c>
      <c r="J2310" t="s">
        <v>4906</v>
      </c>
      <c r="K2310" t="s">
        <v>38</v>
      </c>
      <c r="L2310" t="s">
        <v>38</v>
      </c>
      <c r="M2310" t="s">
        <v>38</v>
      </c>
      <c r="N2310" t="s">
        <v>38</v>
      </c>
      <c r="O2310" t="s">
        <v>38</v>
      </c>
      <c r="T2310" t="s">
        <v>38</v>
      </c>
      <c r="U2310">
        <v>0</v>
      </c>
      <c r="W2310">
        <v>0</v>
      </c>
      <c r="X2310">
        <v>0</v>
      </c>
      <c r="Y2310">
        <v>0</v>
      </c>
      <c r="AE2310">
        <f t="shared" si="108"/>
        <v>1</v>
      </c>
      <c r="AF2310">
        <f>VLOOKUP(D2310,especies!$A$2:$C$9,3,FALSE)</f>
        <v>2</v>
      </c>
      <c r="AG2310" t="str">
        <f t="shared" si="109"/>
        <v>2-DPC (Doméstico de pelo corto o DSH)</v>
      </c>
      <c r="AH2310">
        <f>VLOOKUP('Fichas clínicas'!AG2310,razas!$A$2:$D$66,3,FALSE)</f>
        <v>51</v>
      </c>
      <c r="AI2310" t="str">
        <f t="shared" si="110"/>
        <v>M</v>
      </c>
    </row>
    <row r="2311" spans="1:35" x14ac:dyDescent="0.2">
      <c r="A2311">
        <v>2313</v>
      </c>
      <c r="B2311" t="s">
        <v>4907</v>
      </c>
      <c r="C2311" t="s">
        <v>3938</v>
      </c>
      <c r="D2311" t="s">
        <v>32</v>
      </c>
      <c r="E2311" t="s">
        <v>33</v>
      </c>
      <c r="F2311" t="s">
        <v>34</v>
      </c>
      <c r="G2311" t="s">
        <v>3967</v>
      </c>
      <c r="J2311" t="s">
        <v>4908</v>
      </c>
      <c r="K2311" t="s">
        <v>38</v>
      </c>
      <c r="L2311" t="s">
        <v>38</v>
      </c>
      <c r="M2311" t="s">
        <v>38</v>
      </c>
      <c r="N2311" t="s">
        <v>38</v>
      </c>
      <c r="O2311" t="s">
        <v>38</v>
      </c>
      <c r="T2311" t="s">
        <v>38</v>
      </c>
      <c r="U2311">
        <v>0</v>
      </c>
      <c r="W2311">
        <v>0</v>
      </c>
      <c r="X2311">
        <v>0</v>
      </c>
      <c r="Y2311">
        <v>0</v>
      </c>
      <c r="AE2311">
        <f t="shared" si="108"/>
        <v>1</v>
      </c>
      <c r="AF2311">
        <f>VLOOKUP(D2311,especies!$A$2:$C$9,3,FALSE)</f>
        <v>1</v>
      </c>
      <c r="AG2311" t="str">
        <f t="shared" si="109"/>
        <v>1-Mestizo</v>
      </c>
      <c r="AH2311">
        <f>VLOOKUP('Fichas clínicas'!AG2311,razas!$A$2:$D$66,3,FALSE)</f>
        <v>1</v>
      </c>
      <c r="AI2311" t="str">
        <f t="shared" si="110"/>
        <v>H</v>
      </c>
    </row>
    <row r="2312" spans="1:35" x14ac:dyDescent="0.2">
      <c r="A2312">
        <v>2314</v>
      </c>
      <c r="B2312" t="s">
        <v>4125</v>
      </c>
      <c r="C2312" t="s">
        <v>4909</v>
      </c>
      <c r="D2312" t="s">
        <v>41</v>
      </c>
      <c r="E2312" t="s">
        <v>42</v>
      </c>
      <c r="F2312" t="s">
        <v>47</v>
      </c>
      <c r="G2312" t="s">
        <v>4081</v>
      </c>
      <c r="J2312" t="s">
        <v>1516</v>
      </c>
      <c r="K2312" t="s">
        <v>38</v>
      </c>
      <c r="L2312" t="s">
        <v>38</v>
      </c>
      <c r="M2312" t="s">
        <v>38</v>
      </c>
      <c r="N2312" t="s">
        <v>38</v>
      </c>
      <c r="O2312" t="s">
        <v>38</v>
      </c>
      <c r="T2312" t="s">
        <v>38</v>
      </c>
      <c r="U2312">
        <v>0</v>
      </c>
      <c r="V2312">
        <v>1</v>
      </c>
      <c r="W2312">
        <v>0</v>
      </c>
      <c r="X2312">
        <v>0</v>
      </c>
      <c r="Y2312">
        <v>0</v>
      </c>
      <c r="AE2312">
        <f t="shared" si="108"/>
        <v>1</v>
      </c>
      <c r="AF2312">
        <f>VLOOKUP(D2312,especies!$A$2:$C$9,3,FALSE)</f>
        <v>2</v>
      </c>
      <c r="AG2312" t="str">
        <f t="shared" si="109"/>
        <v>2-DPC (Doméstico de pelo corto o DSH)</v>
      </c>
      <c r="AH2312">
        <f>VLOOKUP('Fichas clínicas'!AG2312,razas!$A$2:$D$66,3,FALSE)</f>
        <v>51</v>
      </c>
      <c r="AI2312" t="str">
        <f t="shared" si="110"/>
        <v>M</v>
      </c>
    </row>
    <row r="2313" spans="1:35" x14ac:dyDescent="0.2">
      <c r="A2313">
        <v>2315</v>
      </c>
      <c r="B2313" t="s">
        <v>4910</v>
      </c>
      <c r="C2313" t="s">
        <v>4911</v>
      </c>
      <c r="D2313" t="s">
        <v>41</v>
      </c>
      <c r="E2313" t="s">
        <v>42</v>
      </c>
      <c r="F2313" t="s">
        <v>47</v>
      </c>
      <c r="G2313" t="s">
        <v>4798</v>
      </c>
      <c r="J2313" t="s">
        <v>3993</v>
      </c>
      <c r="K2313" t="s">
        <v>38</v>
      </c>
      <c r="L2313" t="s">
        <v>38</v>
      </c>
      <c r="M2313" t="s">
        <v>38</v>
      </c>
      <c r="N2313" t="s">
        <v>38</v>
      </c>
      <c r="O2313" t="s">
        <v>38</v>
      </c>
      <c r="T2313" t="s">
        <v>38</v>
      </c>
      <c r="U2313">
        <v>0</v>
      </c>
      <c r="V2313">
        <v>1</v>
      </c>
      <c r="W2313">
        <v>0</v>
      </c>
      <c r="X2313">
        <v>0</v>
      </c>
      <c r="Y2313">
        <v>0</v>
      </c>
      <c r="AE2313">
        <f t="shared" si="108"/>
        <v>1</v>
      </c>
      <c r="AF2313">
        <f>VLOOKUP(D2313,especies!$A$2:$C$9,3,FALSE)</f>
        <v>2</v>
      </c>
      <c r="AG2313" t="str">
        <f t="shared" si="109"/>
        <v>2-DPC (Doméstico de pelo corto o DSH)</v>
      </c>
      <c r="AH2313">
        <f>VLOOKUP('Fichas clínicas'!AG2313,razas!$A$2:$D$66,3,FALSE)</f>
        <v>51</v>
      </c>
      <c r="AI2313" t="str">
        <f t="shared" si="110"/>
        <v>M</v>
      </c>
    </row>
    <row r="2314" spans="1:35" x14ac:dyDescent="0.2">
      <c r="A2314">
        <v>2316</v>
      </c>
      <c r="B2314" t="s">
        <v>4912</v>
      </c>
      <c r="C2314" t="s">
        <v>4913</v>
      </c>
      <c r="D2314" t="s">
        <v>32</v>
      </c>
      <c r="E2314" t="s">
        <v>72</v>
      </c>
      <c r="F2314" t="s">
        <v>47</v>
      </c>
      <c r="G2314" t="s">
        <v>587</v>
      </c>
      <c r="J2314" t="s">
        <v>281</v>
      </c>
      <c r="K2314" t="s">
        <v>38</v>
      </c>
      <c r="L2314" t="s">
        <v>38</v>
      </c>
      <c r="M2314" t="s">
        <v>38</v>
      </c>
      <c r="N2314" t="s">
        <v>38</v>
      </c>
      <c r="O2314" t="s">
        <v>38</v>
      </c>
      <c r="T2314" t="s">
        <v>38</v>
      </c>
      <c r="U2314">
        <v>0</v>
      </c>
      <c r="W2314">
        <v>0</v>
      </c>
      <c r="X2314">
        <v>0</v>
      </c>
      <c r="Y2314">
        <v>0</v>
      </c>
      <c r="AE2314">
        <f t="shared" si="108"/>
        <v>1</v>
      </c>
      <c r="AF2314">
        <f>VLOOKUP(D2314,especies!$A$2:$C$9,3,FALSE)</f>
        <v>1</v>
      </c>
      <c r="AG2314" t="str">
        <f t="shared" si="109"/>
        <v>1-Shar-Pei</v>
      </c>
      <c r="AH2314">
        <f>VLOOKUP('Fichas clínicas'!AG2314,razas!$A$2:$D$66,3,FALSE)</f>
        <v>3</v>
      </c>
      <c r="AI2314" t="str">
        <f t="shared" si="110"/>
        <v>M</v>
      </c>
    </row>
    <row r="2315" spans="1:35" x14ac:dyDescent="0.2">
      <c r="A2315">
        <v>2317</v>
      </c>
      <c r="B2315" t="s">
        <v>4914</v>
      </c>
      <c r="C2315" t="s">
        <v>3538</v>
      </c>
      <c r="D2315" t="s">
        <v>32</v>
      </c>
      <c r="E2315" t="s">
        <v>4915</v>
      </c>
      <c r="F2315" t="s">
        <v>34</v>
      </c>
      <c r="G2315" t="s">
        <v>4916</v>
      </c>
      <c r="J2315" t="s">
        <v>4917</v>
      </c>
      <c r="K2315" t="s">
        <v>38</v>
      </c>
      <c r="L2315" t="s">
        <v>38</v>
      </c>
      <c r="M2315" t="s">
        <v>38</v>
      </c>
      <c r="N2315" t="s">
        <v>38</v>
      </c>
      <c r="O2315" t="s">
        <v>38</v>
      </c>
      <c r="T2315" t="s">
        <v>38</v>
      </c>
      <c r="U2315">
        <v>0</v>
      </c>
      <c r="W2315">
        <v>0</v>
      </c>
      <c r="X2315">
        <v>0</v>
      </c>
      <c r="Y2315">
        <v>0</v>
      </c>
      <c r="AE2315">
        <f t="shared" si="108"/>
        <v>1</v>
      </c>
      <c r="AF2315">
        <f>VLOOKUP(D2315,especies!$A$2:$C$9,3,FALSE)</f>
        <v>1</v>
      </c>
      <c r="AG2315" t="str">
        <f t="shared" si="109"/>
        <v>1-Dobermann</v>
      </c>
      <c r="AH2315">
        <f>VLOOKUP('Fichas clínicas'!AG2315,razas!$A$2:$D$66,3,FALSE)</f>
        <v>50</v>
      </c>
      <c r="AI2315" t="str">
        <f t="shared" si="110"/>
        <v>H</v>
      </c>
    </row>
    <row r="2316" spans="1:35" x14ac:dyDescent="0.2">
      <c r="A2316">
        <v>2318</v>
      </c>
      <c r="B2316" t="s">
        <v>4918</v>
      </c>
      <c r="C2316" t="s">
        <v>4919</v>
      </c>
      <c r="D2316" t="s">
        <v>32</v>
      </c>
      <c r="E2316" t="s">
        <v>33</v>
      </c>
      <c r="F2316" t="s">
        <v>47</v>
      </c>
      <c r="G2316" t="s">
        <v>4261</v>
      </c>
      <c r="J2316" t="s">
        <v>4920</v>
      </c>
      <c r="K2316" t="s">
        <v>38</v>
      </c>
      <c r="L2316" t="s">
        <v>38</v>
      </c>
      <c r="M2316" t="s">
        <v>38</v>
      </c>
      <c r="N2316" t="s">
        <v>38</v>
      </c>
      <c r="O2316" t="s">
        <v>38</v>
      </c>
      <c r="Q2316">
        <v>0</v>
      </c>
      <c r="T2316" t="s">
        <v>38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f t="shared" si="108"/>
        <v>1</v>
      </c>
      <c r="AF2316">
        <f>VLOOKUP(D2316,especies!$A$2:$C$9,3,FALSE)</f>
        <v>1</v>
      </c>
      <c r="AG2316" t="str">
        <f t="shared" si="109"/>
        <v>1-Mestizo</v>
      </c>
      <c r="AH2316">
        <f>VLOOKUP('Fichas clínicas'!AG2316,razas!$A$2:$D$66,3,FALSE)</f>
        <v>1</v>
      </c>
      <c r="AI2316" t="str">
        <f t="shared" si="110"/>
        <v>M</v>
      </c>
    </row>
    <row r="2317" spans="1:35" x14ac:dyDescent="0.2">
      <c r="A2317">
        <v>2319</v>
      </c>
      <c r="B2317" t="s">
        <v>4921</v>
      </c>
      <c r="C2317" t="s">
        <v>4922</v>
      </c>
      <c r="D2317" t="s">
        <v>41</v>
      </c>
      <c r="E2317" t="s">
        <v>42</v>
      </c>
      <c r="F2317" t="s">
        <v>47</v>
      </c>
      <c r="G2317" t="s">
        <v>1656</v>
      </c>
      <c r="J2317" t="s">
        <v>3905</v>
      </c>
      <c r="K2317" t="s">
        <v>38</v>
      </c>
      <c r="L2317" t="s">
        <v>38</v>
      </c>
      <c r="M2317" t="s">
        <v>38</v>
      </c>
      <c r="N2317" t="s">
        <v>38</v>
      </c>
      <c r="O2317" t="s">
        <v>38</v>
      </c>
      <c r="T2317" t="s">
        <v>38</v>
      </c>
      <c r="U2317">
        <v>0</v>
      </c>
      <c r="V2317">
        <v>1</v>
      </c>
      <c r="W2317">
        <v>0</v>
      </c>
      <c r="X2317">
        <v>0</v>
      </c>
      <c r="Y2317">
        <v>0</v>
      </c>
      <c r="AE2317">
        <f t="shared" si="108"/>
        <v>1</v>
      </c>
      <c r="AF2317">
        <f>VLOOKUP(D2317,especies!$A$2:$C$9,3,FALSE)</f>
        <v>2</v>
      </c>
      <c r="AG2317" t="str">
        <f t="shared" si="109"/>
        <v>2-DPC (Doméstico de pelo corto o DSH)</v>
      </c>
      <c r="AH2317">
        <f>VLOOKUP('Fichas clínicas'!AG2317,razas!$A$2:$D$66,3,FALSE)</f>
        <v>51</v>
      </c>
      <c r="AI2317" t="str">
        <f t="shared" si="110"/>
        <v>M</v>
      </c>
    </row>
    <row r="2318" spans="1:35" x14ac:dyDescent="0.2">
      <c r="A2318">
        <v>2320</v>
      </c>
      <c r="B2318" t="s">
        <v>4125</v>
      </c>
      <c r="C2318" t="s">
        <v>4923</v>
      </c>
      <c r="D2318" t="s">
        <v>41</v>
      </c>
      <c r="E2318" t="s">
        <v>42</v>
      </c>
      <c r="F2318" t="s">
        <v>34</v>
      </c>
      <c r="G2318" t="s">
        <v>4924</v>
      </c>
      <c r="J2318" t="s">
        <v>4925</v>
      </c>
      <c r="K2318" t="s">
        <v>38</v>
      </c>
      <c r="L2318" t="s">
        <v>38</v>
      </c>
      <c r="M2318" t="s">
        <v>38</v>
      </c>
      <c r="N2318" t="s">
        <v>38</v>
      </c>
      <c r="O2318" t="s">
        <v>38</v>
      </c>
      <c r="T2318" t="s">
        <v>38</v>
      </c>
      <c r="U2318">
        <v>0</v>
      </c>
      <c r="W2318">
        <v>0</v>
      </c>
      <c r="X2318">
        <v>0</v>
      </c>
      <c r="Y2318">
        <v>0</v>
      </c>
      <c r="AE2318">
        <f t="shared" si="108"/>
        <v>1</v>
      </c>
      <c r="AF2318">
        <f>VLOOKUP(D2318,especies!$A$2:$C$9,3,FALSE)</f>
        <v>2</v>
      </c>
      <c r="AG2318" t="str">
        <f t="shared" si="109"/>
        <v>2-DPC (Doméstico de pelo corto o DSH)</v>
      </c>
      <c r="AH2318">
        <f>VLOOKUP('Fichas clínicas'!AG2318,razas!$A$2:$D$66,3,FALSE)</f>
        <v>51</v>
      </c>
      <c r="AI2318" t="str">
        <f t="shared" si="110"/>
        <v>H</v>
      </c>
    </row>
    <row r="2319" spans="1:35" x14ac:dyDescent="0.2">
      <c r="A2319">
        <v>2321</v>
      </c>
      <c r="B2319" t="s">
        <v>4926</v>
      </c>
      <c r="C2319" t="s">
        <v>4927</v>
      </c>
      <c r="D2319" t="s">
        <v>41</v>
      </c>
      <c r="E2319" t="s">
        <v>42</v>
      </c>
      <c r="F2319" t="s">
        <v>34</v>
      </c>
      <c r="G2319" t="s">
        <v>2302</v>
      </c>
      <c r="J2319" t="s">
        <v>2051</v>
      </c>
      <c r="K2319" t="s">
        <v>38</v>
      </c>
      <c r="L2319" t="s">
        <v>38</v>
      </c>
      <c r="M2319" t="s">
        <v>38</v>
      </c>
      <c r="N2319" t="s">
        <v>38</v>
      </c>
      <c r="O2319" t="s">
        <v>38</v>
      </c>
      <c r="T2319" t="s">
        <v>38</v>
      </c>
      <c r="U2319">
        <v>0</v>
      </c>
      <c r="V2319">
        <v>1</v>
      </c>
      <c r="W2319">
        <v>0</v>
      </c>
      <c r="X2319">
        <v>0</v>
      </c>
      <c r="Y2319">
        <v>0</v>
      </c>
      <c r="AE2319">
        <f t="shared" si="108"/>
        <v>1</v>
      </c>
      <c r="AF2319">
        <f>VLOOKUP(D2319,especies!$A$2:$C$9,3,FALSE)</f>
        <v>2</v>
      </c>
      <c r="AG2319" t="str">
        <f t="shared" si="109"/>
        <v>2-DPC (Doméstico de pelo corto o DSH)</v>
      </c>
      <c r="AH2319">
        <f>VLOOKUP('Fichas clínicas'!AG2319,razas!$A$2:$D$66,3,FALSE)</f>
        <v>51</v>
      </c>
      <c r="AI2319" t="str">
        <f t="shared" si="110"/>
        <v>H</v>
      </c>
    </row>
    <row r="2320" spans="1:35" x14ac:dyDescent="0.2">
      <c r="A2320">
        <v>2322</v>
      </c>
      <c r="B2320" t="s">
        <v>4928</v>
      </c>
      <c r="C2320" t="s">
        <v>1462</v>
      </c>
      <c r="D2320" t="s">
        <v>32</v>
      </c>
      <c r="E2320" t="s">
        <v>33</v>
      </c>
      <c r="F2320" t="s">
        <v>34</v>
      </c>
      <c r="G2320" t="s">
        <v>2351</v>
      </c>
      <c r="J2320" t="s">
        <v>51</v>
      </c>
      <c r="K2320" t="s">
        <v>38</v>
      </c>
      <c r="L2320" t="s">
        <v>38</v>
      </c>
      <c r="M2320" t="s">
        <v>38</v>
      </c>
      <c r="N2320" t="s">
        <v>38</v>
      </c>
      <c r="O2320" t="s">
        <v>38</v>
      </c>
      <c r="T2320" t="s">
        <v>38</v>
      </c>
      <c r="U2320">
        <v>0</v>
      </c>
      <c r="V2320">
        <v>1</v>
      </c>
      <c r="W2320">
        <v>0</v>
      </c>
      <c r="X2320">
        <v>0</v>
      </c>
      <c r="Y2320">
        <v>0</v>
      </c>
      <c r="AE2320">
        <f t="shared" si="108"/>
        <v>1</v>
      </c>
      <c r="AF2320">
        <f>VLOOKUP(D2320,especies!$A$2:$C$9,3,FALSE)</f>
        <v>1</v>
      </c>
      <c r="AG2320" t="str">
        <f t="shared" si="109"/>
        <v>1-Mestizo</v>
      </c>
      <c r="AH2320">
        <f>VLOOKUP('Fichas clínicas'!AG2320,razas!$A$2:$D$66,3,FALSE)</f>
        <v>1</v>
      </c>
      <c r="AI2320" t="str">
        <f t="shared" si="110"/>
        <v>H</v>
      </c>
    </row>
    <row r="2321" spans="1:35" x14ac:dyDescent="0.2">
      <c r="A2321">
        <v>2323</v>
      </c>
      <c r="B2321" t="s">
        <v>400</v>
      </c>
      <c r="C2321" t="s">
        <v>4929</v>
      </c>
      <c r="D2321" t="s">
        <v>32</v>
      </c>
      <c r="E2321" t="s">
        <v>33</v>
      </c>
      <c r="F2321" t="s">
        <v>47</v>
      </c>
      <c r="G2321" t="s">
        <v>2804</v>
      </c>
      <c r="J2321" t="s">
        <v>2670</v>
      </c>
      <c r="K2321" t="s">
        <v>38</v>
      </c>
      <c r="L2321" t="s">
        <v>38</v>
      </c>
      <c r="M2321" t="s">
        <v>38</v>
      </c>
      <c r="N2321" t="s">
        <v>38</v>
      </c>
      <c r="O2321" t="s">
        <v>38</v>
      </c>
      <c r="T2321" t="s">
        <v>38</v>
      </c>
      <c r="U2321">
        <v>0</v>
      </c>
      <c r="W2321">
        <v>0</v>
      </c>
      <c r="X2321">
        <v>0</v>
      </c>
      <c r="Y2321">
        <v>0</v>
      </c>
      <c r="AE2321">
        <f t="shared" si="108"/>
        <v>1</v>
      </c>
      <c r="AF2321">
        <f>VLOOKUP(D2321,especies!$A$2:$C$9,3,FALSE)</f>
        <v>1</v>
      </c>
      <c r="AG2321" t="str">
        <f t="shared" si="109"/>
        <v>1-Mestizo</v>
      </c>
      <c r="AH2321">
        <f>VLOOKUP('Fichas clínicas'!AG2321,razas!$A$2:$D$66,3,FALSE)</f>
        <v>1</v>
      </c>
      <c r="AI2321" t="str">
        <f t="shared" si="110"/>
        <v>M</v>
      </c>
    </row>
    <row r="2322" spans="1:35" x14ac:dyDescent="0.2">
      <c r="A2322">
        <v>2324</v>
      </c>
      <c r="B2322" t="s">
        <v>186</v>
      </c>
      <c r="C2322" t="s">
        <v>3938</v>
      </c>
      <c r="D2322" t="s">
        <v>32</v>
      </c>
      <c r="E2322" t="s">
        <v>970</v>
      </c>
      <c r="F2322" t="s">
        <v>47</v>
      </c>
      <c r="G2322" t="s">
        <v>1561</v>
      </c>
      <c r="J2322" t="s">
        <v>4930</v>
      </c>
      <c r="K2322" t="s">
        <v>38</v>
      </c>
      <c r="L2322" t="s">
        <v>38</v>
      </c>
      <c r="M2322" t="s">
        <v>38</v>
      </c>
      <c r="N2322" t="s">
        <v>38</v>
      </c>
      <c r="O2322" t="s">
        <v>38</v>
      </c>
      <c r="T2322" t="s">
        <v>38</v>
      </c>
      <c r="U2322">
        <v>0</v>
      </c>
      <c r="W2322">
        <v>0</v>
      </c>
      <c r="X2322">
        <v>0</v>
      </c>
      <c r="Y2322">
        <v>0</v>
      </c>
      <c r="AE2322">
        <f t="shared" si="108"/>
        <v>1</v>
      </c>
      <c r="AF2322">
        <f>VLOOKUP(D2322,especies!$A$2:$C$9,3,FALSE)</f>
        <v>1</v>
      </c>
      <c r="AG2322" t="str">
        <f t="shared" si="109"/>
        <v>1-American Pit Bull Terrier</v>
      </c>
      <c r="AH2322">
        <f>VLOOKUP('Fichas clínicas'!AG2322,razas!$A$2:$D$66,3,FALSE)</f>
        <v>25</v>
      </c>
      <c r="AI2322" t="str">
        <f t="shared" si="110"/>
        <v>M</v>
      </c>
    </row>
    <row r="2323" spans="1:35" x14ac:dyDescent="0.2">
      <c r="A2323">
        <v>2325</v>
      </c>
      <c r="B2323" t="s">
        <v>186</v>
      </c>
      <c r="C2323" t="s">
        <v>1573</v>
      </c>
      <c r="D2323" t="s">
        <v>32</v>
      </c>
      <c r="E2323" t="s">
        <v>970</v>
      </c>
      <c r="F2323" t="s">
        <v>34</v>
      </c>
      <c r="G2323" t="s">
        <v>2804</v>
      </c>
      <c r="J2323" t="s">
        <v>4930</v>
      </c>
      <c r="K2323" t="s">
        <v>38</v>
      </c>
      <c r="L2323" t="s">
        <v>38</v>
      </c>
      <c r="M2323" t="s">
        <v>38</v>
      </c>
      <c r="N2323" t="s">
        <v>38</v>
      </c>
      <c r="O2323" t="s">
        <v>38</v>
      </c>
      <c r="T2323" t="s">
        <v>38</v>
      </c>
      <c r="U2323">
        <v>0</v>
      </c>
      <c r="W2323">
        <v>0</v>
      </c>
      <c r="X2323">
        <v>0</v>
      </c>
      <c r="Y2323">
        <v>0</v>
      </c>
      <c r="AE2323">
        <f t="shared" si="108"/>
        <v>1</v>
      </c>
      <c r="AF2323">
        <f>VLOOKUP(D2323,especies!$A$2:$C$9,3,FALSE)</f>
        <v>1</v>
      </c>
      <c r="AG2323" t="str">
        <f t="shared" si="109"/>
        <v>1-American Pit Bull Terrier</v>
      </c>
      <c r="AH2323">
        <f>VLOOKUP('Fichas clínicas'!AG2323,razas!$A$2:$D$66,3,FALSE)</f>
        <v>25</v>
      </c>
      <c r="AI2323" t="str">
        <f t="shared" si="110"/>
        <v>H</v>
      </c>
    </row>
    <row r="2324" spans="1:35" x14ac:dyDescent="0.2">
      <c r="A2324">
        <v>2326</v>
      </c>
      <c r="B2324" t="s">
        <v>3387</v>
      </c>
      <c r="C2324" t="s">
        <v>3305</v>
      </c>
      <c r="D2324" t="s">
        <v>41</v>
      </c>
      <c r="E2324" t="s">
        <v>93</v>
      </c>
      <c r="F2324" t="s">
        <v>34</v>
      </c>
      <c r="G2324" t="s">
        <v>3944</v>
      </c>
      <c r="J2324" t="s">
        <v>2903</v>
      </c>
      <c r="K2324" t="s">
        <v>38</v>
      </c>
      <c r="L2324" t="s">
        <v>38</v>
      </c>
      <c r="M2324" t="s">
        <v>38</v>
      </c>
      <c r="N2324" t="s">
        <v>38</v>
      </c>
      <c r="O2324" t="s">
        <v>38</v>
      </c>
      <c r="T2324" t="s">
        <v>38</v>
      </c>
      <c r="U2324">
        <v>0</v>
      </c>
      <c r="V2324">
        <v>1</v>
      </c>
      <c r="W2324">
        <v>0</v>
      </c>
      <c r="X2324">
        <v>0</v>
      </c>
      <c r="Y2324">
        <v>0</v>
      </c>
      <c r="AE2324">
        <f t="shared" si="108"/>
        <v>1</v>
      </c>
      <c r="AF2324">
        <f>VLOOKUP(D2324,especies!$A$2:$C$9,3,FALSE)</f>
        <v>2</v>
      </c>
      <c r="AG2324" t="str">
        <f t="shared" si="109"/>
        <v>2-DPL (Doméstico de pelo Largo o DLH)</v>
      </c>
      <c r="AH2324">
        <f>VLOOKUP('Fichas clínicas'!AG2324,razas!$A$2:$D$66,3,FALSE)</f>
        <v>52</v>
      </c>
      <c r="AI2324" t="str">
        <f t="shared" si="110"/>
        <v>H</v>
      </c>
    </row>
    <row r="2325" spans="1:35" x14ac:dyDescent="0.2">
      <c r="A2325">
        <v>2327</v>
      </c>
      <c r="B2325" t="s">
        <v>4931</v>
      </c>
      <c r="C2325" t="s">
        <v>3805</v>
      </c>
      <c r="D2325" t="s">
        <v>32</v>
      </c>
      <c r="E2325" t="s">
        <v>994</v>
      </c>
      <c r="F2325" t="s">
        <v>34</v>
      </c>
      <c r="G2325" t="s">
        <v>300</v>
      </c>
      <c r="J2325" t="s">
        <v>4855</v>
      </c>
      <c r="K2325" t="s">
        <v>38</v>
      </c>
      <c r="L2325" t="s">
        <v>38</v>
      </c>
      <c r="M2325" t="s">
        <v>38</v>
      </c>
      <c r="N2325" t="s">
        <v>38</v>
      </c>
      <c r="O2325" t="s">
        <v>38</v>
      </c>
      <c r="T2325" t="s">
        <v>38</v>
      </c>
      <c r="U2325">
        <v>0</v>
      </c>
      <c r="W2325">
        <v>0</v>
      </c>
      <c r="X2325">
        <v>0</v>
      </c>
      <c r="Y2325">
        <v>0</v>
      </c>
      <c r="AE2325">
        <f t="shared" si="108"/>
        <v>1</v>
      </c>
      <c r="AF2325">
        <f>VLOOKUP(D2325,especies!$A$2:$C$9,3,FALSE)</f>
        <v>1</v>
      </c>
      <c r="AG2325" t="str">
        <f t="shared" si="109"/>
        <v>1-Bulldog Francés</v>
      </c>
      <c r="AH2325">
        <f>VLOOKUP('Fichas clínicas'!AG2325,razas!$A$2:$D$66,3,FALSE)</f>
        <v>26</v>
      </c>
      <c r="AI2325" t="str">
        <f t="shared" si="110"/>
        <v>H</v>
      </c>
    </row>
    <row r="2326" spans="1:35" x14ac:dyDescent="0.2">
      <c r="A2326">
        <v>2328</v>
      </c>
      <c r="B2326" t="s">
        <v>4932</v>
      </c>
      <c r="C2326" t="s">
        <v>3297</v>
      </c>
      <c r="D2326" t="s">
        <v>32</v>
      </c>
      <c r="E2326" t="s">
        <v>545</v>
      </c>
      <c r="F2326" t="s">
        <v>34</v>
      </c>
      <c r="G2326" t="s">
        <v>1948</v>
      </c>
      <c r="J2326" t="s">
        <v>737</v>
      </c>
      <c r="K2326" t="s">
        <v>38</v>
      </c>
      <c r="L2326" t="s">
        <v>38</v>
      </c>
      <c r="M2326" t="s">
        <v>38</v>
      </c>
      <c r="N2326" t="s">
        <v>38</v>
      </c>
      <c r="O2326" t="s">
        <v>38</v>
      </c>
      <c r="T2326" t="s">
        <v>38</v>
      </c>
      <c r="U2326">
        <v>0</v>
      </c>
      <c r="W2326">
        <v>0</v>
      </c>
      <c r="X2326">
        <v>0</v>
      </c>
      <c r="Y2326">
        <v>0</v>
      </c>
      <c r="AE2326">
        <f t="shared" si="108"/>
        <v>1</v>
      </c>
      <c r="AF2326">
        <f>VLOOKUP(D2326,especies!$A$2:$C$9,3,FALSE)</f>
        <v>1</v>
      </c>
      <c r="AG2326" t="str">
        <f t="shared" si="109"/>
        <v>1-Golden Retriever</v>
      </c>
      <c r="AH2326">
        <f>VLOOKUP('Fichas clínicas'!AG2326,razas!$A$2:$D$66,3,FALSE)</f>
        <v>16</v>
      </c>
      <c r="AI2326" t="str">
        <f t="shared" si="110"/>
        <v>H</v>
      </c>
    </row>
    <row r="2327" spans="1:35" x14ac:dyDescent="0.2">
      <c r="A2327">
        <v>2329</v>
      </c>
      <c r="B2327" t="s">
        <v>4933</v>
      </c>
      <c r="C2327" t="s">
        <v>4934</v>
      </c>
      <c r="D2327" t="s">
        <v>32</v>
      </c>
      <c r="E2327" t="s">
        <v>33</v>
      </c>
      <c r="F2327" t="s">
        <v>34</v>
      </c>
      <c r="G2327" t="s">
        <v>4935</v>
      </c>
      <c r="J2327" t="s">
        <v>4936</v>
      </c>
      <c r="K2327" t="s">
        <v>38</v>
      </c>
      <c r="L2327" t="s">
        <v>38</v>
      </c>
      <c r="M2327" t="s">
        <v>38</v>
      </c>
      <c r="N2327" t="s">
        <v>38</v>
      </c>
      <c r="O2327" t="s">
        <v>38</v>
      </c>
      <c r="T2327" t="s">
        <v>38</v>
      </c>
      <c r="U2327">
        <v>0</v>
      </c>
      <c r="W2327">
        <v>0</v>
      </c>
      <c r="X2327">
        <v>0</v>
      </c>
      <c r="Y2327">
        <v>0</v>
      </c>
      <c r="AE2327">
        <f t="shared" si="108"/>
        <v>1</v>
      </c>
      <c r="AF2327">
        <f>VLOOKUP(D2327,especies!$A$2:$C$9,3,FALSE)</f>
        <v>1</v>
      </c>
      <c r="AG2327" t="str">
        <f t="shared" si="109"/>
        <v>1-Mestizo</v>
      </c>
      <c r="AH2327">
        <f>VLOOKUP('Fichas clínicas'!AG2327,razas!$A$2:$D$66,3,FALSE)</f>
        <v>1</v>
      </c>
      <c r="AI2327" t="str">
        <f t="shared" si="110"/>
        <v>H</v>
      </c>
    </row>
    <row r="2328" spans="1:35" x14ac:dyDescent="0.2">
      <c r="A2328">
        <v>2330</v>
      </c>
      <c r="B2328" t="s">
        <v>4937</v>
      </c>
      <c r="C2328" t="s">
        <v>4938</v>
      </c>
      <c r="D2328" t="s">
        <v>32</v>
      </c>
      <c r="E2328" t="s">
        <v>33</v>
      </c>
      <c r="F2328" t="s">
        <v>34</v>
      </c>
      <c r="G2328" t="s">
        <v>2804</v>
      </c>
      <c r="J2328" t="s">
        <v>1008</v>
      </c>
      <c r="K2328" t="s">
        <v>38</v>
      </c>
      <c r="L2328" t="s">
        <v>38</v>
      </c>
      <c r="M2328" t="s">
        <v>38</v>
      </c>
      <c r="N2328" t="s">
        <v>38</v>
      </c>
      <c r="O2328" t="s">
        <v>38</v>
      </c>
      <c r="T2328" t="s">
        <v>38</v>
      </c>
      <c r="U2328">
        <v>0</v>
      </c>
      <c r="V2328">
        <v>1</v>
      </c>
      <c r="W2328">
        <v>0</v>
      </c>
      <c r="X2328">
        <v>0</v>
      </c>
      <c r="Y2328">
        <v>0</v>
      </c>
      <c r="AE2328">
        <f t="shared" si="108"/>
        <v>1</v>
      </c>
      <c r="AF2328">
        <f>VLOOKUP(D2328,especies!$A$2:$C$9,3,FALSE)</f>
        <v>1</v>
      </c>
      <c r="AG2328" t="str">
        <f t="shared" si="109"/>
        <v>1-Mestizo</v>
      </c>
      <c r="AH2328">
        <f>VLOOKUP('Fichas clínicas'!AG2328,razas!$A$2:$D$66,3,FALSE)</f>
        <v>1</v>
      </c>
      <c r="AI2328" t="str">
        <f t="shared" si="110"/>
        <v>H</v>
      </c>
    </row>
    <row r="2329" spans="1:35" x14ac:dyDescent="0.2">
      <c r="A2329">
        <v>2331</v>
      </c>
      <c r="B2329" t="s">
        <v>4937</v>
      </c>
      <c r="C2329" t="s">
        <v>2526</v>
      </c>
      <c r="D2329" t="s">
        <v>32</v>
      </c>
      <c r="E2329" t="s">
        <v>33</v>
      </c>
      <c r="F2329" t="s">
        <v>47</v>
      </c>
      <c r="G2329" t="s">
        <v>4935</v>
      </c>
      <c r="J2329" t="s">
        <v>4939</v>
      </c>
      <c r="K2329" t="s">
        <v>38</v>
      </c>
      <c r="L2329" t="s">
        <v>38</v>
      </c>
      <c r="M2329" t="s">
        <v>38</v>
      </c>
      <c r="N2329" t="s">
        <v>38</v>
      </c>
      <c r="O2329" t="s">
        <v>38</v>
      </c>
      <c r="T2329" t="s">
        <v>38</v>
      </c>
      <c r="U2329">
        <v>0</v>
      </c>
      <c r="V2329">
        <v>1</v>
      </c>
      <c r="W2329">
        <v>0</v>
      </c>
      <c r="X2329">
        <v>0</v>
      </c>
      <c r="Y2329">
        <v>0</v>
      </c>
      <c r="AE2329">
        <f t="shared" si="108"/>
        <v>1</v>
      </c>
      <c r="AF2329">
        <f>VLOOKUP(D2329,especies!$A$2:$C$9,3,FALSE)</f>
        <v>1</v>
      </c>
      <c r="AG2329" t="str">
        <f t="shared" si="109"/>
        <v>1-Mestizo</v>
      </c>
      <c r="AH2329">
        <f>VLOOKUP('Fichas clínicas'!AG2329,razas!$A$2:$D$66,3,FALSE)</f>
        <v>1</v>
      </c>
      <c r="AI2329" t="str">
        <f t="shared" si="110"/>
        <v>M</v>
      </c>
    </row>
    <row r="2330" spans="1:35" x14ac:dyDescent="0.2">
      <c r="A2330">
        <v>2332</v>
      </c>
      <c r="B2330" t="s">
        <v>4940</v>
      </c>
      <c r="C2330" t="s">
        <v>3994</v>
      </c>
      <c r="D2330" t="s">
        <v>41</v>
      </c>
      <c r="E2330" t="s">
        <v>93</v>
      </c>
      <c r="F2330" t="s">
        <v>47</v>
      </c>
      <c r="G2330" t="s">
        <v>1862</v>
      </c>
      <c r="J2330" t="s">
        <v>3625</v>
      </c>
      <c r="K2330" t="s">
        <v>38</v>
      </c>
      <c r="L2330" t="s">
        <v>38</v>
      </c>
      <c r="M2330" t="s">
        <v>38</v>
      </c>
      <c r="N2330" t="s">
        <v>38</v>
      </c>
      <c r="O2330" t="s">
        <v>38</v>
      </c>
      <c r="T2330" t="s">
        <v>38</v>
      </c>
      <c r="U2330">
        <v>0</v>
      </c>
      <c r="V2330">
        <v>1</v>
      </c>
      <c r="W2330">
        <v>0</v>
      </c>
      <c r="X2330">
        <v>0</v>
      </c>
      <c r="Y2330">
        <v>0</v>
      </c>
      <c r="AE2330">
        <f t="shared" si="108"/>
        <v>1</v>
      </c>
      <c r="AF2330">
        <f>VLOOKUP(D2330,especies!$A$2:$C$9,3,FALSE)</f>
        <v>2</v>
      </c>
      <c r="AG2330" t="str">
        <f t="shared" si="109"/>
        <v>2-DPL (Doméstico de pelo Largo o DLH)</v>
      </c>
      <c r="AH2330">
        <f>VLOOKUP('Fichas clínicas'!AG2330,razas!$A$2:$D$66,3,FALSE)</f>
        <v>52</v>
      </c>
      <c r="AI2330" t="str">
        <f t="shared" si="110"/>
        <v>M</v>
      </c>
    </row>
    <row r="2331" spans="1:35" x14ac:dyDescent="0.2">
      <c r="A2331">
        <v>2333</v>
      </c>
      <c r="B2331" t="s">
        <v>3772</v>
      </c>
      <c r="C2331" t="s">
        <v>4941</v>
      </c>
      <c r="D2331" t="s">
        <v>41</v>
      </c>
      <c r="E2331" t="s">
        <v>42</v>
      </c>
      <c r="F2331" t="s">
        <v>34</v>
      </c>
      <c r="G2331" t="s">
        <v>3944</v>
      </c>
      <c r="J2331" t="s">
        <v>4942</v>
      </c>
      <c r="K2331" t="s">
        <v>38</v>
      </c>
      <c r="L2331" t="s">
        <v>38</v>
      </c>
      <c r="M2331" t="s">
        <v>38</v>
      </c>
      <c r="N2331" t="s">
        <v>38</v>
      </c>
      <c r="O2331" t="s">
        <v>38</v>
      </c>
      <c r="Q2331">
        <v>0</v>
      </c>
      <c r="T2331" t="s">
        <v>38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f t="shared" si="108"/>
        <v>1</v>
      </c>
      <c r="AF2331">
        <f>VLOOKUP(D2331,especies!$A$2:$C$9,3,FALSE)</f>
        <v>2</v>
      </c>
      <c r="AG2331" t="str">
        <f t="shared" si="109"/>
        <v>2-DPC (Doméstico de pelo corto o DSH)</v>
      </c>
      <c r="AH2331">
        <f>VLOOKUP('Fichas clínicas'!AG2331,razas!$A$2:$D$66,3,FALSE)</f>
        <v>51</v>
      </c>
      <c r="AI2331" t="str">
        <f t="shared" si="110"/>
        <v>H</v>
      </c>
    </row>
    <row r="2332" spans="1:35" x14ac:dyDescent="0.2">
      <c r="A2332">
        <v>2334</v>
      </c>
      <c r="B2332" t="s">
        <v>3772</v>
      </c>
      <c r="C2332" t="s">
        <v>1573</v>
      </c>
      <c r="D2332" t="s">
        <v>41</v>
      </c>
      <c r="E2332" t="s">
        <v>42</v>
      </c>
      <c r="F2332" t="s">
        <v>34</v>
      </c>
      <c r="G2332" t="s">
        <v>2302</v>
      </c>
      <c r="J2332" t="s">
        <v>4942</v>
      </c>
      <c r="K2332" t="s">
        <v>38</v>
      </c>
      <c r="L2332" t="s">
        <v>38</v>
      </c>
      <c r="M2332" t="s">
        <v>38</v>
      </c>
      <c r="N2332" t="s">
        <v>38</v>
      </c>
      <c r="O2332" t="s">
        <v>38</v>
      </c>
      <c r="T2332" t="s">
        <v>38</v>
      </c>
      <c r="U2332">
        <v>0</v>
      </c>
      <c r="W2332">
        <v>0</v>
      </c>
      <c r="X2332">
        <v>0</v>
      </c>
      <c r="Y2332">
        <v>0</v>
      </c>
      <c r="AE2332">
        <f t="shared" si="108"/>
        <v>1</v>
      </c>
      <c r="AF2332">
        <f>VLOOKUP(D2332,especies!$A$2:$C$9,3,FALSE)</f>
        <v>2</v>
      </c>
      <c r="AG2332" t="str">
        <f t="shared" si="109"/>
        <v>2-DPC (Doméstico de pelo corto o DSH)</v>
      </c>
      <c r="AH2332">
        <f>VLOOKUP('Fichas clínicas'!AG2332,razas!$A$2:$D$66,3,FALSE)</f>
        <v>51</v>
      </c>
      <c r="AI2332" t="str">
        <f t="shared" si="110"/>
        <v>H</v>
      </c>
    </row>
    <row r="2333" spans="1:35" x14ac:dyDescent="0.2">
      <c r="A2333">
        <v>2335</v>
      </c>
      <c r="B2333" t="s">
        <v>3854</v>
      </c>
      <c r="C2333" t="s">
        <v>4943</v>
      </c>
      <c r="D2333" t="s">
        <v>32</v>
      </c>
      <c r="E2333" t="s">
        <v>458</v>
      </c>
      <c r="F2333" t="s">
        <v>34</v>
      </c>
      <c r="G2333" t="s">
        <v>4944</v>
      </c>
      <c r="J2333" t="s">
        <v>4945</v>
      </c>
      <c r="K2333" t="s">
        <v>38</v>
      </c>
      <c r="L2333" t="s">
        <v>38</v>
      </c>
      <c r="M2333" t="s">
        <v>38</v>
      </c>
      <c r="N2333" t="s">
        <v>38</v>
      </c>
      <c r="O2333" t="s">
        <v>38</v>
      </c>
      <c r="Q2333">
        <v>0</v>
      </c>
      <c r="T2333" t="s">
        <v>38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f t="shared" si="108"/>
        <v>1</v>
      </c>
      <c r="AF2333">
        <f>VLOOKUP(D2333,especies!$A$2:$C$9,3,FALSE)</f>
        <v>1</v>
      </c>
      <c r="AG2333" t="str">
        <f t="shared" si="109"/>
        <v>1-Beagle</v>
      </c>
      <c r="AH2333">
        <f>VLOOKUP('Fichas clínicas'!AG2333,razas!$A$2:$D$66,3,FALSE)</f>
        <v>13</v>
      </c>
      <c r="AI2333" t="str">
        <f t="shared" si="110"/>
        <v>H</v>
      </c>
    </row>
    <row r="2334" spans="1:35" x14ac:dyDescent="0.2">
      <c r="A2334">
        <v>2336</v>
      </c>
      <c r="B2334" t="s">
        <v>4844</v>
      </c>
      <c r="C2334" t="s">
        <v>4946</v>
      </c>
      <c r="D2334" t="s">
        <v>41</v>
      </c>
      <c r="E2334" t="s">
        <v>42</v>
      </c>
      <c r="F2334" t="s">
        <v>47</v>
      </c>
      <c r="G2334" t="s">
        <v>1862</v>
      </c>
      <c r="J2334" t="s">
        <v>4947</v>
      </c>
      <c r="K2334" t="s">
        <v>38</v>
      </c>
      <c r="L2334" t="s">
        <v>38</v>
      </c>
      <c r="M2334" t="s">
        <v>38</v>
      </c>
      <c r="N2334" t="s">
        <v>38</v>
      </c>
      <c r="O2334" t="s">
        <v>38</v>
      </c>
      <c r="T2334" t="s">
        <v>38</v>
      </c>
      <c r="U2334">
        <v>0</v>
      </c>
      <c r="V2334">
        <v>1</v>
      </c>
      <c r="W2334">
        <v>0</v>
      </c>
      <c r="X2334">
        <v>0</v>
      </c>
      <c r="Y2334">
        <v>0</v>
      </c>
      <c r="AE2334">
        <f t="shared" si="108"/>
        <v>1</v>
      </c>
      <c r="AF2334">
        <f>VLOOKUP(D2334,especies!$A$2:$C$9,3,FALSE)</f>
        <v>2</v>
      </c>
      <c r="AG2334" t="str">
        <f t="shared" si="109"/>
        <v>2-DPC (Doméstico de pelo corto o DSH)</v>
      </c>
      <c r="AH2334">
        <f>VLOOKUP('Fichas clínicas'!AG2334,razas!$A$2:$D$66,3,FALSE)</f>
        <v>51</v>
      </c>
      <c r="AI2334" t="str">
        <f t="shared" si="110"/>
        <v>M</v>
      </c>
    </row>
    <row r="2335" spans="1:35" x14ac:dyDescent="0.2">
      <c r="A2335">
        <v>2337</v>
      </c>
      <c r="B2335" t="s">
        <v>4844</v>
      </c>
      <c r="C2335" t="s">
        <v>4948</v>
      </c>
      <c r="D2335" t="s">
        <v>41</v>
      </c>
      <c r="E2335" t="s">
        <v>42</v>
      </c>
      <c r="F2335" t="s">
        <v>34</v>
      </c>
      <c r="G2335" t="s">
        <v>1862</v>
      </c>
      <c r="J2335" t="s">
        <v>4949</v>
      </c>
      <c r="K2335" t="s">
        <v>38</v>
      </c>
      <c r="L2335" t="s">
        <v>38</v>
      </c>
      <c r="M2335" t="s">
        <v>38</v>
      </c>
      <c r="N2335" t="s">
        <v>38</v>
      </c>
      <c r="O2335" t="s">
        <v>38</v>
      </c>
      <c r="T2335" t="s">
        <v>38</v>
      </c>
      <c r="U2335">
        <v>0</v>
      </c>
      <c r="V2335">
        <v>1</v>
      </c>
      <c r="W2335">
        <v>0</v>
      </c>
      <c r="X2335">
        <v>0</v>
      </c>
      <c r="Y2335">
        <v>0</v>
      </c>
      <c r="AE2335">
        <f t="shared" si="108"/>
        <v>1</v>
      </c>
      <c r="AF2335">
        <f>VLOOKUP(D2335,especies!$A$2:$C$9,3,FALSE)</f>
        <v>2</v>
      </c>
      <c r="AG2335" t="str">
        <f t="shared" si="109"/>
        <v>2-DPC (Doméstico de pelo corto o DSH)</v>
      </c>
      <c r="AH2335">
        <f>VLOOKUP('Fichas clínicas'!AG2335,razas!$A$2:$D$66,3,FALSE)</f>
        <v>51</v>
      </c>
      <c r="AI2335" t="str">
        <f t="shared" si="110"/>
        <v>H</v>
      </c>
    </row>
    <row r="2336" spans="1:35" x14ac:dyDescent="0.2">
      <c r="A2336">
        <v>2338</v>
      </c>
      <c r="B2336" t="s">
        <v>4950</v>
      </c>
      <c r="C2336" t="s">
        <v>4951</v>
      </c>
      <c r="D2336" t="s">
        <v>41</v>
      </c>
      <c r="E2336" t="s">
        <v>93</v>
      </c>
      <c r="F2336" t="s">
        <v>34</v>
      </c>
      <c r="G2336" t="s">
        <v>300</v>
      </c>
      <c r="J2336" t="s">
        <v>4952</v>
      </c>
      <c r="K2336" t="s">
        <v>38</v>
      </c>
      <c r="L2336" t="s">
        <v>38</v>
      </c>
      <c r="M2336" t="s">
        <v>38</v>
      </c>
      <c r="N2336" t="s">
        <v>38</v>
      </c>
      <c r="O2336" t="s">
        <v>38</v>
      </c>
      <c r="T2336" t="s">
        <v>38</v>
      </c>
      <c r="U2336">
        <v>0</v>
      </c>
      <c r="V2336">
        <v>1</v>
      </c>
      <c r="W2336">
        <v>0</v>
      </c>
      <c r="X2336">
        <v>0</v>
      </c>
      <c r="Y2336">
        <v>0</v>
      </c>
      <c r="AE2336">
        <f t="shared" si="108"/>
        <v>1</v>
      </c>
      <c r="AF2336">
        <f>VLOOKUP(D2336,especies!$A$2:$C$9,3,FALSE)</f>
        <v>2</v>
      </c>
      <c r="AG2336" t="str">
        <f t="shared" si="109"/>
        <v>2-DPL (Doméstico de pelo Largo o DLH)</v>
      </c>
      <c r="AH2336">
        <f>VLOOKUP('Fichas clínicas'!AG2336,razas!$A$2:$D$66,3,FALSE)</f>
        <v>52</v>
      </c>
      <c r="AI2336" t="str">
        <f t="shared" si="110"/>
        <v>H</v>
      </c>
    </row>
    <row r="2337" spans="1:35" x14ac:dyDescent="0.2">
      <c r="A2337">
        <v>2339</v>
      </c>
      <c r="B2337" t="s">
        <v>4455</v>
      </c>
      <c r="C2337" t="s">
        <v>4953</v>
      </c>
      <c r="D2337" t="s">
        <v>32</v>
      </c>
      <c r="E2337" t="s">
        <v>33</v>
      </c>
      <c r="F2337" t="s">
        <v>34</v>
      </c>
      <c r="G2337" t="s">
        <v>4477</v>
      </c>
      <c r="J2337" t="s">
        <v>4954</v>
      </c>
      <c r="K2337" t="s">
        <v>38</v>
      </c>
      <c r="L2337" t="s">
        <v>38</v>
      </c>
      <c r="M2337" t="s">
        <v>38</v>
      </c>
      <c r="N2337" t="s">
        <v>38</v>
      </c>
      <c r="O2337" t="s">
        <v>38</v>
      </c>
      <c r="Q2337">
        <v>0</v>
      </c>
      <c r="T2337" t="s">
        <v>38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f t="shared" si="108"/>
        <v>1</v>
      </c>
      <c r="AF2337">
        <f>VLOOKUP(D2337,especies!$A$2:$C$9,3,FALSE)</f>
        <v>1</v>
      </c>
      <c r="AG2337" t="str">
        <f t="shared" si="109"/>
        <v>1-Mestizo</v>
      </c>
      <c r="AH2337">
        <f>VLOOKUP('Fichas clínicas'!AG2337,razas!$A$2:$D$66,3,FALSE)</f>
        <v>1</v>
      </c>
      <c r="AI2337" t="str">
        <f t="shared" si="110"/>
        <v>H</v>
      </c>
    </row>
    <row r="2338" spans="1:35" x14ac:dyDescent="0.2">
      <c r="A2338">
        <v>2340</v>
      </c>
      <c r="B2338" t="s">
        <v>4423</v>
      </c>
      <c r="C2338" t="s">
        <v>4494</v>
      </c>
      <c r="D2338" t="s">
        <v>41</v>
      </c>
      <c r="E2338" t="s">
        <v>93</v>
      </c>
      <c r="F2338" t="s">
        <v>47</v>
      </c>
      <c r="G2338" t="s">
        <v>3102</v>
      </c>
      <c r="J2338" t="s">
        <v>58</v>
      </c>
      <c r="K2338" t="s">
        <v>38</v>
      </c>
      <c r="L2338" t="s">
        <v>38</v>
      </c>
      <c r="M2338" t="s">
        <v>38</v>
      </c>
      <c r="N2338" t="s">
        <v>38</v>
      </c>
      <c r="O2338" t="s">
        <v>38</v>
      </c>
      <c r="T2338" t="s">
        <v>38</v>
      </c>
      <c r="U2338">
        <v>0</v>
      </c>
      <c r="V2338">
        <v>1</v>
      </c>
      <c r="W2338">
        <v>0</v>
      </c>
      <c r="X2338">
        <v>0</v>
      </c>
      <c r="Y2338">
        <v>0</v>
      </c>
      <c r="AE2338">
        <f t="shared" si="108"/>
        <v>1</v>
      </c>
      <c r="AF2338">
        <f>VLOOKUP(D2338,especies!$A$2:$C$9,3,FALSE)</f>
        <v>2</v>
      </c>
      <c r="AG2338" t="str">
        <f t="shared" si="109"/>
        <v>2-DPL (Doméstico de pelo Largo o DLH)</v>
      </c>
      <c r="AH2338">
        <f>VLOOKUP('Fichas clínicas'!AG2338,razas!$A$2:$D$66,3,FALSE)</f>
        <v>52</v>
      </c>
      <c r="AI2338" t="str">
        <f t="shared" si="110"/>
        <v>M</v>
      </c>
    </row>
    <row r="2339" spans="1:35" x14ac:dyDescent="0.2">
      <c r="A2339">
        <v>2341</v>
      </c>
      <c r="B2339" t="s">
        <v>4955</v>
      </c>
      <c r="C2339" t="s">
        <v>4956</v>
      </c>
      <c r="D2339" t="s">
        <v>32</v>
      </c>
      <c r="E2339" t="s">
        <v>33</v>
      </c>
      <c r="F2339" t="s">
        <v>34</v>
      </c>
      <c r="G2339" t="s">
        <v>2858</v>
      </c>
      <c r="J2339" t="s">
        <v>955</v>
      </c>
      <c r="K2339" t="s">
        <v>38</v>
      </c>
      <c r="L2339" t="s">
        <v>38</v>
      </c>
      <c r="M2339" t="s">
        <v>38</v>
      </c>
      <c r="N2339" t="s">
        <v>38</v>
      </c>
      <c r="O2339" t="s">
        <v>38</v>
      </c>
      <c r="T2339" t="s">
        <v>38</v>
      </c>
      <c r="U2339">
        <v>0</v>
      </c>
      <c r="W2339">
        <v>0</v>
      </c>
      <c r="X2339">
        <v>0</v>
      </c>
      <c r="Y2339">
        <v>0</v>
      </c>
      <c r="AE2339">
        <f t="shared" si="108"/>
        <v>1</v>
      </c>
      <c r="AF2339">
        <f>VLOOKUP(D2339,especies!$A$2:$C$9,3,FALSE)</f>
        <v>1</v>
      </c>
      <c r="AG2339" t="str">
        <f t="shared" si="109"/>
        <v>1-Mestizo</v>
      </c>
      <c r="AH2339">
        <f>VLOOKUP('Fichas clínicas'!AG2339,razas!$A$2:$D$66,3,FALSE)</f>
        <v>1</v>
      </c>
      <c r="AI2339" t="str">
        <f t="shared" si="110"/>
        <v>H</v>
      </c>
    </row>
    <row r="2340" spans="1:35" x14ac:dyDescent="0.2">
      <c r="A2340">
        <v>2342</v>
      </c>
      <c r="B2340" t="s">
        <v>4957</v>
      </c>
      <c r="C2340" t="s">
        <v>4684</v>
      </c>
      <c r="D2340" t="s">
        <v>41</v>
      </c>
      <c r="E2340" t="s">
        <v>42</v>
      </c>
      <c r="F2340" t="s">
        <v>47</v>
      </c>
      <c r="G2340" t="s">
        <v>3944</v>
      </c>
      <c r="J2340" t="s">
        <v>4958</v>
      </c>
      <c r="K2340" t="s">
        <v>38</v>
      </c>
      <c r="L2340" t="s">
        <v>38</v>
      </c>
      <c r="M2340" t="s">
        <v>38</v>
      </c>
      <c r="N2340" t="s">
        <v>38</v>
      </c>
      <c r="O2340" t="s">
        <v>38</v>
      </c>
      <c r="T2340" t="s">
        <v>38</v>
      </c>
      <c r="U2340">
        <v>0</v>
      </c>
      <c r="W2340">
        <v>0</v>
      </c>
      <c r="X2340">
        <v>0</v>
      </c>
      <c r="Y2340">
        <v>0</v>
      </c>
      <c r="AE2340">
        <f t="shared" si="108"/>
        <v>1</v>
      </c>
      <c r="AF2340">
        <f>VLOOKUP(D2340,especies!$A$2:$C$9,3,FALSE)</f>
        <v>2</v>
      </c>
      <c r="AG2340" t="str">
        <f t="shared" si="109"/>
        <v>2-DPC (Doméstico de pelo corto o DSH)</v>
      </c>
      <c r="AH2340">
        <f>VLOOKUP('Fichas clínicas'!AG2340,razas!$A$2:$D$66,3,FALSE)</f>
        <v>51</v>
      </c>
      <c r="AI2340" t="str">
        <f t="shared" si="110"/>
        <v>M</v>
      </c>
    </row>
    <row r="2341" spans="1:35" x14ac:dyDescent="0.2">
      <c r="A2341">
        <v>2343</v>
      </c>
      <c r="B2341" t="s">
        <v>2479</v>
      </c>
      <c r="C2341" t="s">
        <v>4959</v>
      </c>
      <c r="D2341" t="s">
        <v>32</v>
      </c>
      <c r="E2341" t="s">
        <v>33</v>
      </c>
      <c r="F2341" t="s">
        <v>47</v>
      </c>
      <c r="G2341" t="s">
        <v>1402</v>
      </c>
      <c r="J2341" t="s">
        <v>4958</v>
      </c>
      <c r="K2341" t="s">
        <v>38</v>
      </c>
      <c r="L2341" t="s">
        <v>38</v>
      </c>
      <c r="M2341" t="s">
        <v>38</v>
      </c>
      <c r="N2341" t="s">
        <v>38</v>
      </c>
      <c r="O2341" t="s">
        <v>38</v>
      </c>
      <c r="T2341" t="s">
        <v>38</v>
      </c>
      <c r="U2341">
        <v>0</v>
      </c>
      <c r="W2341">
        <v>0</v>
      </c>
      <c r="X2341">
        <v>0</v>
      </c>
      <c r="Y2341">
        <v>0</v>
      </c>
      <c r="AE2341">
        <f t="shared" si="108"/>
        <v>1</v>
      </c>
      <c r="AF2341">
        <f>VLOOKUP(D2341,especies!$A$2:$C$9,3,FALSE)</f>
        <v>1</v>
      </c>
      <c r="AG2341" t="str">
        <f t="shared" si="109"/>
        <v>1-Mestizo</v>
      </c>
      <c r="AH2341">
        <f>VLOOKUP('Fichas clínicas'!AG2341,razas!$A$2:$D$66,3,FALSE)</f>
        <v>1</v>
      </c>
      <c r="AI2341" t="str">
        <f t="shared" si="110"/>
        <v>M</v>
      </c>
    </row>
    <row r="2342" spans="1:35" x14ac:dyDescent="0.2">
      <c r="A2342">
        <v>2344</v>
      </c>
      <c r="B2342" t="s">
        <v>4683</v>
      </c>
      <c r="C2342" t="s">
        <v>4960</v>
      </c>
      <c r="D2342" t="s">
        <v>41</v>
      </c>
      <c r="E2342" t="s">
        <v>42</v>
      </c>
      <c r="F2342" t="s">
        <v>47</v>
      </c>
      <c r="G2342" t="s">
        <v>1862</v>
      </c>
      <c r="J2342" t="s">
        <v>2224</v>
      </c>
      <c r="K2342" t="s">
        <v>38</v>
      </c>
      <c r="L2342" t="s">
        <v>38</v>
      </c>
      <c r="M2342" t="s">
        <v>38</v>
      </c>
      <c r="N2342" t="s">
        <v>38</v>
      </c>
      <c r="O2342" t="s">
        <v>38</v>
      </c>
      <c r="T2342" t="s">
        <v>38</v>
      </c>
      <c r="U2342">
        <v>0</v>
      </c>
      <c r="V2342">
        <v>1</v>
      </c>
      <c r="W2342">
        <v>0</v>
      </c>
      <c r="X2342">
        <v>0</v>
      </c>
      <c r="Y2342">
        <v>0</v>
      </c>
      <c r="AE2342">
        <f t="shared" si="108"/>
        <v>1</v>
      </c>
      <c r="AF2342">
        <f>VLOOKUP(D2342,especies!$A$2:$C$9,3,FALSE)</f>
        <v>2</v>
      </c>
      <c r="AG2342" t="str">
        <f t="shared" si="109"/>
        <v>2-DPC (Doméstico de pelo corto o DSH)</v>
      </c>
      <c r="AH2342">
        <f>VLOOKUP('Fichas clínicas'!AG2342,razas!$A$2:$D$66,3,FALSE)</f>
        <v>51</v>
      </c>
      <c r="AI2342" t="str">
        <f t="shared" si="110"/>
        <v>M</v>
      </c>
    </row>
    <row r="2343" spans="1:35" x14ac:dyDescent="0.2">
      <c r="A2343">
        <v>2345</v>
      </c>
      <c r="B2343" t="s">
        <v>4961</v>
      </c>
      <c r="C2343" t="s">
        <v>4774</v>
      </c>
      <c r="D2343" t="s">
        <v>32</v>
      </c>
      <c r="E2343" t="s">
        <v>33</v>
      </c>
      <c r="F2343" t="s">
        <v>47</v>
      </c>
      <c r="G2343" t="s">
        <v>3944</v>
      </c>
      <c r="J2343" t="s">
        <v>4962</v>
      </c>
      <c r="K2343" t="s">
        <v>38</v>
      </c>
      <c r="L2343" t="s">
        <v>38</v>
      </c>
      <c r="M2343" t="s">
        <v>38</v>
      </c>
      <c r="N2343" t="s">
        <v>38</v>
      </c>
      <c r="O2343" t="s">
        <v>38</v>
      </c>
      <c r="T2343" t="s">
        <v>38</v>
      </c>
      <c r="U2343">
        <v>0</v>
      </c>
      <c r="V2343">
        <v>1</v>
      </c>
      <c r="W2343">
        <v>0</v>
      </c>
      <c r="X2343">
        <v>0</v>
      </c>
      <c r="Y2343">
        <v>0</v>
      </c>
      <c r="AE2343">
        <f t="shared" si="108"/>
        <v>1</v>
      </c>
      <c r="AF2343">
        <f>VLOOKUP(D2343,especies!$A$2:$C$9,3,FALSE)</f>
        <v>1</v>
      </c>
      <c r="AG2343" t="str">
        <f t="shared" si="109"/>
        <v>1-Mestizo</v>
      </c>
      <c r="AH2343">
        <f>VLOOKUP('Fichas clínicas'!AG2343,razas!$A$2:$D$66,3,FALSE)</f>
        <v>1</v>
      </c>
      <c r="AI2343" t="str">
        <f t="shared" si="110"/>
        <v>M</v>
      </c>
    </row>
    <row r="2344" spans="1:35" x14ac:dyDescent="0.2">
      <c r="A2344">
        <v>2346</v>
      </c>
      <c r="B2344" t="s">
        <v>4635</v>
      </c>
      <c r="C2344" t="s">
        <v>3467</v>
      </c>
      <c r="D2344" t="s">
        <v>32</v>
      </c>
      <c r="E2344" t="s">
        <v>143</v>
      </c>
      <c r="F2344" t="s">
        <v>47</v>
      </c>
      <c r="G2344" t="s">
        <v>4935</v>
      </c>
      <c r="J2344" t="s">
        <v>4963</v>
      </c>
      <c r="K2344" t="s">
        <v>38</v>
      </c>
      <c r="L2344" t="s">
        <v>38</v>
      </c>
      <c r="M2344" t="s">
        <v>38</v>
      </c>
      <c r="N2344" t="s">
        <v>38</v>
      </c>
      <c r="O2344" t="s">
        <v>38</v>
      </c>
      <c r="Q2344">
        <v>0</v>
      </c>
      <c r="T2344" t="s">
        <v>38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f t="shared" si="108"/>
        <v>1</v>
      </c>
      <c r="AF2344">
        <f>VLOOKUP(D2344,especies!$A$2:$C$9,3,FALSE)</f>
        <v>1</v>
      </c>
      <c r="AG2344" t="str">
        <f t="shared" si="109"/>
        <v>1-Yorkshire Terrier</v>
      </c>
      <c r="AH2344">
        <f>VLOOKUP('Fichas clínicas'!AG2344,razas!$A$2:$D$66,3,FALSE)</f>
        <v>5</v>
      </c>
      <c r="AI2344" t="str">
        <f t="shared" si="110"/>
        <v>M</v>
      </c>
    </row>
    <row r="2345" spans="1:35" x14ac:dyDescent="0.2">
      <c r="A2345">
        <v>2347</v>
      </c>
      <c r="B2345" t="s">
        <v>4125</v>
      </c>
      <c r="C2345" t="s">
        <v>4964</v>
      </c>
      <c r="D2345" t="s">
        <v>41</v>
      </c>
      <c r="E2345" t="s">
        <v>42</v>
      </c>
      <c r="F2345" t="s">
        <v>34</v>
      </c>
      <c r="G2345" t="s">
        <v>2851</v>
      </c>
      <c r="J2345" t="s">
        <v>4643</v>
      </c>
      <c r="K2345" t="s">
        <v>38</v>
      </c>
      <c r="L2345" t="s">
        <v>38</v>
      </c>
      <c r="M2345" t="s">
        <v>38</v>
      </c>
      <c r="N2345" t="s">
        <v>38</v>
      </c>
      <c r="O2345" t="s">
        <v>38</v>
      </c>
      <c r="T2345" t="s">
        <v>38</v>
      </c>
      <c r="U2345">
        <v>0</v>
      </c>
      <c r="V2345">
        <v>1</v>
      </c>
      <c r="W2345">
        <v>0</v>
      </c>
      <c r="X2345">
        <v>0</v>
      </c>
      <c r="Y2345">
        <v>0</v>
      </c>
      <c r="AE2345">
        <f t="shared" si="108"/>
        <v>1</v>
      </c>
      <c r="AF2345">
        <f>VLOOKUP(D2345,especies!$A$2:$C$9,3,FALSE)</f>
        <v>2</v>
      </c>
      <c r="AG2345" t="str">
        <f t="shared" si="109"/>
        <v>2-DPC (Doméstico de pelo corto o DSH)</v>
      </c>
      <c r="AH2345">
        <f>VLOOKUP('Fichas clínicas'!AG2345,razas!$A$2:$D$66,3,FALSE)</f>
        <v>51</v>
      </c>
      <c r="AI2345" t="str">
        <f t="shared" si="110"/>
        <v>H</v>
      </c>
    </row>
    <row r="2346" spans="1:35" x14ac:dyDescent="0.2">
      <c r="A2346">
        <v>2348</v>
      </c>
      <c r="B2346" t="s">
        <v>4965</v>
      </c>
      <c r="C2346" t="s">
        <v>4966</v>
      </c>
      <c r="D2346" t="s">
        <v>41</v>
      </c>
      <c r="E2346" t="s">
        <v>93</v>
      </c>
      <c r="F2346" t="s">
        <v>34</v>
      </c>
      <c r="G2346" t="s">
        <v>587</v>
      </c>
      <c r="J2346" t="s">
        <v>4967</v>
      </c>
      <c r="K2346" t="s">
        <v>38</v>
      </c>
      <c r="L2346" t="s">
        <v>38</v>
      </c>
      <c r="M2346" t="s">
        <v>38</v>
      </c>
      <c r="N2346" t="s">
        <v>38</v>
      </c>
      <c r="O2346" t="s">
        <v>38</v>
      </c>
      <c r="T2346" t="s">
        <v>38</v>
      </c>
      <c r="U2346">
        <v>0</v>
      </c>
      <c r="W2346">
        <v>0</v>
      </c>
      <c r="X2346">
        <v>0</v>
      </c>
      <c r="Y2346">
        <v>0</v>
      </c>
      <c r="AE2346">
        <f t="shared" si="108"/>
        <v>1</v>
      </c>
      <c r="AF2346">
        <f>VLOOKUP(D2346,especies!$A$2:$C$9,3,FALSE)</f>
        <v>2</v>
      </c>
      <c r="AG2346" t="str">
        <f t="shared" si="109"/>
        <v>2-DPL (Doméstico de pelo Largo o DLH)</v>
      </c>
      <c r="AH2346">
        <f>VLOOKUP('Fichas clínicas'!AG2346,razas!$A$2:$D$66,3,FALSE)</f>
        <v>52</v>
      </c>
      <c r="AI2346" t="str">
        <f t="shared" si="110"/>
        <v>H</v>
      </c>
    </row>
    <row r="2347" spans="1:35" x14ac:dyDescent="0.2">
      <c r="A2347">
        <v>2349</v>
      </c>
      <c r="B2347" t="s">
        <v>302</v>
      </c>
      <c r="C2347" t="s">
        <v>4968</v>
      </c>
      <c r="D2347" t="s">
        <v>32</v>
      </c>
      <c r="E2347" t="s">
        <v>33</v>
      </c>
      <c r="F2347" t="s">
        <v>47</v>
      </c>
      <c r="G2347" t="s">
        <v>587</v>
      </c>
      <c r="J2347" t="s">
        <v>1537</v>
      </c>
      <c r="K2347" t="s">
        <v>38</v>
      </c>
      <c r="L2347" t="s">
        <v>38</v>
      </c>
      <c r="M2347" t="s">
        <v>38</v>
      </c>
      <c r="N2347" t="s">
        <v>38</v>
      </c>
      <c r="O2347" t="s">
        <v>38</v>
      </c>
      <c r="T2347" t="s">
        <v>38</v>
      </c>
      <c r="U2347">
        <v>0</v>
      </c>
      <c r="W2347">
        <v>0</v>
      </c>
      <c r="X2347">
        <v>0</v>
      </c>
      <c r="Y2347">
        <v>0</v>
      </c>
      <c r="AE2347">
        <f t="shared" si="108"/>
        <v>1</v>
      </c>
      <c r="AF2347">
        <f>VLOOKUP(D2347,especies!$A$2:$C$9,3,FALSE)</f>
        <v>1</v>
      </c>
      <c r="AG2347" t="str">
        <f t="shared" si="109"/>
        <v>1-Mestizo</v>
      </c>
      <c r="AH2347">
        <f>VLOOKUP('Fichas clínicas'!AG2347,razas!$A$2:$D$66,3,FALSE)</f>
        <v>1</v>
      </c>
      <c r="AI2347" t="str">
        <f t="shared" si="110"/>
        <v>M</v>
      </c>
    </row>
    <row r="2348" spans="1:35" x14ac:dyDescent="0.2">
      <c r="A2348">
        <v>2350</v>
      </c>
      <c r="B2348" t="s">
        <v>1946</v>
      </c>
      <c r="C2348" t="s">
        <v>1776</v>
      </c>
      <c r="D2348" t="s">
        <v>32</v>
      </c>
      <c r="E2348" t="s">
        <v>143</v>
      </c>
      <c r="F2348" t="s">
        <v>34</v>
      </c>
      <c r="G2348" t="s">
        <v>2804</v>
      </c>
      <c r="J2348" t="s">
        <v>4969</v>
      </c>
      <c r="K2348" t="s">
        <v>38</v>
      </c>
      <c r="L2348" t="s">
        <v>38</v>
      </c>
      <c r="M2348" t="s">
        <v>38</v>
      </c>
      <c r="N2348" t="s">
        <v>38</v>
      </c>
      <c r="O2348" t="s">
        <v>38</v>
      </c>
      <c r="T2348" t="s">
        <v>38</v>
      </c>
      <c r="U2348">
        <v>0</v>
      </c>
      <c r="W2348">
        <v>0</v>
      </c>
      <c r="X2348">
        <v>0</v>
      </c>
      <c r="Y2348">
        <v>0</v>
      </c>
      <c r="AE2348">
        <f t="shared" si="108"/>
        <v>1</v>
      </c>
      <c r="AF2348">
        <f>VLOOKUP(D2348,especies!$A$2:$C$9,3,FALSE)</f>
        <v>1</v>
      </c>
      <c r="AG2348" t="str">
        <f t="shared" si="109"/>
        <v>1-Yorkshire Terrier</v>
      </c>
      <c r="AH2348">
        <f>VLOOKUP('Fichas clínicas'!AG2348,razas!$A$2:$D$66,3,FALSE)</f>
        <v>5</v>
      </c>
      <c r="AI2348" t="str">
        <f t="shared" si="110"/>
        <v>H</v>
      </c>
    </row>
    <row r="2349" spans="1:35" x14ac:dyDescent="0.2">
      <c r="A2349">
        <v>2351</v>
      </c>
      <c r="B2349" t="s">
        <v>3680</v>
      </c>
      <c r="C2349" t="s">
        <v>4970</v>
      </c>
      <c r="D2349" t="s">
        <v>41</v>
      </c>
      <c r="E2349" t="s">
        <v>42</v>
      </c>
      <c r="F2349" t="s">
        <v>47</v>
      </c>
      <c r="G2349" t="s">
        <v>698</v>
      </c>
      <c r="J2349" t="s">
        <v>923</v>
      </c>
      <c r="K2349" t="s">
        <v>38</v>
      </c>
      <c r="L2349" t="s">
        <v>38</v>
      </c>
      <c r="M2349" t="s">
        <v>38</v>
      </c>
      <c r="N2349" t="s">
        <v>38</v>
      </c>
      <c r="O2349" t="s">
        <v>38</v>
      </c>
      <c r="T2349" t="s">
        <v>38</v>
      </c>
      <c r="U2349">
        <v>0</v>
      </c>
      <c r="W2349">
        <v>0</v>
      </c>
      <c r="X2349">
        <v>0</v>
      </c>
      <c r="Y2349">
        <v>0</v>
      </c>
      <c r="AE2349">
        <f t="shared" si="108"/>
        <v>1</v>
      </c>
      <c r="AF2349">
        <f>VLOOKUP(D2349,especies!$A$2:$C$9,3,FALSE)</f>
        <v>2</v>
      </c>
      <c r="AG2349" t="str">
        <f t="shared" si="109"/>
        <v>2-DPC (Doméstico de pelo corto o DSH)</v>
      </c>
      <c r="AH2349">
        <f>VLOOKUP('Fichas clínicas'!AG2349,razas!$A$2:$D$66,3,FALSE)</f>
        <v>51</v>
      </c>
      <c r="AI2349" t="str">
        <f t="shared" si="110"/>
        <v>M</v>
      </c>
    </row>
    <row r="2350" spans="1:35" x14ac:dyDescent="0.2">
      <c r="A2350">
        <v>2352</v>
      </c>
      <c r="B2350" t="s">
        <v>4703</v>
      </c>
      <c r="C2350" t="s">
        <v>4971</v>
      </c>
      <c r="D2350" t="s">
        <v>41</v>
      </c>
      <c r="E2350" t="s">
        <v>42</v>
      </c>
      <c r="F2350" t="s">
        <v>47</v>
      </c>
      <c r="G2350" t="s">
        <v>4972</v>
      </c>
      <c r="J2350" t="s">
        <v>271</v>
      </c>
      <c r="K2350" t="s">
        <v>38</v>
      </c>
      <c r="L2350" t="s">
        <v>38</v>
      </c>
      <c r="M2350" t="s">
        <v>38</v>
      </c>
      <c r="N2350" t="s">
        <v>38</v>
      </c>
      <c r="O2350" t="s">
        <v>38</v>
      </c>
      <c r="Q2350">
        <v>0</v>
      </c>
      <c r="T2350" t="s">
        <v>38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f t="shared" si="108"/>
        <v>1</v>
      </c>
      <c r="AF2350">
        <f>VLOOKUP(D2350,especies!$A$2:$C$9,3,FALSE)</f>
        <v>2</v>
      </c>
      <c r="AG2350" t="str">
        <f t="shared" si="109"/>
        <v>2-DPC (Doméstico de pelo corto o DSH)</v>
      </c>
      <c r="AH2350">
        <f>VLOOKUP('Fichas clínicas'!AG2350,razas!$A$2:$D$66,3,FALSE)</f>
        <v>51</v>
      </c>
      <c r="AI2350" t="str">
        <f t="shared" si="110"/>
        <v>M</v>
      </c>
    </row>
    <row r="2351" spans="1:35" x14ac:dyDescent="0.2">
      <c r="A2351">
        <v>2353</v>
      </c>
      <c r="B2351" t="s">
        <v>4703</v>
      </c>
      <c r="C2351" t="s">
        <v>4973</v>
      </c>
      <c r="D2351" t="s">
        <v>41</v>
      </c>
      <c r="E2351" t="s">
        <v>42</v>
      </c>
      <c r="F2351" t="s">
        <v>34</v>
      </c>
      <c r="G2351" t="s">
        <v>4974</v>
      </c>
      <c r="J2351" t="s">
        <v>90</v>
      </c>
      <c r="K2351" t="s">
        <v>38</v>
      </c>
      <c r="L2351" t="s">
        <v>38</v>
      </c>
      <c r="M2351" t="s">
        <v>38</v>
      </c>
      <c r="N2351" t="s">
        <v>38</v>
      </c>
      <c r="O2351" t="s">
        <v>38</v>
      </c>
      <c r="T2351" t="s">
        <v>38</v>
      </c>
      <c r="U2351">
        <v>0</v>
      </c>
      <c r="V2351">
        <v>1</v>
      </c>
      <c r="W2351">
        <v>0</v>
      </c>
      <c r="X2351">
        <v>0</v>
      </c>
      <c r="Y2351">
        <v>0</v>
      </c>
      <c r="AE2351">
        <f t="shared" si="108"/>
        <v>1</v>
      </c>
      <c r="AF2351">
        <f>VLOOKUP(D2351,especies!$A$2:$C$9,3,FALSE)</f>
        <v>2</v>
      </c>
      <c r="AG2351" t="str">
        <f t="shared" si="109"/>
        <v>2-DPC (Doméstico de pelo corto o DSH)</v>
      </c>
      <c r="AH2351">
        <f>VLOOKUP('Fichas clínicas'!AG2351,razas!$A$2:$D$66,3,FALSE)</f>
        <v>51</v>
      </c>
      <c r="AI2351" t="str">
        <f t="shared" si="110"/>
        <v>H</v>
      </c>
    </row>
    <row r="2352" spans="1:35" x14ac:dyDescent="0.2">
      <c r="A2352">
        <v>2354</v>
      </c>
      <c r="B2352" t="s">
        <v>4703</v>
      </c>
      <c r="C2352" t="s">
        <v>3566</v>
      </c>
      <c r="D2352" t="s">
        <v>41</v>
      </c>
      <c r="E2352" t="s">
        <v>42</v>
      </c>
      <c r="F2352" t="s">
        <v>47</v>
      </c>
      <c r="G2352" t="s">
        <v>4975</v>
      </c>
      <c r="J2352" t="s">
        <v>841</v>
      </c>
      <c r="K2352" t="s">
        <v>38</v>
      </c>
      <c r="L2352" t="s">
        <v>38</v>
      </c>
      <c r="M2352" t="s">
        <v>38</v>
      </c>
      <c r="N2352" t="s">
        <v>38</v>
      </c>
      <c r="O2352" t="s">
        <v>38</v>
      </c>
      <c r="T2352" t="s">
        <v>38</v>
      </c>
      <c r="U2352">
        <v>0</v>
      </c>
      <c r="V2352">
        <v>1</v>
      </c>
      <c r="W2352">
        <v>0</v>
      </c>
      <c r="X2352">
        <v>0</v>
      </c>
      <c r="Y2352">
        <v>0</v>
      </c>
      <c r="AE2352">
        <f t="shared" si="108"/>
        <v>1</v>
      </c>
      <c r="AF2352">
        <f>VLOOKUP(D2352,especies!$A$2:$C$9,3,FALSE)</f>
        <v>2</v>
      </c>
      <c r="AG2352" t="str">
        <f t="shared" si="109"/>
        <v>2-DPC (Doméstico de pelo corto o DSH)</v>
      </c>
      <c r="AH2352">
        <f>VLOOKUP('Fichas clínicas'!AG2352,razas!$A$2:$D$66,3,FALSE)</f>
        <v>51</v>
      </c>
      <c r="AI2352" t="str">
        <f t="shared" si="110"/>
        <v>M</v>
      </c>
    </row>
    <row r="2353" spans="1:35" x14ac:dyDescent="0.2">
      <c r="A2353">
        <v>2355</v>
      </c>
      <c r="B2353" t="s">
        <v>3106</v>
      </c>
      <c r="C2353" t="s">
        <v>1781</v>
      </c>
      <c r="D2353" t="s">
        <v>32</v>
      </c>
      <c r="E2353" t="s">
        <v>33</v>
      </c>
      <c r="F2353" t="s">
        <v>47</v>
      </c>
      <c r="G2353" t="s">
        <v>4935</v>
      </c>
      <c r="J2353" t="s">
        <v>717</v>
      </c>
      <c r="K2353" t="s">
        <v>38</v>
      </c>
      <c r="L2353" t="s">
        <v>38</v>
      </c>
      <c r="M2353" t="s">
        <v>38</v>
      </c>
      <c r="N2353" t="s">
        <v>38</v>
      </c>
      <c r="O2353" t="s">
        <v>38</v>
      </c>
      <c r="T2353" t="s">
        <v>38</v>
      </c>
      <c r="U2353">
        <v>0</v>
      </c>
      <c r="V2353">
        <v>1</v>
      </c>
      <c r="W2353">
        <v>0</v>
      </c>
      <c r="X2353">
        <v>0</v>
      </c>
      <c r="Y2353">
        <v>0</v>
      </c>
      <c r="AE2353">
        <f t="shared" si="108"/>
        <v>1</v>
      </c>
      <c r="AF2353">
        <f>VLOOKUP(D2353,especies!$A$2:$C$9,3,FALSE)</f>
        <v>1</v>
      </c>
      <c r="AG2353" t="str">
        <f t="shared" si="109"/>
        <v>1-Mestizo</v>
      </c>
      <c r="AH2353">
        <f>VLOOKUP('Fichas clínicas'!AG2353,razas!$A$2:$D$66,3,FALSE)</f>
        <v>1</v>
      </c>
      <c r="AI2353" t="str">
        <f t="shared" si="110"/>
        <v>M</v>
      </c>
    </row>
    <row r="2354" spans="1:35" x14ac:dyDescent="0.2">
      <c r="A2354">
        <v>2356</v>
      </c>
      <c r="B2354" t="s">
        <v>3106</v>
      </c>
      <c r="C2354" t="s">
        <v>4976</v>
      </c>
      <c r="D2354" t="s">
        <v>32</v>
      </c>
      <c r="E2354" t="s">
        <v>63</v>
      </c>
      <c r="F2354" t="s">
        <v>47</v>
      </c>
      <c r="G2354" t="s">
        <v>4977</v>
      </c>
      <c r="J2354" t="s">
        <v>741</v>
      </c>
      <c r="K2354" t="s">
        <v>38</v>
      </c>
      <c r="L2354" t="s">
        <v>38</v>
      </c>
      <c r="M2354" t="s">
        <v>38</v>
      </c>
      <c r="N2354" t="s">
        <v>38</v>
      </c>
      <c r="O2354" t="s">
        <v>38</v>
      </c>
      <c r="Q2354">
        <v>0</v>
      </c>
      <c r="T2354" t="s">
        <v>38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f t="shared" si="108"/>
        <v>1</v>
      </c>
      <c r="AF2354">
        <f>VLOOKUP(D2354,especies!$A$2:$C$9,3,FALSE)</f>
        <v>1</v>
      </c>
      <c r="AG2354" t="str">
        <f t="shared" si="109"/>
        <v>1-Fox Terrier Pelo Corto</v>
      </c>
      <c r="AH2354">
        <f>VLOOKUP('Fichas clínicas'!AG2354,razas!$A$2:$D$66,3,FALSE)</f>
        <v>2</v>
      </c>
      <c r="AI2354" t="str">
        <f t="shared" si="110"/>
        <v>M</v>
      </c>
    </row>
    <row r="2355" spans="1:35" x14ac:dyDescent="0.2">
      <c r="A2355">
        <v>2357</v>
      </c>
      <c r="B2355" t="s">
        <v>4978</v>
      </c>
      <c r="C2355" t="s">
        <v>2680</v>
      </c>
      <c r="D2355" t="s">
        <v>32</v>
      </c>
      <c r="E2355" t="s">
        <v>2375</v>
      </c>
      <c r="F2355" t="s">
        <v>34</v>
      </c>
      <c r="G2355" t="s">
        <v>3944</v>
      </c>
      <c r="J2355" t="s">
        <v>4979</v>
      </c>
      <c r="K2355" t="s">
        <v>38</v>
      </c>
      <c r="L2355" t="s">
        <v>38</v>
      </c>
      <c r="M2355" t="s">
        <v>38</v>
      </c>
      <c r="N2355" t="s">
        <v>38</v>
      </c>
      <c r="O2355" t="s">
        <v>38</v>
      </c>
      <c r="T2355" t="s">
        <v>38</v>
      </c>
      <c r="U2355">
        <v>0</v>
      </c>
      <c r="V2355">
        <v>1</v>
      </c>
      <c r="W2355">
        <v>0</v>
      </c>
      <c r="X2355">
        <v>0</v>
      </c>
      <c r="Y2355">
        <v>0</v>
      </c>
      <c r="AE2355">
        <f t="shared" si="108"/>
        <v>1</v>
      </c>
      <c r="AF2355">
        <f>VLOOKUP(D2355,especies!$A$2:$C$9,3,FALSE)</f>
        <v>1</v>
      </c>
      <c r="AG2355" t="str">
        <f t="shared" si="109"/>
        <v>1-Border Collie</v>
      </c>
      <c r="AH2355">
        <f>VLOOKUP('Fichas clínicas'!AG2355,razas!$A$2:$D$66,3,FALSE)</f>
        <v>39</v>
      </c>
      <c r="AI2355" t="str">
        <f t="shared" si="110"/>
        <v>H</v>
      </c>
    </row>
    <row r="2356" spans="1:35" x14ac:dyDescent="0.2">
      <c r="A2356">
        <v>2358</v>
      </c>
      <c r="B2356" t="s">
        <v>4277</v>
      </c>
      <c r="C2356" t="s">
        <v>2213</v>
      </c>
      <c r="D2356" t="s">
        <v>41</v>
      </c>
      <c r="E2356" t="s">
        <v>4067</v>
      </c>
      <c r="F2356" t="s">
        <v>34</v>
      </c>
      <c r="G2356" t="s">
        <v>2833</v>
      </c>
      <c r="J2356" t="s">
        <v>4980</v>
      </c>
      <c r="K2356" t="s">
        <v>38</v>
      </c>
      <c r="L2356" t="s">
        <v>38</v>
      </c>
      <c r="M2356" t="s">
        <v>38</v>
      </c>
      <c r="N2356" t="s">
        <v>38</v>
      </c>
      <c r="O2356" t="s">
        <v>38</v>
      </c>
      <c r="T2356" t="s">
        <v>38</v>
      </c>
      <c r="U2356">
        <v>0</v>
      </c>
      <c r="W2356">
        <v>0</v>
      </c>
      <c r="X2356">
        <v>0</v>
      </c>
      <c r="Y2356">
        <v>0</v>
      </c>
      <c r="AE2356">
        <f t="shared" si="108"/>
        <v>1</v>
      </c>
      <c r="AF2356">
        <f>VLOOKUP(D2356,especies!$A$2:$C$9,3,FALSE)</f>
        <v>2</v>
      </c>
      <c r="AG2356" t="str">
        <f t="shared" si="109"/>
        <v>2-Persa</v>
      </c>
      <c r="AH2356">
        <f>VLOOKUP('Fichas clínicas'!AG2356,razas!$A$2:$D$66,3,FALSE)</f>
        <v>54</v>
      </c>
      <c r="AI2356" t="str">
        <f t="shared" si="110"/>
        <v>H</v>
      </c>
    </row>
    <row r="2357" spans="1:35" x14ac:dyDescent="0.2">
      <c r="A2357">
        <v>2359</v>
      </c>
      <c r="B2357" t="s">
        <v>2474</v>
      </c>
      <c r="C2357" t="s">
        <v>4365</v>
      </c>
      <c r="D2357" t="s">
        <v>32</v>
      </c>
      <c r="E2357" t="s">
        <v>33</v>
      </c>
      <c r="F2357" t="s">
        <v>47</v>
      </c>
      <c r="G2357" t="s">
        <v>300</v>
      </c>
      <c r="J2357" t="s">
        <v>4981</v>
      </c>
      <c r="K2357" t="s">
        <v>38</v>
      </c>
      <c r="L2357" t="s">
        <v>38</v>
      </c>
      <c r="M2357" t="s">
        <v>38</v>
      </c>
      <c r="N2357" t="s">
        <v>38</v>
      </c>
      <c r="O2357" t="s">
        <v>38</v>
      </c>
      <c r="Q2357">
        <v>0</v>
      </c>
      <c r="T2357" t="s">
        <v>38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f t="shared" si="108"/>
        <v>1</v>
      </c>
      <c r="AF2357">
        <f>VLOOKUP(D2357,especies!$A$2:$C$9,3,FALSE)</f>
        <v>1</v>
      </c>
      <c r="AG2357" t="str">
        <f t="shared" si="109"/>
        <v>1-Mestizo</v>
      </c>
      <c r="AH2357">
        <f>VLOOKUP('Fichas clínicas'!AG2357,razas!$A$2:$D$66,3,FALSE)</f>
        <v>1</v>
      </c>
      <c r="AI2357" t="str">
        <f t="shared" si="110"/>
        <v>M</v>
      </c>
    </row>
  </sheetData>
  <sheetProtection formatCells="0" formatColumns="0" formatRows="0" insertColumns="0" insertRows="0" insertHyperlinks="0" deleteColumns="0" deleteRows="0" sort="0" autoFilter="0" pivotTables="0"/>
  <autoFilter ref="D1:D2357" xr:uid="{B9602F5A-6768-1942-B665-3052EB7D1149}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5861-DF9D-694C-9264-EE6341EB4E51}">
  <dimension ref="A1:D2357"/>
  <sheetViews>
    <sheetView tabSelected="1" workbookViewId="0">
      <selection activeCell="E12" sqref="E12"/>
    </sheetView>
  </sheetViews>
  <sheetFormatPr baseColWidth="10" defaultRowHeight="15" x14ac:dyDescent="0.2"/>
  <cols>
    <col min="3" max="3" width="23.6640625" customWidth="1"/>
    <col min="4" max="4" width="20" customWidth="1"/>
  </cols>
  <sheetData>
    <row r="1" spans="1:4" x14ac:dyDescent="0.2">
      <c r="A1" s="1" t="s">
        <v>11795</v>
      </c>
      <c r="B1" s="1" t="s">
        <v>11796</v>
      </c>
      <c r="C1" s="1" t="s">
        <v>11797</v>
      </c>
      <c r="D1" s="1" t="s">
        <v>11798</v>
      </c>
    </row>
    <row r="2" spans="1:4" x14ac:dyDescent="0.2">
      <c r="A2">
        <f>'Fichas clínicas'!A2</f>
        <v>1</v>
      </c>
      <c r="B2" t="str">
        <f>'Fichas clínicas'!B2</f>
        <v>12748091-5</v>
      </c>
      <c r="C2" t="str">
        <f>VLOOKUP(paciente_tutor!B2,clientes!A2:B1583,2,FALSE)</f>
        <v>Cristina</v>
      </c>
      <c r="D2" t="str">
        <f>IF(C2="#N/A","",B2)</f>
        <v>12748091-5</v>
      </c>
    </row>
    <row r="3" spans="1:4" x14ac:dyDescent="0.2">
      <c r="A3">
        <f>'Fichas clínicas'!A3</f>
        <v>2</v>
      </c>
      <c r="B3" t="str">
        <f>'Fichas clínicas'!B3</f>
        <v>19556213-k</v>
      </c>
      <c r="C3" t="str">
        <f>VLOOKUP(paciente_tutor!B3,clientes!A3:B1584,2,FALSE)</f>
        <v>NATACHA</v>
      </c>
      <c r="D3" t="str">
        <f t="shared" ref="D3:D66" si="0">IF(C3="#N/A","",B3)</f>
        <v>19556213-k</v>
      </c>
    </row>
    <row r="4" spans="1:4" x14ac:dyDescent="0.2">
      <c r="A4">
        <f>'Fichas clínicas'!A4</f>
        <v>3</v>
      </c>
      <c r="B4" t="str">
        <f>'Fichas clínicas'!B4</f>
        <v>20315385-6</v>
      </c>
      <c r="C4" t="str">
        <f>VLOOKUP(paciente_tutor!B4,clientes!A4:B1585,2,FALSE)</f>
        <v>JORDAN</v>
      </c>
      <c r="D4" t="str">
        <f t="shared" si="0"/>
        <v>20315385-6</v>
      </c>
    </row>
    <row r="5" spans="1:4" x14ac:dyDescent="0.2">
      <c r="A5">
        <f>'Fichas clínicas'!A5</f>
        <v>4</v>
      </c>
      <c r="B5" t="str">
        <f>'Fichas clínicas'!B5</f>
        <v>19249784-1</v>
      </c>
      <c r="C5" t="str">
        <f>VLOOKUP(paciente_tutor!B5,clientes!A5:B1586,2,FALSE)</f>
        <v>DOMINIQUE</v>
      </c>
      <c r="D5" t="str">
        <f t="shared" si="0"/>
        <v>19249784-1</v>
      </c>
    </row>
    <row r="6" spans="1:4" x14ac:dyDescent="0.2">
      <c r="A6">
        <f>'Fichas clínicas'!A6</f>
        <v>5</v>
      </c>
      <c r="B6" t="str">
        <f>'Fichas clínicas'!B6</f>
        <v>18590970-0</v>
      </c>
      <c r="C6" t="str">
        <f>VLOOKUP(paciente_tutor!B6,clientes!A6:B1587,2,FALSE)</f>
        <v>ANTONIO</v>
      </c>
      <c r="D6" t="str">
        <f t="shared" si="0"/>
        <v>18590970-0</v>
      </c>
    </row>
    <row r="7" spans="1:4" x14ac:dyDescent="0.2">
      <c r="A7">
        <f>'Fichas clínicas'!A7</f>
        <v>6</v>
      </c>
      <c r="B7" t="str">
        <f>'Fichas clínicas'!B7</f>
        <v>13160474-2</v>
      </c>
      <c r="C7" t="str">
        <f>VLOOKUP(paciente_tutor!B7,clientes!A7:B1588,2,FALSE)</f>
        <v>DANIEL ALEJANDRO</v>
      </c>
      <c r="D7" t="str">
        <f t="shared" si="0"/>
        <v>13160474-2</v>
      </c>
    </row>
    <row r="8" spans="1:4" x14ac:dyDescent="0.2">
      <c r="A8">
        <f>'Fichas clínicas'!A8</f>
        <v>7</v>
      </c>
      <c r="B8" t="str">
        <f>'Fichas clínicas'!B8</f>
        <v>10782898-2</v>
      </c>
      <c r="C8" t="str">
        <f>VLOOKUP(paciente_tutor!B8,clientes!A8:B1589,2,FALSE)</f>
        <v>Patricio</v>
      </c>
      <c r="D8" t="str">
        <f t="shared" si="0"/>
        <v>10782898-2</v>
      </c>
    </row>
    <row r="9" spans="1:4" x14ac:dyDescent="0.2">
      <c r="A9">
        <f>'Fichas clínicas'!A9</f>
        <v>8</v>
      </c>
      <c r="B9" t="str">
        <f>'Fichas clínicas'!B9</f>
        <v>11325552-8</v>
      </c>
      <c r="C9" t="str">
        <f>VLOOKUP(paciente_tutor!B9,clientes!A9:B1590,2,FALSE)</f>
        <v>Jimena</v>
      </c>
      <c r="D9" t="str">
        <f t="shared" si="0"/>
        <v>11325552-8</v>
      </c>
    </row>
    <row r="10" spans="1:4" x14ac:dyDescent="0.2">
      <c r="A10">
        <f>'Fichas clínicas'!A10</f>
        <v>9</v>
      </c>
      <c r="B10" t="str">
        <f>'Fichas clínicas'!B10</f>
        <v>20314994-8</v>
      </c>
      <c r="C10" t="str">
        <f>VLOOKUP(paciente_tutor!B10,clientes!A10:B1591,2,FALSE)</f>
        <v>Francisca Antonia</v>
      </c>
      <c r="D10" t="str">
        <f t="shared" si="0"/>
        <v>20314994-8</v>
      </c>
    </row>
    <row r="11" spans="1:4" x14ac:dyDescent="0.2">
      <c r="A11">
        <f>'Fichas clínicas'!A11</f>
        <v>10</v>
      </c>
      <c r="B11" t="str">
        <f>'Fichas clínicas'!B11</f>
        <v>20016823-2</v>
      </c>
      <c r="C11" t="str">
        <f>VLOOKUP(paciente_tutor!B11,clientes!A11:B1592,2,FALSE)</f>
        <v>Mitcheel Cristina Alexandra</v>
      </c>
      <c r="D11" t="str">
        <f t="shared" si="0"/>
        <v>20016823-2</v>
      </c>
    </row>
    <row r="12" spans="1:4" x14ac:dyDescent="0.2">
      <c r="A12">
        <f>'Fichas clínicas'!A12</f>
        <v>11</v>
      </c>
      <c r="B12" t="str">
        <f>'Fichas clínicas'!B12</f>
        <v>12431326-0</v>
      </c>
      <c r="C12" t="str">
        <f>VLOOKUP(paciente_tutor!B12,clientes!A12:B1593,2,FALSE)</f>
        <v>JUAN CARLOS</v>
      </c>
      <c r="D12" t="str">
        <f t="shared" si="0"/>
        <v>12431326-0</v>
      </c>
    </row>
    <row r="13" spans="1:4" x14ac:dyDescent="0.2">
      <c r="A13">
        <f>'Fichas clínicas'!A13</f>
        <v>12</v>
      </c>
      <c r="B13" t="str">
        <f>'Fichas clínicas'!B13</f>
        <v>15758791-9</v>
      </c>
      <c r="C13" t="str">
        <f>VLOOKUP(paciente_tutor!B13,clientes!A13:B1594,2,FALSE)</f>
        <v>Magdalena Andrea</v>
      </c>
      <c r="D13" t="str">
        <f t="shared" si="0"/>
        <v>15758791-9</v>
      </c>
    </row>
    <row r="14" spans="1:4" x14ac:dyDescent="0.2">
      <c r="A14">
        <f>'Fichas clínicas'!A14</f>
        <v>13</v>
      </c>
      <c r="B14" t="str">
        <f>'Fichas clínicas'!B14</f>
        <v>19249784-1</v>
      </c>
      <c r="C14" t="str">
        <f>VLOOKUP(paciente_tutor!B14,clientes!A14:B1595,2,FALSE)</f>
        <v>DOMINIQUE</v>
      </c>
      <c r="D14" t="str">
        <f t="shared" si="0"/>
        <v>19249784-1</v>
      </c>
    </row>
    <row r="15" spans="1:4" x14ac:dyDescent="0.2">
      <c r="A15">
        <f>'Fichas clínicas'!A15</f>
        <v>14</v>
      </c>
      <c r="B15" t="str">
        <f>'Fichas clínicas'!B15</f>
        <v>19249784-1</v>
      </c>
      <c r="C15" t="str">
        <f>VLOOKUP(paciente_tutor!B15,clientes!A15:B1596,2,FALSE)</f>
        <v>DOMINIQUE</v>
      </c>
      <c r="D15" t="str">
        <f t="shared" si="0"/>
        <v>19249784-1</v>
      </c>
    </row>
    <row r="16" spans="1:4" x14ac:dyDescent="0.2">
      <c r="A16">
        <f>'Fichas clínicas'!A16</f>
        <v>15</v>
      </c>
      <c r="B16" t="str">
        <f>'Fichas clínicas'!B16</f>
        <v>19249784-1</v>
      </c>
      <c r="C16" t="str">
        <f>VLOOKUP(paciente_tutor!B16,clientes!A16:B1597,2,FALSE)</f>
        <v>DOMINIQUE</v>
      </c>
      <c r="D16" t="str">
        <f t="shared" si="0"/>
        <v>19249784-1</v>
      </c>
    </row>
    <row r="17" spans="1:4" x14ac:dyDescent="0.2">
      <c r="A17">
        <f>'Fichas clínicas'!A17</f>
        <v>16</v>
      </c>
      <c r="B17" t="str">
        <f>'Fichas clínicas'!B17</f>
        <v>11325627-3</v>
      </c>
      <c r="C17" t="str">
        <f>VLOOKUP(paciente_tutor!B17,clientes!A17:B1598,2,FALSE)</f>
        <v>MARIA ANGELICA</v>
      </c>
      <c r="D17" t="str">
        <f t="shared" si="0"/>
        <v>11325627-3</v>
      </c>
    </row>
    <row r="18" spans="1:4" x14ac:dyDescent="0.2">
      <c r="A18">
        <f>'Fichas clínicas'!A18</f>
        <v>17</v>
      </c>
      <c r="B18" t="str">
        <f>'Fichas clínicas'!B18</f>
        <v>05175505-7</v>
      </c>
      <c r="C18" t="e">
        <f>VLOOKUP(paciente_tutor!B18,clientes!A18:B1599,2,FALSE)</f>
        <v>#N/A</v>
      </c>
      <c r="D18" t="e">
        <f t="shared" si="0"/>
        <v>#N/A</v>
      </c>
    </row>
    <row r="19" spans="1:4" x14ac:dyDescent="0.2">
      <c r="A19">
        <f>'Fichas clínicas'!A19</f>
        <v>18</v>
      </c>
      <c r="B19" t="str">
        <f>'Fichas clínicas'!B19</f>
        <v>05175505-7</v>
      </c>
      <c r="C19" t="e">
        <f>VLOOKUP(paciente_tutor!B19,clientes!A19:B1600,2,FALSE)</f>
        <v>#N/A</v>
      </c>
      <c r="D19" t="e">
        <f t="shared" si="0"/>
        <v>#N/A</v>
      </c>
    </row>
    <row r="20" spans="1:4" x14ac:dyDescent="0.2">
      <c r="A20">
        <f>'Fichas clínicas'!A20</f>
        <v>19</v>
      </c>
      <c r="B20" t="str">
        <f>'Fichas clínicas'!B20</f>
        <v>22062819-1</v>
      </c>
      <c r="C20" t="str">
        <f>VLOOKUP(paciente_tutor!B20,clientes!A20:B1601,2,FALSE)</f>
        <v>Sofia</v>
      </c>
      <c r="D20" t="str">
        <f t="shared" si="0"/>
        <v>22062819-1</v>
      </c>
    </row>
    <row r="21" spans="1:4" x14ac:dyDescent="0.2">
      <c r="A21">
        <f>'Fichas clínicas'!A21</f>
        <v>20</v>
      </c>
      <c r="B21" t="str">
        <f>'Fichas clínicas'!B21</f>
        <v>20707780-1</v>
      </c>
      <c r="C21" t="str">
        <f>VLOOKUP(paciente_tutor!B21,clientes!A21:B1602,2,FALSE)</f>
        <v>JAVIERA BELEN</v>
      </c>
      <c r="D21" t="str">
        <f t="shared" si="0"/>
        <v>20707780-1</v>
      </c>
    </row>
    <row r="22" spans="1:4" x14ac:dyDescent="0.2">
      <c r="A22">
        <f>'Fichas clínicas'!A22</f>
        <v>21</v>
      </c>
      <c r="B22" t="str">
        <f>'Fichas clínicas'!B22</f>
        <v>14427559-4</v>
      </c>
      <c r="C22" t="str">
        <f>VLOOKUP(paciente_tutor!B22,clientes!A22:B1603,2,FALSE)</f>
        <v>ANA CECILIA</v>
      </c>
      <c r="D22" t="str">
        <f t="shared" si="0"/>
        <v>14427559-4</v>
      </c>
    </row>
    <row r="23" spans="1:4" x14ac:dyDescent="0.2">
      <c r="A23">
        <f>'Fichas clínicas'!A23</f>
        <v>22</v>
      </c>
      <c r="B23" t="str">
        <f>'Fichas clínicas'!B23</f>
        <v>11187385-2</v>
      </c>
      <c r="C23" t="str">
        <f>VLOOKUP(paciente_tutor!B23,clientes!A23:B1604,2,FALSE)</f>
        <v>ARNOLDO FABIAN</v>
      </c>
      <c r="D23" t="str">
        <f t="shared" si="0"/>
        <v>11187385-2</v>
      </c>
    </row>
    <row r="24" spans="1:4" x14ac:dyDescent="0.2">
      <c r="A24">
        <f>'Fichas clínicas'!A24</f>
        <v>23</v>
      </c>
      <c r="B24" t="str">
        <f>'Fichas clínicas'!B24</f>
        <v>18887671-4</v>
      </c>
      <c r="C24" t="str">
        <f>VLOOKUP(paciente_tutor!B24,clientes!A24:B1605,2,FALSE)</f>
        <v>DANIZA ANDREA</v>
      </c>
      <c r="D24" t="str">
        <f t="shared" si="0"/>
        <v>18887671-4</v>
      </c>
    </row>
    <row r="25" spans="1:4" x14ac:dyDescent="0.2">
      <c r="A25">
        <f>'Fichas clínicas'!A25</f>
        <v>24</v>
      </c>
      <c r="B25" t="str">
        <f>'Fichas clínicas'!B25</f>
        <v>20346376-6</v>
      </c>
      <c r="C25" t="str">
        <f>VLOOKUP(paciente_tutor!B25,clientes!A25:B1606,2,FALSE)</f>
        <v>GERALD MATIAS</v>
      </c>
      <c r="D25" t="str">
        <f t="shared" si="0"/>
        <v>20346376-6</v>
      </c>
    </row>
    <row r="26" spans="1:4" x14ac:dyDescent="0.2">
      <c r="A26">
        <f>'Fichas clínicas'!A26</f>
        <v>25</v>
      </c>
      <c r="B26" t="str">
        <f>'Fichas clínicas'!B26</f>
        <v>7467495-k</v>
      </c>
      <c r="C26" t="str">
        <f>VLOOKUP(paciente_tutor!B26,clientes!A26:B1607,2,FALSE)</f>
        <v>MARGARITA</v>
      </c>
      <c r="D26" t="str">
        <f t="shared" si="0"/>
        <v>7467495-k</v>
      </c>
    </row>
    <row r="27" spans="1:4" x14ac:dyDescent="0.2">
      <c r="A27">
        <f>'Fichas clínicas'!A27</f>
        <v>26</v>
      </c>
      <c r="B27" t="str">
        <f>'Fichas clínicas'!B27</f>
        <v>5434456-2</v>
      </c>
      <c r="C27" t="str">
        <f>VLOOKUP(paciente_tutor!B27,clientes!A27:B1608,2,FALSE)</f>
        <v>GUSTAVO ESTEBAN</v>
      </c>
      <c r="D27" t="str">
        <f t="shared" si="0"/>
        <v>5434456-2</v>
      </c>
    </row>
    <row r="28" spans="1:4" x14ac:dyDescent="0.2">
      <c r="A28">
        <f>'Fichas clínicas'!A28</f>
        <v>27</v>
      </c>
      <c r="B28" t="str">
        <f>'Fichas clínicas'!B28</f>
        <v>17276561-0</v>
      </c>
      <c r="C28" t="str">
        <f>VLOOKUP(paciente_tutor!B28,clientes!A28:B1609,2,FALSE)</f>
        <v>MARÍA</v>
      </c>
      <c r="D28" t="str">
        <f t="shared" si="0"/>
        <v>17276561-0</v>
      </c>
    </row>
    <row r="29" spans="1:4" x14ac:dyDescent="0.2">
      <c r="A29">
        <f>'Fichas clínicas'!A29</f>
        <v>28</v>
      </c>
      <c r="B29" t="str">
        <f>'Fichas clínicas'!B29</f>
        <v>10251174-3</v>
      </c>
      <c r="C29" t="e">
        <f>VLOOKUP(paciente_tutor!B29,clientes!A29:B1610,2,FALSE)</f>
        <v>#N/A</v>
      </c>
      <c r="D29" t="e">
        <f t="shared" si="0"/>
        <v>#N/A</v>
      </c>
    </row>
    <row r="30" spans="1:4" x14ac:dyDescent="0.2">
      <c r="A30">
        <f>'Fichas clínicas'!A30</f>
        <v>29</v>
      </c>
      <c r="B30" t="str">
        <f>'Fichas clínicas'!B30</f>
        <v>16463817-0</v>
      </c>
      <c r="C30" t="str">
        <f>VLOOKUP(paciente_tutor!B30,clientes!A30:B1611,2,FALSE)</f>
        <v>ANA MARÍA</v>
      </c>
      <c r="D30" t="str">
        <f t="shared" si="0"/>
        <v>16463817-0</v>
      </c>
    </row>
    <row r="31" spans="1:4" x14ac:dyDescent="0.2">
      <c r="A31">
        <f>'Fichas clínicas'!A31</f>
        <v>30</v>
      </c>
      <c r="B31" t="str">
        <f>'Fichas clínicas'!B31</f>
        <v>14485161-7</v>
      </c>
      <c r="C31" t="str">
        <f>VLOOKUP(paciente_tutor!B31,clientes!A31:B1612,2,FALSE)</f>
        <v>JACQUELINE</v>
      </c>
      <c r="D31" t="str">
        <f t="shared" si="0"/>
        <v>14485161-7</v>
      </c>
    </row>
    <row r="32" spans="1:4" x14ac:dyDescent="0.2">
      <c r="A32">
        <f>'Fichas clínicas'!A32</f>
        <v>31</v>
      </c>
      <c r="B32" t="str">
        <f>'Fichas clínicas'!B32</f>
        <v>12430485-7</v>
      </c>
      <c r="C32" t="str">
        <f>VLOOKUP(paciente_tutor!B32,clientes!A32:B1613,2,FALSE)</f>
        <v>LEYLA</v>
      </c>
      <c r="D32" t="str">
        <f t="shared" si="0"/>
        <v>12430485-7</v>
      </c>
    </row>
    <row r="33" spans="1:4" x14ac:dyDescent="0.2">
      <c r="A33">
        <f>'Fichas clínicas'!A33</f>
        <v>32</v>
      </c>
      <c r="B33" t="str">
        <f>'Fichas clínicas'!B33</f>
        <v>20616154-k</v>
      </c>
      <c r="C33" t="str">
        <f>VLOOKUP(paciente_tutor!B33,clientes!A33:B1614,2,FALSE)</f>
        <v>FERNANDA ANTONIA</v>
      </c>
      <c r="D33" t="str">
        <f t="shared" si="0"/>
        <v>20616154-k</v>
      </c>
    </row>
    <row r="34" spans="1:4" x14ac:dyDescent="0.2">
      <c r="A34">
        <f>'Fichas clínicas'!A34</f>
        <v>33</v>
      </c>
      <c r="B34" t="str">
        <f>'Fichas clínicas'!B34</f>
        <v>16159892-5</v>
      </c>
      <c r="C34" t="str">
        <f>VLOOKUP(paciente_tutor!B34,clientes!A34:B1615,2,FALSE)</f>
        <v>ALEJANDRA NATALY</v>
      </c>
      <c r="D34" t="str">
        <f t="shared" si="0"/>
        <v>16159892-5</v>
      </c>
    </row>
    <row r="35" spans="1:4" x14ac:dyDescent="0.2">
      <c r="A35">
        <f>'Fichas clínicas'!A35</f>
        <v>34</v>
      </c>
      <c r="B35" t="str">
        <f>'Fichas clínicas'!B35</f>
        <v>17511757-1</v>
      </c>
      <c r="C35" t="str">
        <f>VLOOKUP(paciente_tutor!B35,clientes!A35:B1616,2,FALSE)</f>
        <v>DANIELA ROCIO</v>
      </c>
      <c r="D35" t="str">
        <f t="shared" si="0"/>
        <v>17511757-1</v>
      </c>
    </row>
    <row r="36" spans="1:4" x14ac:dyDescent="0.2">
      <c r="A36">
        <f>'Fichas clínicas'!A36</f>
        <v>35</v>
      </c>
      <c r="B36" t="str">
        <f>'Fichas clínicas'!B36</f>
        <v>8785568-6</v>
      </c>
      <c r="C36" t="str">
        <f>VLOOKUP(paciente_tutor!B36,clientes!A36:B1617,2,FALSE)</f>
        <v>MARIA</v>
      </c>
      <c r="D36" t="str">
        <f t="shared" si="0"/>
        <v>8785568-6</v>
      </c>
    </row>
    <row r="37" spans="1:4" x14ac:dyDescent="0.2">
      <c r="A37">
        <f>'Fichas clínicas'!A37</f>
        <v>36</v>
      </c>
      <c r="B37" t="str">
        <f>'Fichas clínicas'!B37</f>
        <v>15625676-5</v>
      </c>
      <c r="C37" t="str">
        <f>VLOOKUP(paciente_tutor!B37,clientes!A37:B1618,2,FALSE)</f>
        <v>IVON</v>
      </c>
      <c r="D37" t="str">
        <f t="shared" si="0"/>
        <v>15625676-5</v>
      </c>
    </row>
    <row r="38" spans="1:4" x14ac:dyDescent="0.2">
      <c r="A38">
        <f>'Fichas clínicas'!A38</f>
        <v>37</v>
      </c>
      <c r="B38" t="str">
        <f>'Fichas clínicas'!B38</f>
        <v>19556027-7</v>
      </c>
      <c r="C38" t="str">
        <f>VLOOKUP(paciente_tutor!B38,clientes!A38:B1619,2,FALSE)</f>
        <v>CRISTIAN</v>
      </c>
      <c r="D38" t="str">
        <f t="shared" si="0"/>
        <v>19556027-7</v>
      </c>
    </row>
    <row r="39" spans="1:4" x14ac:dyDescent="0.2">
      <c r="A39">
        <f>'Fichas clínicas'!A39</f>
        <v>38</v>
      </c>
      <c r="B39" t="str">
        <f>'Fichas clínicas'!B39</f>
        <v>19249784-1</v>
      </c>
      <c r="C39" t="str">
        <f>VLOOKUP(paciente_tutor!B39,clientes!A39:B1620,2,FALSE)</f>
        <v>DOMINIQUE</v>
      </c>
      <c r="D39" t="str">
        <f t="shared" si="0"/>
        <v>19249784-1</v>
      </c>
    </row>
    <row r="40" spans="1:4" x14ac:dyDescent="0.2">
      <c r="A40">
        <f>'Fichas clínicas'!A40</f>
        <v>39</v>
      </c>
      <c r="B40" t="str">
        <f>'Fichas clínicas'!B40</f>
        <v>17283582-1</v>
      </c>
      <c r="C40" t="str">
        <f>VLOOKUP(paciente_tutor!B40,clientes!A40:B1621,2,FALSE)</f>
        <v>PALOMA</v>
      </c>
      <c r="D40" t="str">
        <f t="shared" si="0"/>
        <v>17283582-1</v>
      </c>
    </row>
    <row r="41" spans="1:4" x14ac:dyDescent="0.2">
      <c r="A41">
        <f>'Fichas clínicas'!A41</f>
        <v>40</v>
      </c>
      <c r="B41" t="str">
        <f>'Fichas clínicas'!B41</f>
        <v>12993681-9</v>
      </c>
      <c r="C41" t="str">
        <f>VLOOKUP(paciente_tutor!B41,clientes!A41:B1622,2,FALSE)</f>
        <v>MIRIAN</v>
      </c>
      <c r="D41" t="str">
        <f t="shared" si="0"/>
        <v>12993681-9</v>
      </c>
    </row>
    <row r="42" spans="1:4" x14ac:dyDescent="0.2">
      <c r="A42">
        <f>'Fichas clínicas'!A42</f>
        <v>41</v>
      </c>
      <c r="B42" t="str">
        <f>'Fichas clínicas'!B42</f>
        <v>21359861-9</v>
      </c>
      <c r="C42" t="str">
        <f>VLOOKUP(paciente_tutor!B42,clientes!A42:B1623,2,FALSE)</f>
        <v>KARINA</v>
      </c>
      <c r="D42" t="str">
        <f t="shared" si="0"/>
        <v>21359861-9</v>
      </c>
    </row>
    <row r="43" spans="1:4" x14ac:dyDescent="0.2">
      <c r="A43">
        <f>'Fichas clínicas'!A43</f>
        <v>42</v>
      </c>
      <c r="B43" t="str">
        <f>'Fichas clínicas'!B43</f>
        <v>19248954-7</v>
      </c>
      <c r="C43" t="str">
        <f>VLOOKUP(paciente_tutor!B43,clientes!A43:B1624,2,FALSE)</f>
        <v>FRANCISCO</v>
      </c>
      <c r="D43" t="str">
        <f t="shared" si="0"/>
        <v>19248954-7</v>
      </c>
    </row>
    <row r="44" spans="1:4" x14ac:dyDescent="0.2">
      <c r="A44">
        <f>'Fichas clínicas'!A44</f>
        <v>43</v>
      </c>
      <c r="B44" t="str">
        <f>'Fichas clínicas'!B44</f>
        <v>13519942-7</v>
      </c>
      <c r="C44" t="str">
        <f>VLOOKUP(paciente_tutor!B44,clientes!A44:B1625,2,FALSE)</f>
        <v>JAVIER</v>
      </c>
      <c r="D44" t="str">
        <f t="shared" si="0"/>
        <v>13519942-7</v>
      </c>
    </row>
    <row r="45" spans="1:4" x14ac:dyDescent="0.2">
      <c r="A45">
        <f>'Fichas clínicas'!A45</f>
        <v>44</v>
      </c>
      <c r="B45" t="str">
        <f>'Fichas clínicas'!B45</f>
        <v>16806247-8</v>
      </c>
      <c r="C45" t="str">
        <f>VLOOKUP(paciente_tutor!B45,clientes!A45:B1626,2,FALSE)</f>
        <v>CINTHYA DENIS</v>
      </c>
      <c r="D45" t="str">
        <f t="shared" si="0"/>
        <v>16806247-8</v>
      </c>
    </row>
    <row r="46" spans="1:4" x14ac:dyDescent="0.2">
      <c r="A46">
        <f>'Fichas clínicas'!A46</f>
        <v>45</v>
      </c>
      <c r="B46" t="str">
        <f>'Fichas clínicas'!B46</f>
        <v>20315385-6</v>
      </c>
      <c r="C46" t="str">
        <f>VLOOKUP(paciente_tutor!B46,clientes!A46:B1627,2,FALSE)</f>
        <v>JORDAN</v>
      </c>
      <c r="D46" t="str">
        <f t="shared" si="0"/>
        <v>20315385-6</v>
      </c>
    </row>
    <row r="47" spans="1:4" x14ac:dyDescent="0.2">
      <c r="A47">
        <f>'Fichas clínicas'!A47</f>
        <v>46</v>
      </c>
      <c r="B47" t="str">
        <f>'Fichas clínicas'!B47</f>
        <v>21742568-9</v>
      </c>
      <c r="C47" t="str">
        <f>VLOOKUP(paciente_tutor!B47,clientes!A47:B1628,2,FALSE)</f>
        <v>CAROLINA</v>
      </c>
      <c r="D47" t="str">
        <f t="shared" si="0"/>
        <v>21742568-9</v>
      </c>
    </row>
    <row r="48" spans="1:4" x14ac:dyDescent="0.2">
      <c r="A48">
        <f>'Fichas clínicas'!A48</f>
        <v>47</v>
      </c>
      <c r="B48" t="str">
        <f>'Fichas clínicas'!B48</f>
        <v>15477487-4</v>
      </c>
      <c r="C48" t="str">
        <f>VLOOKUP(paciente_tutor!B48,clientes!A48:B1629,2,FALSE)</f>
        <v>ANDREA</v>
      </c>
      <c r="D48" t="str">
        <f t="shared" si="0"/>
        <v>15477487-4</v>
      </c>
    </row>
    <row r="49" spans="1:4" x14ac:dyDescent="0.2">
      <c r="A49">
        <f>'Fichas clínicas'!A49</f>
        <v>48</v>
      </c>
      <c r="B49" t="str">
        <f>'Fichas clínicas'!B49</f>
        <v>15389247-4</v>
      </c>
      <c r="C49" t="str">
        <f>VLOOKUP(paciente_tutor!B49,clientes!A49:B1630,2,FALSE)</f>
        <v>PAULINA</v>
      </c>
      <c r="D49" t="str">
        <f t="shared" si="0"/>
        <v>15389247-4</v>
      </c>
    </row>
    <row r="50" spans="1:4" x14ac:dyDescent="0.2">
      <c r="A50">
        <f>'Fichas clínicas'!A50</f>
        <v>49</v>
      </c>
      <c r="B50" t="str">
        <f>'Fichas clínicas'!B50</f>
        <v>13847668-5</v>
      </c>
      <c r="C50" t="str">
        <f>VLOOKUP(paciente_tutor!B50,clientes!A50:B1631,2,FALSE)</f>
        <v>CLAUDIA</v>
      </c>
      <c r="D50" t="str">
        <f t="shared" si="0"/>
        <v>13847668-5</v>
      </c>
    </row>
    <row r="51" spans="1:4" x14ac:dyDescent="0.2">
      <c r="A51">
        <f>'Fichas clínicas'!A51</f>
        <v>50</v>
      </c>
      <c r="B51" t="str">
        <f>'Fichas clínicas'!B51</f>
        <v>21022486-6</v>
      </c>
      <c r="C51" t="str">
        <f>VLOOKUP(paciente_tutor!B51,clientes!A51:B1632,2,FALSE)</f>
        <v>Michelle</v>
      </c>
      <c r="D51" t="str">
        <f t="shared" si="0"/>
        <v>21022486-6</v>
      </c>
    </row>
    <row r="52" spans="1:4" x14ac:dyDescent="0.2">
      <c r="A52">
        <f>'Fichas clínicas'!A52</f>
        <v>51</v>
      </c>
      <c r="B52" t="str">
        <f>'Fichas clínicas'!B52</f>
        <v>19281593-2</v>
      </c>
      <c r="C52" t="str">
        <f>VLOOKUP(paciente_tutor!B52,clientes!A52:B1633,2,FALSE)</f>
        <v>ANDREA</v>
      </c>
      <c r="D52" t="str">
        <f t="shared" si="0"/>
        <v>19281593-2</v>
      </c>
    </row>
    <row r="53" spans="1:4" x14ac:dyDescent="0.2">
      <c r="A53">
        <f>'Fichas clínicas'!A53</f>
        <v>52</v>
      </c>
      <c r="B53" t="str">
        <f>'Fichas clínicas'!B53</f>
        <v>19281593-2</v>
      </c>
      <c r="C53" t="str">
        <f>VLOOKUP(paciente_tutor!B53,clientes!A53:B1634,2,FALSE)</f>
        <v>ANDREA</v>
      </c>
      <c r="D53" t="str">
        <f t="shared" si="0"/>
        <v>19281593-2</v>
      </c>
    </row>
    <row r="54" spans="1:4" x14ac:dyDescent="0.2">
      <c r="A54">
        <f>'Fichas clínicas'!A54</f>
        <v>53</v>
      </c>
      <c r="B54" t="str">
        <f>'Fichas clínicas'!B54</f>
        <v>10073818-k</v>
      </c>
      <c r="C54" t="e">
        <f>VLOOKUP(paciente_tutor!B54,clientes!A54:B1635,2,FALSE)</f>
        <v>#N/A</v>
      </c>
      <c r="D54" t="e">
        <f t="shared" si="0"/>
        <v>#N/A</v>
      </c>
    </row>
    <row r="55" spans="1:4" x14ac:dyDescent="0.2">
      <c r="A55">
        <f>'Fichas clínicas'!A55</f>
        <v>55</v>
      </c>
      <c r="B55" t="str">
        <f>'Fichas clínicas'!B55</f>
        <v>16160582-4</v>
      </c>
      <c r="C55" t="str">
        <f>VLOOKUP(paciente_tutor!B55,clientes!A55:B1636,2,FALSE)</f>
        <v>Lisette</v>
      </c>
      <c r="D55" t="str">
        <f t="shared" si="0"/>
        <v>16160582-4</v>
      </c>
    </row>
    <row r="56" spans="1:4" x14ac:dyDescent="0.2">
      <c r="A56">
        <f>'Fichas clínicas'!A56</f>
        <v>56</v>
      </c>
      <c r="B56" t="str">
        <f>'Fichas clínicas'!B56</f>
        <v>16160582-4</v>
      </c>
      <c r="C56" t="str">
        <f>VLOOKUP(paciente_tutor!B56,clientes!A56:B1637,2,FALSE)</f>
        <v>Lisette</v>
      </c>
      <c r="D56" t="str">
        <f t="shared" si="0"/>
        <v>16160582-4</v>
      </c>
    </row>
    <row r="57" spans="1:4" x14ac:dyDescent="0.2">
      <c r="A57">
        <f>'Fichas clínicas'!A57</f>
        <v>57</v>
      </c>
      <c r="B57" t="str">
        <f>'Fichas clínicas'!B57</f>
        <v>15531062-6</v>
      </c>
      <c r="C57" t="str">
        <f>VLOOKUP(paciente_tutor!B57,clientes!A57:B1638,2,FALSE)</f>
        <v>CAROLINA</v>
      </c>
      <c r="D57" t="str">
        <f t="shared" si="0"/>
        <v>15531062-6</v>
      </c>
    </row>
    <row r="58" spans="1:4" x14ac:dyDescent="0.2">
      <c r="A58">
        <f>'Fichas clínicas'!A58</f>
        <v>58</v>
      </c>
      <c r="B58" t="str">
        <f>'Fichas clínicas'!B58</f>
        <v>18590792-9</v>
      </c>
      <c r="C58" t="str">
        <f>VLOOKUP(paciente_tutor!B58,clientes!A58:B1639,2,FALSE)</f>
        <v>DANIELA DEL CARMEN</v>
      </c>
      <c r="D58" t="str">
        <f t="shared" si="0"/>
        <v>18590792-9</v>
      </c>
    </row>
    <row r="59" spans="1:4" x14ac:dyDescent="0.2">
      <c r="A59">
        <f>'Fichas clínicas'!A59</f>
        <v>59</v>
      </c>
      <c r="B59" t="str">
        <f>'Fichas clínicas'!B59</f>
        <v>17513079-9</v>
      </c>
      <c r="C59" t="str">
        <f>VLOOKUP(paciente_tutor!B59,clientes!A59:B1640,2,FALSE)</f>
        <v>IVÁN</v>
      </c>
      <c r="D59" t="str">
        <f t="shared" si="0"/>
        <v>17513079-9</v>
      </c>
    </row>
    <row r="60" spans="1:4" x14ac:dyDescent="0.2">
      <c r="A60">
        <f>'Fichas clínicas'!A60</f>
        <v>60</v>
      </c>
      <c r="B60" t="str">
        <f>'Fichas clínicas'!B60</f>
        <v>19022056-7</v>
      </c>
      <c r="C60" t="str">
        <f>VLOOKUP(paciente_tutor!B60,clientes!A60:B1641,2,FALSE)</f>
        <v>ANGELA YANET</v>
      </c>
      <c r="D60" t="str">
        <f t="shared" si="0"/>
        <v>19022056-7</v>
      </c>
    </row>
    <row r="61" spans="1:4" x14ac:dyDescent="0.2">
      <c r="A61">
        <f>'Fichas clínicas'!A61</f>
        <v>61</v>
      </c>
      <c r="B61" t="str">
        <f>'Fichas clínicas'!B61</f>
        <v>26187713-9</v>
      </c>
      <c r="C61" t="str">
        <f>VLOOKUP(paciente_tutor!B61,clientes!A61:B1642,2,FALSE)</f>
        <v>DANIELA</v>
      </c>
      <c r="D61" t="str">
        <f t="shared" si="0"/>
        <v>26187713-9</v>
      </c>
    </row>
    <row r="62" spans="1:4" x14ac:dyDescent="0.2">
      <c r="A62">
        <f>'Fichas clínicas'!A62</f>
        <v>62</v>
      </c>
      <c r="B62" t="str">
        <f>'Fichas clínicas'!B62</f>
        <v>21742568-9</v>
      </c>
      <c r="C62" t="str">
        <f>VLOOKUP(paciente_tutor!B62,clientes!A62:B1643,2,FALSE)</f>
        <v>CAROLINA</v>
      </c>
      <c r="D62" t="str">
        <f t="shared" si="0"/>
        <v>21742568-9</v>
      </c>
    </row>
    <row r="63" spans="1:4" x14ac:dyDescent="0.2">
      <c r="A63">
        <f>'Fichas clínicas'!A63</f>
        <v>63</v>
      </c>
      <c r="B63" t="str">
        <f>'Fichas clínicas'!B63</f>
        <v>17694013-1</v>
      </c>
      <c r="C63" t="str">
        <f>VLOOKUP(paciente_tutor!B63,clientes!A63:B1644,2,FALSE)</f>
        <v>MITZY FIDELINA</v>
      </c>
      <c r="D63" t="str">
        <f t="shared" si="0"/>
        <v>17694013-1</v>
      </c>
    </row>
    <row r="64" spans="1:4" x14ac:dyDescent="0.2">
      <c r="A64">
        <f>'Fichas clínicas'!A64</f>
        <v>64</v>
      </c>
      <c r="B64" t="str">
        <f>'Fichas clínicas'!B64</f>
        <v>15294412-8</v>
      </c>
      <c r="C64" t="str">
        <f>VLOOKUP(paciente_tutor!B64,clientes!A64:B1645,2,FALSE)</f>
        <v>CLAUDIA</v>
      </c>
      <c r="D64" t="str">
        <f t="shared" si="0"/>
        <v>15294412-8</v>
      </c>
    </row>
    <row r="65" spans="1:4" x14ac:dyDescent="0.2">
      <c r="A65">
        <f>'Fichas clínicas'!A65</f>
        <v>65</v>
      </c>
      <c r="B65" t="str">
        <f>'Fichas clínicas'!B65</f>
        <v>15294412-8</v>
      </c>
      <c r="C65" t="str">
        <f>VLOOKUP(paciente_tutor!B65,clientes!A65:B1646,2,FALSE)</f>
        <v>CLAUDIA</v>
      </c>
      <c r="D65" t="str">
        <f t="shared" si="0"/>
        <v>15294412-8</v>
      </c>
    </row>
    <row r="66" spans="1:4" x14ac:dyDescent="0.2">
      <c r="A66">
        <f>'Fichas clínicas'!A66</f>
        <v>66</v>
      </c>
      <c r="B66" t="str">
        <f>'Fichas clínicas'!B66</f>
        <v>8880424-4</v>
      </c>
      <c r="C66" t="str">
        <f>VLOOKUP(paciente_tutor!B66,clientes!A66:B1647,2,FALSE)</f>
        <v>CRISTINA ANDREA</v>
      </c>
      <c r="D66" t="str">
        <f t="shared" si="0"/>
        <v>8880424-4</v>
      </c>
    </row>
    <row r="67" spans="1:4" x14ac:dyDescent="0.2">
      <c r="A67">
        <f>'Fichas clínicas'!A67</f>
        <v>67</v>
      </c>
      <c r="B67" t="str">
        <f>'Fichas clínicas'!B67</f>
        <v>13587101-k</v>
      </c>
      <c r="C67" t="str">
        <f>VLOOKUP(paciente_tutor!B67,clientes!A67:B1648,2,FALSE)</f>
        <v>JACQUELINE</v>
      </c>
      <c r="D67" t="str">
        <f t="shared" ref="D67:D130" si="1">IF(C67="#N/A","",B67)</f>
        <v>13587101-k</v>
      </c>
    </row>
    <row r="68" spans="1:4" x14ac:dyDescent="0.2">
      <c r="A68">
        <f>'Fichas clínicas'!A68</f>
        <v>68</v>
      </c>
      <c r="B68" t="str">
        <f>'Fichas clínicas'!B68</f>
        <v>19249871-6</v>
      </c>
      <c r="C68" t="str">
        <f>VLOOKUP(paciente_tutor!B68,clientes!A68:B1649,2,FALSE)</f>
        <v>VALENTINA BELEN</v>
      </c>
      <c r="D68" t="str">
        <f t="shared" si="1"/>
        <v>19249871-6</v>
      </c>
    </row>
    <row r="69" spans="1:4" x14ac:dyDescent="0.2">
      <c r="A69">
        <f>'Fichas clínicas'!A69</f>
        <v>69</v>
      </c>
      <c r="B69" t="str">
        <f>'Fichas clínicas'!B69</f>
        <v>21375109-3</v>
      </c>
      <c r="C69" t="str">
        <f>VLOOKUP(paciente_tutor!B69,clientes!A69:B1650,2,FALSE)</f>
        <v>ANGELICA VANESA</v>
      </c>
      <c r="D69" t="str">
        <f t="shared" si="1"/>
        <v>21375109-3</v>
      </c>
    </row>
    <row r="70" spans="1:4" x14ac:dyDescent="0.2">
      <c r="A70">
        <f>'Fichas clínicas'!A70</f>
        <v>70</v>
      </c>
      <c r="B70" t="str">
        <f>'Fichas clínicas'!B70</f>
        <v>18288907-5</v>
      </c>
      <c r="C70" t="str">
        <f>VLOOKUP(paciente_tutor!B70,clientes!A70:B1651,2,FALSE)</f>
        <v>SANDRA</v>
      </c>
      <c r="D70" t="str">
        <f t="shared" si="1"/>
        <v>18288907-5</v>
      </c>
    </row>
    <row r="71" spans="1:4" x14ac:dyDescent="0.2">
      <c r="A71">
        <f>'Fichas clínicas'!A71</f>
        <v>71</v>
      </c>
      <c r="B71" t="str">
        <f>'Fichas clínicas'!B71</f>
        <v>15894445-6</v>
      </c>
      <c r="C71" t="str">
        <f>VLOOKUP(paciente_tutor!B71,clientes!A71:B1652,2,FALSE)</f>
        <v>GUILLERMINA DEL CARMEN</v>
      </c>
      <c r="D71" t="str">
        <f t="shared" si="1"/>
        <v>15894445-6</v>
      </c>
    </row>
    <row r="72" spans="1:4" x14ac:dyDescent="0.2">
      <c r="A72">
        <f>'Fichas clínicas'!A72</f>
        <v>72</v>
      </c>
      <c r="B72" t="str">
        <f>'Fichas clínicas'!B72</f>
        <v>16564231-7</v>
      </c>
      <c r="C72" t="str">
        <f>VLOOKUP(paciente_tutor!B72,clientes!A72:B1653,2,FALSE)</f>
        <v>ÁNGELA</v>
      </c>
      <c r="D72" t="str">
        <f t="shared" si="1"/>
        <v>16564231-7</v>
      </c>
    </row>
    <row r="73" spans="1:4" x14ac:dyDescent="0.2">
      <c r="A73">
        <f>'Fichas clínicas'!A73</f>
        <v>73</v>
      </c>
      <c r="B73" t="str">
        <f>'Fichas clínicas'!B73</f>
        <v>18775966-8</v>
      </c>
      <c r="C73" t="str">
        <f>VLOOKUP(paciente_tutor!B73,clientes!A73:B1654,2,FALSE)</f>
        <v>CAMILA</v>
      </c>
      <c r="D73" t="str">
        <f t="shared" si="1"/>
        <v>18775966-8</v>
      </c>
    </row>
    <row r="74" spans="1:4" x14ac:dyDescent="0.2">
      <c r="A74">
        <f>'Fichas clínicas'!A74</f>
        <v>74</v>
      </c>
      <c r="B74" t="str">
        <f>'Fichas clínicas'!B74</f>
        <v>13587841-3</v>
      </c>
      <c r="C74" t="str">
        <f>VLOOKUP(paciente_tutor!B74,clientes!A74:B1655,2,FALSE)</f>
        <v>SANDRA</v>
      </c>
      <c r="D74" t="str">
        <f t="shared" si="1"/>
        <v>13587841-3</v>
      </c>
    </row>
    <row r="75" spans="1:4" x14ac:dyDescent="0.2">
      <c r="A75">
        <f>'Fichas clínicas'!A75</f>
        <v>75</v>
      </c>
      <c r="B75" t="str">
        <f>'Fichas clínicas'!B75</f>
        <v>21248634-5</v>
      </c>
      <c r="C75" t="str">
        <f>VLOOKUP(paciente_tutor!B75,clientes!A75:B1656,2,FALSE)</f>
        <v>TAMARA IGNACIA</v>
      </c>
      <c r="D75" t="str">
        <f t="shared" si="1"/>
        <v>21248634-5</v>
      </c>
    </row>
    <row r="76" spans="1:4" x14ac:dyDescent="0.2">
      <c r="A76">
        <f>'Fichas clínicas'!A76</f>
        <v>76</v>
      </c>
      <c r="B76" t="str">
        <f>'Fichas clínicas'!B76</f>
        <v>8075808-1</v>
      </c>
      <c r="C76" t="str">
        <f>VLOOKUP(paciente_tutor!B76,clientes!A76:B1657,2,FALSE)</f>
        <v>ODETTE OLIVIA</v>
      </c>
      <c r="D76" t="str">
        <f t="shared" si="1"/>
        <v>8075808-1</v>
      </c>
    </row>
    <row r="77" spans="1:4" x14ac:dyDescent="0.2">
      <c r="A77">
        <f>'Fichas clínicas'!A77</f>
        <v>77</v>
      </c>
      <c r="B77" t="str">
        <f>'Fichas clínicas'!B77</f>
        <v>14082700-2</v>
      </c>
      <c r="C77" t="str">
        <f>VLOOKUP(paciente_tutor!B77,clientes!A77:B1658,2,FALSE)</f>
        <v>TERESA JUANITA</v>
      </c>
      <c r="D77" t="str">
        <f t="shared" si="1"/>
        <v>14082700-2</v>
      </c>
    </row>
    <row r="78" spans="1:4" x14ac:dyDescent="0.2">
      <c r="A78">
        <f>'Fichas clínicas'!A78</f>
        <v>78</v>
      </c>
      <c r="B78" t="str">
        <f>'Fichas clínicas'!B78</f>
        <v>19375926-2</v>
      </c>
      <c r="C78" t="str">
        <f>VLOOKUP(paciente_tutor!B78,clientes!A78:B1659,2,FALSE)</f>
        <v>EMILIO</v>
      </c>
      <c r="D78" t="str">
        <f t="shared" si="1"/>
        <v>19375926-2</v>
      </c>
    </row>
    <row r="79" spans="1:4" x14ac:dyDescent="0.2">
      <c r="A79">
        <f>'Fichas clínicas'!A79</f>
        <v>79</v>
      </c>
      <c r="B79" t="str">
        <f>'Fichas clínicas'!B79</f>
        <v>20314488-1</v>
      </c>
      <c r="C79" t="str">
        <f>VLOOKUP(paciente_tutor!B79,clientes!A79:B1660,2,FALSE)</f>
        <v>Damaris Isabella</v>
      </c>
      <c r="D79" t="str">
        <f t="shared" si="1"/>
        <v>20314488-1</v>
      </c>
    </row>
    <row r="80" spans="1:4" x14ac:dyDescent="0.2">
      <c r="A80">
        <f>'Fichas clínicas'!A80</f>
        <v>80</v>
      </c>
      <c r="B80" t="str">
        <f>'Fichas clínicas'!B80</f>
        <v>13523057-k</v>
      </c>
      <c r="C80" t="str">
        <f>VLOOKUP(paciente_tutor!B80,clientes!A80:B1661,2,FALSE)</f>
        <v>ALEJANDRA</v>
      </c>
      <c r="D80" t="str">
        <f t="shared" si="1"/>
        <v>13523057-k</v>
      </c>
    </row>
    <row r="81" spans="1:4" x14ac:dyDescent="0.2">
      <c r="A81">
        <f>'Fichas clínicas'!A81</f>
        <v>81</v>
      </c>
      <c r="B81" t="str">
        <f>'Fichas clínicas'!B81</f>
        <v>9655291-2</v>
      </c>
      <c r="C81" t="str">
        <f>VLOOKUP(paciente_tutor!B81,clientes!A81:B1662,2,FALSE)</f>
        <v>ANA MARÍA</v>
      </c>
      <c r="D81" t="str">
        <f t="shared" si="1"/>
        <v>9655291-2</v>
      </c>
    </row>
    <row r="82" spans="1:4" x14ac:dyDescent="0.2">
      <c r="A82">
        <f>'Fichas clínicas'!A82</f>
        <v>82</v>
      </c>
      <c r="B82" t="str">
        <f>'Fichas clínicas'!B82</f>
        <v>16806597-3</v>
      </c>
      <c r="C82" t="str">
        <f>VLOOKUP(paciente_tutor!B82,clientes!A82:B1663,2,FALSE)</f>
        <v>FRANCES</v>
      </c>
      <c r="D82" t="str">
        <f t="shared" si="1"/>
        <v>16806597-3</v>
      </c>
    </row>
    <row r="83" spans="1:4" x14ac:dyDescent="0.2">
      <c r="A83">
        <f>'Fichas clínicas'!A83</f>
        <v>83</v>
      </c>
      <c r="B83" t="str">
        <f>'Fichas clínicas'!B83</f>
        <v>13807616-4</v>
      </c>
      <c r="C83" t="str">
        <f>VLOOKUP(paciente_tutor!B83,clientes!A83:B1664,2,FALSE)</f>
        <v>CARLOS</v>
      </c>
      <c r="D83" t="str">
        <f t="shared" si="1"/>
        <v>13807616-4</v>
      </c>
    </row>
    <row r="84" spans="1:4" x14ac:dyDescent="0.2">
      <c r="A84">
        <f>'Fichas clínicas'!A84</f>
        <v>84</v>
      </c>
      <c r="B84" t="str">
        <f>'Fichas clínicas'!B84</f>
        <v>15883460-K</v>
      </c>
      <c r="C84" t="str">
        <f>VLOOKUP(paciente_tutor!B84,clientes!A84:B1665,2,FALSE)</f>
        <v>YESSICA</v>
      </c>
      <c r="D84" t="str">
        <f t="shared" si="1"/>
        <v>15883460-K</v>
      </c>
    </row>
    <row r="85" spans="1:4" x14ac:dyDescent="0.2">
      <c r="A85">
        <f>'Fichas clínicas'!A85</f>
        <v>85</v>
      </c>
      <c r="B85" t="str">
        <f>'Fichas clínicas'!B85</f>
        <v>20868456-6</v>
      </c>
      <c r="C85" t="str">
        <f>VLOOKUP(paciente_tutor!B85,clientes!A85:B1666,2,FALSE)</f>
        <v>YARELLA</v>
      </c>
      <c r="D85" t="str">
        <f t="shared" si="1"/>
        <v>20868456-6</v>
      </c>
    </row>
    <row r="86" spans="1:4" x14ac:dyDescent="0.2">
      <c r="A86">
        <f>'Fichas clínicas'!A86</f>
        <v>86</v>
      </c>
      <c r="B86" t="str">
        <f>'Fichas clínicas'!B86</f>
        <v>7695805-k</v>
      </c>
      <c r="C86" t="str">
        <f>VLOOKUP(paciente_tutor!B86,clientes!A86:B1667,2,FALSE)</f>
        <v>ANTONIO</v>
      </c>
      <c r="D86" t="str">
        <f t="shared" si="1"/>
        <v>7695805-k</v>
      </c>
    </row>
    <row r="87" spans="1:4" x14ac:dyDescent="0.2">
      <c r="A87">
        <f>'Fichas clínicas'!A87</f>
        <v>87</v>
      </c>
      <c r="B87" t="str">
        <f>'Fichas clínicas'!B87</f>
        <v>18617587-5</v>
      </c>
      <c r="C87" t="str">
        <f>VLOOKUP(paciente_tutor!B87,clientes!A87:B1668,2,FALSE)</f>
        <v>RODRIGO PATRICIO</v>
      </c>
      <c r="D87" t="str">
        <f t="shared" si="1"/>
        <v>18617587-5</v>
      </c>
    </row>
    <row r="88" spans="1:4" x14ac:dyDescent="0.2">
      <c r="A88">
        <f>'Fichas clínicas'!A88</f>
        <v>88</v>
      </c>
      <c r="B88" t="str">
        <f>'Fichas clínicas'!B88</f>
        <v>14083166-2</v>
      </c>
      <c r="C88" t="str">
        <f>VLOOKUP(paciente_tutor!B88,clientes!A88:B1669,2,FALSE)</f>
        <v>JORGE</v>
      </c>
      <c r="D88" t="str">
        <f t="shared" si="1"/>
        <v>14083166-2</v>
      </c>
    </row>
    <row r="89" spans="1:4" x14ac:dyDescent="0.2">
      <c r="A89">
        <f>'Fichas clínicas'!A89</f>
        <v>89</v>
      </c>
      <c r="B89" t="str">
        <f>'Fichas clínicas'!B89</f>
        <v>13587789-1</v>
      </c>
      <c r="C89" t="str">
        <f>VLOOKUP(paciente_tutor!B89,clientes!A89:B1670,2,FALSE)</f>
        <v>Cristian</v>
      </c>
      <c r="D89" t="str">
        <f t="shared" si="1"/>
        <v>13587789-1</v>
      </c>
    </row>
    <row r="90" spans="1:4" x14ac:dyDescent="0.2">
      <c r="A90">
        <f>'Fichas clínicas'!A90</f>
        <v>90</v>
      </c>
      <c r="B90" t="str">
        <f>'Fichas clínicas'!B90</f>
        <v>13587101-k</v>
      </c>
      <c r="C90" t="str">
        <f>VLOOKUP(paciente_tutor!B90,clientes!A90:B1671,2,FALSE)</f>
        <v>JACQUELINE</v>
      </c>
      <c r="D90" t="str">
        <f t="shared" si="1"/>
        <v>13587101-k</v>
      </c>
    </row>
    <row r="91" spans="1:4" x14ac:dyDescent="0.2">
      <c r="A91">
        <f>'Fichas clínicas'!A91</f>
        <v>91</v>
      </c>
      <c r="B91" t="str">
        <f>'Fichas clínicas'!B91</f>
        <v>17652731-5</v>
      </c>
      <c r="C91" t="str">
        <f>VLOOKUP(paciente_tutor!B91,clientes!A91:B1672,2,FALSE)</f>
        <v>DIEGO</v>
      </c>
      <c r="D91" t="str">
        <f t="shared" si="1"/>
        <v>17652731-5</v>
      </c>
    </row>
    <row r="92" spans="1:4" x14ac:dyDescent="0.2">
      <c r="A92">
        <f>'Fichas clínicas'!A92</f>
        <v>92</v>
      </c>
      <c r="B92" t="str">
        <f>'Fichas clínicas'!B92</f>
        <v>20642000-6</v>
      </c>
      <c r="C92" t="str">
        <f>VLOOKUP(paciente_tutor!B92,clientes!A92:B1673,2,FALSE)</f>
        <v>MARCELO ALEJANDRO</v>
      </c>
      <c r="D92" t="str">
        <f t="shared" si="1"/>
        <v>20642000-6</v>
      </c>
    </row>
    <row r="93" spans="1:4" x14ac:dyDescent="0.2">
      <c r="A93">
        <f>'Fichas clínicas'!A93</f>
        <v>93</v>
      </c>
      <c r="B93" t="str">
        <f>'Fichas clínicas'!B93</f>
        <v>20642000-6</v>
      </c>
      <c r="C93" t="str">
        <f>VLOOKUP(paciente_tutor!B93,clientes!A93:B1674,2,FALSE)</f>
        <v>MARCELO ALEJANDRO</v>
      </c>
      <c r="D93" t="str">
        <f t="shared" si="1"/>
        <v>20642000-6</v>
      </c>
    </row>
    <row r="94" spans="1:4" x14ac:dyDescent="0.2">
      <c r="A94">
        <f>'Fichas clínicas'!A94</f>
        <v>94</v>
      </c>
      <c r="B94" t="str">
        <f>'Fichas clínicas'!B94</f>
        <v>20642000-6</v>
      </c>
      <c r="C94" t="str">
        <f>VLOOKUP(paciente_tutor!B94,clientes!A94:B1675,2,FALSE)</f>
        <v>MARCELO ALEJANDRO</v>
      </c>
      <c r="D94" t="str">
        <f t="shared" si="1"/>
        <v>20642000-6</v>
      </c>
    </row>
    <row r="95" spans="1:4" x14ac:dyDescent="0.2">
      <c r="A95">
        <f>'Fichas clínicas'!A95</f>
        <v>95</v>
      </c>
      <c r="B95" t="str">
        <f>'Fichas clínicas'!B95</f>
        <v>21699213-k</v>
      </c>
      <c r="C95" t="str">
        <f>VLOOKUP(paciente_tutor!B95,clientes!A95:B1676,2,FALSE)</f>
        <v>TAMARA VALENTINA</v>
      </c>
      <c r="D95" t="str">
        <f t="shared" si="1"/>
        <v>21699213-k</v>
      </c>
    </row>
    <row r="96" spans="1:4" x14ac:dyDescent="0.2">
      <c r="A96">
        <f>'Fichas clínicas'!A96</f>
        <v>96</v>
      </c>
      <c r="B96" t="str">
        <f>'Fichas clínicas'!B96</f>
        <v>15353719-4</v>
      </c>
      <c r="C96" t="str">
        <f>VLOOKUP(paciente_tutor!B96,clientes!A96:B1677,2,FALSE)</f>
        <v>MONICA SOLEDAD</v>
      </c>
      <c r="D96" t="str">
        <f t="shared" si="1"/>
        <v>15353719-4</v>
      </c>
    </row>
    <row r="97" spans="1:4" x14ac:dyDescent="0.2">
      <c r="A97">
        <f>'Fichas clínicas'!A97</f>
        <v>97</v>
      </c>
      <c r="B97" t="str">
        <f>'Fichas clínicas'!B97</f>
        <v>9062344-3</v>
      </c>
      <c r="C97" t="str">
        <f>VLOOKUP(paciente_tutor!B97,clientes!A97:B1678,2,FALSE)</f>
        <v>GLADYZ</v>
      </c>
      <c r="D97" t="str">
        <f t="shared" si="1"/>
        <v>9062344-3</v>
      </c>
    </row>
    <row r="98" spans="1:4" x14ac:dyDescent="0.2">
      <c r="A98">
        <f>'Fichas clínicas'!A98</f>
        <v>98</v>
      </c>
      <c r="B98" t="str">
        <f>'Fichas clínicas'!B98</f>
        <v>13847727-4</v>
      </c>
      <c r="C98" t="str">
        <f>VLOOKUP(paciente_tutor!B98,clientes!A98:B1679,2,FALSE)</f>
        <v>Anita</v>
      </c>
      <c r="D98" t="str">
        <f t="shared" si="1"/>
        <v>13847727-4</v>
      </c>
    </row>
    <row r="99" spans="1:4" x14ac:dyDescent="0.2">
      <c r="A99">
        <f>'Fichas clínicas'!A99</f>
        <v>99</v>
      </c>
      <c r="B99" t="str">
        <f>'Fichas clínicas'!B99</f>
        <v>13847727-4</v>
      </c>
      <c r="C99" t="str">
        <f>VLOOKUP(paciente_tutor!B99,clientes!A99:B1680,2,FALSE)</f>
        <v>Anita</v>
      </c>
      <c r="D99" t="str">
        <f t="shared" si="1"/>
        <v>13847727-4</v>
      </c>
    </row>
    <row r="100" spans="1:4" x14ac:dyDescent="0.2">
      <c r="A100">
        <f>'Fichas clínicas'!A100</f>
        <v>100</v>
      </c>
      <c r="B100" t="str">
        <f>'Fichas clínicas'!B100</f>
        <v>16049642-8</v>
      </c>
      <c r="C100" t="str">
        <f>VLOOKUP(paciente_tutor!B100,clientes!A100:B1681,2,FALSE)</f>
        <v>KATTERINNE</v>
      </c>
      <c r="D100" t="str">
        <f t="shared" si="1"/>
        <v>16049642-8</v>
      </c>
    </row>
    <row r="101" spans="1:4" x14ac:dyDescent="0.2">
      <c r="A101">
        <f>'Fichas clínicas'!A101</f>
        <v>101</v>
      </c>
      <c r="B101" t="str">
        <f>'Fichas clínicas'!B101</f>
        <v>11129328-7</v>
      </c>
      <c r="C101" t="e">
        <f>VLOOKUP(paciente_tutor!B101,clientes!A101:B1682,2,FALSE)</f>
        <v>#N/A</v>
      </c>
      <c r="D101" t="e">
        <f t="shared" si="1"/>
        <v>#N/A</v>
      </c>
    </row>
    <row r="102" spans="1:4" x14ac:dyDescent="0.2">
      <c r="A102">
        <f>'Fichas clínicas'!A102</f>
        <v>102</v>
      </c>
      <c r="B102" t="str">
        <f>'Fichas clínicas'!B102</f>
        <v>17200721-k</v>
      </c>
      <c r="C102" t="str">
        <f>VLOOKUP(paciente_tutor!B102,clientes!A102:B1683,2,FALSE)</f>
        <v>Natalia</v>
      </c>
      <c r="D102" t="str">
        <f t="shared" si="1"/>
        <v>17200721-k</v>
      </c>
    </row>
    <row r="103" spans="1:4" x14ac:dyDescent="0.2">
      <c r="A103">
        <f>'Fichas clínicas'!A103</f>
        <v>103</v>
      </c>
      <c r="B103" t="str">
        <f>'Fichas clínicas'!B103</f>
        <v>12431474-7</v>
      </c>
      <c r="C103" t="str">
        <f>VLOOKUP(paciente_tutor!B103,clientes!A103:B1684,2,FALSE)</f>
        <v>MIRZA</v>
      </c>
      <c r="D103" t="str">
        <f t="shared" si="1"/>
        <v>12431474-7</v>
      </c>
    </row>
    <row r="104" spans="1:4" x14ac:dyDescent="0.2">
      <c r="A104">
        <f>'Fichas clínicas'!A104</f>
        <v>104</v>
      </c>
      <c r="B104" t="str">
        <f>'Fichas clínicas'!B104</f>
        <v>15549031-4</v>
      </c>
      <c r="C104" t="str">
        <f>VLOOKUP(paciente_tutor!B104,clientes!A104:B1685,2,FALSE)</f>
        <v>ANA MARÍA</v>
      </c>
      <c r="D104" t="str">
        <f t="shared" si="1"/>
        <v>15549031-4</v>
      </c>
    </row>
    <row r="105" spans="1:4" x14ac:dyDescent="0.2">
      <c r="A105">
        <f>'Fichas clínicas'!A105</f>
        <v>105</v>
      </c>
      <c r="B105" t="str">
        <f>'Fichas clínicas'!B105</f>
        <v>20015005-8</v>
      </c>
      <c r="C105" t="str">
        <f>VLOOKUP(paciente_tutor!B105,clientes!A105:B1686,2,FALSE)</f>
        <v>VICTORIA</v>
      </c>
      <c r="D105" t="str">
        <f t="shared" si="1"/>
        <v>20015005-8</v>
      </c>
    </row>
    <row r="106" spans="1:4" x14ac:dyDescent="0.2">
      <c r="A106">
        <f>'Fichas clínicas'!A106</f>
        <v>106</v>
      </c>
      <c r="B106" t="str">
        <f>'Fichas clínicas'!B106</f>
        <v>15758791-9</v>
      </c>
      <c r="C106" t="str">
        <f>VLOOKUP(paciente_tutor!B106,clientes!A106:B1687,2,FALSE)</f>
        <v>Magdalena Andrea</v>
      </c>
      <c r="D106" t="str">
        <f t="shared" si="1"/>
        <v>15758791-9</v>
      </c>
    </row>
    <row r="107" spans="1:4" x14ac:dyDescent="0.2">
      <c r="A107">
        <f>'Fichas clínicas'!A107</f>
        <v>107</v>
      </c>
      <c r="B107" t="str">
        <f>'Fichas clínicas'!B107</f>
        <v>20514483-8</v>
      </c>
      <c r="C107" t="str">
        <f>VLOOKUP(paciente_tutor!B107,clientes!A107:B1688,2,FALSE)</f>
        <v>MARÍA PAZ</v>
      </c>
      <c r="D107" t="str">
        <f t="shared" si="1"/>
        <v>20514483-8</v>
      </c>
    </row>
    <row r="108" spans="1:4" x14ac:dyDescent="0.2">
      <c r="A108">
        <f>'Fichas clínicas'!A108</f>
        <v>108</v>
      </c>
      <c r="B108" t="str">
        <f>'Fichas clínicas'!B108</f>
        <v>15998261-0</v>
      </c>
      <c r="C108" t="str">
        <f>VLOOKUP(paciente_tutor!B108,clientes!A108:B1689,2,FALSE)</f>
        <v>SUSANA</v>
      </c>
      <c r="D108" t="str">
        <f t="shared" si="1"/>
        <v>15998261-0</v>
      </c>
    </row>
    <row r="109" spans="1:4" x14ac:dyDescent="0.2">
      <c r="A109">
        <f>'Fichas clínicas'!A109</f>
        <v>109</v>
      </c>
      <c r="B109" t="str">
        <f>'Fichas clínicas'!B109</f>
        <v>15473427-9</v>
      </c>
      <c r="C109" t="str">
        <f>VLOOKUP(paciente_tutor!B109,clientes!A109:B1690,2,FALSE)</f>
        <v>Michael</v>
      </c>
      <c r="D109" t="str">
        <f t="shared" si="1"/>
        <v>15473427-9</v>
      </c>
    </row>
    <row r="110" spans="1:4" x14ac:dyDescent="0.2">
      <c r="A110">
        <f>'Fichas clínicas'!A110</f>
        <v>110</v>
      </c>
      <c r="B110" t="str">
        <f>'Fichas clínicas'!B110</f>
        <v>21513356-7</v>
      </c>
      <c r="C110" t="str">
        <f>VLOOKUP(paciente_tutor!B110,clientes!A110:B1691,2,FALSE)</f>
        <v>AYLIN</v>
      </c>
      <c r="D110" t="str">
        <f t="shared" si="1"/>
        <v>21513356-7</v>
      </c>
    </row>
    <row r="111" spans="1:4" x14ac:dyDescent="0.2">
      <c r="A111">
        <f>'Fichas clínicas'!A111</f>
        <v>111</v>
      </c>
      <c r="B111" t="str">
        <f>'Fichas clínicas'!B111</f>
        <v>11703707-k</v>
      </c>
      <c r="C111" t="str">
        <f>VLOOKUP(paciente_tutor!B111,clientes!A111:B1692,2,FALSE)</f>
        <v>ROSA</v>
      </c>
      <c r="D111" t="str">
        <f t="shared" si="1"/>
        <v>11703707-k</v>
      </c>
    </row>
    <row r="112" spans="1:4" x14ac:dyDescent="0.2">
      <c r="A112">
        <f>'Fichas clínicas'!A112</f>
        <v>112</v>
      </c>
      <c r="B112" t="str">
        <f>'Fichas clínicas'!B112</f>
        <v>10518589-8</v>
      </c>
      <c r="C112" t="e">
        <f>VLOOKUP(paciente_tutor!B112,clientes!A112:B1693,2,FALSE)</f>
        <v>#N/A</v>
      </c>
      <c r="D112" t="e">
        <f t="shared" si="1"/>
        <v>#N/A</v>
      </c>
    </row>
    <row r="113" spans="1:4" x14ac:dyDescent="0.2">
      <c r="A113">
        <f>'Fichas clínicas'!A113</f>
        <v>113</v>
      </c>
      <c r="B113" t="str">
        <f>'Fichas clínicas'!B113</f>
        <v>14082700-2</v>
      </c>
      <c r="C113" t="str">
        <f>VLOOKUP(paciente_tutor!B113,clientes!A113:B1694,2,FALSE)</f>
        <v>TERESA JUANITA</v>
      </c>
      <c r="D113" t="str">
        <f t="shared" si="1"/>
        <v>14082700-2</v>
      </c>
    </row>
    <row r="114" spans="1:4" x14ac:dyDescent="0.2">
      <c r="A114">
        <f>'Fichas clínicas'!A114</f>
        <v>114</v>
      </c>
      <c r="B114" t="str">
        <f>'Fichas clínicas'!B114</f>
        <v>14082700-2</v>
      </c>
      <c r="C114" t="str">
        <f>VLOOKUP(paciente_tutor!B114,clientes!A114:B1695,2,FALSE)</f>
        <v>TERESA JUANITA</v>
      </c>
      <c r="D114" t="str">
        <f t="shared" si="1"/>
        <v>14082700-2</v>
      </c>
    </row>
    <row r="115" spans="1:4" x14ac:dyDescent="0.2">
      <c r="A115">
        <f>'Fichas clínicas'!A115</f>
        <v>115</v>
      </c>
      <c r="B115" t="str">
        <f>'Fichas clínicas'!B115</f>
        <v>14082700-2</v>
      </c>
      <c r="C115" t="str">
        <f>VLOOKUP(paciente_tutor!B115,clientes!A115:B1696,2,FALSE)</f>
        <v>TERESA JUANITA</v>
      </c>
      <c r="D115" t="str">
        <f t="shared" si="1"/>
        <v>14082700-2</v>
      </c>
    </row>
    <row r="116" spans="1:4" x14ac:dyDescent="0.2">
      <c r="A116">
        <f>'Fichas clínicas'!A116</f>
        <v>116</v>
      </c>
      <c r="B116" t="str">
        <f>'Fichas clínicas'!B116</f>
        <v>14082700-2</v>
      </c>
      <c r="C116" t="str">
        <f>VLOOKUP(paciente_tutor!B116,clientes!A116:B1697,2,FALSE)</f>
        <v>TERESA JUANITA</v>
      </c>
      <c r="D116" t="str">
        <f t="shared" si="1"/>
        <v>14082700-2</v>
      </c>
    </row>
    <row r="117" spans="1:4" x14ac:dyDescent="0.2">
      <c r="A117">
        <f>'Fichas clínicas'!A117</f>
        <v>117</v>
      </c>
      <c r="B117" t="str">
        <f>'Fichas clínicas'!B117</f>
        <v>13519818-8</v>
      </c>
      <c r="C117" t="str">
        <f>VLOOKUP(paciente_tutor!B117,clientes!A117:B1698,2,FALSE)</f>
        <v>MARIANELA</v>
      </c>
      <c r="D117" t="str">
        <f t="shared" si="1"/>
        <v>13519818-8</v>
      </c>
    </row>
    <row r="118" spans="1:4" x14ac:dyDescent="0.2">
      <c r="A118">
        <f>'Fichas clínicas'!A118</f>
        <v>118</v>
      </c>
      <c r="B118" t="str">
        <f>'Fichas clínicas'!B118</f>
        <v>11592590-3</v>
      </c>
      <c r="C118" t="str">
        <f>VLOOKUP(paciente_tutor!B118,clientes!A118:B1699,2,FALSE)</f>
        <v>CARMEN GLORIA</v>
      </c>
      <c r="D118" t="str">
        <f t="shared" si="1"/>
        <v>11592590-3</v>
      </c>
    </row>
    <row r="119" spans="1:4" x14ac:dyDescent="0.2">
      <c r="A119">
        <f>'Fichas clínicas'!A119</f>
        <v>119</v>
      </c>
      <c r="B119" t="str">
        <f>'Fichas clínicas'!B119</f>
        <v>20734070-7</v>
      </c>
      <c r="C119" t="str">
        <f>VLOOKUP(paciente_tutor!B119,clientes!A119:B1700,2,FALSE)</f>
        <v>MAURICIO ESTEBAN</v>
      </c>
      <c r="D119" t="str">
        <f t="shared" si="1"/>
        <v>20734070-7</v>
      </c>
    </row>
    <row r="120" spans="1:4" x14ac:dyDescent="0.2">
      <c r="A120">
        <f>'Fichas clínicas'!A120</f>
        <v>120</v>
      </c>
      <c r="B120" t="str">
        <f>'Fichas clínicas'!B120</f>
        <v>20657157-8</v>
      </c>
      <c r="C120" t="str">
        <f>VLOOKUP(paciente_tutor!B120,clientes!A120:B1701,2,FALSE)</f>
        <v>THIARE</v>
      </c>
      <c r="D120" t="str">
        <f t="shared" si="1"/>
        <v>20657157-8</v>
      </c>
    </row>
    <row r="121" spans="1:4" x14ac:dyDescent="0.2">
      <c r="A121">
        <f>'Fichas clínicas'!A121</f>
        <v>121</v>
      </c>
      <c r="B121" t="str">
        <f>'Fichas clínicas'!B121</f>
        <v>16805190-5</v>
      </c>
      <c r="C121" t="str">
        <f>VLOOKUP(paciente_tutor!B121,clientes!A121:B1702,2,FALSE)</f>
        <v>PAMELA</v>
      </c>
      <c r="D121" t="str">
        <f t="shared" si="1"/>
        <v>16805190-5</v>
      </c>
    </row>
    <row r="122" spans="1:4" x14ac:dyDescent="0.2">
      <c r="A122">
        <f>'Fichas clínicas'!A122</f>
        <v>122</v>
      </c>
      <c r="B122" t="str">
        <f>'Fichas clínicas'!B122</f>
        <v>12430485-7</v>
      </c>
      <c r="C122" t="str">
        <f>VLOOKUP(paciente_tutor!B122,clientes!A122:B1703,2,FALSE)</f>
        <v>LEYLA</v>
      </c>
      <c r="D122" t="str">
        <f t="shared" si="1"/>
        <v>12430485-7</v>
      </c>
    </row>
    <row r="123" spans="1:4" x14ac:dyDescent="0.2">
      <c r="A123">
        <f>'Fichas clínicas'!A123</f>
        <v>123</v>
      </c>
      <c r="B123" t="str">
        <f>'Fichas clínicas'!B123</f>
        <v>12430485-7</v>
      </c>
      <c r="C123" t="str">
        <f>VLOOKUP(paciente_tutor!B123,clientes!A123:B1704,2,FALSE)</f>
        <v>LEYLA</v>
      </c>
      <c r="D123" t="str">
        <f t="shared" si="1"/>
        <v>12430485-7</v>
      </c>
    </row>
    <row r="124" spans="1:4" x14ac:dyDescent="0.2">
      <c r="A124">
        <f>'Fichas clínicas'!A124</f>
        <v>124</v>
      </c>
      <c r="B124" t="str">
        <f>'Fichas clínicas'!B124</f>
        <v>15547986-8</v>
      </c>
      <c r="C124" t="str">
        <f>VLOOKUP(paciente_tutor!B124,clientes!A124:B1705,2,FALSE)</f>
        <v>YESENIA</v>
      </c>
      <c r="D124" t="str">
        <f t="shared" si="1"/>
        <v>15547986-8</v>
      </c>
    </row>
    <row r="125" spans="1:4" x14ac:dyDescent="0.2">
      <c r="A125">
        <f>'Fichas clínicas'!A125</f>
        <v>125</v>
      </c>
      <c r="B125" t="str">
        <f>'Fichas clínicas'!B125</f>
        <v>20015005-8</v>
      </c>
      <c r="C125" t="str">
        <f>VLOOKUP(paciente_tutor!B125,clientes!A125:B1706,2,FALSE)</f>
        <v>VICTORIA</v>
      </c>
      <c r="D125" t="str">
        <f t="shared" si="1"/>
        <v>20015005-8</v>
      </c>
    </row>
    <row r="126" spans="1:4" x14ac:dyDescent="0.2">
      <c r="A126">
        <f>'Fichas clínicas'!A126</f>
        <v>126</v>
      </c>
      <c r="B126" t="str">
        <f>'Fichas clínicas'!B126</f>
        <v>17360118-2</v>
      </c>
      <c r="C126" t="str">
        <f>VLOOKUP(paciente_tutor!B126,clientes!A126:B1707,2,FALSE)</f>
        <v>Isabel</v>
      </c>
      <c r="D126" t="str">
        <f t="shared" si="1"/>
        <v>17360118-2</v>
      </c>
    </row>
    <row r="127" spans="1:4" x14ac:dyDescent="0.2">
      <c r="A127">
        <f>'Fichas clínicas'!A127</f>
        <v>127</v>
      </c>
      <c r="B127" t="str">
        <f>'Fichas clínicas'!B127</f>
        <v>18100012-0</v>
      </c>
      <c r="C127" t="str">
        <f>VLOOKUP(paciente_tutor!B127,clientes!A127:B1708,2,FALSE)</f>
        <v>Carla Leticia</v>
      </c>
      <c r="D127" t="str">
        <f t="shared" si="1"/>
        <v>18100012-0</v>
      </c>
    </row>
    <row r="128" spans="1:4" x14ac:dyDescent="0.2">
      <c r="A128">
        <f>'Fichas clínicas'!A128</f>
        <v>128</v>
      </c>
      <c r="B128" t="str">
        <f>'Fichas clínicas'!B128</f>
        <v>10502957-8</v>
      </c>
      <c r="C128" t="e">
        <f>VLOOKUP(paciente_tutor!B128,clientes!A128:B1709,2,FALSE)</f>
        <v>#N/A</v>
      </c>
      <c r="D128" t="e">
        <f t="shared" si="1"/>
        <v>#N/A</v>
      </c>
    </row>
    <row r="129" spans="1:4" x14ac:dyDescent="0.2">
      <c r="A129">
        <f>'Fichas clínicas'!A129</f>
        <v>129</v>
      </c>
      <c r="B129" t="str">
        <f>'Fichas clínicas'!B129</f>
        <v>17964260-3</v>
      </c>
      <c r="C129" t="str">
        <f>VLOOKUP(paciente_tutor!B129,clientes!A129:B1710,2,FALSE)</f>
        <v>CARLA</v>
      </c>
      <c r="D129" t="str">
        <f t="shared" si="1"/>
        <v>17964260-3</v>
      </c>
    </row>
    <row r="130" spans="1:4" x14ac:dyDescent="0.2">
      <c r="A130">
        <f>'Fichas clínicas'!A130</f>
        <v>130</v>
      </c>
      <c r="B130" t="str">
        <f>'Fichas clínicas'!B130</f>
        <v>15549027-6</v>
      </c>
      <c r="C130" t="str">
        <f>VLOOKUP(paciente_tutor!B130,clientes!A130:B1711,2,FALSE)</f>
        <v>JENNIFER DE LOURDES</v>
      </c>
      <c r="D130" t="str">
        <f t="shared" si="1"/>
        <v>15549027-6</v>
      </c>
    </row>
    <row r="131" spans="1:4" x14ac:dyDescent="0.2">
      <c r="A131">
        <f>'Fichas clínicas'!A131</f>
        <v>131</v>
      </c>
      <c r="B131" t="str">
        <f>'Fichas clínicas'!B131</f>
        <v>15530416-2</v>
      </c>
      <c r="C131" t="str">
        <f>VLOOKUP(paciente_tutor!B131,clientes!A131:B1712,2,FALSE)</f>
        <v>Eliana Patricia</v>
      </c>
      <c r="D131" t="str">
        <f t="shared" ref="D131:D194" si="2">IF(C131="#N/A","",B131)</f>
        <v>15530416-2</v>
      </c>
    </row>
    <row r="132" spans="1:4" x14ac:dyDescent="0.2">
      <c r="A132">
        <f>'Fichas clínicas'!A132</f>
        <v>132</v>
      </c>
      <c r="B132" t="str">
        <f>'Fichas clínicas'!B132</f>
        <v>8310395-7</v>
      </c>
      <c r="C132" t="str">
        <f>VLOOKUP(paciente_tutor!B132,clientes!A132:B1713,2,FALSE)</f>
        <v>Jurgen</v>
      </c>
      <c r="D132" t="str">
        <f t="shared" si="2"/>
        <v>8310395-7</v>
      </c>
    </row>
    <row r="133" spans="1:4" x14ac:dyDescent="0.2">
      <c r="A133">
        <f>'Fichas clínicas'!A133</f>
        <v>133</v>
      </c>
      <c r="B133" t="str">
        <f>'Fichas clínicas'!B133</f>
        <v>8310395-7</v>
      </c>
      <c r="C133" t="str">
        <f>VLOOKUP(paciente_tutor!B133,clientes!A133:B1714,2,FALSE)</f>
        <v>Jurgen</v>
      </c>
      <c r="D133" t="str">
        <f t="shared" si="2"/>
        <v>8310395-7</v>
      </c>
    </row>
    <row r="134" spans="1:4" x14ac:dyDescent="0.2">
      <c r="A134">
        <f>'Fichas clínicas'!A134</f>
        <v>134</v>
      </c>
      <c r="B134" t="str">
        <f>'Fichas clínicas'!B134</f>
        <v>8440109-9</v>
      </c>
      <c r="C134" t="str">
        <f>VLOOKUP(paciente_tutor!B134,clientes!A134:B1715,2,FALSE)</f>
        <v>ELIANA</v>
      </c>
      <c r="D134" t="str">
        <f t="shared" si="2"/>
        <v>8440109-9</v>
      </c>
    </row>
    <row r="135" spans="1:4" x14ac:dyDescent="0.2">
      <c r="A135">
        <f>'Fichas clínicas'!A135</f>
        <v>135</v>
      </c>
      <c r="B135" t="str">
        <f>'Fichas clínicas'!B135</f>
        <v>12128966-0</v>
      </c>
      <c r="C135" t="str">
        <f>VLOOKUP(paciente_tutor!B135,clientes!A135:B1716,2,FALSE)</f>
        <v>Isolina Del Carmen</v>
      </c>
      <c r="D135" t="str">
        <f t="shared" si="2"/>
        <v>12128966-0</v>
      </c>
    </row>
    <row r="136" spans="1:4" x14ac:dyDescent="0.2">
      <c r="A136">
        <f>'Fichas clínicas'!A136</f>
        <v>136</v>
      </c>
      <c r="B136" t="str">
        <f>'Fichas clínicas'!B136</f>
        <v>13609663-k</v>
      </c>
      <c r="C136" t="str">
        <f>VLOOKUP(paciente_tutor!B136,clientes!A136:B1717,2,FALSE)</f>
        <v>Guinette</v>
      </c>
      <c r="D136" t="str">
        <f t="shared" si="2"/>
        <v>13609663-k</v>
      </c>
    </row>
    <row r="137" spans="1:4" x14ac:dyDescent="0.2">
      <c r="A137">
        <f>'Fichas clínicas'!A137</f>
        <v>137</v>
      </c>
      <c r="B137" t="str">
        <f>'Fichas clínicas'!B137</f>
        <v>7235087-1</v>
      </c>
      <c r="C137" t="str">
        <f>VLOOKUP(paciente_tutor!B137,clientes!A137:B1718,2,FALSE)</f>
        <v>Virginia Del Carmen</v>
      </c>
      <c r="D137" t="str">
        <f t="shared" si="2"/>
        <v>7235087-1</v>
      </c>
    </row>
    <row r="138" spans="1:4" x14ac:dyDescent="0.2">
      <c r="A138">
        <f>'Fichas clínicas'!A138</f>
        <v>138</v>
      </c>
      <c r="B138" t="str">
        <f>'Fichas clínicas'!B138</f>
        <v>16782328-9</v>
      </c>
      <c r="C138" t="str">
        <f>VLOOKUP(paciente_tutor!B138,clientes!A138:B1719,2,FALSE)</f>
        <v>GABRIEL</v>
      </c>
      <c r="D138" t="str">
        <f t="shared" si="2"/>
        <v>16782328-9</v>
      </c>
    </row>
    <row r="139" spans="1:4" x14ac:dyDescent="0.2">
      <c r="A139">
        <f>'Fichas clínicas'!A139</f>
        <v>139</v>
      </c>
      <c r="B139" t="str">
        <f>'Fichas clínicas'!B139</f>
        <v>16842348-9</v>
      </c>
      <c r="C139" t="str">
        <f>VLOOKUP(paciente_tutor!B139,clientes!A139:B1720,2,FALSE)</f>
        <v>FERNANDA</v>
      </c>
      <c r="D139" t="str">
        <f t="shared" si="2"/>
        <v>16842348-9</v>
      </c>
    </row>
    <row r="140" spans="1:4" x14ac:dyDescent="0.2">
      <c r="A140">
        <f>'Fichas clínicas'!A140</f>
        <v>140</v>
      </c>
      <c r="B140" t="str">
        <f>'Fichas clínicas'!B140</f>
        <v>10713517-0</v>
      </c>
      <c r="C140" t="e">
        <f>VLOOKUP(paciente_tutor!B140,clientes!A140:B1721,2,FALSE)</f>
        <v>#N/A</v>
      </c>
      <c r="D140" t="e">
        <f t="shared" si="2"/>
        <v>#N/A</v>
      </c>
    </row>
    <row r="141" spans="1:4" x14ac:dyDescent="0.2">
      <c r="A141">
        <f>'Fichas clínicas'!A141</f>
        <v>141</v>
      </c>
      <c r="B141" t="str">
        <f>'Fichas clínicas'!B141</f>
        <v>11589148-0</v>
      </c>
      <c r="C141" t="e">
        <f>VLOOKUP(paciente_tutor!B141,clientes!A141:B1722,2,FALSE)</f>
        <v>#N/A</v>
      </c>
      <c r="D141" t="e">
        <f t="shared" si="2"/>
        <v>#N/A</v>
      </c>
    </row>
    <row r="142" spans="1:4" x14ac:dyDescent="0.2">
      <c r="A142">
        <f>'Fichas clínicas'!A142</f>
        <v>142</v>
      </c>
      <c r="B142" t="str">
        <f>'Fichas clínicas'!B142</f>
        <v>10713517-0</v>
      </c>
      <c r="C142" t="e">
        <f>VLOOKUP(paciente_tutor!B142,clientes!A142:B1723,2,FALSE)</f>
        <v>#N/A</v>
      </c>
      <c r="D142" t="e">
        <f t="shared" si="2"/>
        <v>#N/A</v>
      </c>
    </row>
    <row r="143" spans="1:4" x14ac:dyDescent="0.2">
      <c r="A143">
        <f>'Fichas clínicas'!A143</f>
        <v>143</v>
      </c>
      <c r="B143" t="str">
        <f>'Fichas clínicas'!B143</f>
        <v>18888668-k</v>
      </c>
      <c r="C143" t="str">
        <f>VLOOKUP(paciente_tutor!B143,clientes!A143:B1724,2,FALSE)</f>
        <v>GABRIELA</v>
      </c>
      <c r="D143" t="str">
        <f t="shared" si="2"/>
        <v>18888668-k</v>
      </c>
    </row>
    <row r="144" spans="1:4" x14ac:dyDescent="0.2">
      <c r="A144">
        <f>'Fichas clínicas'!A144</f>
        <v>144</v>
      </c>
      <c r="B144" t="str">
        <f>'Fichas clínicas'!B144</f>
        <v>20868456-6</v>
      </c>
      <c r="C144" t="str">
        <f>VLOOKUP(paciente_tutor!B144,clientes!A144:B1725,2,FALSE)</f>
        <v>YARELLA</v>
      </c>
      <c r="D144" t="str">
        <f t="shared" si="2"/>
        <v>20868456-6</v>
      </c>
    </row>
    <row r="145" spans="1:4" x14ac:dyDescent="0.2">
      <c r="A145">
        <f>'Fichas clínicas'!A145</f>
        <v>145</v>
      </c>
      <c r="B145" t="str">
        <f>'Fichas clínicas'!B145</f>
        <v>17233415-6</v>
      </c>
      <c r="C145" t="str">
        <f>VLOOKUP(paciente_tutor!B145,clientes!A145:B1726,2,FALSE)</f>
        <v>PALOMA YALITZA</v>
      </c>
      <c r="D145" t="str">
        <f t="shared" si="2"/>
        <v>17233415-6</v>
      </c>
    </row>
    <row r="146" spans="1:4" x14ac:dyDescent="0.2">
      <c r="A146">
        <f>'Fichas clínicas'!A146</f>
        <v>146</v>
      </c>
      <c r="B146" t="str">
        <f>'Fichas clínicas'!B146</f>
        <v>15293915-9</v>
      </c>
      <c r="C146" t="str">
        <f>VLOOKUP(paciente_tutor!B146,clientes!A146:B1727,2,FALSE)</f>
        <v>YOHANA HAYDEE</v>
      </c>
      <c r="D146" t="str">
        <f t="shared" si="2"/>
        <v>15293915-9</v>
      </c>
    </row>
    <row r="147" spans="1:4" x14ac:dyDescent="0.2">
      <c r="A147">
        <f>'Fichas clínicas'!A147</f>
        <v>147</v>
      </c>
      <c r="B147" t="str">
        <f>'Fichas clínicas'!B147</f>
        <v>15293915-9</v>
      </c>
      <c r="C147" t="str">
        <f>VLOOKUP(paciente_tutor!B147,clientes!A147:B1728,2,FALSE)</f>
        <v>YOHANA HAYDEE</v>
      </c>
      <c r="D147" t="str">
        <f t="shared" si="2"/>
        <v>15293915-9</v>
      </c>
    </row>
    <row r="148" spans="1:4" x14ac:dyDescent="0.2">
      <c r="A148">
        <f>'Fichas clínicas'!A148</f>
        <v>148</v>
      </c>
      <c r="B148" t="str">
        <f>'Fichas clínicas'!B148</f>
        <v>18590821-6</v>
      </c>
      <c r="C148" t="str">
        <f>VLOOKUP(paciente_tutor!B148,clientes!A148:B1729,2,FALSE)</f>
        <v>CAMILA FERNANDA</v>
      </c>
      <c r="D148" t="str">
        <f t="shared" si="2"/>
        <v>18590821-6</v>
      </c>
    </row>
    <row r="149" spans="1:4" x14ac:dyDescent="0.2">
      <c r="A149">
        <f>'Fichas clínicas'!A149</f>
        <v>149</v>
      </c>
      <c r="B149" t="str">
        <f>'Fichas clínicas'!B149</f>
        <v>13321060-1</v>
      </c>
      <c r="C149" t="str">
        <f>VLOOKUP(paciente_tutor!B149,clientes!A149:B1730,2,FALSE)</f>
        <v>MIGUEL ANGEL</v>
      </c>
      <c r="D149" t="str">
        <f t="shared" si="2"/>
        <v>13321060-1</v>
      </c>
    </row>
    <row r="150" spans="1:4" x14ac:dyDescent="0.2">
      <c r="A150">
        <f>'Fichas clínicas'!A150</f>
        <v>150</v>
      </c>
      <c r="B150" t="str">
        <f>'Fichas clínicas'!B150</f>
        <v>8063670-9</v>
      </c>
      <c r="C150" t="str">
        <f>VLOOKUP(paciente_tutor!B150,clientes!A150:B1731,2,FALSE)</f>
        <v>BLANCA AURORA</v>
      </c>
      <c r="D150" t="str">
        <f t="shared" si="2"/>
        <v>8063670-9</v>
      </c>
    </row>
    <row r="151" spans="1:4" x14ac:dyDescent="0.2">
      <c r="A151">
        <f>'Fichas clínicas'!A151</f>
        <v>151</v>
      </c>
      <c r="B151" t="str">
        <f>'Fichas clínicas'!B151</f>
        <v>10769480-3</v>
      </c>
      <c r="C151" t="e">
        <f>VLOOKUP(paciente_tutor!B151,clientes!A151:B1732,2,FALSE)</f>
        <v>#N/A</v>
      </c>
      <c r="D151" t="e">
        <f t="shared" si="2"/>
        <v>#N/A</v>
      </c>
    </row>
    <row r="152" spans="1:4" x14ac:dyDescent="0.2">
      <c r="A152">
        <f>'Fichas clínicas'!A152</f>
        <v>152</v>
      </c>
      <c r="B152" t="str">
        <f>'Fichas clínicas'!B152</f>
        <v>10438889-2</v>
      </c>
      <c r="C152" t="e">
        <f>VLOOKUP(paciente_tutor!B152,clientes!A152:B1733,2,FALSE)</f>
        <v>#N/A</v>
      </c>
      <c r="D152" t="e">
        <f t="shared" si="2"/>
        <v>#N/A</v>
      </c>
    </row>
    <row r="153" spans="1:4" x14ac:dyDescent="0.2">
      <c r="A153">
        <f>'Fichas clínicas'!A153</f>
        <v>153</v>
      </c>
      <c r="B153" t="str">
        <f>'Fichas clínicas'!B153</f>
        <v>21022486-6</v>
      </c>
      <c r="C153" t="str">
        <f>VLOOKUP(paciente_tutor!B153,clientes!A153:B1734,2,FALSE)</f>
        <v>Michelle</v>
      </c>
      <c r="D153" t="str">
        <f t="shared" si="2"/>
        <v>21022486-6</v>
      </c>
    </row>
    <row r="154" spans="1:4" x14ac:dyDescent="0.2">
      <c r="A154">
        <f>'Fichas clínicas'!A154</f>
        <v>154</v>
      </c>
      <c r="B154" t="str">
        <f>'Fichas clínicas'!B154</f>
        <v>15760015-k</v>
      </c>
      <c r="C154" t="str">
        <f>VLOOKUP(paciente_tutor!B154,clientes!A154:B1735,2,FALSE)</f>
        <v>Carolina</v>
      </c>
      <c r="D154" t="str">
        <f t="shared" si="2"/>
        <v>15760015-k</v>
      </c>
    </row>
    <row r="155" spans="1:4" x14ac:dyDescent="0.2">
      <c r="A155">
        <f>'Fichas clínicas'!A155</f>
        <v>155</v>
      </c>
      <c r="B155" t="str">
        <f>'Fichas clínicas'!B155</f>
        <v>12566487-3</v>
      </c>
      <c r="C155" t="str">
        <f>VLOOKUP(paciente_tutor!B155,clientes!A155:B1736,2,FALSE)</f>
        <v>Vania</v>
      </c>
      <c r="D155" t="str">
        <f t="shared" si="2"/>
        <v>12566487-3</v>
      </c>
    </row>
    <row r="156" spans="1:4" x14ac:dyDescent="0.2">
      <c r="A156">
        <f>'Fichas clínicas'!A156</f>
        <v>156</v>
      </c>
      <c r="B156" t="str">
        <f>'Fichas clínicas'!B156</f>
        <v>12745863-4</v>
      </c>
      <c r="C156" t="str">
        <f>VLOOKUP(paciente_tutor!B156,clientes!A156:B1737,2,FALSE)</f>
        <v>GEORGINA</v>
      </c>
      <c r="D156" t="str">
        <f t="shared" si="2"/>
        <v>12745863-4</v>
      </c>
    </row>
    <row r="157" spans="1:4" x14ac:dyDescent="0.2">
      <c r="A157">
        <f>'Fichas clínicas'!A157</f>
        <v>157</v>
      </c>
      <c r="B157" t="str">
        <f>'Fichas clínicas'!B157</f>
        <v>20315512-3</v>
      </c>
      <c r="C157" t="str">
        <f>VLOOKUP(paciente_tutor!B157,clientes!A157:B1738,2,FALSE)</f>
        <v>LISBETH DEYANIRA</v>
      </c>
      <c r="D157" t="str">
        <f t="shared" si="2"/>
        <v>20315512-3</v>
      </c>
    </row>
    <row r="158" spans="1:4" x14ac:dyDescent="0.2">
      <c r="A158">
        <f>'Fichas clínicas'!A158</f>
        <v>158</v>
      </c>
      <c r="B158" t="str">
        <f>'Fichas clínicas'!B158</f>
        <v>15724198-2</v>
      </c>
      <c r="C158" t="str">
        <f>VLOOKUP(paciente_tutor!B158,clientes!A158:B1739,2,FALSE)</f>
        <v>ANGEL AUGUSTO</v>
      </c>
      <c r="D158" t="str">
        <f t="shared" si="2"/>
        <v>15724198-2</v>
      </c>
    </row>
    <row r="159" spans="1:4" x14ac:dyDescent="0.2">
      <c r="A159">
        <f>'Fichas clínicas'!A159</f>
        <v>159</v>
      </c>
      <c r="B159" t="str">
        <f>'Fichas clínicas'!B159</f>
        <v>11426375-3</v>
      </c>
      <c r="C159" t="e">
        <f>VLOOKUP(paciente_tutor!B159,clientes!A159:B1740,2,FALSE)</f>
        <v>#N/A</v>
      </c>
      <c r="D159" t="e">
        <f t="shared" si="2"/>
        <v>#N/A</v>
      </c>
    </row>
    <row r="160" spans="1:4" x14ac:dyDescent="0.2">
      <c r="A160">
        <f>'Fichas clínicas'!A160</f>
        <v>160</v>
      </c>
      <c r="B160" t="str">
        <f>'Fichas clínicas'!B160</f>
        <v>17360187-5</v>
      </c>
      <c r="C160" t="str">
        <f>VLOOKUP(paciente_tutor!B160,clientes!A160:B1741,2,FALSE)</f>
        <v>GABRIEL</v>
      </c>
      <c r="D160" t="str">
        <f t="shared" si="2"/>
        <v>17360187-5</v>
      </c>
    </row>
    <row r="161" spans="1:4" x14ac:dyDescent="0.2">
      <c r="A161">
        <f>'Fichas clínicas'!A161</f>
        <v>161</v>
      </c>
      <c r="B161" t="str">
        <f>'Fichas clínicas'!B161</f>
        <v>9714429-k</v>
      </c>
      <c r="C161" t="str">
        <f>VLOOKUP(paciente_tutor!B161,clientes!A161:B1742,2,FALSE)</f>
        <v>Verónica Del Carmen</v>
      </c>
      <c r="D161" t="str">
        <f t="shared" si="2"/>
        <v>9714429-k</v>
      </c>
    </row>
    <row r="162" spans="1:4" x14ac:dyDescent="0.2">
      <c r="A162">
        <f>'Fichas clínicas'!A162</f>
        <v>162</v>
      </c>
      <c r="B162" t="str">
        <f>'Fichas clínicas'!B162</f>
        <v>17324202-6</v>
      </c>
      <c r="C162" t="str">
        <f>VLOOKUP(paciente_tutor!B162,clientes!A162:B1743,2,FALSE)</f>
        <v>Barbara Icheele</v>
      </c>
      <c r="D162" t="str">
        <f t="shared" si="2"/>
        <v>17324202-6</v>
      </c>
    </row>
    <row r="163" spans="1:4" x14ac:dyDescent="0.2">
      <c r="A163">
        <f>'Fichas clínicas'!A163</f>
        <v>163</v>
      </c>
      <c r="B163" t="str">
        <f>'Fichas clínicas'!B163</f>
        <v>17324202-6</v>
      </c>
      <c r="C163" t="str">
        <f>VLOOKUP(paciente_tutor!B163,clientes!A163:B1744,2,FALSE)</f>
        <v>Barbara Icheele</v>
      </c>
      <c r="D163" t="str">
        <f t="shared" si="2"/>
        <v>17324202-6</v>
      </c>
    </row>
    <row r="164" spans="1:4" x14ac:dyDescent="0.2">
      <c r="A164">
        <f>'Fichas clínicas'!A164</f>
        <v>164</v>
      </c>
      <c r="B164" t="str">
        <f>'Fichas clínicas'!B164</f>
        <v>20256928-5</v>
      </c>
      <c r="C164" t="str">
        <f>VLOOKUP(paciente_tutor!B164,clientes!A164:B1745,2,FALSE)</f>
        <v>Ana Abigail</v>
      </c>
      <c r="D164" t="str">
        <f t="shared" si="2"/>
        <v>20256928-5</v>
      </c>
    </row>
    <row r="165" spans="1:4" x14ac:dyDescent="0.2">
      <c r="A165">
        <f>'Fichas clínicas'!A165</f>
        <v>165</v>
      </c>
      <c r="B165" t="str">
        <f>'Fichas clínicas'!B165</f>
        <v>16319852-5</v>
      </c>
      <c r="C165" t="str">
        <f>VLOOKUP(paciente_tutor!B165,clientes!A165:B1746,2,FALSE)</f>
        <v>JOSEFA AMANDA</v>
      </c>
      <c r="D165" t="str">
        <f t="shared" si="2"/>
        <v>16319852-5</v>
      </c>
    </row>
    <row r="166" spans="1:4" x14ac:dyDescent="0.2">
      <c r="A166">
        <f>'Fichas clínicas'!A166</f>
        <v>166</v>
      </c>
      <c r="B166" t="str">
        <f>'Fichas clínicas'!B166</f>
        <v>16049369-0</v>
      </c>
      <c r="C166" t="str">
        <f>VLOOKUP(paciente_tutor!B166,clientes!A166:B1747,2,FALSE)</f>
        <v>Clara Elena</v>
      </c>
      <c r="D166" t="str">
        <f t="shared" si="2"/>
        <v>16049369-0</v>
      </c>
    </row>
    <row r="167" spans="1:4" x14ac:dyDescent="0.2">
      <c r="A167">
        <f>'Fichas clínicas'!A167</f>
        <v>167</v>
      </c>
      <c r="B167" t="str">
        <f>'Fichas clínicas'!B167</f>
        <v>14280799-8</v>
      </c>
      <c r="C167" t="str">
        <f>VLOOKUP(paciente_tutor!B167,clientes!A167:B1748,2,FALSE)</f>
        <v>Celia</v>
      </c>
      <c r="D167" t="str">
        <f t="shared" si="2"/>
        <v>14280799-8</v>
      </c>
    </row>
    <row r="168" spans="1:4" x14ac:dyDescent="0.2">
      <c r="A168">
        <f>'Fichas clínicas'!A168</f>
        <v>168</v>
      </c>
      <c r="B168" t="str">
        <f>'Fichas clínicas'!B168</f>
        <v>16831008-0</v>
      </c>
      <c r="C168" t="str">
        <f>VLOOKUP(paciente_tutor!B168,clientes!A168:B1749,2,FALSE)</f>
        <v>MACARENA</v>
      </c>
      <c r="D168" t="str">
        <f t="shared" si="2"/>
        <v>16831008-0</v>
      </c>
    </row>
    <row r="169" spans="1:4" x14ac:dyDescent="0.2">
      <c r="A169">
        <f>'Fichas clínicas'!A169</f>
        <v>169</v>
      </c>
      <c r="B169" t="str">
        <f>'Fichas clínicas'!B169</f>
        <v>12098037-8</v>
      </c>
      <c r="C169" t="e">
        <f>VLOOKUP(paciente_tutor!B169,clientes!A169:B1750,2,FALSE)</f>
        <v>#N/A</v>
      </c>
      <c r="D169" t="e">
        <f t="shared" si="2"/>
        <v>#N/A</v>
      </c>
    </row>
    <row r="170" spans="1:4" x14ac:dyDescent="0.2">
      <c r="A170">
        <f>'Fichas clínicas'!A170</f>
        <v>170</v>
      </c>
      <c r="B170" t="str">
        <f>'Fichas clínicas'!B170</f>
        <v>13962018-6</v>
      </c>
      <c r="C170" t="str">
        <f>VLOOKUP(paciente_tutor!B170,clientes!A170:B1751,2,FALSE)</f>
        <v>JOSE EDUARDO</v>
      </c>
      <c r="D170" t="str">
        <f t="shared" si="2"/>
        <v>13962018-6</v>
      </c>
    </row>
    <row r="171" spans="1:4" x14ac:dyDescent="0.2">
      <c r="A171">
        <f>'Fichas clínicas'!A171</f>
        <v>171</v>
      </c>
      <c r="B171" t="str">
        <f>'Fichas clínicas'!B171</f>
        <v>12666404-4</v>
      </c>
      <c r="C171" t="str">
        <f>VLOOKUP(paciente_tutor!B171,clientes!A171:B1752,2,FALSE)</f>
        <v>JUAN</v>
      </c>
      <c r="D171" t="str">
        <f t="shared" si="2"/>
        <v>12666404-4</v>
      </c>
    </row>
    <row r="172" spans="1:4" x14ac:dyDescent="0.2">
      <c r="A172">
        <f>'Fichas clínicas'!A172</f>
        <v>172</v>
      </c>
      <c r="B172" t="str">
        <f>'Fichas clínicas'!B172</f>
        <v>11129923-4</v>
      </c>
      <c r="C172" t="e">
        <f>VLOOKUP(paciente_tutor!B172,clientes!A172:B1753,2,FALSE)</f>
        <v>#N/A</v>
      </c>
      <c r="D172" t="e">
        <f t="shared" si="2"/>
        <v>#N/A</v>
      </c>
    </row>
    <row r="173" spans="1:4" x14ac:dyDescent="0.2">
      <c r="A173">
        <f>'Fichas clínicas'!A173</f>
        <v>173</v>
      </c>
      <c r="B173" t="str">
        <f>'Fichas clínicas'!B173</f>
        <v>15265870-2</v>
      </c>
      <c r="C173" t="str">
        <f>VLOOKUP(paciente_tutor!B173,clientes!A173:B1754,2,FALSE)</f>
        <v>MARIA YANET</v>
      </c>
      <c r="D173" t="str">
        <f t="shared" si="2"/>
        <v>15265870-2</v>
      </c>
    </row>
    <row r="174" spans="1:4" x14ac:dyDescent="0.2">
      <c r="A174">
        <f>'Fichas clínicas'!A174</f>
        <v>174</v>
      </c>
      <c r="B174" t="str">
        <f>'Fichas clínicas'!B174</f>
        <v>15265870-2</v>
      </c>
      <c r="C174" t="str">
        <f>VLOOKUP(paciente_tutor!B174,clientes!A174:B1755,2,FALSE)</f>
        <v>MARIA YANET</v>
      </c>
      <c r="D174" t="str">
        <f t="shared" si="2"/>
        <v>15265870-2</v>
      </c>
    </row>
    <row r="175" spans="1:4" x14ac:dyDescent="0.2">
      <c r="A175">
        <f>'Fichas clínicas'!A175</f>
        <v>175</v>
      </c>
      <c r="B175" t="str">
        <f>'Fichas clínicas'!B175</f>
        <v>20083805-k</v>
      </c>
      <c r="C175" t="str">
        <f>VLOOKUP(paciente_tutor!B175,clientes!A175:B1756,2,FALSE)</f>
        <v>JUAN PABLO</v>
      </c>
      <c r="D175" t="str">
        <f t="shared" si="2"/>
        <v>20083805-k</v>
      </c>
    </row>
    <row r="176" spans="1:4" x14ac:dyDescent="0.2">
      <c r="A176">
        <f>'Fichas clínicas'!A176</f>
        <v>176</v>
      </c>
      <c r="B176" t="str">
        <f>'Fichas clínicas'!B176</f>
        <v>13588059-0</v>
      </c>
      <c r="C176" t="str">
        <f>VLOOKUP(paciente_tutor!B176,clientes!A176:B1757,2,FALSE)</f>
        <v>Leonardo</v>
      </c>
      <c r="D176" t="str">
        <f t="shared" si="2"/>
        <v>13588059-0</v>
      </c>
    </row>
    <row r="177" spans="1:4" x14ac:dyDescent="0.2">
      <c r="A177">
        <f>'Fichas clínicas'!A177</f>
        <v>177</v>
      </c>
      <c r="B177" t="str">
        <f>'Fichas clínicas'!B177</f>
        <v>17360118-2</v>
      </c>
      <c r="C177" t="str">
        <f>VLOOKUP(paciente_tutor!B177,clientes!A177:B1758,2,FALSE)</f>
        <v>Isabel</v>
      </c>
      <c r="D177" t="str">
        <f t="shared" si="2"/>
        <v>17360118-2</v>
      </c>
    </row>
    <row r="178" spans="1:4" x14ac:dyDescent="0.2">
      <c r="A178">
        <f>'Fichas clínicas'!A178</f>
        <v>178</v>
      </c>
      <c r="B178" t="str">
        <f>'Fichas clínicas'!B178</f>
        <v>15293200-6</v>
      </c>
      <c r="C178" t="str">
        <f>VLOOKUP(paciente_tutor!B178,clientes!A178:B1759,2,FALSE)</f>
        <v>Paola</v>
      </c>
      <c r="D178" t="str">
        <f t="shared" si="2"/>
        <v>15293200-6</v>
      </c>
    </row>
    <row r="179" spans="1:4" x14ac:dyDescent="0.2">
      <c r="A179">
        <f>'Fichas clínicas'!A179</f>
        <v>179</v>
      </c>
      <c r="B179" t="str">
        <f>'Fichas clínicas'!B179</f>
        <v>19556049-8</v>
      </c>
      <c r="C179" t="str">
        <f>VLOOKUP(paciente_tutor!B179,clientes!A179:B1760,2,FALSE)</f>
        <v>ALVARO GUILLERNO</v>
      </c>
      <c r="D179" t="str">
        <f t="shared" si="2"/>
        <v>19556049-8</v>
      </c>
    </row>
    <row r="180" spans="1:4" x14ac:dyDescent="0.2">
      <c r="A180">
        <f>'Fichas clínicas'!A180</f>
        <v>180</v>
      </c>
      <c r="B180" t="str">
        <f>'Fichas clínicas'!B180</f>
        <v>16563754-2</v>
      </c>
      <c r="C180" t="str">
        <f>VLOOKUP(paciente_tutor!B180,clientes!A180:B1761,2,FALSE)</f>
        <v>MARIELA</v>
      </c>
      <c r="D180" t="str">
        <f t="shared" si="2"/>
        <v>16563754-2</v>
      </c>
    </row>
    <row r="181" spans="1:4" x14ac:dyDescent="0.2">
      <c r="A181">
        <f>'Fichas clínicas'!A181</f>
        <v>181</v>
      </c>
      <c r="B181" t="str">
        <f>'Fichas clínicas'!B181</f>
        <v>15547738-5</v>
      </c>
      <c r="C181" t="str">
        <f>VLOOKUP(paciente_tutor!B181,clientes!A181:B1762,2,FALSE)</f>
        <v>ANDREA DEL CARMEN</v>
      </c>
      <c r="D181" t="str">
        <f t="shared" si="2"/>
        <v>15547738-5</v>
      </c>
    </row>
    <row r="182" spans="1:4" x14ac:dyDescent="0.2">
      <c r="A182">
        <f>'Fichas clínicas'!A182</f>
        <v>182</v>
      </c>
      <c r="B182" t="str">
        <f>'Fichas clínicas'!B182</f>
        <v>16329371-4</v>
      </c>
      <c r="C182" t="str">
        <f>VLOOKUP(paciente_tutor!B182,clientes!A182:B1763,2,FALSE)</f>
        <v>NICES</v>
      </c>
      <c r="D182" t="str">
        <f t="shared" si="2"/>
        <v>16329371-4</v>
      </c>
    </row>
    <row r="183" spans="1:4" x14ac:dyDescent="0.2">
      <c r="A183">
        <f>'Fichas clínicas'!A183</f>
        <v>183</v>
      </c>
      <c r="B183" t="str">
        <f>'Fichas clínicas'!B183</f>
        <v>15309184-6</v>
      </c>
      <c r="C183" t="str">
        <f>VLOOKUP(paciente_tutor!B183,clientes!A183:B1764,2,FALSE)</f>
        <v>Maria Paz</v>
      </c>
      <c r="D183" t="str">
        <f t="shared" si="2"/>
        <v>15309184-6</v>
      </c>
    </row>
    <row r="184" spans="1:4" x14ac:dyDescent="0.2">
      <c r="A184">
        <f>'Fichas clínicas'!A184</f>
        <v>184</v>
      </c>
      <c r="B184" t="str">
        <f>'Fichas clínicas'!B184</f>
        <v>17549440-5</v>
      </c>
      <c r="C184" t="str">
        <f>VLOOKUP(paciente_tutor!B184,clientes!A184:B1765,2,FALSE)</f>
        <v>JORGE YONATHAN</v>
      </c>
      <c r="D184" t="str">
        <f t="shared" si="2"/>
        <v>17549440-5</v>
      </c>
    </row>
    <row r="185" spans="1:4" x14ac:dyDescent="0.2">
      <c r="A185">
        <f>'Fichas clínicas'!A185</f>
        <v>185</v>
      </c>
      <c r="B185" t="str">
        <f>'Fichas clínicas'!B185</f>
        <v>18776821-7</v>
      </c>
      <c r="C185" t="str">
        <f>VLOOKUP(paciente_tutor!B185,clientes!A185:B1766,2,FALSE)</f>
        <v>JAVIERA BELEN</v>
      </c>
      <c r="D185" t="str">
        <f t="shared" si="2"/>
        <v>18776821-7</v>
      </c>
    </row>
    <row r="186" spans="1:4" x14ac:dyDescent="0.2">
      <c r="A186">
        <f>'Fichas clínicas'!A186</f>
        <v>186</v>
      </c>
      <c r="B186" t="str">
        <f>'Fichas clínicas'!B186</f>
        <v>13035575-7</v>
      </c>
      <c r="C186" t="str">
        <f>VLOOKUP(paciente_tutor!B186,clientes!A186:B1767,2,FALSE)</f>
        <v>Clara Alicia</v>
      </c>
      <c r="D186" t="str">
        <f t="shared" si="2"/>
        <v>13035575-7</v>
      </c>
    </row>
    <row r="187" spans="1:4" x14ac:dyDescent="0.2">
      <c r="A187">
        <f>'Fichas clínicas'!A187</f>
        <v>187</v>
      </c>
      <c r="B187" t="str">
        <f>'Fichas clínicas'!B187</f>
        <v>16128950-7</v>
      </c>
      <c r="C187" t="str">
        <f>VLOOKUP(paciente_tutor!B187,clientes!A187:B1768,2,FALSE)</f>
        <v>VANESA ANDREA</v>
      </c>
      <c r="D187" t="str">
        <f t="shared" si="2"/>
        <v>16128950-7</v>
      </c>
    </row>
    <row r="188" spans="1:4" x14ac:dyDescent="0.2">
      <c r="A188">
        <f>'Fichas clínicas'!A188</f>
        <v>188</v>
      </c>
      <c r="B188" t="str">
        <f>'Fichas clínicas'!B188</f>
        <v>15548684-8</v>
      </c>
      <c r="C188" t="str">
        <f>VLOOKUP(paciente_tutor!B188,clientes!A188:B1769,2,FALSE)</f>
        <v>PRISCILA ALEJANDRA</v>
      </c>
      <c r="D188" t="str">
        <f t="shared" si="2"/>
        <v>15548684-8</v>
      </c>
    </row>
    <row r="189" spans="1:4" x14ac:dyDescent="0.2">
      <c r="A189">
        <f>'Fichas clínicas'!A189</f>
        <v>189</v>
      </c>
      <c r="B189" t="str">
        <f>'Fichas clínicas'!B189</f>
        <v>7349876-7</v>
      </c>
      <c r="C189" t="str">
        <f>VLOOKUP(paciente_tutor!B189,clientes!A189:B1770,2,FALSE)</f>
        <v>ADELINA</v>
      </c>
      <c r="D189" t="str">
        <f t="shared" si="2"/>
        <v>7349876-7</v>
      </c>
    </row>
    <row r="190" spans="1:4" x14ac:dyDescent="0.2">
      <c r="A190">
        <f>'Fichas clínicas'!A190</f>
        <v>190</v>
      </c>
      <c r="B190" t="str">
        <f>'Fichas clínicas'!B190</f>
        <v>16018181-8</v>
      </c>
      <c r="C190" t="str">
        <f>VLOOKUP(paciente_tutor!B190,clientes!A190:B1771,2,FALSE)</f>
        <v>Jessica Viviana</v>
      </c>
      <c r="D190" t="str">
        <f t="shared" si="2"/>
        <v>16018181-8</v>
      </c>
    </row>
    <row r="191" spans="1:4" x14ac:dyDescent="0.2">
      <c r="A191">
        <f>'Fichas clínicas'!A191</f>
        <v>191</v>
      </c>
      <c r="B191" t="str">
        <f>'Fichas clínicas'!B191</f>
        <v>16018181-8</v>
      </c>
      <c r="C191" t="str">
        <f>VLOOKUP(paciente_tutor!B191,clientes!A191:B1772,2,FALSE)</f>
        <v>Jessica Viviana</v>
      </c>
      <c r="D191" t="str">
        <f t="shared" si="2"/>
        <v>16018181-8</v>
      </c>
    </row>
    <row r="192" spans="1:4" x14ac:dyDescent="0.2">
      <c r="A192">
        <f>'Fichas clínicas'!A192</f>
        <v>192</v>
      </c>
      <c r="B192" t="str">
        <f>'Fichas clínicas'!B192</f>
        <v>18590855-0</v>
      </c>
      <c r="C192" t="str">
        <f>VLOOKUP(paciente_tutor!B192,clientes!A192:B1773,2,FALSE)</f>
        <v>NICOLE</v>
      </c>
      <c r="D192" t="str">
        <f t="shared" si="2"/>
        <v>18590855-0</v>
      </c>
    </row>
    <row r="193" spans="1:4" x14ac:dyDescent="0.2">
      <c r="A193">
        <f>'Fichas clínicas'!A193</f>
        <v>193</v>
      </c>
      <c r="B193" t="str">
        <f>'Fichas clínicas'!B193</f>
        <v>15706076-7</v>
      </c>
      <c r="C193" t="str">
        <f>VLOOKUP(paciente_tutor!B193,clientes!A193:B1774,2,FALSE)</f>
        <v>FLORITA DEL CARMEN</v>
      </c>
      <c r="D193" t="str">
        <f t="shared" si="2"/>
        <v>15706076-7</v>
      </c>
    </row>
    <row r="194" spans="1:4" x14ac:dyDescent="0.2">
      <c r="A194">
        <f>'Fichas clínicas'!A194</f>
        <v>194</v>
      </c>
      <c r="B194" t="str">
        <f>'Fichas clínicas'!B194</f>
        <v>14280628-2</v>
      </c>
      <c r="C194" t="str">
        <f>VLOOKUP(paciente_tutor!B194,clientes!A194:B1775,2,FALSE)</f>
        <v>YESSICA</v>
      </c>
      <c r="D194" t="str">
        <f t="shared" si="2"/>
        <v>14280628-2</v>
      </c>
    </row>
    <row r="195" spans="1:4" x14ac:dyDescent="0.2">
      <c r="A195">
        <f>'Fichas clínicas'!A195</f>
        <v>195</v>
      </c>
      <c r="B195" t="str">
        <f>'Fichas clínicas'!B195</f>
        <v>13846480-6</v>
      </c>
      <c r="C195" t="str">
        <f>VLOOKUP(paciente_tutor!B195,clientes!A195:B1776,2,FALSE)</f>
        <v>RODRIGO</v>
      </c>
      <c r="D195" t="str">
        <f t="shared" ref="D195:D258" si="3">IF(C195="#N/A","",B195)</f>
        <v>13846480-6</v>
      </c>
    </row>
    <row r="196" spans="1:4" x14ac:dyDescent="0.2">
      <c r="A196">
        <f>'Fichas clínicas'!A196</f>
        <v>196</v>
      </c>
      <c r="B196" t="str">
        <f>'Fichas clínicas'!B196</f>
        <v>16464617-3</v>
      </c>
      <c r="C196" t="str">
        <f>VLOOKUP(paciente_tutor!B196,clientes!A196:B1777,2,FALSE)</f>
        <v>NADIA</v>
      </c>
      <c r="D196" t="str">
        <f t="shared" si="3"/>
        <v>16464617-3</v>
      </c>
    </row>
    <row r="197" spans="1:4" x14ac:dyDescent="0.2">
      <c r="A197">
        <f>'Fichas clínicas'!A197</f>
        <v>197</v>
      </c>
      <c r="B197" t="str">
        <f>'Fichas clínicas'!B197</f>
        <v>9655291-2</v>
      </c>
      <c r="C197" t="str">
        <f>VLOOKUP(paciente_tutor!B197,clientes!A197:B1778,2,FALSE)</f>
        <v>ANA MARÍA</v>
      </c>
      <c r="D197" t="str">
        <f t="shared" si="3"/>
        <v>9655291-2</v>
      </c>
    </row>
    <row r="198" spans="1:4" x14ac:dyDescent="0.2">
      <c r="A198">
        <f>'Fichas clínicas'!A198</f>
        <v>198</v>
      </c>
      <c r="B198" t="str">
        <f>'Fichas clínicas'!B198</f>
        <v>9655291-2</v>
      </c>
      <c r="C198" t="str">
        <f>VLOOKUP(paciente_tutor!B198,clientes!A198:B1779,2,FALSE)</f>
        <v>ANA MARÍA</v>
      </c>
      <c r="D198" t="str">
        <f t="shared" si="3"/>
        <v>9655291-2</v>
      </c>
    </row>
    <row r="199" spans="1:4" x14ac:dyDescent="0.2">
      <c r="A199">
        <f>'Fichas clínicas'!A199</f>
        <v>199</v>
      </c>
      <c r="B199" t="str">
        <f>'Fichas clínicas'!B199</f>
        <v>10788507-2</v>
      </c>
      <c r="C199" t="e">
        <f>VLOOKUP(paciente_tutor!B199,clientes!A199:B1780,2,FALSE)</f>
        <v>#N/A</v>
      </c>
      <c r="D199" t="e">
        <f t="shared" si="3"/>
        <v>#N/A</v>
      </c>
    </row>
    <row r="200" spans="1:4" x14ac:dyDescent="0.2">
      <c r="A200">
        <f>'Fichas clínicas'!A200</f>
        <v>200</v>
      </c>
      <c r="B200" t="str">
        <f>'Fichas clínicas'!B200</f>
        <v>10788507-2</v>
      </c>
      <c r="C200" t="e">
        <f>VLOOKUP(paciente_tutor!B200,clientes!A200:B1781,2,FALSE)</f>
        <v>#N/A</v>
      </c>
      <c r="D200" t="e">
        <f t="shared" si="3"/>
        <v>#N/A</v>
      </c>
    </row>
    <row r="201" spans="1:4" x14ac:dyDescent="0.2">
      <c r="A201">
        <f>'Fichas clínicas'!A201</f>
        <v>201</v>
      </c>
      <c r="B201" t="str">
        <f>'Fichas clínicas'!B201</f>
        <v>18887433-9</v>
      </c>
      <c r="C201" t="str">
        <f>VLOOKUP(paciente_tutor!B201,clientes!A201:B1782,2,FALSE)</f>
        <v>SOLANGE</v>
      </c>
      <c r="D201" t="str">
        <f t="shared" si="3"/>
        <v>18887433-9</v>
      </c>
    </row>
    <row r="202" spans="1:4" x14ac:dyDescent="0.2">
      <c r="A202">
        <f>'Fichas clínicas'!A202</f>
        <v>202</v>
      </c>
      <c r="B202" t="str">
        <f>'Fichas clínicas'!B202</f>
        <v>13819015-3</v>
      </c>
      <c r="C202" t="str">
        <f>VLOOKUP(paciente_tutor!B202,clientes!A202:B1783,2,FALSE)</f>
        <v>Ambar</v>
      </c>
      <c r="D202" t="str">
        <f t="shared" si="3"/>
        <v>13819015-3</v>
      </c>
    </row>
    <row r="203" spans="1:4" x14ac:dyDescent="0.2">
      <c r="A203">
        <f>'Fichas clínicas'!A203</f>
        <v>203</v>
      </c>
      <c r="B203" t="str">
        <f>'Fichas clínicas'!B203</f>
        <v>16160043-1</v>
      </c>
      <c r="C203" t="str">
        <f>VLOOKUP(paciente_tutor!B203,clientes!A203:B1784,2,FALSE)</f>
        <v>PIA BELEN</v>
      </c>
      <c r="D203" t="str">
        <f t="shared" si="3"/>
        <v>16160043-1</v>
      </c>
    </row>
    <row r="204" spans="1:4" x14ac:dyDescent="0.2">
      <c r="A204">
        <f>'Fichas clínicas'!A204</f>
        <v>204</v>
      </c>
      <c r="B204" t="str">
        <f>'Fichas clínicas'!B204</f>
        <v>6015947-5</v>
      </c>
      <c r="C204" t="str">
        <f>VLOOKUP(paciente_tutor!B204,clientes!A204:B1785,2,FALSE)</f>
        <v>LILIANA DEL CARMEN</v>
      </c>
      <c r="D204" t="str">
        <f t="shared" si="3"/>
        <v>6015947-5</v>
      </c>
    </row>
    <row r="205" spans="1:4" x14ac:dyDescent="0.2">
      <c r="A205">
        <f>'Fichas clínicas'!A205</f>
        <v>205</v>
      </c>
      <c r="B205" t="str">
        <f>'Fichas clínicas'!B205</f>
        <v>11592590-3</v>
      </c>
      <c r="C205" t="e">
        <f>VLOOKUP(paciente_tutor!B205,clientes!A205:B1786,2,FALSE)</f>
        <v>#N/A</v>
      </c>
      <c r="D205" t="e">
        <f t="shared" si="3"/>
        <v>#N/A</v>
      </c>
    </row>
    <row r="206" spans="1:4" x14ac:dyDescent="0.2">
      <c r="A206">
        <f>'Fichas clínicas'!A206</f>
        <v>206</v>
      </c>
      <c r="B206" t="str">
        <f>'Fichas clínicas'!B206</f>
        <v>17694185-5</v>
      </c>
      <c r="C206" t="str">
        <f>VLOOKUP(paciente_tutor!B206,clientes!A206:B1787,2,FALSE)</f>
        <v>VERONICA</v>
      </c>
      <c r="D206" t="str">
        <f t="shared" si="3"/>
        <v>17694185-5</v>
      </c>
    </row>
    <row r="207" spans="1:4" x14ac:dyDescent="0.2">
      <c r="A207">
        <f>'Fichas clínicas'!A207</f>
        <v>207</v>
      </c>
      <c r="B207" t="str">
        <f>'Fichas clínicas'!B207</f>
        <v>19514151-7</v>
      </c>
      <c r="C207" t="str">
        <f>VLOOKUP(paciente_tutor!B207,clientes!A207:B1788,2,FALSE)</f>
        <v>Constanza</v>
      </c>
      <c r="D207" t="str">
        <f t="shared" si="3"/>
        <v>19514151-7</v>
      </c>
    </row>
    <row r="208" spans="1:4" x14ac:dyDescent="0.2">
      <c r="A208">
        <f>'Fichas clínicas'!A208</f>
        <v>208</v>
      </c>
      <c r="B208" t="str">
        <f>'Fichas clínicas'!B208</f>
        <v>13609615-K</v>
      </c>
      <c r="C208" t="str">
        <f>VLOOKUP(paciente_tutor!B208,clientes!A208:B1789,2,FALSE)</f>
        <v>SILVIA ELIZABETH</v>
      </c>
      <c r="D208" t="str">
        <f t="shared" si="3"/>
        <v>13609615-K</v>
      </c>
    </row>
    <row r="209" spans="1:4" x14ac:dyDescent="0.2">
      <c r="A209">
        <f>'Fichas clínicas'!A209</f>
        <v>209</v>
      </c>
      <c r="B209" t="str">
        <f>'Fichas clínicas'!B209</f>
        <v>17964258-1</v>
      </c>
      <c r="C209" t="str">
        <f>VLOOKUP(paciente_tutor!B209,clientes!A209:B1790,2,FALSE)</f>
        <v>SANDRA</v>
      </c>
      <c r="D209" t="str">
        <f t="shared" si="3"/>
        <v>17964258-1</v>
      </c>
    </row>
    <row r="210" spans="1:4" x14ac:dyDescent="0.2">
      <c r="A210">
        <f>'Fichas clínicas'!A210</f>
        <v>210</v>
      </c>
      <c r="B210" t="str">
        <f>'Fichas clínicas'!B210</f>
        <v>16128950-7</v>
      </c>
      <c r="C210" t="str">
        <f>VLOOKUP(paciente_tutor!B210,clientes!A210:B1791,2,FALSE)</f>
        <v>VANESA ANDREA</v>
      </c>
      <c r="D210" t="str">
        <f t="shared" si="3"/>
        <v>16128950-7</v>
      </c>
    </row>
    <row r="211" spans="1:4" x14ac:dyDescent="0.2">
      <c r="A211">
        <f>'Fichas clínicas'!A211</f>
        <v>211</v>
      </c>
      <c r="B211" t="str">
        <f>'Fichas clínicas'!B211</f>
        <v>19877725-0</v>
      </c>
      <c r="C211" t="str">
        <f>VLOOKUP(paciente_tutor!B211,clientes!A211:B1792,2,FALSE)</f>
        <v>MATÍAS ANDRÉS</v>
      </c>
      <c r="D211" t="str">
        <f t="shared" si="3"/>
        <v>19877725-0</v>
      </c>
    </row>
    <row r="212" spans="1:4" x14ac:dyDescent="0.2">
      <c r="A212">
        <f>'Fichas clínicas'!A212</f>
        <v>212</v>
      </c>
      <c r="B212" t="str">
        <f>'Fichas clínicas'!B212</f>
        <v>19877725-0</v>
      </c>
      <c r="C212" t="str">
        <f>VLOOKUP(paciente_tutor!B212,clientes!A212:B1793,2,FALSE)</f>
        <v>MATÍAS ANDRÉS</v>
      </c>
      <c r="D212" t="str">
        <f t="shared" si="3"/>
        <v>19877725-0</v>
      </c>
    </row>
    <row r="213" spans="1:4" x14ac:dyDescent="0.2">
      <c r="A213">
        <f>'Fichas clínicas'!A213</f>
        <v>213</v>
      </c>
      <c r="B213" t="str">
        <f>'Fichas clínicas'!B213</f>
        <v>19877725-0</v>
      </c>
      <c r="C213" t="str">
        <f>VLOOKUP(paciente_tutor!B213,clientes!A213:B1794,2,FALSE)</f>
        <v>MATÍAS ANDRÉS</v>
      </c>
      <c r="D213" t="str">
        <f t="shared" si="3"/>
        <v>19877725-0</v>
      </c>
    </row>
    <row r="214" spans="1:4" x14ac:dyDescent="0.2">
      <c r="A214">
        <f>'Fichas clínicas'!A214</f>
        <v>214</v>
      </c>
      <c r="B214" t="str">
        <f>'Fichas clínicas'!B214</f>
        <v>21347216-K</v>
      </c>
      <c r="C214" t="str">
        <f>VLOOKUP(paciente_tutor!B214,clientes!A214:B1795,2,FALSE)</f>
        <v>MARCOS</v>
      </c>
      <c r="D214" t="str">
        <f t="shared" si="3"/>
        <v>21347216-K</v>
      </c>
    </row>
    <row r="215" spans="1:4" x14ac:dyDescent="0.2">
      <c r="A215">
        <f>'Fichas clínicas'!A215</f>
        <v>215</v>
      </c>
      <c r="B215" t="str">
        <f>'Fichas clínicas'!B215</f>
        <v>15179617-6</v>
      </c>
      <c r="C215" t="str">
        <f>VLOOKUP(paciente_tutor!B215,clientes!A215:B1796,2,FALSE)</f>
        <v>IVONNE</v>
      </c>
      <c r="D215" t="str">
        <f t="shared" si="3"/>
        <v>15179617-6</v>
      </c>
    </row>
    <row r="216" spans="1:4" x14ac:dyDescent="0.2">
      <c r="A216">
        <f>'Fichas clínicas'!A216</f>
        <v>216</v>
      </c>
      <c r="B216" t="str">
        <f>'Fichas clínicas'!B216</f>
        <v>11116411-8</v>
      </c>
      <c r="C216" t="e">
        <f>VLOOKUP(paciente_tutor!B216,clientes!A216:B1797,2,FALSE)</f>
        <v>#N/A</v>
      </c>
      <c r="D216" t="e">
        <f t="shared" si="3"/>
        <v>#N/A</v>
      </c>
    </row>
    <row r="217" spans="1:4" x14ac:dyDescent="0.2">
      <c r="A217">
        <f>'Fichas clínicas'!A217</f>
        <v>217</v>
      </c>
      <c r="B217" t="str">
        <f>'Fichas clínicas'!B217</f>
        <v>19465761-7</v>
      </c>
      <c r="C217" t="str">
        <f>VLOOKUP(paciente_tutor!B217,clientes!A217:B1798,2,FALSE)</f>
        <v>DANIEL FELIPE</v>
      </c>
      <c r="D217" t="str">
        <f t="shared" si="3"/>
        <v>19465761-7</v>
      </c>
    </row>
    <row r="218" spans="1:4" x14ac:dyDescent="0.2">
      <c r="A218">
        <f>'Fichas clínicas'!A218</f>
        <v>218</v>
      </c>
      <c r="B218" t="str">
        <f>'Fichas clínicas'!B218</f>
        <v>20848622-5</v>
      </c>
      <c r="C218" t="str">
        <f>VLOOKUP(paciente_tutor!B218,clientes!A218:B1799,2,FALSE)</f>
        <v>FERNANDO</v>
      </c>
      <c r="D218" t="str">
        <f t="shared" si="3"/>
        <v>20848622-5</v>
      </c>
    </row>
    <row r="219" spans="1:4" x14ac:dyDescent="0.2">
      <c r="A219">
        <f>'Fichas clínicas'!A219</f>
        <v>219</v>
      </c>
      <c r="B219" t="str">
        <f>'Fichas clínicas'!B219</f>
        <v>18591664-2</v>
      </c>
      <c r="C219" t="str">
        <f>VLOOKUP(paciente_tutor!B219,clientes!A219:B1800,2,FALSE)</f>
        <v>MARICELA DEL PILAR</v>
      </c>
      <c r="D219" t="str">
        <f t="shared" si="3"/>
        <v>18591664-2</v>
      </c>
    </row>
    <row r="220" spans="1:4" x14ac:dyDescent="0.2">
      <c r="A220">
        <f>'Fichas clínicas'!A220</f>
        <v>220</v>
      </c>
      <c r="B220" t="str">
        <f>'Fichas clínicas'!B220</f>
        <v>11430221-k</v>
      </c>
      <c r="C220" t="e">
        <f>VLOOKUP(paciente_tutor!B220,clientes!A220:B1801,2,FALSE)</f>
        <v>#N/A</v>
      </c>
      <c r="D220" t="e">
        <f t="shared" si="3"/>
        <v>#N/A</v>
      </c>
    </row>
    <row r="221" spans="1:4" x14ac:dyDescent="0.2">
      <c r="A221">
        <f>'Fichas clínicas'!A221</f>
        <v>221</v>
      </c>
      <c r="B221" t="str">
        <f>'Fichas clínicas'!B221</f>
        <v>13588059-0</v>
      </c>
      <c r="C221" t="str">
        <f>VLOOKUP(paciente_tutor!B221,clientes!A221:B1802,2,FALSE)</f>
        <v>Leonardo</v>
      </c>
      <c r="D221" t="str">
        <f t="shared" si="3"/>
        <v>13588059-0</v>
      </c>
    </row>
    <row r="222" spans="1:4" x14ac:dyDescent="0.2">
      <c r="A222">
        <f>'Fichas clínicas'!A222</f>
        <v>222</v>
      </c>
      <c r="B222" t="str">
        <f>'Fichas clínicas'!B222</f>
        <v>8989756-4</v>
      </c>
      <c r="C222" t="str">
        <f>VLOOKUP(paciente_tutor!B222,clientes!A222:B1803,2,FALSE)</f>
        <v>MAGALY</v>
      </c>
      <c r="D222" t="str">
        <f t="shared" si="3"/>
        <v>8989756-4</v>
      </c>
    </row>
    <row r="223" spans="1:4" x14ac:dyDescent="0.2">
      <c r="A223">
        <f>'Fichas clínicas'!A223</f>
        <v>223</v>
      </c>
      <c r="B223" t="str">
        <f>'Fichas clínicas'!B223</f>
        <v>19941947-1</v>
      </c>
      <c r="C223" t="str">
        <f>VLOOKUP(paciente_tutor!B223,clientes!A223:B1804,2,FALSE)</f>
        <v>JUAN IGNACIO</v>
      </c>
      <c r="D223" t="str">
        <f t="shared" si="3"/>
        <v>19941947-1</v>
      </c>
    </row>
    <row r="224" spans="1:4" x14ac:dyDescent="0.2">
      <c r="A224">
        <f>'Fichas clínicas'!A224</f>
        <v>224</v>
      </c>
      <c r="B224" t="str">
        <f>'Fichas clínicas'!B224</f>
        <v>17863966-8</v>
      </c>
      <c r="C224" t="str">
        <f>VLOOKUP(paciente_tutor!B224,clientes!A224:B1805,2,FALSE)</f>
        <v>NATALIA</v>
      </c>
      <c r="D224" t="str">
        <f t="shared" si="3"/>
        <v>17863966-8</v>
      </c>
    </row>
    <row r="225" spans="1:4" x14ac:dyDescent="0.2">
      <c r="A225">
        <f>'Fichas clínicas'!A225</f>
        <v>225</v>
      </c>
      <c r="B225" t="str">
        <f>'Fichas clínicas'!B225</f>
        <v>22017875-7</v>
      </c>
      <c r="C225" t="str">
        <f>VLOOKUP(paciente_tutor!B225,clientes!A225:B1806,2,FALSE)</f>
        <v>BELEN</v>
      </c>
      <c r="D225" t="str">
        <f t="shared" si="3"/>
        <v>22017875-7</v>
      </c>
    </row>
    <row r="226" spans="1:4" x14ac:dyDescent="0.2">
      <c r="A226">
        <f>'Fichas clínicas'!A226</f>
        <v>226</v>
      </c>
      <c r="B226" t="str">
        <f>'Fichas clínicas'!B226</f>
        <v>22017875-7</v>
      </c>
      <c r="C226" t="str">
        <f>VLOOKUP(paciente_tutor!B226,clientes!A226:B1807,2,FALSE)</f>
        <v>BELEN</v>
      </c>
      <c r="D226" t="str">
        <f t="shared" si="3"/>
        <v>22017875-7</v>
      </c>
    </row>
    <row r="227" spans="1:4" x14ac:dyDescent="0.2">
      <c r="A227">
        <f>'Fichas clínicas'!A227</f>
        <v>227</v>
      </c>
      <c r="B227" t="str">
        <f>'Fichas clínicas'!B227</f>
        <v>16300121-7</v>
      </c>
      <c r="C227" t="str">
        <f>VLOOKUP(paciente_tutor!B227,clientes!A227:B1808,2,FALSE)</f>
        <v>DANIELA</v>
      </c>
      <c r="D227" t="str">
        <f t="shared" si="3"/>
        <v>16300121-7</v>
      </c>
    </row>
    <row r="228" spans="1:4" x14ac:dyDescent="0.2">
      <c r="A228">
        <f>'Fichas clínicas'!A228</f>
        <v>228</v>
      </c>
      <c r="B228" t="str">
        <f>'Fichas clínicas'!B228</f>
        <v>6015947-5</v>
      </c>
      <c r="C228" t="str">
        <f>VLOOKUP(paciente_tutor!B228,clientes!A228:B1809,2,FALSE)</f>
        <v>LILIANA DEL CARMEN</v>
      </c>
      <c r="D228" t="str">
        <f t="shared" si="3"/>
        <v>6015947-5</v>
      </c>
    </row>
    <row r="229" spans="1:4" x14ac:dyDescent="0.2">
      <c r="A229">
        <f>'Fichas clínicas'!A229</f>
        <v>229</v>
      </c>
      <c r="B229" t="str">
        <f>'Fichas clínicas'!B229</f>
        <v>20060826-7</v>
      </c>
      <c r="C229" t="str">
        <f>VLOOKUP(paciente_tutor!B229,clientes!A229:B1810,2,FALSE)</f>
        <v>LORETTO</v>
      </c>
      <c r="D229" t="str">
        <f t="shared" si="3"/>
        <v>20060826-7</v>
      </c>
    </row>
    <row r="230" spans="1:4" x14ac:dyDescent="0.2">
      <c r="A230">
        <f>'Fichas clínicas'!A230</f>
        <v>230</v>
      </c>
      <c r="B230" t="str">
        <f>'Fichas clínicas'!B230</f>
        <v>17359589-1</v>
      </c>
      <c r="C230" t="str">
        <f>VLOOKUP(paciente_tutor!B230,clientes!A230:B1811,2,FALSE)</f>
        <v>RODRIGO ENRIQUE</v>
      </c>
      <c r="D230" t="str">
        <f t="shared" si="3"/>
        <v>17359589-1</v>
      </c>
    </row>
    <row r="231" spans="1:4" x14ac:dyDescent="0.2">
      <c r="A231">
        <f>'Fichas clínicas'!A231</f>
        <v>231</v>
      </c>
      <c r="B231" t="str">
        <f>'Fichas clínicas'!B231</f>
        <v>19555002-6</v>
      </c>
      <c r="C231" t="str">
        <f>VLOOKUP(paciente_tutor!B231,clientes!A231:B1812,2,FALSE)</f>
        <v>Maryorie</v>
      </c>
      <c r="D231" t="str">
        <f t="shared" si="3"/>
        <v>19555002-6</v>
      </c>
    </row>
    <row r="232" spans="1:4" x14ac:dyDescent="0.2">
      <c r="A232">
        <f>'Fichas clínicas'!A232</f>
        <v>232</v>
      </c>
      <c r="B232" t="str">
        <f>'Fichas clínicas'!B232</f>
        <v>17638440-9</v>
      </c>
      <c r="C232" t="str">
        <f>VLOOKUP(paciente_tutor!B232,clientes!A232:B1813,2,FALSE)</f>
        <v>Macarena</v>
      </c>
      <c r="D232" t="str">
        <f t="shared" si="3"/>
        <v>17638440-9</v>
      </c>
    </row>
    <row r="233" spans="1:4" x14ac:dyDescent="0.2">
      <c r="A233">
        <f>'Fichas clínicas'!A233</f>
        <v>233</v>
      </c>
      <c r="B233" t="str">
        <f>'Fichas clínicas'!B233</f>
        <v>20161088-5</v>
      </c>
      <c r="C233" t="str">
        <f>VLOOKUP(paciente_tutor!B233,clientes!A233:B1814,2,FALSE)</f>
        <v>Bastian</v>
      </c>
      <c r="D233" t="str">
        <f t="shared" si="3"/>
        <v>20161088-5</v>
      </c>
    </row>
    <row r="234" spans="1:4" x14ac:dyDescent="0.2">
      <c r="A234">
        <f>'Fichas clínicas'!A234</f>
        <v>234</v>
      </c>
      <c r="B234" t="str">
        <f>'Fichas clínicas'!B234</f>
        <v>19555355-6</v>
      </c>
      <c r="C234" t="str">
        <f>VLOOKUP(paciente_tutor!B234,clientes!A234:B1815,2,FALSE)</f>
        <v>CONSUELO</v>
      </c>
      <c r="D234" t="str">
        <f t="shared" si="3"/>
        <v>19555355-6</v>
      </c>
    </row>
    <row r="235" spans="1:4" x14ac:dyDescent="0.2">
      <c r="A235">
        <f>'Fichas clínicas'!A235</f>
        <v>235</v>
      </c>
      <c r="B235" t="str">
        <f>'Fichas clínicas'!B235</f>
        <v>18591210-8</v>
      </c>
      <c r="C235" t="str">
        <f>VLOOKUP(paciente_tutor!B235,clientes!A235:B1816,2,FALSE)</f>
        <v>CAMILA CONSTANZA</v>
      </c>
      <c r="D235" t="str">
        <f t="shared" si="3"/>
        <v>18591210-8</v>
      </c>
    </row>
    <row r="236" spans="1:4" x14ac:dyDescent="0.2">
      <c r="A236">
        <f>'Fichas clínicas'!A236</f>
        <v>236</v>
      </c>
      <c r="B236" t="str">
        <f>'Fichas clínicas'!B236</f>
        <v>20992343-2</v>
      </c>
      <c r="C236" t="str">
        <f>VLOOKUP(paciente_tutor!B236,clientes!A236:B1817,2,FALSE)</f>
        <v>ROXANA</v>
      </c>
      <c r="D236" t="str">
        <f t="shared" si="3"/>
        <v>20992343-2</v>
      </c>
    </row>
    <row r="237" spans="1:4" x14ac:dyDescent="0.2">
      <c r="A237">
        <f>'Fichas clínicas'!A237</f>
        <v>237</v>
      </c>
      <c r="B237" t="str">
        <f>'Fichas clínicas'!B237</f>
        <v>17973351-k</v>
      </c>
      <c r="C237" t="str">
        <f>VLOOKUP(paciente_tutor!B237,clientes!A237:B1818,2,FALSE)</f>
        <v>CRISTINA</v>
      </c>
      <c r="D237" t="str">
        <f t="shared" si="3"/>
        <v>17973351-k</v>
      </c>
    </row>
    <row r="238" spans="1:4" x14ac:dyDescent="0.2">
      <c r="A238">
        <f>'Fichas clínicas'!A238</f>
        <v>238</v>
      </c>
      <c r="B238" t="str">
        <f>'Fichas clínicas'!B238</f>
        <v>18887671-4</v>
      </c>
      <c r="C238" t="str">
        <f>VLOOKUP(paciente_tutor!B238,clientes!A238:B1819,2,FALSE)</f>
        <v>DANIZA ANDREA</v>
      </c>
      <c r="D238" t="str">
        <f t="shared" si="3"/>
        <v>18887671-4</v>
      </c>
    </row>
    <row r="239" spans="1:4" x14ac:dyDescent="0.2">
      <c r="A239">
        <f>'Fichas clínicas'!A239</f>
        <v>239</v>
      </c>
      <c r="B239" t="str">
        <f>'Fichas clínicas'!B239</f>
        <v>11412448-6</v>
      </c>
      <c r="C239" t="e">
        <f>VLOOKUP(paciente_tutor!B239,clientes!A239:B1820,2,FALSE)</f>
        <v>#N/A</v>
      </c>
      <c r="D239" t="e">
        <f t="shared" si="3"/>
        <v>#N/A</v>
      </c>
    </row>
    <row r="240" spans="1:4" x14ac:dyDescent="0.2">
      <c r="A240">
        <f>'Fichas clínicas'!A240</f>
        <v>240</v>
      </c>
      <c r="B240" t="str">
        <f>'Fichas clínicas'!B240</f>
        <v>17973351-K</v>
      </c>
      <c r="C240" t="str">
        <f>VLOOKUP(paciente_tutor!B240,clientes!A240:B1821,2,FALSE)</f>
        <v>CRISTINA</v>
      </c>
      <c r="D240" t="str">
        <f t="shared" si="3"/>
        <v>17973351-K</v>
      </c>
    </row>
    <row r="241" spans="1:4" x14ac:dyDescent="0.2">
      <c r="A241">
        <f>'Fichas clínicas'!A241</f>
        <v>241</v>
      </c>
      <c r="B241" t="str">
        <f>'Fichas clínicas'!B241</f>
        <v>17973351-K</v>
      </c>
      <c r="C241" t="str">
        <f>VLOOKUP(paciente_tutor!B241,clientes!A241:B1822,2,FALSE)</f>
        <v>CRISTINA</v>
      </c>
      <c r="D241" t="str">
        <f t="shared" si="3"/>
        <v>17973351-K</v>
      </c>
    </row>
    <row r="242" spans="1:4" x14ac:dyDescent="0.2">
      <c r="A242">
        <f>'Fichas clínicas'!A242</f>
        <v>242</v>
      </c>
      <c r="B242" t="str">
        <f>'Fichas clínicas'!B242</f>
        <v>6131785-6</v>
      </c>
      <c r="C242" t="str">
        <f>VLOOKUP(paciente_tutor!B242,clientes!A242:B1823,2,FALSE)</f>
        <v>ERIKA ELENA</v>
      </c>
      <c r="D242" t="str">
        <f t="shared" si="3"/>
        <v>6131785-6</v>
      </c>
    </row>
    <row r="243" spans="1:4" x14ac:dyDescent="0.2">
      <c r="A243">
        <f>'Fichas clínicas'!A243</f>
        <v>243</v>
      </c>
      <c r="B243" t="str">
        <f>'Fichas clínicas'!B243</f>
        <v>8880424-4</v>
      </c>
      <c r="C243" t="str">
        <f>VLOOKUP(paciente_tutor!B243,clientes!A243:B1824,2,FALSE)</f>
        <v>CRISTINA ANDREA</v>
      </c>
      <c r="D243" t="str">
        <f t="shared" si="3"/>
        <v>8880424-4</v>
      </c>
    </row>
    <row r="244" spans="1:4" x14ac:dyDescent="0.2">
      <c r="A244">
        <f>'Fichas clínicas'!A244</f>
        <v>244</v>
      </c>
      <c r="B244" t="str">
        <f>'Fichas clínicas'!B244</f>
        <v>18886571-2</v>
      </c>
      <c r="C244" t="str">
        <f>VLOOKUP(paciente_tutor!B244,clientes!A244:B1825,2,FALSE)</f>
        <v>DIEGO</v>
      </c>
      <c r="D244" t="str">
        <f t="shared" si="3"/>
        <v>18886571-2</v>
      </c>
    </row>
    <row r="245" spans="1:4" x14ac:dyDescent="0.2">
      <c r="A245">
        <f>'Fichas clínicas'!A245</f>
        <v>245</v>
      </c>
      <c r="B245" t="str">
        <f>'Fichas clínicas'!B245</f>
        <v>16465631-4</v>
      </c>
      <c r="C245" t="str">
        <f>VLOOKUP(paciente_tutor!B245,clientes!A245:B1826,2,FALSE)</f>
        <v>YANETH</v>
      </c>
      <c r="D245" t="str">
        <f t="shared" si="3"/>
        <v>16465631-4</v>
      </c>
    </row>
    <row r="246" spans="1:4" x14ac:dyDescent="0.2">
      <c r="A246">
        <f>'Fichas clínicas'!A246</f>
        <v>246</v>
      </c>
      <c r="B246" t="str">
        <f>'Fichas clínicas'!B246</f>
        <v>15547930-2</v>
      </c>
      <c r="C246" t="str">
        <f>VLOOKUP(paciente_tutor!B246,clientes!A246:B1827,2,FALSE)</f>
        <v>MARIANELA</v>
      </c>
      <c r="D246" t="str">
        <f t="shared" si="3"/>
        <v>15547930-2</v>
      </c>
    </row>
    <row r="247" spans="1:4" x14ac:dyDescent="0.2">
      <c r="A247">
        <f>'Fichas clínicas'!A247</f>
        <v>247</v>
      </c>
      <c r="B247" t="str">
        <f>'Fichas clínicas'!B247</f>
        <v>15547930-2</v>
      </c>
      <c r="C247" t="str">
        <f>VLOOKUP(paciente_tutor!B247,clientes!A247:B1828,2,FALSE)</f>
        <v>MARIANELA</v>
      </c>
      <c r="D247" t="str">
        <f t="shared" si="3"/>
        <v>15547930-2</v>
      </c>
    </row>
    <row r="248" spans="1:4" x14ac:dyDescent="0.2">
      <c r="A248">
        <f>'Fichas clínicas'!A248</f>
        <v>248</v>
      </c>
      <c r="B248" t="str">
        <f>'Fichas clínicas'!B248</f>
        <v>15547930-2</v>
      </c>
      <c r="C248" t="str">
        <f>VLOOKUP(paciente_tutor!B248,clientes!A248:B1829,2,FALSE)</f>
        <v>MARIANELA</v>
      </c>
      <c r="D248" t="str">
        <f t="shared" si="3"/>
        <v>15547930-2</v>
      </c>
    </row>
    <row r="249" spans="1:4" x14ac:dyDescent="0.2">
      <c r="A249">
        <f>'Fichas clínicas'!A249</f>
        <v>249</v>
      </c>
      <c r="B249" t="str">
        <f>'Fichas clínicas'!B249</f>
        <v>5332139-9</v>
      </c>
      <c r="C249" t="str">
        <f>VLOOKUP(paciente_tutor!B249,clientes!A249:B1830,2,FALSE)</f>
        <v>VIOLETA</v>
      </c>
      <c r="D249" t="str">
        <f t="shared" si="3"/>
        <v>5332139-9</v>
      </c>
    </row>
    <row r="250" spans="1:4" x14ac:dyDescent="0.2">
      <c r="A250">
        <f>'Fichas clínicas'!A250</f>
        <v>250</v>
      </c>
      <c r="B250" t="str">
        <f>'Fichas clínicas'!B250</f>
        <v>6199527-7</v>
      </c>
      <c r="C250" t="str">
        <f>VLOOKUP(paciente_tutor!B250,clientes!A250:B1831,2,FALSE)</f>
        <v>BETSABET</v>
      </c>
      <c r="D250" t="str">
        <f t="shared" si="3"/>
        <v>6199527-7</v>
      </c>
    </row>
    <row r="251" spans="1:4" x14ac:dyDescent="0.2">
      <c r="A251">
        <f>'Fichas clínicas'!A251</f>
        <v>251</v>
      </c>
      <c r="B251" t="str">
        <f>'Fichas clínicas'!B251</f>
        <v>15530281-k</v>
      </c>
      <c r="C251" t="str">
        <f>VLOOKUP(paciente_tutor!B251,clientes!A251:B1832,2,FALSE)</f>
        <v>JOSE</v>
      </c>
      <c r="D251" t="str">
        <f t="shared" si="3"/>
        <v>15530281-k</v>
      </c>
    </row>
    <row r="252" spans="1:4" x14ac:dyDescent="0.2">
      <c r="A252">
        <f>'Fichas clínicas'!A252</f>
        <v>252</v>
      </c>
      <c r="B252" t="str">
        <f>'Fichas clínicas'!B252</f>
        <v>15883195-3</v>
      </c>
      <c r="C252" t="str">
        <f>VLOOKUP(paciente_tutor!B252,clientes!A252:B1833,2,FALSE)</f>
        <v>KATERIN</v>
      </c>
      <c r="D252" t="str">
        <f t="shared" si="3"/>
        <v>15883195-3</v>
      </c>
    </row>
    <row r="253" spans="1:4" x14ac:dyDescent="0.2">
      <c r="A253">
        <f>'Fichas clínicas'!A253</f>
        <v>253</v>
      </c>
      <c r="B253" t="str">
        <f>'Fichas clínicas'!B253</f>
        <v>16160698-7</v>
      </c>
      <c r="C253" t="str">
        <f>VLOOKUP(paciente_tutor!B253,clientes!A253:B1834,2,FALSE)</f>
        <v>Nataly</v>
      </c>
      <c r="D253" t="str">
        <f t="shared" si="3"/>
        <v>16160698-7</v>
      </c>
    </row>
    <row r="254" spans="1:4" x14ac:dyDescent="0.2">
      <c r="A254">
        <f>'Fichas clínicas'!A254</f>
        <v>254</v>
      </c>
      <c r="B254" t="str">
        <f>'Fichas clínicas'!B254</f>
        <v>20975801-6</v>
      </c>
      <c r="C254" t="str">
        <f>VLOOKUP(paciente_tutor!B254,clientes!A254:B1835,2,FALSE)</f>
        <v>KATHERINE</v>
      </c>
      <c r="D254" t="str">
        <f t="shared" si="3"/>
        <v>20975801-6</v>
      </c>
    </row>
    <row r="255" spans="1:4" x14ac:dyDescent="0.2">
      <c r="A255">
        <f>'Fichas clínicas'!A255</f>
        <v>255</v>
      </c>
      <c r="B255" t="str">
        <f>'Fichas clínicas'!B255</f>
        <v>20778143-6</v>
      </c>
      <c r="C255" t="str">
        <f>VLOOKUP(paciente_tutor!B255,clientes!A255:B1836,2,FALSE)</f>
        <v>AMARA SCARLETT</v>
      </c>
      <c r="D255" t="str">
        <f t="shared" si="3"/>
        <v>20778143-6</v>
      </c>
    </row>
    <row r="256" spans="1:4" x14ac:dyDescent="0.2">
      <c r="A256">
        <f>'Fichas clínicas'!A256</f>
        <v>256</v>
      </c>
      <c r="B256" t="str">
        <f>'Fichas clínicas'!B256</f>
        <v>20778143-6</v>
      </c>
      <c r="C256" t="str">
        <f>VLOOKUP(paciente_tutor!B256,clientes!A256:B1837,2,FALSE)</f>
        <v>AMARA SCARLETT</v>
      </c>
      <c r="D256" t="str">
        <f t="shared" si="3"/>
        <v>20778143-6</v>
      </c>
    </row>
    <row r="257" spans="1:4" x14ac:dyDescent="0.2">
      <c r="A257">
        <f>'Fichas clínicas'!A257</f>
        <v>257</v>
      </c>
      <c r="B257" t="str">
        <f>'Fichas clínicas'!B257</f>
        <v>19248019-1</v>
      </c>
      <c r="C257" t="str">
        <f>VLOOKUP(paciente_tutor!B257,clientes!A257:B1838,2,FALSE)</f>
        <v>GABRIELA</v>
      </c>
      <c r="D257" t="str">
        <f t="shared" si="3"/>
        <v>19248019-1</v>
      </c>
    </row>
    <row r="258" spans="1:4" x14ac:dyDescent="0.2">
      <c r="A258">
        <f>'Fichas clínicas'!A258</f>
        <v>258</v>
      </c>
      <c r="B258" t="str">
        <f>'Fichas clínicas'!B258</f>
        <v>19375926-2</v>
      </c>
      <c r="C258" t="str">
        <f>VLOOKUP(paciente_tutor!B258,clientes!A258:B1839,2,FALSE)</f>
        <v>EMILIO</v>
      </c>
      <c r="D258" t="str">
        <f t="shared" si="3"/>
        <v>19375926-2</v>
      </c>
    </row>
    <row r="259" spans="1:4" x14ac:dyDescent="0.2">
      <c r="A259">
        <f>'Fichas clínicas'!A259</f>
        <v>259</v>
      </c>
      <c r="B259" t="str">
        <f>'Fichas clínicas'!B259</f>
        <v>19248094-9</v>
      </c>
      <c r="C259" t="str">
        <f>VLOOKUP(paciente_tutor!B259,clientes!A259:B1840,2,FALSE)</f>
        <v>MARIA PAZ</v>
      </c>
      <c r="D259" t="str">
        <f t="shared" ref="D259:D322" si="4">IF(C259="#N/A","",B259)</f>
        <v>19248094-9</v>
      </c>
    </row>
    <row r="260" spans="1:4" x14ac:dyDescent="0.2">
      <c r="A260">
        <f>'Fichas clínicas'!A260</f>
        <v>260</v>
      </c>
      <c r="B260" t="str">
        <f>'Fichas clínicas'!B260</f>
        <v>16160027-K</v>
      </c>
      <c r="C260" t="str">
        <f>VLOOKUP(paciente_tutor!B260,clientes!A260:B1841,2,FALSE)</f>
        <v>CLAUDIA</v>
      </c>
      <c r="D260" t="str">
        <f t="shared" si="4"/>
        <v>16160027-K</v>
      </c>
    </row>
    <row r="261" spans="1:4" x14ac:dyDescent="0.2">
      <c r="A261">
        <f>'Fichas clínicas'!A261</f>
        <v>261</v>
      </c>
      <c r="B261" t="str">
        <f>'Fichas clínicas'!B261</f>
        <v>13815985-K</v>
      </c>
      <c r="C261" t="str">
        <f>VLOOKUP(paciente_tutor!B261,clientes!A261:B1842,2,FALSE)</f>
        <v>VIVIANA ESTER</v>
      </c>
      <c r="D261" t="str">
        <f t="shared" si="4"/>
        <v>13815985-K</v>
      </c>
    </row>
    <row r="262" spans="1:4" x14ac:dyDescent="0.2">
      <c r="A262">
        <f>'Fichas clínicas'!A262</f>
        <v>262</v>
      </c>
      <c r="B262" t="str">
        <f>'Fichas clínicas'!B262</f>
        <v>5563255-3</v>
      </c>
      <c r="C262" t="str">
        <f>VLOOKUP(paciente_tutor!B262,clientes!A262:B1843,2,FALSE)</f>
        <v>GUILLERMINA OLGA</v>
      </c>
      <c r="D262" t="str">
        <f t="shared" si="4"/>
        <v>5563255-3</v>
      </c>
    </row>
    <row r="263" spans="1:4" x14ac:dyDescent="0.2">
      <c r="A263">
        <f>'Fichas clínicas'!A263</f>
        <v>263</v>
      </c>
      <c r="B263" t="str">
        <f>'Fichas clínicas'!B263</f>
        <v>17359589-1</v>
      </c>
      <c r="C263" t="str">
        <f>VLOOKUP(paciente_tutor!B263,clientes!A263:B1844,2,FALSE)</f>
        <v>RODRIGO ENRIQUE</v>
      </c>
      <c r="D263" t="str">
        <f t="shared" si="4"/>
        <v>17359589-1</v>
      </c>
    </row>
    <row r="264" spans="1:4" x14ac:dyDescent="0.2">
      <c r="A264">
        <f>'Fichas clínicas'!A264</f>
        <v>264</v>
      </c>
      <c r="B264" t="str">
        <f>'Fichas clínicas'!B264</f>
        <v>15548941-3</v>
      </c>
      <c r="C264" t="str">
        <f>VLOOKUP(paciente_tutor!B264,clientes!A264:B1845,2,FALSE)</f>
        <v>ANA</v>
      </c>
      <c r="D264" t="str">
        <f t="shared" si="4"/>
        <v>15548941-3</v>
      </c>
    </row>
    <row r="265" spans="1:4" x14ac:dyDescent="0.2">
      <c r="A265">
        <f>'Fichas clínicas'!A265</f>
        <v>265</v>
      </c>
      <c r="B265" t="str">
        <f>'Fichas clínicas'!B265</f>
        <v>16564646-0</v>
      </c>
      <c r="C265" t="str">
        <f>VLOOKUP(paciente_tutor!B265,clientes!A265:B1846,2,FALSE)</f>
        <v>GUILLERMO</v>
      </c>
      <c r="D265" t="str">
        <f t="shared" si="4"/>
        <v>16564646-0</v>
      </c>
    </row>
    <row r="266" spans="1:4" x14ac:dyDescent="0.2">
      <c r="A266">
        <f>'Fichas clínicas'!A266</f>
        <v>266</v>
      </c>
      <c r="B266" t="str">
        <f>'Fichas clínicas'!B266</f>
        <v>16564646-0</v>
      </c>
      <c r="C266" t="str">
        <f>VLOOKUP(paciente_tutor!B266,clientes!A266:B1847,2,FALSE)</f>
        <v>GUILLERMO</v>
      </c>
      <c r="D266" t="str">
        <f t="shared" si="4"/>
        <v>16564646-0</v>
      </c>
    </row>
    <row r="267" spans="1:4" x14ac:dyDescent="0.2">
      <c r="A267">
        <f>'Fichas clínicas'!A267</f>
        <v>267</v>
      </c>
      <c r="B267" t="str">
        <f>'Fichas clínicas'!B267</f>
        <v>15511794-k</v>
      </c>
      <c r="C267" t="str">
        <f>VLOOKUP(paciente_tutor!B267,clientes!A267:B1848,2,FALSE)</f>
        <v>JACQUELINE</v>
      </c>
      <c r="D267" t="str">
        <f t="shared" si="4"/>
        <v>15511794-k</v>
      </c>
    </row>
    <row r="268" spans="1:4" x14ac:dyDescent="0.2">
      <c r="A268">
        <f>'Fichas clínicas'!A268</f>
        <v>268</v>
      </c>
      <c r="B268" t="str">
        <f>'Fichas clínicas'!B268</f>
        <v>18776785-7</v>
      </c>
      <c r="C268" t="str">
        <f>VLOOKUP(paciente_tutor!B268,clientes!A268:B1849,2,FALSE)</f>
        <v>NICOLE</v>
      </c>
      <c r="D268" t="str">
        <f t="shared" si="4"/>
        <v>18776785-7</v>
      </c>
    </row>
    <row r="269" spans="1:4" x14ac:dyDescent="0.2">
      <c r="A269">
        <f>'Fichas clínicas'!A269</f>
        <v>269</v>
      </c>
      <c r="B269" t="str">
        <f>'Fichas clínicas'!B269</f>
        <v>18287851-0</v>
      </c>
      <c r="C269" t="str">
        <f>VLOOKUP(paciente_tutor!B269,clientes!A269:B1850,2,FALSE)</f>
        <v>Ana</v>
      </c>
      <c r="D269" t="str">
        <f t="shared" si="4"/>
        <v>18287851-0</v>
      </c>
    </row>
    <row r="270" spans="1:4" x14ac:dyDescent="0.2">
      <c r="A270">
        <f>'Fichas clínicas'!A270</f>
        <v>270</v>
      </c>
      <c r="B270" t="str">
        <f>'Fichas clínicas'!B270</f>
        <v>19545858-8</v>
      </c>
      <c r="C270" t="str">
        <f>VLOOKUP(paciente_tutor!B270,clientes!A270:B1851,2,FALSE)</f>
        <v>Ilse</v>
      </c>
      <c r="D270" t="str">
        <f t="shared" si="4"/>
        <v>19545858-8</v>
      </c>
    </row>
    <row r="271" spans="1:4" x14ac:dyDescent="0.2">
      <c r="A271">
        <f>'Fichas clínicas'!A271</f>
        <v>271</v>
      </c>
      <c r="B271" t="str">
        <f>'Fichas clínicas'!B271</f>
        <v>15548684-8</v>
      </c>
      <c r="C271" t="str">
        <f>VLOOKUP(paciente_tutor!B271,clientes!A271:B1852,2,FALSE)</f>
        <v>PRISCILA ALEJANDRA</v>
      </c>
      <c r="D271" t="str">
        <f t="shared" si="4"/>
        <v>15548684-8</v>
      </c>
    </row>
    <row r="272" spans="1:4" x14ac:dyDescent="0.2">
      <c r="A272">
        <f>'Fichas clínicas'!A272</f>
        <v>272</v>
      </c>
      <c r="B272" t="str">
        <f>'Fichas clínicas'!B272</f>
        <v>13587546-5</v>
      </c>
      <c r="C272" t="str">
        <f>VLOOKUP(paciente_tutor!B272,clientes!A272:B1853,2,FALSE)</f>
        <v>ESTER NOEMI</v>
      </c>
      <c r="D272" t="str">
        <f t="shared" si="4"/>
        <v>13587546-5</v>
      </c>
    </row>
    <row r="273" spans="1:4" x14ac:dyDescent="0.2">
      <c r="A273">
        <f>'Fichas clínicas'!A273</f>
        <v>273</v>
      </c>
      <c r="B273" t="str">
        <f>'Fichas clínicas'!B273</f>
        <v>13587546-5</v>
      </c>
      <c r="C273" t="str">
        <f>VLOOKUP(paciente_tutor!B273,clientes!A273:B1854,2,FALSE)</f>
        <v>ESTER NOEMI</v>
      </c>
      <c r="D273" t="str">
        <f t="shared" si="4"/>
        <v>13587546-5</v>
      </c>
    </row>
    <row r="274" spans="1:4" x14ac:dyDescent="0.2">
      <c r="A274">
        <f>'Fichas clínicas'!A274</f>
        <v>274</v>
      </c>
      <c r="B274" t="str">
        <f>'Fichas clínicas'!B274</f>
        <v>13587546-5</v>
      </c>
      <c r="C274" t="str">
        <f>VLOOKUP(paciente_tutor!B274,clientes!A274:B1855,2,FALSE)</f>
        <v>ESTER NOEMI</v>
      </c>
      <c r="D274" t="str">
        <f t="shared" si="4"/>
        <v>13587546-5</v>
      </c>
    </row>
    <row r="275" spans="1:4" x14ac:dyDescent="0.2">
      <c r="A275">
        <f>'Fichas clínicas'!A275</f>
        <v>275</v>
      </c>
      <c r="B275" t="str">
        <f>'Fichas clínicas'!B275</f>
        <v>11353947-K</v>
      </c>
      <c r="C275" t="e">
        <f>VLOOKUP(paciente_tutor!B275,clientes!A275:B1856,2,FALSE)</f>
        <v>#N/A</v>
      </c>
      <c r="D275" t="e">
        <f t="shared" si="4"/>
        <v>#N/A</v>
      </c>
    </row>
    <row r="276" spans="1:4" x14ac:dyDescent="0.2">
      <c r="A276">
        <f>'Fichas clínicas'!A276</f>
        <v>276</v>
      </c>
      <c r="B276" t="str">
        <f>'Fichas clínicas'!B276</f>
        <v>10621598-7</v>
      </c>
      <c r="C276" t="e">
        <f>VLOOKUP(paciente_tutor!B276,clientes!A276:B1857,2,FALSE)</f>
        <v>#N/A</v>
      </c>
      <c r="D276" t="e">
        <f t="shared" si="4"/>
        <v>#N/A</v>
      </c>
    </row>
    <row r="277" spans="1:4" x14ac:dyDescent="0.2">
      <c r="A277">
        <f>'Fichas clínicas'!A277</f>
        <v>277</v>
      </c>
      <c r="B277" t="str">
        <f>'Fichas clínicas'!B277</f>
        <v>13116951-5</v>
      </c>
      <c r="C277" t="e">
        <f>VLOOKUP(paciente_tutor!B277,clientes!A277:B1858,2,FALSE)</f>
        <v>#N/A</v>
      </c>
      <c r="D277" t="e">
        <f t="shared" si="4"/>
        <v>#N/A</v>
      </c>
    </row>
    <row r="278" spans="1:4" x14ac:dyDescent="0.2">
      <c r="A278">
        <f>'Fichas clínicas'!A278</f>
        <v>278</v>
      </c>
      <c r="B278" t="str">
        <f>'Fichas clínicas'!B278</f>
        <v>18889181-0</v>
      </c>
      <c r="C278" t="str">
        <f>VLOOKUP(paciente_tutor!B278,clientes!A278:B1859,2,FALSE)</f>
        <v>DAVID ANTONIO</v>
      </c>
      <c r="D278" t="str">
        <f t="shared" si="4"/>
        <v>18889181-0</v>
      </c>
    </row>
    <row r="279" spans="1:4" x14ac:dyDescent="0.2">
      <c r="A279">
        <f>'Fichas clínicas'!A279</f>
        <v>279</v>
      </c>
      <c r="B279" t="str">
        <f>'Fichas clínicas'!B279</f>
        <v>13819012-9</v>
      </c>
      <c r="C279" t="str">
        <f>VLOOKUP(paciente_tutor!B279,clientes!A279:B1860,2,FALSE)</f>
        <v>CECILIA ALEJANDRA</v>
      </c>
      <c r="D279" t="str">
        <f t="shared" si="4"/>
        <v>13819012-9</v>
      </c>
    </row>
    <row r="280" spans="1:4" x14ac:dyDescent="0.2">
      <c r="A280">
        <f>'Fichas clínicas'!A280</f>
        <v>280</v>
      </c>
      <c r="B280" t="str">
        <f>'Fichas clínicas'!B280</f>
        <v>15261262-1</v>
      </c>
      <c r="C280" t="str">
        <f>VLOOKUP(paciente_tutor!B280,clientes!A280:B1861,2,FALSE)</f>
        <v>INES</v>
      </c>
      <c r="D280" t="str">
        <f t="shared" si="4"/>
        <v>15261262-1</v>
      </c>
    </row>
    <row r="281" spans="1:4" x14ac:dyDescent="0.2">
      <c r="A281">
        <f>'Fichas clínicas'!A281</f>
        <v>281</v>
      </c>
      <c r="B281" t="str">
        <f>'Fichas clínicas'!B281</f>
        <v>15262993-1</v>
      </c>
      <c r="C281" t="str">
        <f>VLOOKUP(paciente_tutor!B281,clientes!A281:B1862,2,FALSE)</f>
        <v>MARIA ISABEL</v>
      </c>
      <c r="D281" t="str">
        <f t="shared" si="4"/>
        <v>15262993-1</v>
      </c>
    </row>
    <row r="282" spans="1:4" x14ac:dyDescent="0.2">
      <c r="A282">
        <f>'Fichas clínicas'!A282</f>
        <v>282</v>
      </c>
      <c r="B282" t="str">
        <f>'Fichas clínicas'!B282</f>
        <v>17693598-7</v>
      </c>
      <c r="C282" t="str">
        <f>VLOOKUP(paciente_tutor!B282,clientes!A282:B1863,2,FALSE)</f>
        <v>DANITZA</v>
      </c>
      <c r="D282" t="str">
        <f t="shared" si="4"/>
        <v>17693598-7</v>
      </c>
    </row>
    <row r="283" spans="1:4" x14ac:dyDescent="0.2">
      <c r="A283">
        <f>'Fichas clínicas'!A283</f>
        <v>283</v>
      </c>
      <c r="B283" t="str">
        <f>'Fichas clínicas'!B283</f>
        <v>19845457-5</v>
      </c>
      <c r="C283" t="str">
        <f>VLOOKUP(paciente_tutor!B283,clientes!A283:B1864,2,FALSE)</f>
        <v>Leslie</v>
      </c>
      <c r="D283" t="str">
        <f t="shared" si="4"/>
        <v>19845457-5</v>
      </c>
    </row>
    <row r="284" spans="1:4" x14ac:dyDescent="0.2">
      <c r="A284">
        <f>'Fichas clínicas'!A284</f>
        <v>284</v>
      </c>
      <c r="B284" t="str">
        <f>'Fichas clínicas'!B284</f>
        <v>13139154-4</v>
      </c>
      <c r="C284" t="e">
        <f>VLOOKUP(paciente_tutor!B284,clientes!A284:B1865,2,FALSE)</f>
        <v>#N/A</v>
      </c>
      <c r="D284" t="e">
        <f t="shared" si="4"/>
        <v>#N/A</v>
      </c>
    </row>
    <row r="285" spans="1:4" x14ac:dyDescent="0.2">
      <c r="A285">
        <f>'Fichas clínicas'!A285</f>
        <v>285</v>
      </c>
      <c r="B285" t="str">
        <f>'Fichas clínicas'!B285</f>
        <v>15259455-0</v>
      </c>
      <c r="C285" t="str">
        <f>VLOOKUP(paciente_tutor!B285,clientes!A285:B1866,2,FALSE)</f>
        <v>ERIKA DANITZA</v>
      </c>
      <c r="D285" t="str">
        <f t="shared" si="4"/>
        <v>15259455-0</v>
      </c>
    </row>
    <row r="286" spans="1:4" x14ac:dyDescent="0.2">
      <c r="A286">
        <f>'Fichas clínicas'!A286</f>
        <v>286</v>
      </c>
      <c r="B286" t="str">
        <f>'Fichas clínicas'!B286</f>
        <v>12200339-6</v>
      </c>
      <c r="C286" t="e">
        <f>VLOOKUP(paciente_tutor!B286,clientes!A286:B1867,2,FALSE)</f>
        <v>#N/A</v>
      </c>
      <c r="D286" t="e">
        <f t="shared" si="4"/>
        <v>#N/A</v>
      </c>
    </row>
    <row r="287" spans="1:4" x14ac:dyDescent="0.2">
      <c r="A287">
        <f>'Fichas clínicas'!A287</f>
        <v>287</v>
      </c>
      <c r="B287" t="str">
        <f>'Fichas clínicas'!B287</f>
        <v>16579486-9</v>
      </c>
      <c r="C287" t="str">
        <f>VLOOKUP(paciente_tutor!B287,clientes!A287:B1868,2,FALSE)</f>
        <v>CARLA PAULINA</v>
      </c>
      <c r="D287" t="str">
        <f t="shared" si="4"/>
        <v>16579486-9</v>
      </c>
    </row>
    <row r="288" spans="1:4" x14ac:dyDescent="0.2">
      <c r="A288">
        <f>'Fichas clínicas'!A288</f>
        <v>288</v>
      </c>
      <c r="B288" t="str">
        <f>'Fichas clínicas'!B288</f>
        <v>14560160-6</v>
      </c>
      <c r="C288" t="str">
        <f>VLOOKUP(paciente_tutor!B288,clientes!A288:B1869,2,FALSE)</f>
        <v>Susana Beatriz</v>
      </c>
      <c r="D288" t="str">
        <f t="shared" si="4"/>
        <v>14560160-6</v>
      </c>
    </row>
    <row r="289" spans="1:4" x14ac:dyDescent="0.2">
      <c r="A289">
        <f>'Fichas clínicas'!A289</f>
        <v>289</v>
      </c>
      <c r="B289" t="str">
        <f>'Fichas clínicas'!B289</f>
        <v>13846440-7</v>
      </c>
      <c r="C289" t="str">
        <f>VLOOKUP(paciente_tutor!B289,clientes!A289:B1870,2,FALSE)</f>
        <v>Mauricio</v>
      </c>
      <c r="D289" t="str">
        <f t="shared" si="4"/>
        <v>13846440-7</v>
      </c>
    </row>
    <row r="290" spans="1:4" x14ac:dyDescent="0.2">
      <c r="A290">
        <f>'Fichas clínicas'!A290</f>
        <v>290</v>
      </c>
      <c r="B290" t="str">
        <f>'Fichas clínicas'!B290</f>
        <v>12994189-8</v>
      </c>
      <c r="C290" t="e">
        <f>VLOOKUP(paciente_tutor!B290,clientes!A290:B1871,2,FALSE)</f>
        <v>#N/A</v>
      </c>
      <c r="D290" t="e">
        <f t="shared" si="4"/>
        <v>#N/A</v>
      </c>
    </row>
    <row r="291" spans="1:4" x14ac:dyDescent="0.2">
      <c r="A291">
        <f>'Fichas clínicas'!A291</f>
        <v>291</v>
      </c>
      <c r="B291" t="str">
        <f>'Fichas clínicas'!B291</f>
        <v>11001326-4</v>
      </c>
      <c r="C291" t="e">
        <f>VLOOKUP(paciente_tutor!B291,clientes!A291:B1872,2,FALSE)</f>
        <v>#N/A</v>
      </c>
      <c r="D291" t="e">
        <f t="shared" si="4"/>
        <v>#N/A</v>
      </c>
    </row>
    <row r="292" spans="1:4" x14ac:dyDescent="0.2">
      <c r="A292">
        <f>'Fichas clínicas'!A292</f>
        <v>292</v>
      </c>
      <c r="B292" t="str">
        <f>'Fichas clínicas'!B292</f>
        <v>20922023-7</v>
      </c>
      <c r="C292" t="str">
        <f>VLOOKUP(paciente_tutor!B292,clientes!A292:B1873,2,FALSE)</f>
        <v>Josefina</v>
      </c>
      <c r="D292" t="str">
        <f t="shared" si="4"/>
        <v>20922023-7</v>
      </c>
    </row>
    <row r="293" spans="1:4" x14ac:dyDescent="0.2">
      <c r="A293">
        <f>'Fichas clínicas'!A293</f>
        <v>293</v>
      </c>
      <c r="B293" t="str">
        <f>'Fichas clínicas'!B293</f>
        <v>20922023-7</v>
      </c>
      <c r="C293" t="str">
        <f>VLOOKUP(paciente_tutor!B293,clientes!A293:B1874,2,FALSE)</f>
        <v>Josefina</v>
      </c>
      <c r="D293" t="str">
        <f t="shared" si="4"/>
        <v>20922023-7</v>
      </c>
    </row>
    <row r="294" spans="1:4" x14ac:dyDescent="0.2">
      <c r="A294">
        <f>'Fichas clínicas'!A294</f>
        <v>294</v>
      </c>
      <c r="B294" t="str">
        <f>'Fichas clínicas'!B294</f>
        <v>15549361-5</v>
      </c>
      <c r="C294" t="str">
        <f>VLOOKUP(paciente_tutor!B294,clientes!A294:B1875,2,FALSE)</f>
        <v>ROBERTO ALFREDO</v>
      </c>
      <c r="D294" t="str">
        <f t="shared" si="4"/>
        <v>15549361-5</v>
      </c>
    </row>
    <row r="295" spans="1:4" x14ac:dyDescent="0.2">
      <c r="A295">
        <f>'Fichas clínicas'!A295</f>
        <v>295</v>
      </c>
      <c r="B295" t="str">
        <f>'Fichas clínicas'!B295</f>
        <v>13846480-6</v>
      </c>
      <c r="C295" t="str">
        <f>VLOOKUP(paciente_tutor!B295,clientes!A295:B1876,2,FALSE)</f>
        <v>RODRIGO</v>
      </c>
      <c r="D295" t="str">
        <f t="shared" si="4"/>
        <v>13846480-6</v>
      </c>
    </row>
    <row r="296" spans="1:4" x14ac:dyDescent="0.2">
      <c r="A296">
        <f>'Fichas clínicas'!A296</f>
        <v>296</v>
      </c>
      <c r="B296" t="str">
        <f>'Fichas clínicas'!B296</f>
        <v>15849965-7</v>
      </c>
      <c r="C296" t="str">
        <f>VLOOKUP(paciente_tutor!B296,clientes!A296:B1877,2,FALSE)</f>
        <v>DANIELA</v>
      </c>
      <c r="D296" t="str">
        <f t="shared" si="4"/>
        <v>15849965-7</v>
      </c>
    </row>
    <row r="297" spans="1:4" x14ac:dyDescent="0.2">
      <c r="A297">
        <f>'Fichas clínicas'!A297</f>
        <v>297</v>
      </c>
      <c r="B297" t="str">
        <f>'Fichas clínicas'!B297</f>
        <v>18591263-9</v>
      </c>
      <c r="C297" t="str">
        <f>VLOOKUP(paciente_tutor!B297,clientes!A297:B1878,2,FALSE)</f>
        <v>JUAN PATRICIO</v>
      </c>
      <c r="D297" t="str">
        <f t="shared" si="4"/>
        <v>18591263-9</v>
      </c>
    </row>
    <row r="298" spans="1:4" x14ac:dyDescent="0.2">
      <c r="A298">
        <f>'Fichas clínicas'!A298</f>
        <v>298</v>
      </c>
      <c r="B298" t="str">
        <f>'Fichas clínicas'!B298</f>
        <v>8633600-6</v>
      </c>
      <c r="C298" t="str">
        <f>VLOOKUP(paciente_tutor!B298,clientes!A298:B1879,2,FALSE)</f>
        <v>JOSE</v>
      </c>
      <c r="D298" t="str">
        <f t="shared" si="4"/>
        <v>8633600-6</v>
      </c>
    </row>
    <row r="299" spans="1:4" x14ac:dyDescent="0.2">
      <c r="A299">
        <f>'Fichas clínicas'!A299</f>
        <v>299</v>
      </c>
      <c r="B299" t="str">
        <f>'Fichas clínicas'!B299</f>
        <v>3463087-9</v>
      </c>
      <c r="C299" t="str">
        <f>VLOOKUP(paciente_tutor!B299,clientes!A299:B1880,2,FALSE)</f>
        <v>Valentin</v>
      </c>
      <c r="D299" t="str">
        <f t="shared" si="4"/>
        <v>3463087-9</v>
      </c>
    </row>
    <row r="300" spans="1:4" x14ac:dyDescent="0.2">
      <c r="A300">
        <f>'Fichas clínicas'!A300</f>
        <v>300</v>
      </c>
      <c r="B300" t="str">
        <f>'Fichas clínicas'!B300</f>
        <v>9205056-4</v>
      </c>
      <c r="C300" t="str">
        <f>VLOOKUP(paciente_tutor!B300,clientes!A300:B1881,2,FALSE)</f>
        <v>ALICIA</v>
      </c>
      <c r="D300" t="str">
        <f t="shared" si="4"/>
        <v>9205056-4</v>
      </c>
    </row>
    <row r="301" spans="1:4" x14ac:dyDescent="0.2">
      <c r="A301">
        <f>'Fichas clínicas'!A301</f>
        <v>301</v>
      </c>
      <c r="B301" t="str">
        <f>'Fichas clínicas'!B301</f>
        <v>17694209-6</v>
      </c>
      <c r="C301" t="str">
        <f>VLOOKUP(paciente_tutor!B301,clientes!A301:B1882,2,FALSE)</f>
        <v>ANA</v>
      </c>
      <c r="D301" t="str">
        <f t="shared" si="4"/>
        <v>17694209-6</v>
      </c>
    </row>
    <row r="302" spans="1:4" x14ac:dyDescent="0.2">
      <c r="A302">
        <f>'Fichas clínicas'!A302</f>
        <v>302</v>
      </c>
      <c r="B302" t="str">
        <f>'Fichas clínicas'!B302</f>
        <v>20642136-3</v>
      </c>
      <c r="C302" t="str">
        <f>VLOOKUP(paciente_tutor!B302,clientes!A302:B1883,2,FALSE)</f>
        <v>LLERLI</v>
      </c>
      <c r="D302" t="str">
        <f t="shared" si="4"/>
        <v>20642136-3</v>
      </c>
    </row>
    <row r="303" spans="1:4" x14ac:dyDescent="0.2">
      <c r="A303">
        <f>'Fichas clínicas'!A303</f>
        <v>303</v>
      </c>
      <c r="B303" t="str">
        <f>'Fichas clínicas'!B303</f>
        <v>16160027-K</v>
      </c>
      <c r="C303" t="str">
        <f>VLOOKUP(paciente_tutor!B303,clientes!A303:B1884,2,FALSE)</f>
        <v>CLAUDIA</v>
      </c>
      <c r="D303" t="str">
        <f t="shared" si="4"/>
        <v>16160027-K</v>
      </c>
    </row>
    <row r="304" spans="1:4" x14ac:dyDescent="0.2">
      <c r="A304">
        <f>'Fichas clínicas'!A304</f>
        <v>304</v>
      </c>
      <c r="B304" t="str">
        <f>'Fichas clínicas'!B304</f>
        <v>12883957-7</v>
      </c>
      <c r="C304" t="e">
        <f>VLOOKUP(paciente_tutor!B304,clientes!A304:B1885,2,FALSE)</f>
        <v>#N/A</v>
      </c>
      <c r="D304" t="e">
        <f t="shared" si="4"/>
        <v>#N/A</v>
      </c>
    </row>
    <row r="305" spans="1:4" x14ac:dyDescent="0.2">
      <c r="A305">
        <f>'Fichas clínicas'!A305</f>
        <v>305</v>
      </c>
      <c r="B305" t="str">
        <f>'Fichas clínicas'!B305</f>
        <v>14282112-5</v>
      </c>
      <c r="C305" t="str">
        <f>VLOOKUP(paciente_tutor!B305,clientes!A305:B1886,2,FALSE)</f>
        <v>JEANETTE</v>
      </c>
      <c r="D305" t="str">
        <f t="shared" si="4"/>
        <v>14282112-5</v>
      </c>
    </row>
    <row r="306" spans="1:4" x14ac:dyDescent="0.2">
      <c r="A306">
        <f>'Fichas clínicas'!A306</f>
        <v>306</v>
      </c>
      <c r="B306" t="str">
        <f>'Fichas clínicas'!B306</f>
        <v>15759669-1</v>
      </c>
      <c r="C306" t="str">
        <f>VLOOKUP(paciente_tutor!B306,clientes!A306:B1887,2,FALSE)</f>
        <v>Yanet</v>
      </c>
      <c r="D306" t="str">
        <f t="shared" si="4"/>
        <v>15759669-1</v>
      </c>
    </row>
    <row r="307" spans="1:4" x14ac:dyDescent="0.2">
      <c r="A307">
        <f>'Fichas clínicas'!A307</f>
        <v>307</v>
      </c>
      <c r="B307" t="str">
        <f>'Fichas clínicas'!B307</f>
        <v>19624439-5</v>
      </c>
      <c r="C307" t="str">
        <f>VLOOKUP(paciente_tutor!B307,clientes!A307:B1888,2,FALSE)</f>
        <v>DANNIELA</v>
      </c>
      <c r="D307" t="str">
        <f t="shared" si="4"/>
        <v>19624439-5</v>
      </c>
    </row>
    <row r="308" spans="1:4" x14ac:dyDescent="0.2">
      <c r="A308">
        <f>'Fichas clínicas'!A308</f>
        <v>308</v>
      </c>
      <c r="B308" t="str">
        <f>'Fichas clínicas'!B308</f>
        <v>15883904-0</v>
      </c>
      <c r="C308" t="str">
        <f>VLOOKUP(paciente_tutor!B308,clientes!A308:B1889,2,FALSE)</f>
        <v>MARCELA ANDREA</v>
      </c>
      <c r="D308" t="str">
        <f t="shared" si="4"/>
        <v>15883904-0</v>
      </c>
    </row>
    <row r="309" spans="1:4" x14ac:dyDescent="0.2">
      <c r="A309">
        <f>'Fichas clínicas'!A309</f>
        <v>309</v>
      </c>
      <c r="B309" t="str">
        <f>'Fichas clínicas'!B309</f>
        <v>18500776-6</v>
      </c>
      <c r="C309" t="str">
        <f>VLOOKUP(paciente_tutor!B309,clientes!A309:B1890,2,FALSE)</f>
        <v>Scarlett</v>
      </c>
      <c r="D309" t="str">
        <f t="shared" si="4"/>
        <v>18500776-6</v>
      </c>
    </row>
    <row r="310" spans="1:4" x14ac:dyDescent="0.2">
      <c r="A310">
        <f>'Fichas clínicas'!A310</f>
        <v>310</v>
      </c>
      <c r="B310" t="str">
        <f>'Fichas clínicas'!B310</f>
        <v>19555355-6</v>
      </c>
      <c r="C310" t="str">
        <f>VLOOKUP(paciente_tutor!B310,clientes!A310:B1891,2,FALSE)</f>
        <v>CONSUELO</v>
      </c>
      <c r="D310" t="str">
        <f t="shared" si="4"/>
        <v>19555355-6</v>
      </c>
    </row>
    <row r="311" spans="1:4" x14ac:dyDescent="0.2">
      <c r="A311">
        <f>'Fichas clínicas'!A311</f>
        <v>311</v>
      </c>
      <c r="B311" t="str">
        <f>'Fichas clínicas'!B311</f>
        <v>16160824-6</v>
      </c>
      <c r="C311" t="str">
        <f>VLOOKUP(paciente_tutor!B311,clientes!A311:B1892,2,FALSE)</f>
        <v>GUILLERMO</v>
      </c>
      <c r="D311" t="str">
        <f t="shared" si="4"/>
        <v>16160824-6</v>
      </c>
    </row>
    <row r="312" spans="1:4" x14ac:dyDescent="0.2">
      <c r="A312">
        <f>'Fichas clínicas'!A312</f>
        <v>312</v>
      </c>
      <c r="B312" t="str">
        <f>'Fichas clínicas'!B312</f>
        <v>10573585-5</v>
      </c>
      <c r="C312" t="e">
        <f>VLOOKUP(paciente_tutor!B312,clientes!A312:B1893,2,FALSE)</f>
        <v>#N/A</v>
      </c>
      <c r="D312" t="e">
        <f t="shared" si="4"/>
        <v>#N/A</v>
      </c>
    </row>
    <row r="313" spans="1:4" x14ac:dyDescent="0.2">
      <c r="A313">
        <f>'Fichas clínicas'!A313</f>
        <v>313</v>
      </c>
      <c r="B313" t="str">
        <f>'Fichas clínicas'!B313</f>
        <v>17694572-9</v>
      </c>
      <c r="C313" t="str">
        <f>VLOOKUP(paciente_tutor!B313,clientes!A313:B1894,2,FALSE)</f>
        <v>Barbara Yessenia</v>
      </c>
      <c r="D313" t="str">
        <f t="shared" si="4"/>
        <v>17694572-9</v>
      </c>
    </row>
    <row r="314" spans="1:4" x14ac:dyDescent="0.2">
      <c r="A314">
        <f>'Fichas clínicas'!A314</f>
        <v>314</v>
      </c>
      <c r="B314" t="str">
        <f>'Fichas clínicas'!B314</f>
        <v>21078313-K</v>
      </c>
      <c r="C314" t="str">
        <f>VLOOKUP(paciente_tutor!B314,clientes!A314:B1895,2,FALSE)</f>
        <v>FRANCHESCA</v>
      </c>
      <c r="D314" t="str">
        <f t="shared" si="4"/>
        <v>21078313-K</v>
      </c>
    </row>
    <row r="315" spans="1:4" x14ac:dyDescent="0.2">
      <c r="A315">
        <f>'Fichas clínicas'!A315</f>
        <v>315</v>
      </c>
      <c r="B315" t="str">
        <f>'Fichas clínicas'!B315</f>
        <v>20922023-7</v>
      </c>
      <c r="C315" t="str">
        <f>VLOOKUP(paciente_tutor!B315,clientes!A315:B1896,2,FALSE)</f>
        <v>Josefina</v>
      </c>
      <c r="D315" t="str">
        <f t="shared" si="4"/>
        <v>20922023-7</v>
      </c>
    </row>
    <row r="316" spans="1:4" x14ac:dyDescent="0.2">
      <c r="A316">
        <f>'Fichas clínicas'!A316</f>
        <v>316</v>
      </c>
      <c r="B316" t="str">
        <f>'Fichas clínicas'!B316</f>
        <v>21755646-5</v>
      </c>
      <c r="C316" t="str">
        <f>VLOOKUP(paciente_tutor!B316,clientes!A316:B1897,2,FALSE)</f>
        <v>STEPHANIE</v>
      </c>
      <c r="D316" t="str">
        <f t="shared" si="4"/>
        <v>21755646-5</v>
      </c>
    </row>
    <row r="317" spans="1:4" x14ac:dyDescent="0.2">
      <c r="A317">
        <f>'Fichas clínicas'!A317</f>
        <v>317</v>
      </c>
      <c r="B317" t="str">
        <f>'Fichas clínicas'!B317</f>
        <v>12994482-K</v>
      </c>
      <c r="C317" t="e">
        <f>VLOOKUP(paciente_tutor!B317,clientes!A317:B1898,2,FALSE)</f>
        <v>#N/A</v>
      </c>
      <c r="D317" t="e">
        <f t="shared" si="4"/>
        <v>#N/A</v>
      </c>
    </row>
    <row r="318" spans="1:4" x14ac:dyDescent="0.2">
      <c r="A318">
        <f>'Fichas clínicas'!A318</f>
        <v>318</v>
      </c>
      <c r="B318" t="str">
        <f>'Fichas clínicas'!B318</f>
        <v>11129722-3</v>
      </c>
      <c r="C318" t="e">
        <f>VLOOKUP(paciente_tutor!B318,clientes!A318:B1899,2,FALSE)</f>
        <v>#N/A</v>
      </c>
      <c r="D318" t="e">
        <f t="shared" si="4"/>
        <v>#N/A</v>
      </c>
    </row>
    <row r="319" spans="1:4" x14ac:dyDescent="0.2">
      <c r="A319">
        <f>'Fichas clínicas'!A319</f>
        <v>319</v>
      </c>
      <c r="B319" t="str">
        <f>'Fichas clínicas'!B319</f>
        <v>21783626-3</v>
      </c>
      <c r="C319" t="str">
        <f>VLOOKUP(paciente_tutor!B319,clientes!A319:B1900,2,FALSE)</f>
        <v>CAMILA</v>
      </c>
      <c r="D319" t="str">
        <f t="shared" si="4"/>
        <v>21783626-3</v>
      </c>
    </row>
    <row r="320" spans="1:4" x14ac:dyDescent="0.2">
      <c r="A320">
        <f>'Fichas clínicas'!A320</f>
        <v>320</v>
      </c>
      <c r="B320" t="str">
        <f>'Fichas clínicas'!B320</f>
        <v>16842348-9</v>
      </c>
      <c r="C320" t="str">
        <f>VLOOKUP(paciente_tutor!B320,clientes!A320:B1901,2,FALSE)</f>
        <v>FERNANDA</v>
      </c>
      <c r="D320" t="str">
        <f t="shared" si="4"/>
        <v>16842348-9</v>
      </c>
    </row>
    <row r="321" spans="1:4" x14ac:dyDescent="0.2">
      <c r="A321">
        <f>'Fichas clínicas'!A321</f>
        <v>321</v>
      </c>
      <c r="B321" t="str">
        <f>'Fichas clínicas'!B321</f>
        <v>15674696-7</v>
      </c>
      <c r="C321" t="str">
        <f>VLOOKUP(paciente_tutor!B321,clientes!A321:B1902,2,FALSE)</f>
        <v>MARIA JOSE</v>
      </c>
      <c r="D321" t="str">
        <f t="shared" si="4"/>
        <v>15674696-7</v>
      </c>
    </row>
    <row r="322" spans="1:4" x14ac:dyDescent="0.2">
      <c r="A322">
        <f>'Fichas clínicas'!A322</f>
        <v>322</v>
      </c>
      <c r="B322" t="str">
        <f>'Fichas clínicas'!B322</f>
        <v>20708438-7</v>
      </c>
      <c r="C322" t="str">
        <f>VLOOKUP(paciente_tutor!B322,clientes!A322:B1903,2,FALSE)</f>
        <v>DABNE</v>
      </c>
      <c r="D322" t="str">
        <f t="shared" si="4"/>
        <v>20708438-7</v>
      </c>
    </row>
    <row r="323" spans="1:4" x14ac:dyDescent="0.2">
      <c r="A323">
        <f>'Fichas clínicas'!A323</f>
        <v>323</v>
      </c>
      <c r="B323" t="str">
        <f>'Fichas clínicas'!B323</f>
        <v>16842348-9</v>
      </c>
      <c r="C323" t="str">
        <f>VLOOKUP(paciente_tutor!B323,clientes!A323:B1904,2,FALSE)</f>
        <v>FERNANDA</v>
      </c>
      <c r="D323" t="str">
        <f t="shared" ref="D323:D386" si="5">IF(C323="#N/A","",B323)</f>
        <v>16842348-9</v>
      </c>
    </row>
    <row r="324" spans="1:4" x14ac:dyDescent="0.2">
      <c r="A324">
        <f>'Fichas clínicas'!A324</f>
        <v>324</v>
      </c>
      <c r="B324" t="str">
        <f>'Fichas clínicas'!B324</f>
        <v>18591064-4</v>
      </c>
      <c r="C324" t="str">
        <f>VLOOKUP(paciente_tutor!B324,clientes!A324:B1905,2,FALSE)</f>
        <v>MARÍA JOSÉ</v>
      </c>
      <c r="D324" t="str">
        <f t="shared" si="5"/>
        <v>18591064-4</v>
      </c>
    </row>
    <row r="325" spans="1:4" x14ac:dyDescent="0.2">
      <c r="A325">
        <f>'Fichas clínicas'!A325</f>
        <v>325</v>
      </c>
      <c r="B325" t="str">
        <f>'Fichas clínicas'!B325</f>
        <v>18591064-4</v>
      </c>
      <c r="C325" t="str">
        <f>VLOOKUP(paciente_tutor!B325,clientes!A325:B1906,2,FALSE)</f>
        <v>MARÍA JOSÉ</v>
      </c>
      <c r="D325" t="str">
        <f t="shared" si="5"/>
        <v>18591064-4</v>
      </c>
    </row>
    <row r="326" spans="1:4" x14ac:dyDescent="0.2">
      <c r="A326">
        <f>'Fichas clínicas'!A326</f>
        <v>326</v>
      </c>
      <c r="B326" t="str">
        <f>'Fichas clínicas'!B326</f>
        <v>18501867-9</v>
      </c>
      <c r="C326" t="str">
        <f>VLOOKUP(paciente_tutor!B326,clientes!A326:B1907,2,FALSE)</f>
        <v>KYARA ANDREA</v>
      </c>
      <c r="D326" t="str">
        <f t="shared" si="5"/>
        <v>18501867-9</v>
      </c>
    </row>
    <row r="327" spans="1:4" x14ac:dyDescent="0.2">
      <c r="A327">
        <f>'Fichas clínicas'!A327</f>
        <v>327</v>
      </c>
      <c r="B327" t="str">
        <f>'Fichas clínicas'!B327</f>
        <v>8916138-k</v>
      </c>
      <c r="C327" t="str">
        <f>VLOOKUP(paciente_tutor!B327,clientes!A327:B1908,2,FALSE)</f>
        <v>Iris</v>
      </c>
      <c r="D327" t="str">
        <f t="shared" si="5"/>
        <v>8916138-k</v>
      </c>
    </row>
    <row r="328" spans="1:4" x14ac:dyDescent="0.2">
      <c r="A328">
        <f>'Fichas clínicas'!A328</f>
        <v>328</v>
      </c>
      <c r="B328" t="str">
        <f>'Fichas clínicas'!B328</f>
        <v>15884648-9</v>
      </c>
      <c r="C328" t="str">
        <f>VLOOKUP(paciente_tutor!B328,clientes!A328:B1909,2,FALSE)</f>
        <v>MARIBEL</v>
      </c>
      <c r="D328" t="str">
        <f t="shared" si="5"/>
        <v>15884648-9</v>
      </c>
    </row>
    <row r="329" spans="1:4" x14ac:dyDescent="0.2">
      <c r="A329">
        <f>'Fichas clínicas'!A329</f>
        <v>329</v>
      </c>
      <c r="B329" t="str">
        <f>'Fichas clínicas'!B329</f>
        <v>19248526-6</v>
      </c>
      <c r="C329" t="str">
        <f>VLOOKUP(paciente_tutor!B329,clientes!A329:B1910,2,FALSE)</f>
        <v>MARCELA</v>
      </c>
      <c r="D329" t="str">
        <f t="shared" si="5"/>
        <v>19248526-6</v>
      </c>
    </row>
    <row r="330" spans="1:4" x14ac:dyDescent="0.2">
      <c r="A330">
        <f>'Fichas clínicas'!A330</f>
        <v>330</v>
      </c>
      <c r="B330" t="str">
        <f>'Fichas clínicas'!B330</f>
        <v>11920064-4</v>
      </c>
      <c r="C330" t="e">
        <f>VLOOKUP(paciente_tutor!B330,clientes!A330:B1911,2,FALSE)</f>
        <v>#N/A</v>
      </c>
      <c r="D330" t="e">
        <f t="shared" si="5"/>
        <v>#N/A</v>
      </c>
    </row>
    <row r="331" spans="1:4" x14ac:dyDescent="0.2">
      <c r="A331">
        <f>'Fichas clínicas'!A331</f>
        <v>331</v>
      </c>
      <c r="B331" t="str">
        <f>'Fichas clínicas'!B331</f>
        <v>18289616-0</v>
      </c>
      <c r="C331" t="str">
        <f>VLOOKUP(paciente_tutor!B331,clientes!A331:B1912,2,FALSE)</f>
        <v>Ninoska Patricia</v>
      </c>
      <c r="D331" t="str">
        <f t="shared" si="5"/>
        <v>18289616-0</v>
      </c>
    </row>
    <row r="332" spans="1:4" x14ac:dyDescent="0.2">
      <c r="A332">
        <f>'Fichas clínicas'!A332</f>
        <v>332</v>
      </c>
      <c r="B332" t="str">
        <f>'Fichas clínicas'!B332</f>
        <v>20967444-0</v>
      </c>
      <c r="C332" t="str">
        <f>VLOOKUP(paciente_tutor!B332,clientes!A332:B1913,2,FALSE)</f>
        <v>KEVIN</v>
      </c>
      <c r="D332" t="str">
        <f t="shared" si="5"/>
        <v>20967444-0</v>
      </c>
    </row>
    <row r="333" spans="1:4" x14ac:dyDescent="0.2">
      <c r="A333">
        <f>'Fichas clínicas'!A333</f>
        <v>333</v>
      </c>
      <c r="B333" t="str">
        <f>'Fichas clínicas'!B333</f>
        <v>13399916-7</v>
      </c>
      <c r="C333" t="e">
        <f>VLOOKUP(paciente_tutor!B333,clientes!A333:B1914,2,FALSE)</f>
        <v>#N/A</v>
      </c>
      <c r="D333" t="e">
        <f t="shared" si="5"/>
        <v>#N/A</v>
      </c>
    </row>
    <row r="334" spans="1:4" x14ac:dyDescent="0.2">
      <c r="A334">
        <f>'Fichas clínicas'!A334</f>
        <v>334</v>
      </c>
      <c r="B334" t="str">
        <f>'Fichas clínicas'!B334</f>
        <v>13399916-7</v>
      </c>
      <c r="C334" t="e">
        <f>VLOOKUP(paciente_tutor!B334,clientes!A334:B1915,2,FALSE)</f>
        <v>#N/A</v>
      </c>
      <c r="D334" t="e">
        <f t="shared" si="5"/>
        <v>#N/A</v>
      </c>
    </row>
    <row r="335" spans="1:4" x14ac:dyDescent="0.2">
      <c r="A335">
        <f>'Fichas clínicas'!A335</f>
        <v>335</v>
      </c>
      <c r="B335" t="str">
        <f>'Fichas clínicas'!B335</f>
        <v>17694185-5</v>
      </c>
      <c r="C335" t="str">
        <f>VLOOKUP(paciente_tutor!B335,clientes!A335:B1916,2,FALSE)</f>
        <v>VERONICA</v>
      </c>
      <c r="D335" t="str">
        <f t="shared" si="5"/>
        <v>17694185-5</v>
      </c>
    </row>
    <row r="336" spans="1:4" x14ac:dyDescent="0.2">
      <c r="A336">
        <f>'Fichas clínicas'!A336</f>
        <v>336</v>
      </c>
      <c r="B336" t="str">
        <f>'Fichas clínicas'!B336</f>
        <v>15884104-5</v>
      </c>
      <c r="C336" t="str">
        <f>VLOOKUP(paciente_tutor!B336,clientes!A336:B1917,2,FALSE)</f>
        <v>EDITH</v>
      </c>
      <c r="D336" t="str">
        <f t="shared" si="5"/>
        <v>15884104-5</v>
      </c>
    </row>
    <row r="337" spans="1:4" x14ac:dyDescent="0.2">
      <c r="A337">
        <f>'Fichas clínicas'!A337</f>
        <v>337</v>
      </c>
      <c r="B337" t="str">
        <f>'Fichas clínicas'!B337</f>
        <v>15884104-5</v>
      </c>
      <c r="C337" t="str">
        <f>VLOOKUP(paciente_tutor!B337,clientes!A337:B1918,2,FALSE)</f>
        <v>EDITH</v>
      </c>
      <c r="D337" t="str">
        <f t="shared" si="5"/>
        <v>15884104-5</v>
      </c>
    </row>
    <row r="338" spans="1:4" x14ac:dyDescent="0.2">
      <c r="A338">
        <f>'Fichas clínicas'!A338</f>
        <v>338</v>
      </c>
      <c r="B338" t="str">
        <f>'Fichas clínicas'!B338</f>
        <v>19184445-9</v>
      </c>
      <c r="C338" t="str">
        <f>VLOOKUP(paciente_tutor!B338,clientes!A338:B1919,2,FALSE)</f>
        <v>LESLIE</v>
      </c>
      <c r="D338" t="str">
        <f t="shared" si="5"/>
        <v>19184445-9</v>
      </c>
    </row>
    <row r="339" spans="1:4" x14ac:dyDescent="0.2">
      <c r="A339">
        <f>'Fichas clínicas'!A339</f>
        <v>339</v>
      </c>
      <c r="B339" t="str">
        <f>'Fichas clínicas'!B339</f>
        <v>18133464-9</v>
      </c>
      <c r="C339" t="str">
        <f>VLOOKUP(paciente_tutor!B339,clientes!A339:B1920,2,FALSE)</f>
        <v>MAURICIO</v>
      </c>
      <c r="D339" t="str">
        <f t="shared" si="5"/>
        <v>18133464-9</v>
      </c>
    </row>
    <row r="340" spans="1:4" x14ac:dyDescent="0.2">
      <c r="A340">
        <f>'Fichas clínicas'!A340</f>
        <v>340</v>
      </c>
      <c r="B340" t="str">
        <f>'Fichas clínicas'!B340</f>
        <v>20315517-4</v>
      </c>
      <c r="C340" t="str">
        <f>VLOOKUP(paciente_tutor!B340,clientes!A340:B1921,2,FALSE)</f>
        <v>YESSENIA</v>
      </c>
      <c r="D340" t="str">
        <f t="shared" si="5"/>
        <v>20315517-4</v>
      </c>
    </row>
    <row r="341" spans="1:4" x14ac:dyDescent="0.2">
      <c r="A341">
        <f>'Fichas clínicas'!A341</f>
        <v>341</v>
      </c>
      <c r="B341" t="str">
        <f>'Fichas clínicas'!B341</f>
        <v>19554097-7</v>
      </c>
      <c r="C341" t="str">
        <f>VLOOKUP(paciente_tutor!B341,clientes!A341:B1922,2,FALSE)</f>
        <v>CAMILA</v>
      </c>
      <c r="D341" t="str">
        <f t="shared" si="5"/>
        <v>19554097-7</v>
      </c>
    </row>
    <row r="342" spans="1:4" x14ac:dyDescent="0.2">
      <c r="A342">
        <f>'Fichas clínicas'!A342</f>
        <v>342</v>
      </c>
      <c r="B342" t="str">
        <f>'Fichas clínicas'!B342</f>
        <v>11453555-9</v>
      </c>
      <c r="C342" t="e">
        <f>VLOOKUP(paciente_tutor!B342,clientes!A342:B1923,2,FALSE)</f>
        <v>#N/A</v>
      </c>
      <c r="D342" t="e">
        <f t="shared" si="5"/>
        <v>#N/A</v>
      </c>
    </row>
    <row r="343" spans="1:4" x14ac:dyDescent="0.2">
      <c r="A343">
        <f>'Fichas clínicas'!A343</f>
        <v>343</v>
      </c>
      <c r="B343" t="str">
        <f>'Fichas clínicas'!B343</f>
        <v>14083512-9</v>
      </c>
      <c r="C343" t="str">
        <f>VLOOKUP(paciente_tutor!B343,clientes!A343:B1924,2,FALSE)</f>
        <v>ELSA</v>
      </c>
      <c r="D343" t="str">
        <f t="shared" si="5"/>
        <v>14083512-9</v>
      </c>
    </row>
    <row r="344" spans="1:4" x14ac:dyDescent="0.2">
      <c r="A344">
        <f>'Fichas clínicas'!A344</f>
        <v>344</v>
      </c>
      <c r="B344" t="str">
        <f>'Fichas clínicas'!B344</f>
        <v>15548844-1</v>
      </c>
      <c r="C344" t="str">
        <f>VLOOKUP(paciente_tutor!B344,clientes!A344:B1925,2,FALSE)</f>
        <v>MARIA CAROLINA</v>
      </c>
      <c r="D344" t="str">
        <f t="shared" si="5"/>
        <v>15548844-1</v>
      </c>
    </row>
    <row r="345" spans="1:4" x14ac:dyDescent="0.2">
      <c r="A345">
        <f>'Fichas clínicas'!A345</f>
        <v>345</v>
      </c>
      <c r="B345" t="str">
        <f>'Fichas clínicas'!B345</f>
        <v>8605187-7</v>
      </c>
      <c r="C345" t="str">
        <f>VLOOKUP(paciente_tutor!B345,clientes!A345:B1926,2,FALSE)</f>
        <v>MARTA</v>
      </c>
      <c r="D345" t="str">
        <f t="shared" si="5"/>
        <v>8605187-7</v>
      </c>
    </row>
    <row r="346" spans="1:4" x14ac:dyDescent="0.2">
      <c r="A346">
        <f>'Fichas clínicas'!A346</f>
        <v>346</v>
      </c>
      <c r="B346" t="str">
        <f>'Fichas clínicas'!B346</f>
        <v>14280850-1</v>
      </c>
      <c r="C346" t="str">
        <f>VLOOKUP(paciente_tutor!B346,clientes!A346:B1927,2,FALSE)</f>
        <v>YASNA</v>
      </c>
      <c r="D346" t="str">
        <f t="shared" si="5"/>
        <v>14280850-1</v>
      </c>
    </row>
    <row r="347" spans="1:4" x14ac:dyDescent="0.2">
      <c r="A347">
        <f>'Fichas clínicas'!A347</f>
        <v>347</v>
      </c>
      <c r="B347" t="str">
        <f>'Fichas clínicas'!B347</f>
        <v>16465635-7</v>
      </c>
      <c r="C347" t="str">
        <f>VLOOKUP(paciente_tutor!B347,clientes!A347:B1928,2,FALSE)</f>
        <v>DANIELA</v>
      </c>
      <c r="D347" t="str">
        <f t="shared" si="5"/>
        <v>16465635-7</v>
      </c>
    </row>
    <row r="348" spans="1:4" x14ac:dyDescent="0.2">
      <c r="A348">
        <f>'Fichas clínicas'!A348</f>
        <v>348</v>
      </c>
      <c r="B348" t="str">
        <f>'Fichas clínicas'!B348</f>
        <v>16805621-4</v>
      </c>
      <c r="C348" t="str">
        <f>VLOOKUP(paciente_tutor!B348,clientes!A348:B1929,2,FALSE)</f>
        <v>FERNANDO</v>
      </c>
      <c r="D348" t="str">
        <f t="shared" si="5"/>
        <v>16805621-4</v>
      </c>
    </row>
    <row r="349" spans="1:4" x14ac:dyDescent="0.2">
      <c r="A349">
        <f>'Fichas clínicas'!A349</f>
        <v>349</v>
      </c>
      <c r="B349" t="str">
        <f>'Fichas clínicas'!B349</f>
        <v>18885276-9</v>
      </c>
      <c r="C349" t="str">
        <f>VLOOKUP(paciente_tutor!B349,clientes!A349:B1930,2,FALSE)</f>
        <v>DANIELA</v>
      </c>
      <c r="D349" t="str">
        <f t="shared" si="5"/>
        <v>18885276-9</v>
      </c>
    </row>
    <row r="350" spans="1:4" x14ac:dyDescent="0.2">
      <c r="A350">
        <f>'Fichas clínicas'!A350</f>
        <v>350</v>
      </c>
      <c r="B350" t="str">
        <f>'Fichas clínicas'!B350</f>
        <v>12745863-4</v>
      </c>
      <c r="C350" t="e">
        <f>VLOOKUP(paciente_tutor!B350,clientes!A350:B1931,2,FALSE)</f>
        <v>#N/A</v>
      </c>
      <c r="D350" t="e">
        <f t="shared" si="5"/>
        <v>#N/A</v>
      </c>
    </row>
    <row r="351" spans="1:4" x14ac:dyDescent="0.2">
      <c r="A351">
        <f>'Fichas clínicas'!A351</f>
        <v>351</v>
      </c>
      <c r="B351" t="str">
        <f>'Fichas clínicas'!B351</f>
        <v>12745863-4</v>
      </c>
      <c r="C351" t="e">
        <f>VLOOKUP(paciente_tutor!B351,clientes!A351:B1932,2,FALSE)</f>
        <v>#N/A</v>
      </c>
      <c r="D351" t="e">
        <f t="shared" si="5"/>
        <v>#N/A</v>
      </c>
    </row>
    <row r="352" spans="1:4" x14ac:dyDescent="0.2">
      <c r="A352">
        <f>'Fichas clínicas'!A352</f>
        <v>352</v>
      </c>
      <c r="B352" t="str">
        <f>'Fichas clínicas'!B352</f>
        <v>21943419-7</v>
      </c>
      <c r="C352" t="str">
        <f>VLOOKUP(paciente_tutor!B352,clientes!A352:B1933,2,FALSE)</f>
        <v>PAMELA</v>
      </c>
      <c r="D352" t="str">
        <f t="shared" si="5"/>
        <v>21943419-7</v>
      </c>
    </row>
    <row r="353" spans="1:4" x14ac:dyDescent="0.2">
      <c r="A353">
        <f>'Fichas clínicas'!A353</f>
        <v>353</v>
      </c>
      <c r="B353" t="str">
        <f>'Fichas clínicas'!B353</f>
        <v>12392219-0</v>
      </c>
      <c r="C353" t="e">
        <f>VLOOKUP(paciente_tutor!B353,clientes!A353:B1934,2,FALSE)</f>
        <v>#N/A</v>
      </c>
      <c r="D353" t="e">
        <f t="shared" si="5"/>
        <v>#N/A</v>
      </c>
    </row>
    <row r="354" spans="1:4" x14ac:dyDescent="0.2">
      <c r="A354">
        <f>'Fichas clínicas'!A354</f>
        <v>354</v>
      </c>
      <c r="B354" t="str">
        <f>'Fichas clínicas'!B354</f>
        <v>12392219-0</v>
      </c>
      <c r="C354" t="e">
        <f>VLOOKUP(paciente_tutor!B354,clientes!A354:B1935,2,FALSE)</f>
        <v>#N/A</v>
      </c>
      <c r="D354" t="e">
        <f t="shared" si="5"/>
        <v>#N/A</v>
      </c>
    </row>
    <row r="355" spans="1:4" x14ac:dyDescent="0.2">
      <c r="A355">
        <f>'Fichas clínicas'!A355</f>
        <v>355</v>
      </c>
      <c r="B355" t="str">
        <f>'Fichas clínicas'!B355</f>
        <v>16564633-9</v>
      </c>
      <c r="C355" t="str">
        <f>VLOOKUP(paciente_tutor!B355,clientes!A355:B1936,2,FALSE)</f>
        <v>JUANA</v>
      </c>
      <c r="D355" t="str">
        <f t="shared" si="5"/>
        <v>16564633-9</v>
      </c>
    </row>
    <row r="356" spans="1:4" x14ac:dyDescent="0.2">
      <c r="A356">
        <f>'Fichas clínicas'!A356</f>
        <v>356</v>
      </c>
      <c r="B356" t="str">
        <f>'Fichas clínicas'!B356</f>
        <v>18500776-6</v>
      </c>
      <c r="C356" t="str">
        <f>VLOOKUP(paciente_tutor!B356,clientes!A356:B1937,2,FALSE)</f>
        <v>Scarlett</v>
      </c>
      <c r="D356" t="str">
        <f t="shared" si="5"/>
        <v>18500776-6</v>
      </c>
    </row>
    <row r="357" spans="1:4" x14ac:dyDescent="0.2">
      <c r="A357">
        <f>'Fichas clínicas'!A357</f>
        <v>357</v>
      </c>
      <c r="B357" t="str">
        <f>'Fichas clínicas'!B357</f>
        <v>17359194-2</v>
      </c>
      <c r="C357" t="str">
        <f>VLOOKUP(paciente_tutor!B357,clientes!A357:B1938,2,FALSE)</f>
        <v>BRENDA</v>
      </c>
      <c r="D357" t="str">
        <f t="shared" si="5"/>
        <v>17359194-2</v>
      </c>
    </row>
    <row r="358" spans="1:4" x14ac:dyDescent="0.2">
      <c r="A358">
        <f>'Fichas clínicas'!A358</f>
        <v>358</v>
      </c>
      <c r="B358" t="str">
        <f>'Fichas clínicas'!B358</f>
        <v>18287851-0</v>
      </c>
      <c r="C358" t="str">
        <f>VLOOKUP(paciente_tutor!B358,clientes!A358:B1939,2,FALSE)</f>
        <v>Ana</v>
      </c>
      <c r="D358" t="str">
        <f t="shared" si="5"/>
        <v>18287851-0</v>
      </c>
    </row>
    <row r="359" spans="1:4" x14ac:dyDescent="0.2">
      <c r="A359">
        <f>'Fichas clínicas'!A359</f>
        <v>359</v>
      </c>
      <c r="B359" t="str">
        <f>'Fichas clínicas'!B359</f>
        <v>17200297-8</v>
      </c>
      <c r="C359" t="str">
        <f>VLOOKUP(paciente_tutor!B359,clientes!A359:B1940,2,FALSE)</f>
        <v>MARIA ANGÉLICA</v>
      </c>
      <c r="D359" t="str">
        <f t="shared" si="5"/>
        <v>17200297-8</v>
      </c>
    </row>
    <row r="360" spans="1:4" x14ac:dyDescent="0.2">
      <c r="A360">
        <f>'Fichas clínicas'!A360</f>
        <v>360</v>
      </c>
      <c r="B360" t="str">
        <f>'Fichas clínicas'!B360</f>
        <v>17219168-1</v>
      </c>
      <c r="C360" t="str">
        <f>VLOOKUP(paciente_tutor!B360,clientes!A360:B1941,2,FALSE)</f>
        <v>ANA ZUNILDA</v>
      </c>
      <c r="D360" t="str">
        <f t="shared" si="5"/>
        <v>17219168-1</v>
      </c>
    </row>
    <row r="361" spans="1:4" x14ac:dyDescent="0.2">
      <c r="A361">
        <f>'Fichas clínicas'!A361</f>
        <v>361</v>
      </c>
      <c r="B361" t="str">
        <f>'Fichas clínicas'!B361</f>
        <v>20315330-9</v>
      </c>
      <c r="C361" t="str">
        <f>VLOOKUP(paciente_tutor!B361,clientes!A361:B1942,2,FALSE)</f>
        <v>MILENKA</v>
      </c>
      <c r="D361" t="str">
        <f t="shared" si="5"/>
        <v>20315330-9</v>
      </c>
    </row>
    <row r="362" spans="1:4" x14ac:dyDescent="0.2">
      <c r="A362">
        <f>'Fichas clínicas'!A362</f>
        <v>362</v>
      </c>
      <c r="B362" t="str">
        <f>'Fichas clínicas'!B362</f>
        <v>9322977-0</v>
      </c>
      <c r="C362" t="str">
        <f>VLOOKUP(paciente_tutor!B362,clientes!A362:B1943,2,FALSE)</f>
        <v>ROSA</v>
      </c>
      <c r="D362" t="str">
        <f t="shared" si="5"/>
        <v>9322977-0</v>
      </c>
    </row>
    <row r="363" spans="1:4" x14ac:dyDescent="0.2">
      <c r="A363">
        <f>'Fichas clínicas'!A363</f>
        <v>363</v>
      </c>
      <c r="B363" t="str">
        <f>'Fichas clínicas'!B363</f>
        <v>20015951-9</v>
      </c>
      <c r="C363" t="str">
        <f>VLOOKUP(paciente_tutor!B363,clientes!A363:B1944,2,FALSE)</f>
        <v>JAVIER</v>
      </c>
      <c r="D363" t="str">
        <f t="shared" si="5"/>
        <v>20015951-9</v>
      </c>
    </row>
    <row r="364" spans="1:4" x14ac:dyDescent="0.2">
      <c r="A364">
        <f>'Fichas clínicas'!A364</f>
        <v>364</v>
      </c>
      <c r="B364" t="str">
        <f>'Fichas clínicas'!B364</f>
        <v>19616999-7</v>
      </c>
      <c r="C364" t="str">
        <f>VLOOKUP(paciente_tutor!B364,clientes!A364:B1945,2,FALSE)</f>
        <v>ANGELINA</v>
      </c>
      <c r="D364" t="str">
        <f t="shared" si="5"/>
        <v>19616999-7</v>
      </c>
    </row>
    <row r="365" spans="1:4" x14ac:dyDescent="0.2">
      <c r="A365">
        <f>'Fichas clínicas'!A365</f>
        <v>365</v>
      </c>
      <c r="B365" t="str">
        <f>'Fichas clínicas'!B365</f>
        <v>2235759-K</v>
      </c>
      <c r="C365" t="str">
        <f>VLOOKUP(paciente_tutor!B365,clientes!A365:B1946,2,FALSE)</f>
        <v>FERNANDA</v>
      </c>
      <c r="D365" t="str">
        <f t="shared" si="5"/>
        <v>2235759-K</v>
      </c>
    </row>
    <row r="366" spans="1:4" x14ac:dyDescent="0.2">
      <c r="A366">
        <f>'Fichas clínicas'!A366</f>
        <v>366</v>
      </c>
      <c r="B366" t="str">
        <f>'Fichas clínicas'!B366</f>
        <v>21080624-5</v>
      </c>
      <c r="C366" t="str">
        <f>VLOOKUP(paciente_tutor!B366,clientes!A366:B1947,2,FALSE)</f>
        <v>DAVID ENRIQUE</v>
      </c>
      <c r="D366" t="str">
        <f t="shared" si="5"/>
        <v>21080624-5</v>
      </c>
    </row>
    <row r="367" spans="1:4" x14ac:dyDescent="0.2">
      <c r="A367">
        <f>'Fichas clínicas'!A367</f>
        <v>367</v>
      </c>
      <c r="B367" t="str">
        <f>'Fichas clínicas'!B367</f>
        <v>20314488-1</v>
      </c>
      <c r="C367" t="str">
        <f>VLOOKUP(paciente_tutor!B367,clientes!A367:B1948,2,FALSE)</f>
        <v>Damaris Isabella</v>
      </c>
      <c r="D367" t="str">
        <f t="shared" si="5"/>
        <v>20314488-1</v>
      </c>
    </row>
    <row r="368" spans="1:4" x14ac:dyDescent="0.2">
      <c r="A368">
        <f>'Fichas clínicas'!A368</f>
        <v>368</v>
      </c>
      <c r="B368" t="str">
        <f>'Fichas clínicas'!B368</f>
        <v>15551979-7</v>
      </c>
      <c r="C368" t="str">
        <f>VLOOKUP(paciente_tutor!B368,clientes!A368:B1949,2,FALSE)</f>
        <v>NATHALIA</v>
      </c>
      <c r="D368" t="str">
        <f t="shared" si="5"/>
        <v>15551979-7</v>
      </c>
    </row>
    <row r="369" spans="1:4" x14ac:dyDescent="0.2">
      <c r="A369">
        <f>'Fichas clínicas'!A369</f>
        <v>369</v>
      </c>
      <c r="B369" t="str">
        <f>'Fichas clínicas'!B369</f>
        <v>21200494-4</v>
      </c>
      <c r="C369" t="str">
        <f>VLOOKUP(paciente_tutor!B369,clientes!A369:B1950,2,FALSE)</f>
        <v>KARLA</v>
      </c>
      <c r="D369" t="str">
        <f t="shared" si="5"/>
        <v>21200494-4</v>
      </c>
    </row>
    <row r="370" spans="1:4" x14ac:dyDescent="0.2">
      <c r="A370">
        <f>'Fichas clínicas'!A370</f>
        <v>370</v>
      </c>
      <c r="B370" t="str">
        <f>'Fichas clínicas'!B370</f>
        <v>21430099-0</v>
      </c>
      <c r="C370" t="str">
        <f>VLOOKUP(paciente_tutor!B370,clientes!A370:B1951,2,FALSE)</f>
        <v>PABLO</v>
      </c>
      <c r="D370" t="str">
        <f t="shared" si="5"/>
        <v>21430099-0</v>
      </c>
    </row>
    <row r="371" spans="1:4" x14ac:dyDescent="0.2">
      <c r="A371">
        <f>'Fichas clínicas'!A371</f>
        <v>371</v>
      </c>
      <c r="B371" t="str">
        <f>'Fichas clínicas'!B371</f>
        <v>18289450-8</v>
      </c>
      <c r="C371" t="str">
        <f>VLOOKUP(paciente_tutor!B371,clientes!A371:B1952,2,FALSE)</f>
        <v>BARBARA</v>
      </c>
      <c r="D371" t="str">
        <f t="shared" si="5"/>
        <v>18289450-8</v>
      </c>
    </row>
    <row r="372" spans="1:4" x14ac:dyDescent="0.2">
      <c r="A372">
        <f>'Fichas clínicas'!A372</f>
        <v>372</v>
      </c>
      <c r="B372" t="str">
        <f>'Fichas clínicas'!B372</f>
        <v>17693956-7</v>
      </c>
      <c r="C372" t="str">
        <f>VLOOKUP(paciente_tutor!B372,clientes!A372:B1953,2,FALSE)</f>
        <v>VICTOR</v>
      </c>
      <c r="D372" t="str">
        <f t="shared" si="5"/>
        <v>17693956-7</v>
      </c>
    </row>
    <row r="373" spans="1:4" x14ac:dyDescent="0.2">
      <c r="A373">
        <f>'Fichas clínicas'!A373</f>
        <v>373</v>
      </c>
      <c r="B373" t="str">
        <f>'Fichas clínicas'!B373</f>
        <v>16159829-1</v>
      </c>
      <c r="C373" t="str">
        <f>VLOOKUP(paciente_tutor!B373,clientes!A373:B1954,2,FALSE)</f>
        <v>YOSELYN</v>
      </c>
      <c r="D373" t="str">
        <f t="shared" si="5"/>
        <v>16159829-1</v>
      </c>
    </row>
    <row r="374" spans="1:4" x14ac:dyDescent="0.2">
      <c r="A374">
        <f>'Fichas clínicas'!A374</f>
        <v>374</v>
      </c>
      <c r="B374" t="str">
        <f>'Fichas clínicas'!B374</f>
        <v>16159829-1</v>
      </c>
      <c r="C374" t="str">
        <f>VLOOKUP(paciente_tutor!B374,clientes!A374:B1955,2,FALSE)</f>
        <v>YOSELYN</v>
      </c>
      <c r="D374" t="str">
        <f t="shared" si="5"/>
        <v>16159829-1</v>
      </c>
    </row>
    <row r="375" spans="1:4" x14ac:dyDescent="0.2">
      <c r="A375">
        <f>'Fichas clínicas'!A375</f>
        <v>375</v>
      </c>
      <c r="B375" t="str">
        <f>'Fichas clínicas'!B375</f>
        <v>16159829-1</v>
      </c>
      <c r="C375" t="str">
        <f>VLOOKUP(paciente_tutor!B375,clientes!A375:B1956,2,FALSE)</f>
        <v>YOSELYN</v>
      </c>
      <c r="D375" t="str">
        <f t="shared" si="5"/>
        <v>16159829-1</v>
      </c>
    </row>
    <row r="376" spans="1:4" x14ac:dyDescent="0.2">
      <c r="A376">
        <f>'Fichas clínicas'!A376</f>
        <v>376</v>
      </c>
      <c r="B376" t="str">
        <f>'Fichas clínicas'!B376</f>
        <v>14485161-7</v>
      </c>
      <c r="C376" t="str">
        <f>VLOOKUP(paciente_tutor!B376,clientes!A376:B1957,2,FALSE)</f>
        <v>JACQUELINE</v>
      </c>
      <c r="D376" t="str">
        <f t="shared" si="5"/>
        <v>14485161-7</v>
      </c>
    </row>
    <row r="377" spans="1:4" x14ac:dyDescent="0.2">
      <c r="A377">
        <f>'Fichas clínicas'!A377</f>
        <v>377</v>
      </c>
      <c r="B377" t="str">
        <f>'Fichas clínicas'!B377</f>
        <v>16805686-9</v>
      </c>
      <c r="C377" t="str">
        <f>VLOOKUP(paciente_tutor!B377,clientes!A377:B1958,2,FALSE)</f>
        <v>SOLEDAD</v>
      </c>
      <c r="D377" t="str">
        <f t="shared" si="5"/>
        <v>16805686-9</v>
      </c>
    </row>
    <row r="378" spans="1:4" x14ac:dyDescent="0.2">
      <c r="A378">
        <f>'Fichas clínicas'!A378</f>
        <v>378</v>
      </c>
      <c r="B378" t="str">
        <f>'Fichas clínicas'!B378</f>
        <v>16465621-7</v>
      </c>
      <c r="C378" t="str">
        <f>VLOOKUP(paciente_tutor!B378,clientes!A378:B1959,2,FALSE)</f>
        <v>TANIA VALESKA</v>
      </c>
      <c r="D378" t="str">
        <f t="shared" si="5"/>
        <v>16465621-7</v>
      </c>
    </row>
    <row r="379" spans="1:4" x14ac:dyDescent="0.2">
      <c r="A379">
        <f>'Fichas clínicas'!A379</f>
        <v>379</v>
      </c>
      <c r="B379" t="str">
        <f>'Fichas clínicas'!B379</f>
        <v>16465621-7</v>
      </c>
      <c r="C379" t="str">
        <f>VLOOKUP(paciente_tutor!B379,clientes!A379:B1960,2,FALSE)</f>
        <v>TANIA VALESKA</v>
      </c>
      <c r="D379" t="str">
        <f t="shared" si="5"/>
        <v>16465621-7</v>
      </c>
    </row>
    <row r="380" spans="1:4" x14ac:dyDescent="0.2">
      <c r="A380">
        <f>'Fichas clínicas'!A380</f>
        <v>380</v>
      </c>
      <c r="B380" t="str">
        <f>'Fichas clínicas'!B380</f>
        <v>13846481-4</v>
      </c>
      <c r="C380" t="e">
        <f>VLOOKUP(paciente_tutor!B380,clientes!A380:B1961,2,FALSE)</f>
        <v>#N/A</v>
      </c>
      <c r="D380" t="e">
        <f t="shared" si="5"/>
        <v>#N/A</v>
      </c>
    </row>
    <row r="381" spans="1:4" x14ac:dyDescent="0.2">
      <c r="A381">
        <f>'Fichas clínicas'!A381</f>
        <v>381</v>
      </c>
      <c r="B381" t="str">
        <f>'Fichas clínicas'!B381</f>
        <v>20018315-0</v>
      </c>
      <c r="C381" t="str">
        <f>VLOOKUP(paciente_tutor!B381,clientes!A381:B1962,2,FALSE)</f>
        <v>YANIRA</v>
      </c>
      <c r="D381" t="str">
        <f t="shared" si="5"/>
        <v>20018315-0</v>
      </c>
    </row>
    <row r="382" spans="1:4" x14ac:dyDescent="0.2">
      <c r="A382">
        <f>'Fichas clínicas'!A382</f>
        <v>382</v>
      </c>
      <c r="B382" t="str">
        <f>'Fichas clínicas'!B382</f>
        <v>19248019-1</v>
      </c>
      <c r="C382" t="str">
        <f>VLOOKUP(paciente_tutor!B382,clientes!A382:B1963,2,FALSE)</f>
        <v>GABRIELA</v>
      </c>
      <c r="D382" t="str">
        <f t="shared" si="5"/>
        <v>19248019-1</v>
      </c>
    </row>
    <row r="383" spans="1:4" x14ac:dyDescent="0.2">
      <c r="A383">
        <f>'Fichas clínicas'!A383</f>
        <v>383</v>
      </c>
      <c r="B383" t="str">
        <f>'Fichas clínicas'!B383</f>
        <v>15547620-6</v>
      </c>
      <c r="C383" t="str">
        <f>VLOOKUP(paciente_tutor!B383,clientes!A383:B1964,2,FALSE)</f>
        <v>CARMEN</v>
      </c>
      <c r="D383" t="str">
        <f t="shared" si="5"/>
        <v>15547620-6</v>
      </c>
    </row>
    <row r="384" spans="1:4" x14ac:dyDescent="0.2">
      <c r="A384">
        <f>'Fichas clínicas'!A384</f>
        <v>384</v>
      </c>
      <c r="B384" t="str">
        <f>'Fichas clínicas'!B384</f>
        <v>12745284-9</v>
      </c>
      <c r="C384" t="e">
        <f>VLOOKUP(paciente_tutor!B384,clientes!A384:B1965,2,FALSE)</f>
        <v>#N/A</v>
      </c>
      <c r="D384" t="e">
        <f t="shared" si="5"/>
        <v>#N/A</v>
      </c>
    </row>
    <row r="385" spans="1:4" x14ac:dyDescent="0.2">
      <c r="A385">
        <f>'Fichas clínicas'!A385</f>
        <v>385</v>
      </c>
      <c r="B385" t="str">
        <f>'Fichas clínicas'!B385</f>
        <v>21078190-0</v>
      </c>
      <c r="C385" t="str">
        <f>VLOOKUP(paciente_tutor!B385,clientes!A385:B1966,2,FALSE)</f>
        <v>MIGUEL</v>
      </c>
      <c r="D385" t="str">
        <f t="shared" si="5"/>
        <v>21078190-0</v>
      </c>
    </row>
    <row r="386" spans="1:4" x14ac:dyDescent="0.2">
      <c r="A386">
        <f>'Fichas clínicas'!A386</f>
        <v>386</v>
      </c>
      <c r="B386" t="str">
        <f>'Fichas clínicas'!B386</f>
        <v>17359194-2</v>
      </c>
      <c r="C386" t="str">
        <f>VLOOKUP(paciente_tutor!B386,clientes!A386:B1967,2,FALSE)</f>
        <v>BRENDA</v>
      </c>
      <c r="D386" t="str">
        <f t="shared" si="5"/>
        <v>17359194-2</v>
      </c>
    </row>
    <row r="387" spans="1:4" x14ac:dyDescent="0.2">
      <c r="A387">
        <f>'Fichas clínicas'!A387</f>
        <v>387</v>
      </c>
      <c r="B387" t="str">
        <f>'Fichas clínicas'!B387</f>
        <v>21270713-9</v>
      </c>
      <c r="C387" t="str">
        <f>VLOOKUP(paciente_tutor!B387,clientes!A387:B1968,2,FALSE)</f>
        <v>LLOVISNA ELIZABETT</v>
      </c>
      <c r="D387" t="str">
        <f t="shared" ref="D387:D450" si="6">IF(C387="#N/A","",B387)</f>
        <v>21270713-9</v>
      </c>
    </row>
    <row r="388" spans="1:4" x14ac:dyDescent="0.2">
      <c r="A388">
        <f>'Fichas clínicas'!A388</f>
        <v>388</v>
      </c>
      <c r="B388" t="str">
        <f>'Fichas clínicas'!B388</f>
        <v>16434893-8</v>
      </c>
      <c r="C388" t="str">
        <f>VLOOKUP(paciente_tutor!B388,clientes!A388:B1969,2,FALSE)</f>
        <v>NILDA MACARENA</v>
      </c>
      <c r="D388" t="str">
        <f t="shared" si="6"/>
        <v>16434893-8</v>
      </c>
    </row>
    <row r="389" spans="1:4" x14ac:dyDescent="0.2">
      <c r="A389">
        <f>'Fichas clínicas'!A389</f>
        <v>389</v>
      </c>
      <c r="B389" t="str">
        <f>'Fichas clínicas'!B389</f>
        <v>16434893-8</v>
      </c>
      <c r="C389" t="str">
        <f>VLOOKUP(paciente_tutor!B389,clientes!A389:B1970,2,FALSE)</f>
        <v>NILDA MACARENA</v>
      </c>
      <c r="D389" t="str">
        <f t="shared" si="6"/>
        <v>16434893-8</v>
      </c>
    </row>
    <row r="390" spans="1:4" x14ac:dyDescent="0.2">
      <c r="A390">
        <f>'Fichas clínicas'!A390</f>
        <v>390</v>
      </c>
      <c r="B390" t="str">
        <f>'Fichas clínicas'!B390</f>
        <v>16434893-8</v>
      </c>
      <c r="C390" t="str">
        <f>VLOOKUP(paciente_tutor!B390,clientes!A390:B1971,2,FALSE)</f>
        <v>NILDA MACARENA</v>
      </c>
      <c r="D390" t="str">
        <f t="shared" si="6"/>
        <v>16434893-8</v>
      </c>
    </row>
    <row r="391" spans="1:4" x14ac:dyDescent="0.2">
      <c r="A391">
        <f>'Fichas clínicas'!A391</f>
        <v>391</v>
      </c>
      <c r="B391" t="str">
        <f>'Fichas clínicas'!B391</f>
        <v>18084315-9</v>
      </c>
      <c r="C391" t="str">
        <f>VLOOKUP(paciente_tutor!B391,clientes!A391:B1972,2,FALSE)</f>
        <v>SEBASTIAN</v>
      </c>
      <c r="D391" t="str">
        <f t="shared" si="6"/>
        <v>18084315-9</v>
      </c>
    </row>
    <row r="392" spans="1:4" x14ac:dyDescent="0.2">
      <c r="A392">
        <f>'Fichas clínicas'!A392</f>
        <v>392</v>
      </c>
      <c r="B392" t="str">
        <f>'Fichas clínicas'!B392</f>
        <v>16216986-6</v>
      </c>
      <c r="C392" t="str">
        <f>VLOOKUP(paciente_tutor!B392,clientes!A392:B1973,2,FALSE)</f>
        <v>CLAUDIO ANTONIO</v>
      </c>
      <c r="D392" t="str">
        <f t="shared" si="6"/>
        <v>16216986-6</v>
      </c>
    </row>
    <row r="393" spans="1:4" x14ac:dyDescent="0.2">
      <c r="A393">
        <f>'Fichas clínicas'!A393</f>
        <v>393</v>
      </c>
      <c r="B393" t="str">
        <f>'Fichas clínicas'!B393</f>
        <v>20314094-0</v>
      </c>
      <c r="C393" t="str">
        <f>VLOOKUP(paciente_tutor!B393,clientes!A393:B1974,2,FALSE)</f>
        <v>Silvia Raquel Macarena</v>
      </c>
      <c r="D393" t="str">
        <f t="shared" si="6"/>
        <v>20314094-0</v>
      </c>
    </row>
    <row r="394" spans="1:4" x14ac:dyDescent="0.2">
      <c r="A394">
        <f>'Fichas clínicas'!A394</f>
        <v>394</v>
      </c>
      <c r="B394" t="str">
        <f>'Fichas clínicas'!B394</f>
        <v>19555341-6</v>
      </c>
      <c r="C394" t="str">
        <f>VLOOKUP(paciente_tutor!B394,clientes!A394:B1975,2,FALSE)</f>
        <v>Carla De Los ángeles</v>
      </c>
      <c r="D394" t="str">
        <f t="shared" si="6"/>
        <v>19555341-6</v>
      </c>
    </row>
    <row r="395" spans="1:4" x14ac:dyDescent="0.2">
      <c r="A395">
        <f>'Fichas clínicas'!A395</f>
        <v>395</v>
      </c>
      <c r="B395" t="str">
        <f>'Fichas clínicas'!B395</f>
        <v>15530275-5</v>
      </c>
      <c r="C395" t="str">
        <f>VLOOKUP(paciente_tutor!B395,clientes!A395:B1976,2,FALSE)</f>
        <v>LUCIA</v>
      </c>
      <c r="D395" t="str">
        <f t="shared" si="6"/>
        <v>15530275-5</v>
      </c>
    </row>
    <row r="396" spans="1:4" x14ac:dyDescent="0.2">
      <c r="A396">
        <f>'Fichas clínicas'!A396</f>
        <v>396</v>
      </c>
      <c r="B396" t="str">
        <f>'Fichas clínicas'!B396</f>
        <v>22327540-0</v>
      </c>
      <c r="C396" t="str">
        <f>VLOOKUP(paciente_tutor!B396,clientes!A396:B1977,2,FALSE)</f>
        <v>YANARA</v>
      </c>
      <c r="D396" t="str">
        <f t="shared" si="6"/>
        <v>22327540-0</v>
      </c>
    </row>
    <row r="397" spans="1:4" x14ac:dyDescent="0.2">
      <c r="A397">
        <f>'Fichas clínicas'!A397</f>
        <v>397</v>
      </c>
      <c r="B397" t="str">
        <f>'Fichas clínicas'!B397</f>
        <v>15294107-2</v>
      </c>
      <c r="C397" t="str">
        <f>VLOOKUP(paciente_tutor!B397,clientes!A397:B1978,2,FALSE)</f>
        <v>YASNA</v>
      </c>
      <c r="D397" t="str">
        <f t="shared" si="6"/>
        <v>15294107-2</v>
      </c>
    </row>
    <row r="398" spans="1:4" x14ac:dyDescent="0.2">
      <c r="A398">
        <f>'Fichas clínicas'!A398</f>
        <v>398</v>
      </c>
      <c r="B398" t="str">
        <f>'Fichas clínicas'!B398</f>
        <v>19555228-2</v>
      </c>
      <c r="C398" t="str">
        <f>VLOOKUP(paciente_tutor!B398,clientes!A398:B1979,2,FALSE)</f>
        <v>CONSTANZA VALENTINA</v>
      </c>
      <c r="D398" t="str">
        <f t="shared" si="6"/>
        <v>19555228-2</v>
      </c>
    </row>
    <row r="399" spans="1:4" x14ac:dyDescent="0.2">
      <c r="A399">
        <f>'Fichas clínicas'!A399</f>
        <v>399</v>
      </c>
      <c r="B399" t="str">
        <f>'Fichas clínicas'!B399</f>
        <v>11006034-3</v>
      </c>
      <c r="C399" t="e">
        <f>VLOOKUP(paciente_tutor!B399,clientes!A399:B1980,2,FALSE)</f>
        <v>#N/A</v>
      </c>
      <c r="D399" t="e">
        <f t="shared" si="6"/>
        <v>#N/A</v>
      </c>
    </row>
    <row r="400" spans="1:4" x14ac:dyDescent="0.2">
      <c r="A400">
        <f>'Fichas clínicas'!A400</f>
        <v>400</v>
      </c>
      <c r="B400" t="str">
        <f>'Fichas clínicas'!B400</f>
        <v>20023645-9</v>
      </c>
      <c r="C400" t="str">
        <f>VLOOKUP(paciente_tutor!B400,clientes!A400:B1981,2,FALSE)</f>
        <v>BASTIAN</v>
      </c>
      <c r="D400" t="str">
        <f t="shared" si="6"/>
        <v>20023645-9</v>
      </c>
    </row>
    <row r="401" spans="1:4" x14ac:dyDescent="0.2">
      <c r="A401">
        <f>'Fichas clínicas'!A401</f>
        <v>401</v>
      </c>
      <c r="B401" t="str">
        <f>'Fichas clínicas'!B401</f>
        <v>22095658-k</v>
      </c>
      <c r="C401" t="str">
        <f>VLOOKUP(paciente_tutor!B401,clientes!A401:B1982,2,FALSE)</f>
        <v>Joaquin Ignacio</v>
      </c>
      <c r="D401" t="str">
        <f t="shared" si="6"/>
        <v>22095658-k</v>
      </c>
    </row>
    <row r="402" spans="1:4" x14ac:dyDescent="0.2">
      <c r="A402">
        <f>'Fichas clínicas'!A402</f>
        <v>402</v>
      </c>
      <c r="B402" t="str">
        <f>'Fichas clínicas'!B402</f>
        <v>13846798-8</v>
      </c>
      <c r="C402" t="e">
        <f>VLOOKUP(paciente_tutor!B402,clientes!A402:B1983,2,FALSE)</f>
        <v>#N/A</v>
      </c>
      <c r="D402" t="e">
        <f t="shared" si="6"/>
        <v>#N/A</v>
      </c>
    </row>
    <row r="403" spans="1:4" x14ac:dyDescent="0.2">
      <c r="A403">
        <f>'Fichas clínicas'!A403</f>
        <v>403</v>
      </c>
      <c r="B403" t="str">
        <f>'Fichas clínicas'!B403</f>
        <v>7375376-7</v>
      </c>
      <c r="C403" t="str">
        <f>VLOOKUP(paciente_tutor!B403,clientes!A403:B1984,2,FALSE)</f>
        <v>GRACIELA</v>
      </c>
      <c r="D403" t="str">
        <f t="shared" si="6"/>
        <v>7375376-7</v>
      </c>
    </row>
    <row r="404" spans="1:4" x14ac:dyDescent="0.2">
      <c r="A404">
        <f>'Fichas clínicas'!A404</f>
        <v>404</v>
      </c>
      <c r="B404" t="str">
        <f>'Fichas clínicas'!B404</f>
        <v>15025021-8</v>
      </c>
      <c r="C404" t="e">
        <f>VLOOKUP(paciente_tutor!B404,clientes!A404:B1985,2,FALSE)</f>
        <v>#N/A</v>
      </c>
      <c r="D404" t="e">
        <f t="shared" si="6"/>
        <v>#N/A</v>
      </c>
    </row>
    <row r="405" spans="1:4" x14ac:dyDescent="0.2">
      <c r="A405">
        <f>'Fichas clínicas'!A405</f>
        <v>405</v>
      </c>
      <c r="B405" t="str">
        <f>'Fichas clínicas'!B405</f>
        <v>14081847-K</v>
      </c>
      <c r="C405" t="e">
        <f>VLOOKUP(paciente_tutor!B405,clientes!A405:B1986,2,FALSE)</f>
        <v>#N/A</v>
      </c>
      <c r="D405" t="e">
        <f t="shared" si="6"/>
        <v>#N/A</v>
      </c>
    </row>
    <row r="406" spans="1:4" x14ac:dyDescent="0.2">
      <c r="A406">
        <f>'Fichas clínicas'!A406</f>
        <v>406</v>
      </c>
      <c r="B406" t="str">
        <f>'Fichas clínicas'!B406</f>
        <v>13521011-0</v>
      </c>
      <c r="C406" t="e">
        <f>VLOOKUP(paciente_tutor!B406,clientes!A406:B1987,2,FALSE)</f>
        <v>#N/A</v>
      </c>
      <c r="D406" t="e">
        <f t="shared" si="6"/>
        <v>#N/A</v>
      </c>
    </row>
    <row r="407" spans="1:4" x14ac:dyDescent="0.2">
      <c r="A407">
        <f>'Fichas clínicas'!A407</f>
        <v>407</v>
      </c>
      <c r="B407" t="str">
        <f>'Fichas clínicas'!B407</f>
        <v>17709210-K</v>
      </c>
      <c r="C407" t="str">
        <f>VLOOKUP(paciente_tutor!B407,clientes!A407:B1988,2,FALSE)</f>
        <v>IVAN</v>
      </c>
      <c r="D407" t="str">
        <f t="shared" si="6"/>
        <v>17709210-K</v>
      </c>
    </row>
    <row r="408" spans="1:4" x14ac:dyDescent="0.2">
      <c r="A408">
        <f>'Fichas clínicas'!A408</f>
        <v>408</v>
      </c>
      <c r="B408" t="str">
        <f>'Fichas clínicas'!B408</f>
        <v>18653412-3</v>
      </c>
      <c r="C408" t="str">
        <f>VLOOKUP(paciente_tutor!B408,clientes!A408:B1989,2,FALSE)</f>
        <v>YARITZA BEATRIZ</v>
      </c>
      <c r="D408" t="str">
        <f t="shared" si="6"/>
        <v>18653412-3</v>
      </c>
    </row>
    <row r="409" spans="1:4" x14ac:dyDescent="0.2">
      <c r="A409">
        <f>'Fichas clínicas'!A409</f>
        <v>409</v>
      </c>
      <c r="B409" t="str">
        <f>'Fichas clínicas'!B409</f>
        <v>21605194-7</v>
      </c>
      <c r="C409" t="str">
        <f>VLOOKUP(paciente_tutor!B409,clientes!A409:B1990,2,FALSE)</f>
        <v>FLORENCIA</v>
      </c>
      <c r="D409" t="str">
        <f t="shared" si="6"/>
        <v>21605194-7</v>
      </c>
    </row>
    <row r="410" spans="1:4" x14ac:dyDescent="0.2">
      <c r="A410">
        <f>'Fichas clínicas'!A410</f>
        <v>410</v>
      </c>
      <c r="B410" t="str">
        <f>'Fichas clínicas'!B410</f>
        <v>14485161-7</v>
      </c>
      <c r="C410" t="e">
        <f>VLOOKUP(paciente_tutor!B410,clientes!A410:B1991,2,FALSE)</f>
        <v>#N/A</v>
      </c>
      <c r="D410" t="e">
        <f t="shared" si="6"/>
        <v>#N/A</v>
      </c>
    </row>
    <row r="411" spans="1:4" x14ac:dyDescent="0.2">
      <c r="A411">
        <f>'Fichas clínicas'!A411</f>
        <v>411</v>
      </c>
      <c r="B411" t="str">
        <f>'Fichas clínicas'!B411</f>
        <v>14328381-K</v>
      </c>
      <c r="C411" t="e">
        <f>VLOOKUP(paciente_tutor!B411,clientes!A411:B1992,2,FALSE)</f>
        <v>#N/A</v>
      </c>
      <c r="D411" t="e">
        <f t="shared" si="6"/>
        <v>#N/A</v>
      </c>
    </row>
    <row r="412" spans="1:4" x14ac:dyDescent="0.2">
      <c r="A412">
        <f>'Fichas clínicas'!A412</f>
        <v>412</v>
      </c>
      <c r="B412" t="str">
        <f>'Fichas clínicas'!B412</f>
        <v>16464687-4</v>
      </c>
      <c r="C412" t="str">
        <f>VLOOKUP(paciente_tutor!B412,clientes!A412:B1993,2,FALSE)</f>
        <v>ANGELA</v>
      </c>
      <c r="D412" t="str">
        <f t="shared" si="6"/>
        <v>16464687-4</v>
      </c>
    </row>
    <row r="413" spans="1:4" x14ac:dyDescent="0.2">
      <c r="A413">
        <f>'Fichas clínicas'!A413</f>
        <v>413</v>
      </c>
      <c r="B413" t="str">
        <f>'Fichas clínicas'!B413</f>
        <v>20314352-4</v>
      </c>
      <c r="C413" t="str">
        <f>VLOOKUP(paciente_tutor!B413,clientes!A413:B1994,2,FALSE)</f>
        <v>DANIXA DAMARIS</v>
      </c>
      <c r="D413" t="str">
        <f t="shared" si="6"/>
        <v>20314352-4</v>
      </c>
    </row>
    <row r="414" spans="1:4" x14ac:dyDescent="0.2">
      <c r="A414">
        <f>'Fichas clínicas'!A414</f>
        <v>414</v>
      </c>
      <c r="B414" t="str">
        <f>'Fichas clínicas'!B414</f>
        <v>21943419-7</v>
      </c>
      <c r="C414" t="str">
        <f>VLOOKUP(paciente_tutor!B414,clientes!A414:B1995,2,FALSE)</f>
        <v>PAMELA</v>
      </c>
      <c r="D414" t="str">
        <f t="shared" si="6"/>
        <v>21943419-7</v>
      </c>
    </row>
    <row r="415" spans="1:4" x14ac:dyDescent="0.2">
      <c r="A415">
        <f>'Fichas clínicas'!A415</f>
        <v>415</v>
      </c>
      <c r="B415" t="str">
        <f>'Fichas clínicas'!B415</f>
        <v>18240813-1</v>
      </c>
      <c r="C415" t="str">
        <f>VLOOKUP(paciente_tutor!B415,clientes!A415:B1996,2,FALSE)</f>
        <v>CLAUDIA</v>
      </c>
      <c r="D415" t="str">
        <f t="shared" si="6"/>
        <v>18240813-1</v>
      </c>
    </row>
    <row r="416" spans="1:4" x14ac:dyDescent="0.2">
      <c r="A416">
        <f>'Fichas clínicas'!A416</f>
        <v>416</v>
      </c>
      <c r="B416" t="str">
        <f>'Fichas clínicas'!B416</f>
        <v>17360218-9</v>
      </c>
      <c r="C416" t="str">
        <f>VLOOKUP(paciente_tutor!B416,clientes!A416:B1997,2,FALSE)</f>
        <v>PATRICIA</v>
      </c>
      <c r="D416" t="str">
        <f t="shared" si="6"/>
        <v>17360218-9</v>
      </c>
    </row>
    <row r="417" spans="1:4" x14ac:dyDescent="0.2">
      <c r="A417">
        <f>'Fichas clínicas'!A417</f>
        <v>417</v>
      </c>
      <c r="B417" t="str">
        <f>'Fichas clínicas'!B417</f>
        <v>15759985-2</v>
      </c>
      <c r="C417" t="str">
        <f>VLOOKUP(paciente_tutor!B417,clientes!A417:B1998,2,FALSE)</f>
        <v>NATALIA IGNACIA</v>
      </c>
      <c r="D417" t="str">
        <f t="shared" si="6"/>
        <v>15759985-2</v>
      </c>
    </row>
    <row r="418" spans="1:4" x14ac:dyDescent="0.2">
      <c r="A418">
        <f>'Fichas clínicas'!A418</f>
        <v>418</v>
      </c>
      <c r="B418" t="str">
        <f>'Fichas clínicas'!B418</f>
        <v>21021763-0</v>
      </c>
      <c r="C418" t="str">
        <f>VLOOKUP(paciente_tutor!B418,clientes!A418:B1999,2,FALSE)</f>
        <v>PEDRO MARCELO</v>
      </c>
      <c r="D418" t="str">
        <f t="shared" si="6"/>
        <v>21021763-0</v>
      </c>
    </row>
    <row r="419" spans="1:4" x14ac:dyDescent="0.2">
      <c r="A419">
        <f>'Fichas clínicas'!A419</f>
        <v>419</v>
      </c>
      <c r="B419" t="str">
        <f>'Fichas clínicas'!B419</f>
        <v>20906274-7</v>
      </c>
      <c r="C419" t="str">
        <f>VLOOKUP(paciente_tutor!B419,clientes!A419:B2000,2,FALSE)</f>
        <v>OSCAR</v>
      </c>
      <c r="D419" t="str">
        <f t="shared" si="6"/>
        <v>20906274-7</v>
      </c>
    </row>
    <row r="420" spans="1:4" x14ac:dyDescent="0.2">
      <c r="A420">
        <f>'Fichas clínicas'!A420</f>
        <v>420</v>
      </c>
      <c r="B420" t="str">
        <f>'Fichas clínicas'!B420</f>
        <v>17056482-0</v>
      </c>
      <c r="C420" t="str">
        <f>VLOOKUP(paciente_tutor!B420,clientes!A420:B2001,2,FALSE)</f>
        <v>LAURA</v>
      </c>
      <c r="D420" t="str">
        <f t="shared" si="6"/>
        <v>17056482-0</v>
      </c>
    </row>
    <row r="421" spans="1:4" x14ac:dyDescent="0.2">
      <c r="A421">
        <f>'Fichas clínicas'!A421</f>
        <v>421</v>
      </c>
      <c r="B421" t="str">
        <f>'Fichas clínicas'!B421</f>
        <v>17056482-0</v>
      </c>
      <c r="C421" t="str">
        <f>VLOOKUP(paciente_tutor!B421,clientes!A421:B2002,2,FALSE)</f>
        <v>LAURA</v>
      </c>
      <c r="D421" t="str">
        <f t="shared" si="6"/>
        <v>17056482-0</v>
      </c>
    </row>
    <row r="422" spans="1:4" x14ac:dyDescent="0.2">
      <c r="A422">
        <f>'Fichas clínicas'!A422</f>
        <v>422</v>
      </c>
      <c r="B422" t="str">
        <f>'Fichas clínicas'!B422</f>
        <v>14082254-K</v>
      </c>
      <c r="C422" t="e">
        <f>VLOOKUP(paciente_tutor!B422,clientes!A422:B2003,2,FALSE)</f>
        <v>#N/A</v>
      </c>
      <c r="D422" t="e">
        <f t="shared" si="6"/>
        <v>#N/A</v>
      </c>
    </row>
    <row r="423" spans="1:4" x14ac:dyDescent="0.2">
      <c r="A423">
        <f>'Fichas clínicas'!A423</f>
        <v>423</v>
      </c>
      <c r="B423" t="str">
        <f>'Fichas clínicas'!B423</f>
        <v>9803556-7</v>
      </c>
      <c r="C423" t="str">
        <f>VLOOKUP(paciente_tutor!B423,clientes!A423:B2004,2,FALSE)</f>
        <v>PATRICIA</v>
      </c>
      <c r="D423" t="str">
        <f t="shared" si="6"/>
        <v>9803556-7</v>
      </c>
    </row>
    <row r="424" spans="1:4" x14ac:dyDescent="0.2">
      <c r="A424">
        <f>'Fichas clínicas'!A424</f>
        <v>424</v>
      </c>
      <c r="B424" t="str">
        <f>'Fichas clínicas'!B424</f>
        <v>20417295-1</v>
      </c>
      <c r="C424" t="str">
        <f>VLOOKUP(paciente_tutor!B424,clientes!A424:B2005,2,FALSE)</f>
        <v>Susana Francisca</v>
      </c>
      <c r="D424" t="str">
        <f t="shared" si="6"/>
        <v>20417295-1</v>
      </c>
    </row>
    <row r="425" spans="1:4" x14ac:dyDescent="0.2">
      <c r="A425">
        <f>'Fichas clínicas'!A425</f>
        <v>425</v>
      </c>
      <c r="B425" t="str">
        <f>'Fichas clínicas'!B425</f>
        <v>18421886-0</v>
      </c>
      <c r="C425" t="str">
        <f>VLOOKUP(paciente_tutor!B425,clientes!A425:B2006,2,FALSE)</f>
        <v>MARIA JOSE</v>
      </c>
      <c r="D425" t="str">
        <f t="shared" si="6"/>
        <v>18421886-0</v>
      </c>
    </row>
    <row r="426" spans="1:4" x14ac:dyDescent="0.2">
      <c r="A426">
        <f>'Fichas clínicas'!A426</f>
        <v>426</v>
      </c>
      <c r="B426" t="str">
        <f>'Fichas clínicas'!B426</f>
        <v>19745969-7</v>
      </c>
      <c r="C426" t="str">
        <f>VLOOKUP(paciente_tutor!B426,clientes!A426:B2007,2,FALSE)</f>
        <v>CONSTANZA</v>
      </c>
      <c r="D426" t="str">
        <f t="shared" si="6"/>
        <v>19745969-7</v>
      </c>
    </row>
    <row r="427" spans="1:4" x14ac:dyDescent="0.2">
      <c r="A427">
        <f>'Fichas clínicas'!A427</f>
        <v>427</v>
      </c>
      <c r="B427" t="str">
        <f>'Fichas clínicas'!B427</f>
        <v>17693919-2</v>
      </c>
      <c r="C427" t="str">
        <f>VLOOKUP(paciente_tutor!B427,clientes!A427:B2008,2,FALSE)</f>
        <v>CLAUDIA</v>
      </c>
      <c r="D427" t="str">
        <f t="shared" si="6"/>
        <v>17693919-2</v>
      </c>
    </row>
    <row r="428" spans="1:4" x14ac:dyDescent="0.2">
      <c r="A428">
        <f>'Fichas clínicas'!A428</f>
        <v>428</v>
      </c>
      <c r="B428" t="str">
        <f>'Fichas clínicas'!B428</f>
        <v>13587505-8</v>
      </c>
      <c r="C428" t="e">
        <f>VLOOKUP(paciente_tutor!B428,clientes!A428:B2009,2,FALSE)</f>
        <v>#N/A</v>
      </c>
      <c r="D428" t="e">
        <f t="shared" si="6"/>
        <v>#N/A</v>
      </c>
    </row>
    <row r="429" spans="1:4" x14ac:dyDescent="0.2">
      <c r="A429">
        <f>'Fichas clínicas'!A429</f>
        <v>429</v>
      </c>
      <c r="B429" t="str">
        <f>'Fichas clínicas'!B429</f>
        <v>10807994-0</v>
      </c>
      <c r="C429" t="e">
        <f>VLOOKUP(paciente_tutor!B429,clientes!A429:B2010,2,FALSE)</f>
        <v>#N/A</v>
      </c>
      <c r="D429" t="e">
        <f t="shared" si="6"/>
        <v>#N/A</v>
      </c>
    </row>
    <row r="430" spans="1:4" x14ac:dyDescent="0.2">
      <c r="A430">
        <f>'Fichas clínicas'!A430</f>
        <v>430</v>
      </c>
      <c r="B430" t="str">
        <f>'Fichas clínicas'!B430</f>
        <v>21373214-5</v>
      </c>
      <c r="C430" t="str">
        <f>VLOOKUP(paciente_tutor!B430,clientes!A430:B2011,2,FALSE)</f>
        <v>Catalina Belen</v>
      </c>
      <c r="D430" t="str">
        <f t="shared" si="6"/>
        <v>21373214-5</v>
      </c>
    </row>
    <row r="431" spans="1:4" x14ac:dyDescent="0.2">
      <c r="A431">
        <f>'Fichas clínicas'!A431</f>
        <v>431</v>
      </c>
      <c r="B431" t="str">
        <f>'Fichas clínicas'!B431</f>
        <v>21373214-5</v>
      </c>
      <c r="C431" t="str">
        <f>VLOOKUP(paciente_tutor!B431,clientes!A431:B2012,2,FALSE)</f>
        <v>Catalina Belen</v>
      </c>
      <c r="D431" t="str">
        <f t="shared" si="6"/>
        <v>21373214-5</v>
      </c>
    </row>
    <row r="432" spans="1:4" x14ac:dyDescent="0.2">
      <c r="A432">
        <f>'Fichas clínicas'!A432</f>
        <v>432</v>
      </c>
      <c r="B432" t="str">
        <f>'Fichas clínicas'!B432</f>
        <v>13819012-9</v>
      </c>
      <c r="C432" t="e">
        <f>VLOOKUP(paciente_tutor!B432,clientes!A432:B2013,2,FALSE)</f>
        <v>#N/A</v>
      </c>
      <c r="D432" t="e">
        <f t="shared" si="6"/>
        <v>#N/A</v>
      </c>
    </row>
    <row r="433" spans="1:4" x14ac:dyDescent="0.2">
      <c r="A433">
        <f>'Fichas clínicas'!A433</f>
        <v>433</v>
      </c>
      <c r="B433" t="str">
        <f>'Fichas clínicas'!B433</f>
        <v>21073477-5</v>
      </c>
      <c r="C433" t="str">
        <f>VLOOKUP(paciente_tutor!B433,clientes!A433:B2014,2,FALSE)</f>
        <v>MOISES</v>
      </c>
      <c r="D433" t="str">
        <f t="shared" si="6"/>
        <v>21073477-5</v>
      </c>
    </row>
    <row r="434" spans="1:4" x14ac:dyDescent="0.2">
      <c r="A434">
        <f>'Fichas clínicas'!A434</f>
        <v>434</v>
      </c>
      <c r="B434" t="str">
        <f>'Fichas clínicas'!B434</f>
        <v>21265862-6</v>
      </c>
      <c r="C434" t="str">
        <f>VLOOKUP(paciente_tutor!B434,clientes!A434:B2015,2,FALSE)</f>
        <v>NICOLE</v>
      </c>
      <c r="D434" t="str">
        <f t="shared" si="6"/>
        <v>21265862-6</v>
      </c>
    </row>
    <row r="435" spans="1:4" x14ac:dyDescent="0.2">
      <c r="A435">
        <f>'Fichas clínicas'!A435</f>
        <v>435</v>
      </c>
      <c r="B435" t="str">
        <f>'Fichas clínicas'!B435</f>
        <v>16263208-6</v>
      </c>
      <c r="C435" t="str">
        <f>VLOOKUP(paciente_tutor!B435,clientes!A435:B2016,2,FALSE)</f>
        <v>Johanan</v>
      </c>
      <c r="D435" t="str">
        <f t="shared" si="6"/>
        <v>16263208-6</v>
      </c>
    </row>
    <row r="436" spans="1:4" x14ac:dyDescent="0.2">
      <c r="A436">
        <f>'Fichas clínicas'!A436</f>
        <v>436</v>
      </c>
      <c r="B436" t="str">
        <f>'Fichas clínicas'!B436</f>
        <v>15025021-8</v>
      </c>
      <c r="C436" t="e">
        <f>VLOOKUP(paciente_tutor!B436,clientes!A436:B2017,2,FALSE)</f>
        <v>#N/A</v>
      </c>
      <c r="D436" t="e">
        <f t="shared" si="6"/>
        <v>#N/A</v>
      </c>
    </row>
    <row r="437" spans="1:4" x14ac:dyDescent="0.2">
      <c r="A437">
        <f>'Fichas clínicas'!A437</f>
        <v>437</v>
      </c>
      <c r="B437" t="str">
        <f>'Fichas clínicas'!B437</f>
        <v>10612804-9</v>
      </c>
      <c r="C437" t="e">
        <f>VLOOKUP(paciente_tutor!B437,clientes!A437:B2018,2,FALSE)</f>
        <v>#N/A</v>
      </c>
      <c r="D437" t="e">
        <f t="shared" si="6"/>
        <v>#N/A</v>
      </c>
    </row>
    <row r="438" spans="1:4" x14ac:dyDescent="0.2">
      <c r="A438">
        <f>'Fichas clínicas'!A438</f>
        <v>438</v>
      </c>
      <c r="B438" t="str">
        <f>'Fichas clínicas'!B438</f>
        <v>15294178-1</v>
      </c>
      <c r="C438" t="str">
        <f>VLOOKUP(paciente_tutor!B438,clientes!A438:B2019,2,FALSE)</f>
        <v>BARBARA</v>
      </c>
      <c r="D438" t="str">
        <f t="shared" si="6"/>
        <v>15294178-1</v>
      </c>
    </row>
    <row r="439" spans="1:4" x14ac:dyDescent="0.2">
      <c r="A439">
        <f>'Fichas clínicas'!A439</f>
        <v>439</v>
      </c>
      <c r="B439" t="str">
        <f>'Fichas clínicas'!B439</f>
        <v>16805190-5</v>
      </c>
      <c r="C439" t="str">
        <f>VLOOKUP(paciente_tutor!B439,clientes!A439:B2020,2,FALSE)</f>
        <v>PAMELA</v>
      </c>
      <c r="D439" t="str">
        <f t="shared" si="6"/>
        <v>16805190-5</v>
      </c>
    </row>
    <row r="440" spans="1:4" x14ac:dyDescent="0.2">
      <c r="A440">
        <f>'Fichas clínicas'!A440</f>
        <v>440</v>
      </c>
      <c r="B440" t="str">
        <f>'Fichas clínicas'!B440</f>
        <v>14441796-8</v>
      </c>
      <c r="C440" t="e">
        <f>VLOOKUP(paciente_tutor!B440,clientes!A440:B2021,2,FALSE)</f>
        <v>#N/A</v>
      </c>
      <c r="D440" t="e">
        <f t="shared" si="6"/>
        <v>#N/A</v>
      </c>
    </row>
    <row r="441" spans="1:4" x14ac:dyDescent="0.2">
      <c r="A441">
        <f>'Fichas clínicas'!A441</f>
        <v>441</v>
      </c>
      <c r="B441" t="str">
        <f>'Fichas clínicas'!B441</f>
        <v>10324109-K</v>
      </c>
      <c r="C441" t="e">
        <f>VLOOKUP(paciente_tutor!B441,clientes!A441:B2022,2,FALSE)</f>
        <v>#N/A</v>
      </c>
      <c r="D441" t="e">
        <f t="shared" si="6"/>
        <v>#N/A</v>
      </c>
    </row>
    <row r="442" spans="1:4" x14ac:dyDescent="0.2">
      <c r="A442">
        <f>'Fichas clínicas'!A442</f>
        <v>442</v>
      </c>
      <c r="B442" t="str">
        <f>'Fichas clínicas'!B442</f>
        <v>15293915-9</v>
      </c>
      <c r="C442" t="e">
        <f>VLOOKUP(paciente_tutor!B442,clientes!A442:B2023,2,FALSE)</f>
        <v>#N/A</v>
      </c>
      <c r="D442" t="e">
        <f t="shared" si="6"/>
        <v>#N/A</v>
      </c>
    </row>
    <row r="443" spans="1:4" x14ac:dyDescent="0.2">
      <c r="A443">
        <f>'Fichas clínicas'!A443</f>
        <v>443</v>
      </c>
      <c r="B443" t="str">
        <f>'Fichas clínicas'!B443</f>
        <v>15293915-9</v>
      </c>
      <c r="C443" t="e">
        <f>VLOOKUP(paciente_tutor!B443,clientes!A443:B2024,2,FALSE)</f>
        <v>#N/A</v>
      </c>
      <c r="D443" t="e">
        <f t="shared" si="6"/>
        <v>#N/A</v>
      </c>
    </row>
    <row r="444" spans="1:4" x14ac:dyDescent="0.2">
      <c r="A444">
        <f>'Fichas clínicas'!A444</f>
        <v>444</v>
      </c>
      <c r="B444" t="str">
        <f>'Fichas clínicas'!B444</f>
        <v>20041797-6</v>
      </c>
      <c r="C444" t="str">
        <f>VLOOKUP(paciente_tutor!B444,clientes!A444:B2025,2,FALSE)</f>
        <v>ELIAS</v>
      </c>
      <c r="D444" t="str">
        <f t="shared" si="6"/>
        <v>20041797-6</v>
      </c>
    </row>
    <row r="445" spans="1:4" x14ac:dyDescent="0.2">
      <c r="A445">
        <f>'Fichas clínicas'!A445</f>
        <v>445</v>
      </c>
      <c r="B445" t="str">
        <f>'Fichas clínicas'!B445</f>
        <v>18174405-7</v>
      </c>
      <c r="C445" t="str">
        <f>VLOOKUP(paciente_tutor!B445,clientes!A445:B2026,2,FALSE)</f>
        <v>FABIAN</v>
      </c>
      <c r="D445" t="str">
        <f t="shared" si="6"/>
        <v>18174405-7</v>
      </c>
    </row>
    <row r="446" spans="1:4" x14ac:dyDescent="0.2">
      <c r="A446">
        <f>'Fichas clínicas'!A446</f>
        <v>446</v>
      </c>
      <c r="B446" t="str">
        <f>'Fichas clínicas'!B446</f>
        <v>20840719-8</v>
      </c>
      <c r="C446" t="str">
        <f>VLOOKUP(paciente_tutor!B446,clientes!A446:B2027,2,FALSE)</f>
        <v>MARCELO</v>
      </c>
      <c r="D446" t="str">
        <f t="shared" si="6"/>
        <v>20840719-8</v>
      </c>
    </row>
    <row r="447" spans="1:4" x14ac:dyDescent="0.2">
      <c r="A447">
        <f>'Fichas clínicas'!A447</f>
        <v>447</v>
      </c>
      <c r="B447" t="str">
        <f>'Fichas clínicas'!B447</f>
        <v>19249191-6</v>
      </c>
      <c r="C447" t="str">
        <f>VLOOKUP(paciente_tutor!B447,clientes!A447:B2028,2,FALSE)</f>
        <v>MIKAELA</v>
      </c>
      <c r="D447" t="str">
        <f t="shared" si="6"/>
        <v>19249191-6</v>
      </c>
    </row>
    <row r="448" spans="1:4" x14ac:dyDescent="0.2">
      <c r="A448">
        <f>'Fichas clínicas'!A448</f>
        <v>448</v>
      </c>
      <c r="B448" t="str">
        <f>'Fichas clínicas'!B448</f>
        <v>11114929-1</v>
      </c>
      <c r="C448" t="e">
        <f>VLOOKUP(paciente_tutor!B448,clientes!A448:B2029,2,FALSE)</f>
        <v>#N/A</v>
      </c>
      <c r="D448" t="e">
        <f t="shared" si="6"/>
        <v>#N/A</v>
      </c>
    </row>
    <row r="449" spans="1:4" x14ac:dyDescent="0.2">
      <c r="A449">
        <f>'Fichas clínicas'!A449</f>
        <v>449</v>
      </c>
      <c r="B449" t="str">
        <f>'Fichas clínicas'!B449</f>
        <v>14083450-5</v>
      </c>
      <c r="C449" t="e">
        <f>VLOOKUP(paciente_tutor!B449,clientes!A449:B2030,2,FALSE)</f>
        <v>#N/A</v>
      </c>
      <c r="D449" t="e">
        <f t="shared" si="6"/>
        <v>#N/A</v>
      </c>
    </row>
    <row r="450" spans="1:4" x14ac:dyDescent="0.2">
      <c r="A450">
        <f>'Fichas clínicas'!A450</f>
        <v>450</v>
      </c>
      <c r="B450" t="str">
        <f>'Fichas clínicas'!B450</f>
        <v>6739088-1</v>
      </c>
      <c r="C450" t="str">
        <f>VLOOKUP(paciente_tutor!B450,clientes!A450:B2031,2,FALSE)</f>
        <v>FLORDELIA</v>
      </c>
      <c r="D450" t="str">
        <f t="shared" si="6"/>
        <v>6739088-1</v>
      </c>
    </row>
    <row r="451" spans="1:4" x14ac:dyDescent="0.2">
      <c r="A451">
        <f>'Fichas clínicas'!A451</f>
        <v>451</v>
      </c>
      <c r="B451" t="str">
        <f>'Fichas clínicas'!B451</f>
        <v>18617587-5</v>
      </c>
      <c r="C451" t="str">
        <f>VLOOKUP(paciente_tutor!B451,clientes!A451:B2032,2,FALSE)</f>
        <v>RODRIGO PATRICIO</v>
      </c>
      <c r="D451" t="str">
        <f t="shared" ref="D451:D514" si="7">IF(C451="#N/A","",B451)</f>
        <v>18617587-5</v>
      </c>
    </row>
    <row r="452" spans="1:4" x14ac:dyDescent="0.2">
      <c r="A452">
        <f>'Fichas clínicas'!A452</f>
        <v>452</v>
      </c>
      <c r="B452" t="str">
        <f>'Fichas clínicas'!B452</f>
        <v>18492561-3</v>
      </c>
      <c r="C452" t="str">
        <f>VLOOKUP(paciente_tutor!B452,clientes!A452:B2033,2,FALSE)</f>
        <v>ELIZABETH</v>
      </c>
      <c r="D452" t="str">
        <f t="shared" si="7"/>
        <v>18492561-3</v>
      </c>
    </row>
    <row r="453" spans="1:4" x14ac:dyDescent="0.2">
      <c r="A453">
        <f>'Fichas clínicas'!A453</f>
        <v>453</v>
      </c>
      <c r="B453" t="str">
        <f>'Fichas clínicas'!B453</f>
        <v>18132301-9</v>
      </c>
      <c r="C453" t="str">
        <f>VLOOKUP(paciente_tutor!B453,clientes!A453:B2034,2,FALSE)</f>
        <v>STEFANI</v>
      </c>
      <c r="D453" t="str">
        <f t="shared" si="7"/>
        <v>18132301-9</v>
      </c>
    </row>
    <row r="454" spans="1:4" x14ac:dyDescent="0.2">
      <c r="A454">
        <f>'Fichas clínicas'!A454</f>
        <v>454</v>
      </c>
      <c r="B454" t="str">
        <f>'Fichas clínicas'!B454</f>
        <v>20016823-2</v>
      </c>
      <c r="C454" t="str">
        <f>VLOOKUP(paciente_tutor!B454,clientes!A454:B2035,2,FALSE)</f>
        <v>Mitcheel Cristina Alexandra</v>
      </c>
      <c r="D454" t="str">
        <f t="shared" si="7"/>
        <v>20016823-2</v>
      </c>
    </row>
    <row r="455" spans="1:4" x14ac:dyDescent="0.2">
      <c r="A455">
        <f>'Fichas clínicas'!A455</f>
        <v>455</v>
      </c>
      <c r="B455" t="str">
        <f>'Fichas clínicas'!B455</f>
        <v>14313923-9</v>
      </c>
      <c r="C455" t="e">
        <f>VLOOKUP(paciente_tutor!B455,clientes!A455:B2036,2,FALSE)</f>
        <v>#N/A</v>
      </c>
      <c r="D455" t="e">
        <f t="shared" si="7"/>
        <v>#N/A</v>
      </c>
    </row>
    <row r="456" spans="1:4" x14ac:dyDescent="0.2">
      <c r="A456">
        <f>'Fichas clínicas'!A456</f>
        <v>456</v>
      </c>
      <c r="B456" t="str">
        <f>'Fichas clínicas'!B456</f>
        <v>20781747-3</v>
      </c>
      <c r="C456" t="str">
        <f>VLOOKUP(paciente_tutor!B456,clientes!A456:B2037,2,FALSE)</f>
        <v>NATALY</v>
      </c>
      <c r="D456" t="str">
        <f t="shared" si="7"/>
        <v>20781747-3</v>
      </c>
    </row>
    <row r="457" spans="1:4" x14ac:dyDescent="0.2">
      <c r="A457">
        <f>'Fichas clínicas'!A457</f>
        <v>457</v>
      </c>
      <c r="B457" t="str">
        <f>'Fichas clínicas'!B457</f>
        <v>17694643-1</v>
      </c>
      <c r="C457" t="str">
        <f>VLOOKUP(paciente_tutor!B457,clientes!A457:B2038,2,FALSE)</f>
        <v>YANIRA</v>
      </c>
      <c r="D457" t="str">
        <f t="shared" si="7"/>
        <v>17694643-1</v>
      </c>
    </row>
    <row r="458" spans="1:4" x14ac:dyDescent="0.2">
      <c r="A458">
        <f>'Fichas clínicas'!A458</f>
        <v>458</v>
      </c>
      <c r="B458" t="str">
        <f>'Fichas clínicas'!B458</f>
        <v>16319852-5</v>
      </c>
      <c r="C458" t="str">
        <f>VLOOKUP(paciente_tutor!B458,clientes!A458:B2039,2,FALSE)</f>
        <v>JOSEFA AMANDA</v>
      </c>
      <c r="D458" t="str">
        <f t="shared" si="7"/>
        <v>16319852-5</v>
      </c>
    </row>
    <row r="459" spans="1:4" x14ac:dyDescent="0.2">
      <c r="A459">
        <f>'Fichas clínicas'!A459</f>
        <v>459</v>
      </c>
      <c r="B459" t="str">
        <f>'Fichas clínicas'!B459</f>
        <v>19555341-6</v>
      </c>
      <c r="C459" t="str">
        <f>VLOOKUP(paciente_tutor!B459,clientes!A459:B2040,2,FALSE)</f>
        <v>Carla De Los ángeles</v>
      </c>
      <c r="D459" t="str">
        <f t="shared" si="7"/>
        <v>19555341-6</v>
      </c>
    </row>
    <row r="460" spans="1:4" x14ac:dyDescent="0.2">
      <c r="A460">
        <f>'Fichas clínicas'!A460</f>
        <v>460</v>
      </c>
      <c r="B460" t="str">
        <f>'Fichas clínicas'!B460</f>
        <v>19555341-6</v>
      </c>
      <c r="C460" t="str">
        <f>VLOOKUP(paciente_tutor!B460,clientes!A460:B2041,2,FALSE)</f>
        <v>Carla De Los ángeles</v>
      </c>
      <c r="D460" t="str">
        <f t="shared" si="7"/>
        <v>19555341-6</v>
      </c>
    </row>
    <row r="461" spans="1:4" x14ac:dyDescent="0.2">
      <c r="A461">
        <f>'Fichas clínicas'!A461</f>
        <v>461</v>
      </c>
      <c r="B461" t="str">
        <f>'Fichas clínicas'!B461</f>
        <v>17067802-8</v>
      </c>
      <c r="C461" t="str">
        <f>VLOOKUP(paciente_tutor!B461,clientes!A461:B2042,2,FALSE)</f>
        <v>Carolina Aracely</v>
      </c>
      <c r="D461" t="str">
        <f t="shared" si="7"/>
        <v>17067802-8</v>
      </c>
    </row>
    <row r="462" spans="1:4" x14ac:dyDescent="0.2">
      <c r="A462">
        <f>'Fichas clínicas'!A462</f>
        <v>462</v>
      </c>
      <c r="B462" t="str">
        <f>'Fichas clínicas'!B462</f>
        <v>16464239-9</v>
      </c>
      <c r="C462" t="str">
        <f>VLOOKUP(paciente_tutor!B462,clientes!A462:B2043,2,FALSE)</f>
        <v>VIVIANA</v>
      </c>
      <c r="D462" t="str">
        <f t="shared" si="7"/>
        <v>16464239-9</v>
      </c>
    </row>
    <row r="463" spans="1:4" x14ac:dyDescent="0.2">
      <c r="A463">
        <f>'Fichas clínicas'!A463</f>
        <v>463</v>
      </c>
      <c r="B463" t="str">
        <f>'Fichas clínicas'!B463</f>
        <v>8602078-5</v>
      </c>
      <c r="C463" t="str">
        <f>VLOOKUP(paciente_tutor!B463,clientes!A463:B2044,2,FALSE)</f>
        <v>JUANA</v>
      </c>
      <c r="D463" t="str">
        <f t="shared" si="7"/>
        <v>8602078-5</v>
      </c>
    </row>
    <row r="464" spans="1:4" x14ac:dyDescent="0.2">
      <c r="A464">
        <f>'Fichas clínicas'!A464</f>
        <v>464</v>
      </c>
      <c r="B464" t="str">
        <f>'Fichas clínicas'!B464</f>
        <v>15815679-2</v>
      </c>
      <c r="C464" t="str">
        <f>VLOOKUP(paciente_tutor!B464,clientes!A464:B2045,2,FALSE)</f>
        <v>SILVIA</v>
      </c>
      <c r="D464" t="str">
        <f t="shared" si="7"/>
        <v>15815679-2</v>
      </c>
    </row>
    <row r="465" spans="1:4" x14ac:dyDescent="0.2">
      <c r="A465">
        <f>'Fichas clínicas'!A465</f>
        <v>465</v>
      </c>
      <c r="B465" t="str">
        <f>'Fichas clínicas'!B465</f>
        <v>19198292-4</v>
      </c>
      <c r="C465" t="str">
        <f>VLOOKUP(paciente_tutor!B465,clientes!A465:B2046,2,FALSE)</f>
        <v>BARBARA</v>
      </c>
      <c r="D465" t="str">
        <f t="shared" si="7"/>
        <v>19198292-4</v>
      </c>
    </row>
    <row r="466" spans="1:4" x14ac:dyDescent="0.2">
      <c r="A466">
        <f>'Fichas clínicas'!A466</f>
        <v>466</v>
      </c>
      <c r="B466" t="str">
        <f>'Fichas clínicas'!B466</f>
        <v>12911545-9</v>
      </c>
      <c r="C466" t="e">
        <f>VLOOKUP(paciente_tutor!B466,clientes!A466:B2047,2,FALSE)</f>
        <v>#N/A</v>
      </c>
      <c r="D466" t="e">
        <f t="shared" si="7"/>
        <v>#N/A</v>
      </c>
    </row>
    <row r="467" spans="1:4" x14ac:dyDescent="0.2">
      <c r="A467">
        <f>'Fichas clínicas'!A467</f>
        <v>468</v>
      </c>
      <c r="B467" t="str">
        <f>'Fichas clínicas'!B467</f>
        <v>12911545-9</v>
      </c>
      <c r="C467" t="e">
        <f>VLOOKUP(paciente_tutor!B467,clientes!A467:B2048,2,FALSE)</f>
        <v>#N/A</v>
      </c>
      <c r="D467" t="e">
        <f t="shared" si="7"/>
        <v>#N/A</v>
      </c>
    </row>
    <row r="468" spans="1:4" x14ac:dyDescent="0.2">
      <c r="A468">
        <f>'Fichas clínicas'!A468</f>
        <v>469</v>
      </c>
      <c r="B468" t="str">
        <f>'Fichas clínicas'!B468</f>
        <v>15548419-5</v>
      </c>
      <c r="C468" t="str">
        <f>VLOOKUP(paciente_tutor!B468,clientes!A468:B2049,2,FALSE)</f>
        <v>TAMARA</v>
      </c>
      <c r="D468" t="str">
        <f t="shared" si="7"/>
        <v>15548419-5</v>
      </c>
    </row>
    <row r="469" spans="1:4" x14ac:dyDescent="0.2">
      <c r="A469">
        <f>'Fichas clínicas'!A469</f>
        <v>470</v>
      </c>
      <c r="B469" t="str">
        <f>'Fichas clínicas'!B469</f>
        <v>16682558-k</v>
      </c>
      <c r="C469" t="str">
        <f>VLOOKUP(paciente_tutor!B469,clientes!A469:B2050,2,FALSE)</f>
        <v>ISRAEL</v>
      </c>
      <c r="D469" t="str">
        <f t="shared" si="7"/>
        <v>16682558-k</v>
      </c>
    </row>
    <row r="470" spans="1:4" x14ac:dyDescent="0.2">
      <c r="A470">
        <f>'Fichas clínicas'!A470</f>
        <v>471</v>
      </c>
      <c r="B470" t="str">
        <f>'Fichas clínicas'!B470</f>
        <v>14037343-5</v>
      </c>
      <c r="C470" t="e">
        <f>VLOOKUP(paciente_tutor!B470,clientes!A470:B2051,2,FALSE)</f>
        <v>#N/A</v>
      </c>
      <c r="D470" t="e">
        <f t="shared" si="7"/>
        <v>#N/A</v>
      </c>
    </row>
    <row r="471" spans="1:4" x14ac:dyDescent="0.2">
      <c r="A471">
        <f>'Fichas clínicas'!A471</f>
        <v>472</v>
      </c>
      <c r="B471" t="str">
        <f>'Fichas clínicas'!B471</f>
        <v>11589148-0</v>
      </c>
      <c r="C471" t="e">
        <f>VLOOKUP(paciente_tutor!B471,clientes!A471:B2052,2,FALSE)</f>
        <v>#N/A</v>
      </c>
      <c r="D471" t="e">
        <f t="shared" si="7"/>
        <v>#N/A</v>
      </c>
    </row>
    <row r="472" spans="1:4" x14ac:dyDescent="0.2">
      <c r="A472">
        <f>'Fichas clínicas'!A472</f>
        <v>473</v>
      </c>
      <c r="B472" t="str">
        <f>'Fichas clínicas'!B472</f>
        <v>11426013-4</v>
      </c>
      <c r="C472" t="e">
        <f>VLOOKUP(paciente_tutor!B472,clientes!A472:B2053,2,FALSE)</f>
        <v>#N/A</v>
      </c>
      <c r="D472" t="e">
        <f t="shared" si="7"/>
        <v>#N/A</v>
      </c>
    </row>
    <row r="473" spans="1:4" x14ac:dyDescent="0.2">
      <c r="A473">
        <f>'Fichas clínicas'!A473</f>
        <v>474</v>
      </c>
      <c r="B473" t="str">
        <f>'Fichas clínicas'!B473</f>
        <v>11426013-4</v>
      </c>
      <c r="C473" t="e">
        <f>VLOOKUP(paciente_tutor!B473,clientes!A473:B2054,2,FALSE)</f>
        <v>#N/A</v>
      </c>
      <c r="D473" t="e">
        <f t="shared" si="7"/>
        <v>#N/A</v>
      </c>
    </row>
    <row r="474" spans="1:4" x14ac:dyDescent="0.2">
      <c r="A474">
        <f>'Fichas clínicas'!A474</f>
        <v>475</v>
      </c>
      <c r="B474" t="str">
        <f>'Fichas clínicas'!B474</f>
        <v>14060294-9</v>
      </c>
      <c r="C474" t="e">
        <f>VLOOKUP(paciente_tutor!B474,clientes!A474:B2055,2,FALSE)</f>
        <v>#N/A</v>
      </c>
      <c r="D474" t="e">
        <f t="shared" si="7"/>
        <v>#N/A</v>
      </c>
    </row>
    <row r="475" spans="1:4" x14ac:dyDescent="0.2">
      <c r="A475">
        <f>'Fichas clínicas'!A475</f>
        <v>476</v>
      </c>
      <c r="B475" t="str">
        <f>'Fichas clínicas'!B475</f>
        <v>17201539-5</v>
      </c>
      <c r="C475" t="str">
        <f>VLOOKUP(paciente_tutor!B475,clientes!A475:B2056,2,FALSE)</f>
        <v>PATRICIA</v>
      </c>
      <c r="D475" t="str">
        <f t="shared" si="7"/>
        <v>17201539-5</v>
      </c>
    </row>
    <row r="476" spans="1:4" x14ac:dyDescent="0.2">
      <c r="A476">
        <f>'Fichas clínicas'!A476</f>
        <v>477</v>
      </c>
      <c r="B476" t="str">
        <f>'Fichas clínicas'!B476</f>
        <v>8637586-9</v>
      </c>
      <c r="C476" t="str">
        <f>VLOOKUP(paciente_tutor!B476,clientes!A476:B2057,2,FALSE)</f>
        <v>BETSABET</v>
      </c>
      <c r="D476" t="str">
        <f t="shared" si="7"/>
        <v>8637586-9</v>
      </c>
    </row>
    <row r="477" spans="1:4" x14ac:dyDescent="0.2">
      <c r="A477">
        <f>'Fichas clínicas'!A477</f>
        <v>478</v>
      </c>
      <c r="B477" t="str">
        <f>'Fichas clínicas'!B477</f>
        <v>15884338-2</v>
      </c>
      <c r="C477" t="str">
        <f>VLOOKUP(paciente_tutor!B477,clientes!A477:B2058,2,FALSE)</f>
        <v>ISAAC</v>
      </c>
      <c r="D477" t="str">
        <f t="shared" si="7"/>
        <v>15884338-2</v>
      </c>
    </row>
    <row r="478" spans="1:4" x14ac:dyDescent="0.2">
      <c r="A478">
        <f>'Fichas clínicas'!A478</f>
        <v>479</v>
      </c>
      <c r="B478" t="str">
        <f>'Fichas clínicas'!B478</f>
        <v>20594806-6</v>
      </c>
      <c r="C478" t="str">
        <f>VLOOKUP(paciente_tutor!B478,clientes!A478:B2059,2,FALSE)</f>
        <v>JORGE</v>
      </c>
      <c r="D478" t="str">
        <f t="shared" si="7"/>
        <v>20594806-6</v>
      </c>
    </row>
    <row r="479" spans="1:4" x14ac:dyDescent="0.2">
      <c r="A479">
        <f>'Fichas clínicas'!A479</f>
        <v>480</v>
      </c>
      <c r="B479" t="str">
        <f>'Fichas clínicas'!B479</f>
        <v>16363817-7</v>
      </c>
      <c r="C479" t="str">
        <f>VLOOKUP(paciente_tutor!B479,clientes!A479:B2060,2,FALSE)</f>
        <v>TANNIA</v>
      </c>
      <c r="D479" t="str">
        <f t="shared" si="7"/>
        <v>16363817-7</v>
      </c>
    </row>
    <row r="480" spans="1:4" x14ac:dyDescent="0.2">
      <c r="A480">
        <f>'Fichas clínicas'!A480</f>
        <v>481</v>
      </c>
      <c r="B480" t="str">
        <f>'Fichas clínicas'!B480</f>
        <v>13320592-6</v>
      </c>
      <c r="C480" t="e">
        <f>VLOOKUP(paciente_tutor!B480,clientes!A480:B2061,2,FALSE)</f>
        <v>#N/A</v>
      </c>
      <c r="D480" t="e">
        <f t="shared" si="7"/>
        <v>#N/A</v>
      </c>
    </row>
    <row r="481" spans="1:4" x14ac:dyDescent="0.2">
      <c r="A481">
        <f>'Fichas clínicas'!A481</f>
        <v>482</v>
      </c>
      <c r="B481" t="str">
        <f>'Fichas clínicas'!B481</f>
        <v>21605194-7</v>
      </c>
      <c r="C481" t="str">
        <f>VLOOKUP(paciente_tutor!B481,clientes!A481:B2062,2,FALSE)</f>
        <v>FLORENCIA</v>
      </c>
      <c r="D481" t="str">
        <f t="shared" si="7"/>
        <v>21605194-7</v>
      </c>
    </row>
    <row r="482" spans="1:4" x14ac:dyDescent="0.2">
      <c r="A482">
        <f>'Fichas clínicas'!A482</f>
        <v>483</v>
      </c>
      <c r="B482" t="str">
        <f>'Fichas clínicas'!B482</f>
        <v>19249676-4</v>
      </c>
      <c r="C482" t="str">
        <f>VLOOKUP(paciente_tutor!B482,clientes!A482:B2063,2,FALSE)</f>
        <v>PAULA DEL PILAR</v>
      </c>
      <c r="D482" t="str">
        <f t="shared" si="7"/>
        <v>19249676-4</v>
      </c>
    </row>
    <row r="483" spans="1:4" x14ac:dyDescent="0.2">
      <c r="A483">
        <f>'Fichas clínicas'!A483</f>
        <v>484</v>
      </c>
      <c r="B483" t="str">
        <f>'Fichas clínicas'!B483</f>
        <v>17359806-8</v>
      </c>
      <c r="C483" t="str">
        <f>VLOOKUP(paciente_tutor!B483,clientes!A483:B2064,2,FALSE)</f>
        <v>ROCIO</v>
      </c>
      <c r="D483" t="str">
        <f t="shared" si="7"/>
        <v>17359806-8</v>
      </c>
    </row>
    <row r="484" spans="1:4" x14ac:dyDescent="0.2">
      <c r="A484">
        <f>'Fichas clínicas'!A484</f>
        <v>485</v>
      </c>
      <c r="B484" t="str">
        <f>'Fichas clínicas'!B484</f>
        <v>6987245-K</v>
      </c>
      <c r="C484" t="str">
        <f>VLOOKUP(paciente_tutor!B484,clientes!A484:B2065,2,FALSE)</f>
        <v>RUDETMIT</v>
      </c>
      <c r="D484" t="str">
        <f t="shared" si="7"/>
        <v>6987245-K</v>
      </c>
    </row>
    <row r="485" spans="1:4" x14ac:dyDescent="0.2">
      <c r="A485">
        <f>'Fichas clínicas'!A485</f>
        <v>486</v>
      </c>
      <c r="B485" t="str">
        <f>'Fichas clínicas'!B485</f>
        <v>9116737-9</v>
      </c>
      <c r="C485" t="str">
        <f>VLOOKUP(paciente_tutor!B485,clientes!A485:B2066,2,FALSE)</f>
        <v>SONIA</v>
      </c>
      <c r="D485" t="str">
        <f t="shared" si="7"/>
        <v>9116737-9</v>
      </c>
    </row>
    <row r="486" spans="1:4" x14ac:dyDescent="0.2">
      <c r="A486">
        <f>'Fichas clínicas'!A486</f>
        <v>487</v>
      </c>
      <c r="B486" t="str">
        <f>'Fichas clínicas'!B486</f>
        <v>6033632-6</v>
      </c>
      <c r="C486" t="str">
        <f>VLOOKUP(paciente_tutor!B486,clientes!A486:B2067,2,FALSE)</f>
        <v>JULIO CESAR</v>
      </c>
      <c r="D486" t="str">
        <f t="shared" si="7"/>
        <v>6033632-6</v>
      </c>
    </row>
    <row r="487" spans="1:4" x14ac:dyDescent="0.2">
      <c r="A487">
        <f>'Fichas clínicas'!A487</f>
        <v>488</v>
      </c>
      <c r="B487" t="str">
        <f>'Fichas clínicas'!B487</f>
        <v>11081001-6</v>
      </c>
      <c r="C487" t="e">
        <f>VLOOKUP(paciente_tutor!B487,clientes!A487:B2068,2,FALSE)</f>
        <v>#N/A</v>
      </c>
      <c r="D487" t="e">
        <f t="shared" si="7"/>
        <v>#N/A</v>
      </c>
    </row>
    <row r="488" spans="1:4" x14ac:dyDescent="0.2">
      <c r="A488">
        <f>'Fichas clínicas'!A488</f>
        <v>489</v>
      </c>
      <c r="B488" t="str">
        <f>'Fichas clínicas'!B488</f>
        <v>15549031-4</v>
      </c>
      <c r="C488" t="str">
        <f>VLOOKUP(paciente_tutor!B488,clientes!A488:B2069,2,FALSE)</f>
        <v>ANA MARÍA</v>
      </c>
      <c r="D488" t="str">
        <f t="shared" si="7"/>
        <v>15549031-4</v>
      </c>
    </row>
    <row r="489" spans="1:4" x14ac:dyDescent="0.2">
      <c r="A489">
        <f>'Fichas clínicas'!A489</f>
        <v>490</v>
      </c>
      <c r="B489" t="str">
        <f>'Fichas clínicas'!B489</f>
        <v>18590513-6</v>
      </c>
      <c r="C489" t="str">
        <f>VLOOKUP(paciente_tutor!B489,clientes!A489:B2070,2,FALSE)</f>
        <v>MADELIN</v>
      </c>
      <c r="D489" t="str">
        <f t="shared" si="7"/>
        <v>18590513-6</v>
      </c>
    </row>
    <row r="490" spans="1:4" x14ac:dyDescent="0.2">
      <c r="A490">
        <f>'Fichas clínicas'!A490</f>
        <v>491</v>
      </c>
      <c r="B490" t="str">
        <f>'Fichas clínicas'!B490</f>
        <v>19791833-0</v>
      </c>
      <c r="C490" t="str">
        <f>VLOOKUP(paciente_tutor!B490,clientes!A490:B2071,2,FALSE)</f>
        <v>MELANY</v>
      </c>
      <c r="D490" t="str">
        <f t="shared" si="7"/>
        <v>19791833-0</v>
      </c>
    </row>
    <row r="491" spans="1:4" x14ac:dyDescent="0.2">
      <c r="A491">
        <f>'Fichas clínicas'!A491</f>
        <v>492</v>
      </c>
      <c r="B491" t="str">
        <f>'Fichas clínicas'!B491</f>
        <v>16870962-5</v>
      </c>
      <c r="C491" t="str">
        <f>VLOOKUP(paciente_tutor!B491,clientes!A491:B2072,2,FALSE)</f>
        <v>LUZ</v>
      </c>
      <c r="D491" t="str">
        <f t="shared" si="7"/>
        <v>16870962-5</v>
      </c>
    </row>
    <row r="492" spans="1:4" x14ac:dyDescent="0.2">
      <c r="A492">
        <f>'Fichas clínicas'!A492</f>
        <v>493</v>
      </c>
      <c r="B492" t="str">
        <f>'Fichas clínicas'!B492</f>
        <v>15229929-k</v>
      </c>
      <c r="C492" t="e">
        <f>VLOOKUP(paciente_tutor!B492,clientes!A492:B2073,2,FALSE)</f>
        <v>#N/A</v>
      </c>
      <c r="D492" t="e">
        <f t="shared" si="7"/>
        <v>#N/A</v>
      </c>
    </row>
    <row r="493" spans="1:4" x14ac:dyDescent="0.2">
      <c r="A493">
        <f>'Fichas clínicas'!A493</f>
        <v>494</v>
      </c>
      <c r="B493" t="str">
        <f>'Fichas clínicas'!B493</f>
        <v>7856830-5</v>
      </c>
      <c r="C493" t="str">
        <f>VLOOKUP(paciente_tutor!B493,clientes!A493:B2074,2,FALSE)</f>
        <v>LUZ MARINA</v>
      </c>
      <c r="D493" t="str">
        <f t="shared" si="7"/>
        <v>7856830-5</v>
      </c>
    </row>
    <row r="494" spans="1:4" x14ac:dyDescent="0.2">
      <c r="A494">
        <f>'Fichas clínicas'!A494</f>
        <v>495</v>
      </c>
      <c r="B494" t="str">
        <f>'Fichas clínicas'!B494</f>
        <v>14281790-K</v>
      </c>
      <c r="C494" t="e">
        <f>VLOOKUP(paciente_tutor!B494,clientes!A494:B2075,2,FALSE)</f>
        <v>#N/A</v>
      </c>
      <c r="D494" t="e">
        <f t="shared" si="7"/>
        <v>#N/A</v>
      </c>
    </row>
    <row r="495" spans="1:4" x14ac:dyDescent="0.2">
      <c r="A495">
        <f>'Fichas clínicas'!A495</f>
        <v>496</v>
      </c>
      <c r="B495" t="str">
        <f>'Fichas clínicas'!B495</f>
        <v>15760058-3</v>
      </c>
      <c r="C495" t="str">
        <f>VLOOKUP(paciente_tutor!B495,clientes!A495:B2076,2,FALSE)</f>
        <v>CAROLINA ANDREA</v>
      </c>
      <c r="D495" t="str">
        <f t="shared" si="7"/>
        <v>15760058-3</v>
      </c>
    </row>
    <row r="496" spans="1:4" x14ac:dyDescent="0.2">
      <c r="A496">
        <f>'Fichas clínicas'!A496</f>
        <v>497</v>
      </c>
      <c r="B496" t="str">
        <f>'Fichas clínicas'!B496</f>
        <v>17997998-5</v>
      </c>
      <c r="C496" t="str">
        <f>VLOOKUP(paciente_tutor!B496,clientes!A496:B2077,2,FALSE)</f>
        <v>DANIELA</v>
      </c>
      <c r="D496" t="str">
        <f t="shared" si="7"/>
        <v>17997998-5</v>
      </c>
    </row>
    <row r="497" spans="1:4" x14ac:dyDescent="0.2">
      <c r="A497">
        <f>'Fichas clínicas'!A497</f>
        <v>498</v>
      </c>
      <c r="B497" t="str">
        <f>'Fichas clínicas'!B497</f>
        <v>13847727-4</v>
      </c>
      <c r="C497" t="e">
        <f>VLOOKUP(paciente_tutor!B497,clientes!A497:B2078,2,FALSE)</f>
        <v>#N/A</v>
      </c>
      <c r="D497" t="e">
        <f t="shared" si="7"/>
        <v>#N/A</v>
      </c>
    </row>
    <row r="498" spans="1:4" x14ac:dyDescent="0.2">
      <c r="A498">
        <f>'Fichas clínicas'!A498</f>
        <v>499</v>
      </c>
      <c r="B498" t="str">
        <f>'Fichas clínicas'!B498</f>
        <v>18886545-3</v>
      </c>
      <c r="C498" t="str">
        <f>VLOOKUP(paciente_tutor!B498,clientes!A498:B2079,2,FALSE)</f>
        <v>NATTALIE</v>
      </c>
      <c r="D498" t="str">
        <f t="shared" si="7"/>
        <v>18886545-3</v>
      </c>
    </row>
    <row r="499" spans="1:4" x14ac:dyDescent="0.2">
      <c r="A499">
        <f>'Fichas clínicas'!A499</f>
        <v>500</v>
      </c>
      <c r="B499" t="str">
        <f>'Fichas clínicas'!B499</f>
        <v>15293649-4</v>
      </c>
      <c r="C499" t="e">
        <f>VLOOKUP(paciente_tutor!B499,clientes!A499:B2080,2,FALSE)</f>
        <v>#N/A</v>
      </c>
      <c r="D499" t="e">
        <f t="shared" si="7"/>
        <v>#N/A</v>
      </c>
    </row>
    <row r="500" spans="1:4" x14ac:dyDescent="0.2">
      <c r="A500">
        <f>'Fichas clínicas'!A500</f>
        <v>501</v>
      </c>
      <c r="B500" t="str">
        <f>'Fichas clínicas'!B500</f>
        <v>11325570-6</v>
      </c>
      <c r="C500" t="e">
        <f>VLOOKUP(paciente_tutor!B500,clientes!A500:B2081,2,FALSE)</f>
        <v>#N/A</v>
      </c>
      <c r="D500" t="e">
        <f t="shared" si="7"/>
        <v>#N/A</v>
      </c>
    </row>
    <row r="501" spans="1:4" x14ac:dyDescent="0.2">
      <c r="A501">
        <f>'Fichas clínicas'!A501</f>
        <v>502</v>
      </c>
      <c r="B501" t="str">
        <f>'Fichas clínicas'!B501</f>
        <v>18888970-0</v>
      </c>
      <c r="C501" t="str">
        <f>VLOOKUP(paciente_tutor!B501,clientes!A501:B2082,2,FALSE)</f>
        <v>VICTORIA</v>
      </c>
      <c r="D501" t="str">
        <f t="shared" si="7"/>
        <v>18888970-0</v>
      </c>
    </row>
    <row r="502" spans="1:4" x14ac:dyDescent="0.2">
      <c r="A502">
        <f>'Fichas clínicas'!A502</f>
        <v>503</v>
      </c>
      <c r="B502" t="str">
        <f>'Fichas clínicas'!B502</f>
        <v>16159829-1</v>
      </c>
      <c r="C502" t="str">
        <f>VLOOKUP(paciente_tutor!B502,clientes!A502:B2083,2,FALSE)</f>
        <v>YOSELYN</v>
      </c>
      <c r="D502" t="str">
        <f t="shared" si="7"/>
        <v>16159829-1</v>
      </c>
    </row>
    <row r="503" spans="1:4" x14ac:dyDescent="0.2">
      <c r="A503">
        <f>'Fichas clínicas'!A503</f>
        <v>504</v>
      </c>
      <c r="B503" t="str">
        <f>'Fichas clínicas'!B503</f>
        <v>21010609-K</v>
      </c>
      <c r="C503" t="str">
        <f>VLOOKUP(paciente_tutor!B503,clientes!A503:B2084,2,FALSE)</f>
        <v>CAMILA</v>
      </c>
      <c r="D503" t="str">
        <f t="shared" si="7"/>
        <v>21010609-K</v>
      </c>
    </row>
    <row r="504" spans="1:4" x14ac:dyDescent="0.2">
      <c r="A504">
        <f>'Fichas clínicas'!A504</f>
        <v>505</v>
      </c>
      <c r="B504" t="str">
        <f>'Fichas clínicas'!B504</f>
        <v>16159829-1</v>
      </c>
      <c r="C504" t="str">
        <f>VLOOKUP(paciente_tutor!B504,clientes!A504:B2085,2,FALSE)</f>
        <v>YOSELYN</v>
      </c>
      <c r="D504" t="str">
        <f t="shared" si="7"/>
        <v>16159829-1</v>
      </c>
    </row>
    <row r="505" spans="1:4" x14ac:dyDescent="0.2">
      <c r="A505">
        <f>'Fichas clínicas'!A505</f>
        <v>506</v>
      </c>
      <c r="B505" t="str">
        <f>'Fichas clínicas'!B505</f>
        <v>14083076-3</v>
      </c>
      <c r="C505" t="e">
        <f>VLOOKUP(paciente_tutor!B505,clientes!A505:B2086,2,FALSE)</f>
        <v>#N/A</v>
      </c>
      <c r="D505" t="e">
        <f t="shared" si="7"/>
        <v>#N/A</v>
      </c>
    </row>
    <row r="506" spans="1:4" x14ac:dyDescent="0.2">
      <c r="A506">
        <f>'Fichas clínicas'!A506</f>
        <v>507</v>
      </c>
      <c r="B506" t="str">
        <f>'Fichas clínicas'!B506</f>
        <v>13110506-1</v>
      </c>
      <c r="C506" t="e">
        <f>VLOOKUP(paciente_tutor!B506,clientes!A506:B2087,2,FALSE)</f>
        <v>#N/A</v>
      </c>
      <c r="D506" t="e">
        <f t="shared" si="7"/>
        <v>#N/A</v>
      </c>
    </row>
    <row r="507" spans="1:4" x14ac:dyDescent="0.2">
      <c r="A507">
        <f>'Fichas clínicas'!A507</f>
        <v>508</v>
      </c>
      <c r="B507" t="str">
        <f>'Fichas clínicas'!B507</f>
        <v>14281790-K</v>
      </c>
      <c r="C507" t="e">
        <f>VLOOKUP(paciente_tutor!B507,clientes!A507:B2088,2,FALSE)</f>
        <v>#N/A</v>
      </c>
      <c r="D507" t="e">
        <f t="shared" si="7"/>
        <v>#N/A</v>
      </c>
    </row>
    <row r="508" spans="1:4" x14ac:dyDescent="0.2">
      <c r="A508">
        <f>'Fichas clínicas'!A508</f>
        <v>509</v>
      </c>
      <c r="B508" t="str">
        <f>'Fichas clínicas'!B508</f>
        <v>16320350-2</v>
      </c>
      <c r="C508" t="str">
        <f>VLOOKUP(paciente_tutor!B508,clientes!A508:B2089,2,FALSE)</f>
        <v>VIVIANA</v>
      </c>
      <c r="D508" t="str">
        <f t="shared" si="7"/>
        <v>16320350-2</v>
      </c>
    </row>
    <row r="509" spans="1:4" x14ac:dyDescent="0.2">
      <c r="A509">
        <f>'Fichas clínicas'!A509</f>
        <v>510</v>
      </c>
      <c r="B509" t="str">
        <f>'Fichas clínicas'!B509</f>
        <v>17068339-0</v>
      </c>
      <c r="C509" t="str">
        <f>VLOOKUP(paciente_tutor!B509,clientes!A509:B2090,2,FALSE)</f>
        <v>LUCIA</v>
      </c>
      <c r="D509" t="str">
        <f t="shared" si="7"/>
        <v>17068339-0</v>
      </c>
    </row>
    <row r="510" spans="1:4" x14ac:dyDescent="0.2">
      <c r="A510">
        <f>'Fichas clínicas'!A510</f>
        <v>511</v>
      </c>
      <c r="B510" t="str">
        <f>'Fichas clínicas'!B510</f>
        <v>10259315-4</v>
      </c>
      <c r="C510" t="e">
        <f>VLOOKUP(paciente_tutor!B510,clientes!A510:B2091,2,FALSE)</f>
        <v>#N/A</v>
      </c>
      <c r="D510" t="e">
        <f t="shared" si="7"/>
        <v>#N/A</v>
      </c>
    </row>
    <row r="511" spans="1:4" x14ac:dyDescent="0.2">
      <c r="A511">
        <f>'Fichas clínicas'!A511</f>
        <v>512</v>
      </c>
      <c r="B511" t="str">
        <f>'Fichas clínicas'!B511</f>
        <v>21220453-6</v>
      </c>
      <c r="C511" t="str">
        <f>VLOOKUP(paciente_tutor!B511,clientes!A511:B2092,2,FALSE)</f>
        <v>CONSTANZA LUCÍA</v>
      </c>
      <c r="D511" t="str">
        <f t="shared" si="7"/>
        <v>21220453-6</v>
      </c>
    </row>
    <row r="512" spans="1:4" x14ac:dyDescent="0.2">
      <c r="A512">
        <f>'Fichas clínicas'!A512</f>
        <v>513</v>
      </c>
      <c r="B512" t="str">
        <f>'Fichas clínicas'!B512</f>
        <v>18132301-9</v>
      </c>
      <c r="C512" t="str">
        <f>VLOOKUP(paciente_tutor!B512,clientes!A512:B2093,2,FALSE)</f>
        <v>STEFANI</v>
      </c>
      <c r="D512" t="str">
        <f t="shared" si="7"/>
        <v>18132301-9</v>
      </c>
    </row>
    <row r="513" spans="1:4" x14ac:dyDescent="0.2">
      <c r="A513">
        <f>'Fichas clínicas'!A513</f>
        <v>514</v>
      </c>
      <c r="B513" t="str">
        <f>'Fichas clínicas'!B513</f>
        <v>17233415-6</v>
      </c>
      <c r="C513" t="str">
        <f>VLOOKUP(paciente_tutor!B513,clientes!A513:B2094,2,FALSE)</f>
        <v>PALOMA YALITZA</v>
      </c>
      <c r="D513" t="str">
        <f t="shared" si="7"/>
        <v>17233415-6</v>
      </c>
    </row>
    <row r="514" spans="1:4" x14ac:dyDescent="0.2">
      <c r="A514">
        <f>'Fichas clínicas'!A514</f>
        <v>515</v>
      </c>
      <c r="B514" t="str">
        <f>'Fichas clínicas'!B514</f>
        <v>14084824-7</v>
      </c>
      <c r="C514" t="e">
        <f>VLOOKUP(paciente_tutor!B514,clientes!A514:B2095,2,FALSE)</f>
        <v>#N/A</v>
      </c>
      <c r="D514" t="e">
        <f t="shared" si="7"/>
        <v>#N/A</v>
      </c>
    </row>
    <row r="515" spans="1:4" x14ac:dyDescent="0.2">
      <c r="A515">
        <f>'Fichas clínicas'!A515</f>
        <v>516</v>
      </c>
      <c r="B515" t="str">
        <f>'Fichas clínicas'!B515</f>
        <v>13116951-5</v>
      </c>
      <c r="C515" t="e">
        <f>VLOOKUP(paciente_tutor!B515,clientes!A515:B2096,2,FALSE)</f>
        <v>#N/A</v>
      </c>
      <c r="D515" t="e">
        <f t="shared" ref="D515:D578" si="8">IF(C515="#N/A","",B515)</f>
        <v>#N/A</v>
      </c>
    </row>
    <row r="516" spans="1:4" x14ac:dyDescent="0.2">
      <c r="A516">
        <f>'Fichas clínicas'!A516</f>
        <v>517</v>
      </c>
      <c r="B516" t="str">
        <f>'Fichas clínicas'!B516</f>
        <v>15293915-9</v>
      </c>
      <c r="C516" t="e">
        <f>VLOOKUP(paciente_tutor!B516,clientes!A516:B2097,2,FALSE)</f>
        <v>#N/A</v>
      </c>
      <c r="D516" t="e">
        <f t="shared" si="8"/>
        <v>#N/A</v>
      </c>
    </row>
    <row r="517" spans="1:4" x14ac:dyDescent="0.2">
      <c r="A517">
        <f>'Fichas clínicas'!A517</f>
        <v>518</v>
      </c>
      <c r="B517" t="str">
        <f>'Fichas clínicas'!B517</f>
        <v>17360152-2</v>
      </c>
      <c r="C517" t="str">
        <f>VLOOKUP(paciente_tutor!B517,clientes!A517:B2098,2,FALSE)</f>
        <v>NICOLE</v>
      </c>
      <c r="D517" t="str">
        <f t="shared" si="8"/>
        <v>17360152-2</v>
      </c>
    </row>
    <row r="518" spans="1:4" x14ac:dyDescent="0.2">
      <c r="A518">
        <f>'Fichas clínicas'!A518</f>
        <v>519</v>
      </c>
      <c r="B518" t="str">
        <f>'Fichas clínicas'!B518</f>
        <v>17360152-2</v>
      </c>
      <c r="C518" t="str">
        <f>VLOOKUP(paciente_tutor!B518,clientes!A518:B2099,2,FALSE)</f>
        <v>NICOLE</v>
      </c>
      <c r="D518" t="str">
        <f t="shared" si="8"/>
        <v>17360152-2</v>
      </c>
    </row>
    <row r="519" spans="1:4" x14ac:dyDescent="0.2">
      <c r="A519">
        <f>'Fichas clínicas'!A519</f>
        <v>520</v>
      </c>
      <c r="B519" t="str">
        <f>'Fichas clínicas'!B519</f>
        <v>26510675-7</v>
      </c>
      <c r="C519" t="str">
        <f>VLOOKUP(paciente_tutor!B519,clientes!A519:B2100,2,FALSE)</f>
        <v>GRECHY</v>
      </c>
      <c r="D519" t="str">
        <f t="shared" si="8"/>
        <v>26510675-7</v>
      </c>
    </row>
    <row r="520" spans="1:4" x14ac:dyDescent="0.2">
      <c r="A520">
        <f>'Fichas clínicas'!A520</f>
        <v>521</v>
      </c>
      <c r="B520" t="str">
        <f>'Fichas clínicas'!B520</f>
        <v>15759842-2</v>
      </c>
      <c r="C520" t="str">
        <f>VLOOKUP(paciente_tutor!B520,clientes!A520:B2101,2,FALSE)</f>
        <v>MARÍA MAGDALENA</v>
      </c>
      <c r="D520" t="str">
        <f t="shared" si="8"/>
        <v>15759842-2</v>
      </c>
    </row>
    <row r="521" spans="1:4" x14ac:dyDescent="0.2">
      <c r="A521">
        <f>'Fichas clínicas'!A521</f>
        <v>522</v>
      </c>
      <c r="B521" t="str">
        <f>'Fichas clínicas'!B521</f>
        <v>19182261-7</v>
      </c>
      <c r="C521" t="str">
        <f>VLOOKUP(paciente_tutor!B521,clientes!A521:B2102,2,FALSE)</f>
        <v>YERTY</v>
      </c>
      <c r="D521" t="str">
        <f t="shared" si="8"/>
        <v>19182261-7</v>
      </c>
    </row>
    <row r="522" spans="1:4" x14ac:dyDescent="0.2">
      <c r="A522">
        <f>'Fichas clínicas'!A522</f>
        <v>523</v>
      </c>
      <c r="B522" t="str">
        <f>'Fichas clínicas'!B522</f>
        <v>15294537-K</v>
      </c>
      <c r="C522" t="e">
        <f>VLOOKUP(paciente_tutor!B522,clientes!A522:B2103,2,FALSE)</f>
        <v>#N/A</v>
      </c>
      <c r="D522" t="e">
        <f t="shared" si="8"/>
        <v>#N/A</v>
      </c>
    </row>
    <row r="523" spans="1:4" x14ac:dyDescent="0.2">
      <c r="A523">
        <f>'Fichas clínicas'!A523</f>
        <v>524</v>
      </c>
      <c r="B523" t="str">
        <f>'Fichas clínicas'!B523</f>
        <v>21699213-k</v>
      </c>
      <c r="C523" t="str">
        <f>VLOOKUP(paciente_tutor!B523,clientes!A523:B2104,2,FALSE)</f>
        <v>TAMARA VALENTINA</v>
      </c>
      <c r="D523" t="str">
        <f t="shared" si="8"/>
        <v>21699213-k</v>
      </c>
    </row>
    <row r="524" spans="1:4" x14ac:dyDescent="0.2">
      <c r="A524">
        <f>'Fichas clínicas'!A524</f>
        <v>525</v>
      </c>
      <c r="B524" t="str">
        <f>'Fichas clínicas'!B524</f>
        <v>18289856-2</v>
      </c>
      <c r="C524" t="str">
        <f>VLOOKUP(paciente_tutor!B524,clientes!A524:B2105,2,FALSE)</f>
        <v>RODOLFO MARCELO</v>
      </c>
      <c r="D524" t="str">
        <f t="shared" si="8"/>
        <v>18289856-2</v>
      </c>
    </row>
    <row r="525" spans="1:4" x14ac:dyDescent="0.2">
      <c r="A525">
        <f>'Fichas clínicas'!A525</f>
        <v>526</v>
      </c>
      <c r="B525" t="str">
        <f>'Fichas clínicas'!B525</f>
        <v>13321219-1</v>
      </c>
      <c r="C525" t="e">
        <f>VLOOKUP(paciente_tutor!B525,clientes!A525:B2106,2,FALSE)</f>
        <v>#N/A</v>
      </c>
      <c r="D525" t="e">
        <f t="shared" si="8"/>
        <v>#N/A</v>
      </c>
    </row>
    <row r="526" spans="1:4" x14ac:dyDescent="0.2">
      <c r="A526">
        <f>'Fichas clínicas'!A526</f>
        <v>527</v>
      </c>
      <c r="B526" t="str">
        <f>'Fichas clínicas'!B526</f>
        <v>19556223-7</v>
      </c>
      <c r="C526" t="str">
        <f>VLOOKUP(paciente_tutor!B526,clientes!A526:B2107,2,FALSE)</f>
        <v>Cristian Alejandro</v>
      </c>
      <c r="D526" t="str">
        <f t="shared" si="8"/>
        <v>19556223-7</v>
      </c>
    </row>
    <row r="527" spans="1:4" x14ac:dyDescent="0.2">
      <c r="A527">
        <f>'Fichas clínicas'!A527</f>
        <v>528</v>
      </c>
      <c r="B527" t="str">
        <f>'Fichas clínicas'!B527</f>
        <v>13847107-1</v>
      </c>
      <c r="C527" t="e">
        <f>VLOOKUP(paciente_tutor!B527,clientes!A527:B2108,2,FALSE)</f>
        <v>#N/A</v>
      </c>
      <c r="D527" t="e">
        <f t="shared" si="8"/>
        <v>#N/A</v>
      </c>
    </row>
    <row r="528" spans="1:4" x14ac:dyDescent="0.2">
      <c r="A528">
        <f>'Fichas clínicas'!A528</f>
        <v>529</v>
      </c>
      <c r="B528" t="str">
        <f>'Fichas clínicas'!B528</f>
        <v>20018332-0</v>
      </c>
      <c r="C528" t="str">
        <f>VLOOKUP(paciente_tutor!B528,clientes!A528:B2109,2,FALSE)</f>
        <v>GONZALO</v>
      </c>
      <c r="D528" t="str">
        <f t="shared" si="8"/>
        <v>20018332-0</v>
      </c>
    </row>
    <row r="529" spans="1:4" x14ac:dyDescent="0.2">
      <c r="A529">
        <f>'Fichas clínicas'!A529</f>
        <v>530</v>
      </c>
      <c r="B529" t="str">
        <f>'Fichas clínicas'!B529</f>
        <v>14282412-4</v>
      </c>
      <c r="C529" t="e">
        <f>VLOOKUP(paciente_tutor!B529,clientes!A529:B2110,2,FALSE)</f>
        <v>#N/A</v>
      </c>
      <c r="D529" t="e">
        <f t="shared" si="8"/>
        <v>#N/A</v>
      </c>
    </row>
    <row r="530" spans="1:4" x14ac:dyDescent="0.2">
      <c r="A530">
        <f>'Fichas clínicas'!A530</f>
        <v>531</v>
      </c>
      <c r="B530" t="str">
        <f>'Fichas clínicas'!B530</f>
        <v>18240813-1</v>
      </c>
      <c r="C530" t="str">
        <f>VLOOKUP(paciente_tutor!B530,clientes!A530:B2111,2,FALSE)</f>
        <v>CLAUDIA</v>
      </c>
      <c r="D530" t="str">
        <f t="shared" si="8"/>
        <v>18240813-1</v>
      </c>
    </row>
    <row r="531" spans="1:4" x14ac:dyDescent="0.2">
      <c r="A531">
        <f>'Fichas clínicas'!A531</f>
        <v>532</v>
      </c>
      <c r="B531" t="str">
        <f>'Fichas clínicas'!B531</f>
        <v>18240813-1</v>
      </c>
      <c r="C531" t="str">
        <f>VLOOKUP(paciente_tutor!B531,clientes!A531:B2112,2,FALSE)</f>
        <v>CLAUDIA</v>
      </c>
      <c r="D531" t="str">
        <f t="shared" si="8"/>
        <v>18240813-1</v>
      </c>
    </row>
    <row r="532" spans="1:4" x14ac:dyDescent="0.2">
      <c r="A532">
        <f>'Fichas clínicas'!A532</f>
        <v>533</v>
      </c>
      <c r="B532" t="str">
        <f>'Fichas clínicas'!B532</f>
        <v>18240813-1</v>
      </c>
      <c r="C532" t="str">
        <f>VLOOKUP(paciente_tutor!B532,clientes!A532:B2113,2,FALSE)</f>
        <v>CLAUDIA</v>
      </c>
      <c r="D532" t="str">
        <f t="shared" si="8"/>
        <v>18240813-1</v>
      </c>
    </row>
    <row r="533" spans="1:4" x14ac:dyDescent="0.2">
      <c r="A533">
        <f>'Fichas clínicas'!A533</f>
        <v>534</v>
      </c>
      <c r="B533" t="str">
        <f>'Fichas clínicas'!B533</f>
        <v>16159983-2</v>
      </c>
      <c r="C533" t="str">
        <f>VLOOKUP(paciente_tutor!B533,clientes!A533:B2114,2,FALSE)</f>
        <v>VANESSA PAMELA</v>
      </c>
      <c r="D533" t="str">
        <f t="shared" si="8"/>
        <v>16159983-2</v>
      </c>
    </row>
    <row r="534" spans="1:4" x14ac:dyDescent="0.2">
      <c r="A534">
        <f>'Fichas clínicas'!A534</f>
        <v>535</v>
      </c>
      <c r="B534" t="str">
        <f>'Fichas clínicas'!B534</f>
        <v>12745863-4</v>
      </c>
      <c r="C534" t="e">
        <f>VLOOKUP(paciente_tutor!B534,clientes!A534:B2115,2,FALSE)</f>
        <v>#N/A</v>
      </c>
      <c r="D534" t="e">
        <f t="shared" si="8"/>
        <v>#N/A</v>
      </c>
    </row>
    <row r="535" spans="1:4" x14ac:dyDescent="0.2">
      <c r="A535">
        <f>'Fichas clínicas'!A535</f>
        <v>536</v>
      </c>
      <c r="B535" t="str">
        <f>'Fichas clínicas'!B535</f>
        <v>17397386-1</v>
      </c>
      <c r="C535" t="str">
        <f>VLOOKUP(paciente_tutor!B535,clientes!A535:B2116,2,FALSE)</f>
        <v>MARIE</v>
      </c>
      <c r="D535" t="str">
        <f t="shared" si="8"/>
        <v>17397386-1</v>
      </c>
    </row>
    <row r="536" spans="1:4" x14ac:dyDescent="0.2">
      <c r="A536">
        <f>'Fichas clínicas'!A536</f>
        <v>537</v>
      </c>
      <c r="B536" t="str">
        <f>'Fichas clínicas'!B536</f>
        <v>11915712-9</v>
      </c>
      <c r="C536" t="e">
        <f>VLOOKUP(paciente_tutor!B536,clientes!A536:B2117,2,FALSE)</f>
        <v>#N/A</v>
      </c>
      <c r="D536" t="e">
        <f t="shared" si="8"/>
        <v>#N/A</v>
      </c>
    </row>
    <row r="537" spans="1:4" x14ac:dyDescent="0.2">
      <c r="A537">
        <f>'Fichas clínicas'!A537</f>
        <v>538</v>
      </c>
      <c r="B537" t="str">
        <f>'Fichas clínicas'!B537</f>
        <v>11915712-9</v>
      </c>
      <c r="C537" t="e">
        <f>VLOOKUP(paciente_tutor!B537,clientes!A537:B2118,2,FALSE)</f>
        <v>#N/A</v>
      </c>
      <c r="D537" t="e">
        <f t="shared" si="8"/>
        <v>#N/A</v>
      </c>
    </row>
    <row r="538" spans="1:4" x14ac:dyDescent="0.2">
      <c r="A538">
        <f>'Fichas clínicas'!A538</f>
        <v>539</v>
      </c>
      <c r="B538" t="str">
        <f>'Fichas clínicas'!B538</f>
        <v>19608834-2</v>
      </c>
      <c r="C538" t="str">
        <f>VLOOKUP(paciente_tutor!B538,clientes!A538:B2119,2,FALSE)</f>
        <v>JAVIERA</v>
      </c>
      <c r="D538" t="str">
        <f t="shared" si="8"/>
        <v>19608834-2</v>
      </c>
    </row>
    <row r="539" spans="1:4" x14ac:dyDescent="0.2">
      <c r="A539">
        <f>'Fichas clínicas'!A539</f>
        <v>540</v>
      </c>
      <c r="B539" t="str">
        <f>'Fichas clínicas'!B539</f>
        <v>17201719-3</v>
      </c>
      <c r="C539" t="str">
        <f>VLOOKUP(paciente_tutor!B539,clientes!A539:B2120,2,FALSE)</f>
        <v>NICOLE</v>
      </c>
      <c r="D539" t="str">
        <f t="shared" si="8"/>
        <v>17201719-3</v>
      </c>
    </row>
    <row r="540" spans="1:4" x14ac:dyDescent="0.2">
      <c r="A540">
        <f>'Fichas clínicas'!A540</f>
        <v>541</v>
      </c>
      <c r="B540" t="str">
        <f>'Fichas clínicas'!B540</f>
        <v>15294106-4</v>
      </c>
      <c r="C540" t="e">
        <f>VLOOKUP(paciente_tutor!B540,clientes!A540:B2121,2,FALSE)</f>
        <v>#N/A</v>
      </c>
      <c r="D540" t="e">
        <f t="shared" si="8"/>
        <v>#N/A</v>
      </c>
    </row>
    <row r="541" spans="1:4" x14ac:dyDescent="0.2">
      <c r="A541">
        <f>'Fichas clínicas'!A541</f>
        <v>542</v>
      </c>
      <c r="B541" t="str">
        <f>'Fichas clínicas'!B541</f>
        <v>21076658-8</v>
      </c>
      <c r="C541" t="str">
        <f>VLOOKUP(paciente_tutor!B541,clientes!A541:B2122,2,FALSE)</f>
        <v>DARLING DANIELA</v>
      </c>
      <c r="D541" t="str">
        <f t="shared" si="8"/>
        <v>21076658-8</v>
      </c>
    </row>
    <row r="542" spans="1:4" x14ac:dyDescent="0.2">
      <c r="A542">
        <f>'Fichas clínicas'!A542</f>
        <v>543</v>
      </c>
      <c r="B542" t="str">
        <f>'Fichas clínicas'!B542</f>
        <v>15548507-8</v>
      </c>
      <c r="C542" t="e">
        <f>VLOOKUP(paciente_tutor!B542,clientes!A542:B2123,2,FALSE)</f>
        <v>#N/A</v>
      </c>
      <c r="D542" t="e">
        <f t="shared" si="8"/>
        <v>#N/A</v>
      </c>
    </row>
    <row r="543" spans="1:4" x14ac:dyDescent="0.2">
      <c r="A543">
        <f>'Fichas clínicas'!A543</f>
        <v>544</v>
      </c>
      <c r="B543" t="str">
        <f>'Fichas clínicas'!B543</f>
        <v>15548507-8</v>
      </c>
      <c r="C543" t="e">
        <f>VLOOKUP(paciente_tutor!B543,clientes!A543:B2124,2,FALSE)</f>
        <v>#N/A</v>
      </c>
      <c r="D543" t="e">
        <f t="shared" si="8"/>
        <v>#N/A</v>
      </c>
    </row>
    <row r="544" spans="1:4" x14ac:dyDescent="0.2">
      <c r="A544">
        <f>'Fichas clínicas'!A544</f>
        <v>545</v>
      </c>
      <c r="B544" t="str">
        <f>'Fichas clínicas'!B544</f>
        <v>11591841-9</v>
      </c>
      <c r="C544" t="e">
        <f>VLOOKUP(paciente_tutor!B544,clientes!A544:B2125,2,FALSE)</f>
        <v>#N/A</v>
      </c>
      <c r="D544" t="e">
        <f t="shared" si="8"/>
        <v>#N/A</v>
      </c>
    </row>
    <row r="545" spans="1:4" x14ac:dyDescent="0.2">
      <c r="A545">
        <f>'Fichas clínicas'!A545</f>
        <v>546</v>
      </c>
      <c r="B545" t="str">
        <f>'Fichas clínicas'!B545</f>
        <v>12749567-K</v>
      </c>
      <c r="C545" t="e">
        <f>VLOOKUP(paciente_tutor!B545,clientes!A545:B2126,2,FALSE)</f>
        <v>#N/A</v>
      </c>
      <c r="D545" t="e">
        <f t="shared" si="8"/>
        <v>#N/A</v>
      </c>
    </row>
    <row r="546" spans="1:4" x14ac:dyDescent="0.2">
      <c r="A546">
        <f>'Fichas clínicas'!A546</f>
        <v>547</v>
      </c>
      <c r="B546" t="str">
        <f>'Fichas clínicas'!B546</f>
        <v>9944995-0</v>
      </c>
      <c r="C546" t="str">
        <f>VLOOKUP(paciente_tutor!B546,clientes!A546:B2127,2,FALSE)</f>
        <v>Jorge Manuel</v>
      </c>
      <c r="D546" t="str">
        <f t="shared" si="8"/>
        <v>9944995-0</v>
      </c>
    </row>
    <row r="547" spans="1:4" x14ac:dyDescent="0.2">
      <c r="A547">
        <f>'Fichas clínicas'!A547</f>
        <v>548</v>
      </c>
      <c r="B547" t="str">
        <f>'Fichas clínicas'!B547</f>
        <v>20315725-8</v>
      </c>
      <c r="C547" t="str">
        <f>VLOOKUP(paciente_tutor!B547,clientes!A547:B2128,2,FALSE)</f>
        <v>JAVIERA</v>
      </c>
      <c r="D547" t="str">
        <f t="shared" si="8"/>
        <v>20315725-8</v>
      </c>
    </row>
    <row r="548" spans="1:4" x14ac:dyDescent="0.2">
      <c r="A548">
        <f>'Fichas clínicas'!A548</f>
        <v>549</v>
      </c>
      <c r="B548" t="str">
        <f>'Fichas clínicas'!B548</f>
        <v>15548507-8</v>
      </c>
      <c r="C548" t="e">
        <f>VLOOKUP(paciente_tutor!B548,clientes!A548:B2129,2,FALSE)</f>
        <v>#N/A</v>
      </c>
      <c r="D548" t="e">
        <f t="shared" si="8"/>
        <v>#N/A</v>
      </c>
    </row>
    <row r="549" spans="1:4" x14ac:dyDescent="0.2">
      <c r="A549">
        <f>'Fichas clínicas'!A549</f>
        <v>550</v>
      </c>
      <c r="B549" t="str">
        <f>'Fichas clínicas'!B549</f>
        <v>16465020-0</v>
      </c>
      <c r="C549" t="str">
        <f>VLOOKUP(paciente_tutor!B549,clientes!A549:B2130,2,FALSE)</f>
        <v>ERNESTO DANIEL</v>
      </c>
      <c r="D549" t="str">
        <f t="shared" si="8"/>
        <v>16465020-0</v>
      </c>
    </row>
    <row r="550" spans="1:4" x14ac:dyDescent="0.2">
      <c r="A550">
        <f>'Fichas clínicas'!A550</f>
        <v>551</v>
      </c>
      <c r="B550" t="str">
        <f>'Fichas clínicas'!B550</f>
        <v>16978228-8</v>
      </c>
      <c r="C550" t="str">
        <f>VLOOKUP(paciente_tutor!B550,clientes!A550:B2131,2,FALSE)</f>
        <v>DANIELA</v>
      </c>
      <c r="D550" t="str">
        <f t="shared" si="8"/>
        <v>16978228-8</v>
      </c>
    </row>
    <row r="551" spans="1:4" x14ac:dyDescent="0.2">
      <c r="A551">
        <f>'Fichas clínicas'!A551</f>
        <v>552</v>
      </c>
      <c r="B551" t="str">
        <f>'Fichas clínicas'!B551</f>
        <v>13116951-5</v>
      </c>
      <c r="C551" t="e">
        <f>VLOOKUP(paciente_tutor!B551,clientes!A551:B2132,2,FALSE)</f>
        <v>#N/A</v>
      </c>
      <c r="D551" t="e">
        <f t="shared" si="8"/>
        <v>#N/A</v>
      </c>
    </row>
    <row r="552" spans="1:4" x14ac:dyDescent="0.2">
      <c r="A552">
        <f>'Fichas clínicas'!A552</f>
        <v>553</v>
      </c>
      <c r="B552" t="str">
        <f>'Fichas clínicas'!B552</f>
        <v>19167137-6</v>
      </c>
      <c r="C552" t="str">
        <f>VLOOKUP(paciente_tutor!B552,clientes!A552:B2133,2,FALSE)</f>
        <v>MARCIA ANDREA</v>
      </c>
      <c r="D552" t="str">
        <f t="shared" si="8"/>
        <v>19167137-6</v>
      </c>
    </row>
    <row r="553" spans="1:4" x14ac:dyDescent="0.2">
      <c r="A553">
        <f>'Fichas clínicas'!A553</f>
        <v>554</v>
      </c>
      <c r="B553" t="str">
        <f>'Fichas clínicas'!B553</f>
        <v>9704521-6</v>
      </c>
      <c r="C553" t="str">
        <f>VLOOKUP(paciente_tutor!B553,clientes!A553:B2134,2,FALSE)</f>
        <v>Patricia Andrea</v>
      </c>
      <c r="D553" t="str">
        <f t="shared" si="8"/>
        <v>9704521-6</v>
      </c>
    </row>
    <row r="554" spans="1:4" x14ac:dyDescent="0.2">
      <c r="A554">
        <f>'Fichas clínicas'!A554</f>
        <v>555</v>
      </c>
      <c r="B554" t="str">
        <f>'Fichas clínicas'!B554</f>
        <v>15884274-2</v>
      </c>
      <c r="C554" t="e">
        <f>VLOOKUP(paciente_tutor!B554,clientes!A554:B2135,2,FALSE)</f>
        <v>#N/A</v>
      </c>
      <c r="D554" t="e">
        <f t="shared" si="8"/>
        <v>#N/A</v>
      </c>
    </row>
    <row r="555" spans="1:4" x14ac:dyDescent="0.2">
      <c r="A555">
        <f>'Fichas clínicas'!A555</f>
        <v>556</v>
      </c>
      <c r="B555" t="str">
        <f>'Fichas clínicas'!B555</f>
        <v>10162153-7</v>
      </c>
      <c r="C555" t="e">
        <f>VLOOKUP(paciente_tutor!B555,clientes!A555:B2136,2,FALSE)</f>
        <v>#N/A</v>
      </c>
      <c r="D555" t="e">
        <f t="shared" si="8"/>
        <v>#N/A</v>
      </c>
    </row>
    <row r="556" spans="1:4" x14ac:dyDescent="0.2">
      <c r="A556">
        <f>'Fichas clínicas'!A556</f>
        <v>557</v>
      </c>
      <c r="B556" t="str">
        <f>'Fichas clínicas'!B556</f>
        <v>18211646-7</v>
      </c>
      <c r="C556" t="str">
        <f>VLOOKUP(paciente_tutor!B556,clientes!A556:B2137,2,FALSE)</f>
        <v>Rodrigo</v>
      </c>
      <c r="D556" t="str">
        <f t="shared" si="8"/>
        <v>18211646-7</v>
      </c>
    </row>
    <row r="557" spans="1:4" x14ac:dyDescent="0.2">
      <c r="A557">
        <f>'Fichas clínicas'!A557</f>
        <v>558</v>
      </c>
      <c r="B557" t="str">
        <f>'Fichas clínicas'!B557</f>
        <v>18287758-1</v>
      </c>
      <c r="C557" t="str">
        <f>VLOOKUP(paciente_tutor!B557,clientes!A557:B2138,2,FALSE)</f>
        <v>Yaritza</v>
      </c>
      <c r="D557" t="str">
        <f t="shared" si="8"/>
        <v>18287758-1</v>
      </c>
    </row>
    <row r="558" spans="1:4" x14ac:dyDescent="0.2">
      <c r="A558">
        <f>'Fichas clínicas'!A558</f>
        <v>559</v>
      </c>
      <c r="B558" t="str">
        <f>'Fichas clínicas'!B558</f>
        <v>15758710-2</v>
      </c>
      <c r="C558" t="e">
        <f>VLOOKUP(paciente_tutor!B558,clientes!A558:B2139,2,FALSE)</f>
        <v>#N/A</v>
      </c>
      <c r="D558" t="e">
        <f t="shared" si="8"/>
        <v>#N/A</v>
      </c>
    </row>
    <row r="559" spans="1:4" x14ac:dyDescent="0.2">
      <c r="A559">
        <f>'Fichas clínicas'!A559</f>
        <v>560</v>
      </c>
      <c r="B559" t="str">
        <f>'Fichas clínicas'!B559</f>
        <v>10546018-k</v>
      </c>
      <c r="C559" t="e">
        <f>VLOOKUP(paciente_tutor!B559,clientes!A559:B2140,2,FALSE)</f>
        <v>#N/A</v>
      </c>
      <c r="D559" t="e">
        <f t="shared" si="8"/>
        <v>#N/A</v>
      </c>
    </row>
    <row r="560" spans="1:4" x14ac:dyDescent="0.2">
      <c r="A560">
        <f>'Fichas clínicas'!A560</f>
        <v>561</v>
      </c>
      <c r="B560" t="str">
        <f>'Fichas clínicas'!B560</f>
        <v>10546018-k</v>
      </c>
      <c r="C560" t="e">
        <f>VLOOKUP(paciente_tutor!B560,clientes!A560:B2141,2,FALSE)</f>
        <v>#N/A</v>
      </c>
      <c r="D560" t="e">
        <f t="shared" si="8"/>
        <v>#N/A</v>
      </c>
    </row>
    <row r="561" spans="1:4" x14ac:dyDescent="0.2">
      <c r="A561">
        <f>'Fichas clínicas'!A561</f>
        <v>562</v>
      </c>
      <c r="B561" t="str">
        <f>'Fichas clínicas'!B561</f>
        <v>18191502-1</v>
      </c>
      <c r="C561" t="str">
        <f>VLOOKUP(paciente_tutor!B561,clientes!A561:B2142,2,FALSE)</f>
        <v>DANIEL</v>
      </c>
      <c r="D561" t="str">
        <f t="shared" si="8"/>
        <v>18191502-1</v>
      </c>
    </row>
    <row r="562" spans="1:4" x14ac:dyDescent="0.2">
      <c r="A562">
        <f>'Fichas clínicas'!A562</f>
        <v>563</v>
      </c>
      <c r="B562" t="str">
        <f>'Fichas clínicas'!B562</f>
        <v>21432358-3</v>
      </c>
      <c r="C562" t="str">
        <f>VLOOKUP(paciente_tutor!B562,clientes!A562:B2143,2,FALSE)</f>
        <v>CATALINA</v>
      </c>
      <c r="D562" t="str">
        <f t="shared" si="8"/>
        <v>21432358-3</v>
      </c>
    </row>
    <row r="563" spans="1:4" x14ac:dyDescent="0.2">
      <c r="A563">
        <f>'Fichas clínicas'!A563</f>
        <v>564</v>
      </c>
      <c r="B563" t="str">
        <f>'Fichas clínicas'!B563</f>
        <v>16566256-3</v>
      </c>
      <c r="C563" t="str">
        <f>VLOOKUP(paciente_tutor!B563,clientes!A563:B2144,2,FALSE)</f>
        <v>MARCELA</v>
      </c>
      <c r="D563" t="str">
        <f t="shared" si="8"/>
        <v>16566256-3</v>
      </c>
    </row>
    <row r="564" spans="1:4" x14ac:dyDescent="0.2">
      <c r="A564">
        <f>'Fichas clínicas'!A564</f>
        <v>565</v>
      </c>
      <c r="B564" t="str">
        <f>'Fichas clínicas'!B564</f>
        <v>16566256-3</v>
      </c>
      <c r="C564" t="str">
        <f>VLOOKUP(paciente_tutor!B564,clientes!A564:B2145,2,FALSE)</f>
        <v>MARCELA</v>
      </c>
      <c r="D564" t="str">
        <f t="shared" si="8"/>
        <v>16566256-3</v>
      </c>
    </row>
    <row r="565" spans="1:4" x14ac:dyDescent="0.2">
      <c r="A565">
        <f>'Fichas clínicas'!A565</f>
        <v>566</v>
      </c>
      <c r="B565" t="str">
        <f>'Fichas clínicas'!B565</f>
        <v>16566256-3</v>
      </c>
      <c r="C565" t="str">
        <f>VLOOKUP(paciente_tutor!B565,clientes!A565:B2146,2,FALSE)</f>
        <v>MARCELA</v>
      </c>
      <c r="D565" t="str">
        <f t="shared" si="8"/>
        <v>16566256-3</v>
      </c>
    </row>
    <row r="566" spans="1:4" x14ac:dyDescent="0.2">
      <c r="A566">
        <f>'Fichas clínicas'!A566</f>
        <v>567</v>
      </c>
      <c r="B566" t="str">
        <f>'Fichas clínicas'!B566</f>
        <v>16566256-3</v>
      </c>
      <c r="C566" t="str">
        <f>VLOOKUP(paciente_tutor!B566,clientes!A566:B2147,2,FALSE)</f>
        <v>MARCELA</v>
      </c>
      <c r="D566" t="str">
        <f t="shared" si="8"/>
        <v>16566256-3</v>
      </c>
    </row>
    <row r="567" spans="1:4" x14ac:dyDescent="0.2">
      <c r="A567">
        <f>'Fichas clínicas'!A567</f>
        <v>568</v>
      </c>
      <c r="B567" t="str">
        <f>'Fichas clínicas'!B567</f>
        <v>16566256-3</v>
      </c>
      <c r="C567" t="str">
        <f>VLOOKUP(paciente_tutor!B567,clientes!A567:B2148,2,FALSE)</f>
        <v>MARCELA</v>
      </c>
      <c r="D567" t="str">
        <f t="shared" si="8"/>
        <v>16566256-3</v>
      </c>
    </row>
    <row r="568" spans="1:4" x14ac:dyDescent="0.2">
      <c r="A568">
        <f>'Fichas clínicas'!A568</f>
        <v>569</v>
      </c>
      <c r="B568" t="str">
        <f>'Fichas clínicas'!B568</f>
        <v>16566256-3</v>
      </c>
      <c r="C568" t="str">
        <f>VLOOKUP(paciente_tutor!B568,clientes!A568:B2149,2,FALSE)</f>
        <v>MARCELA</v>
      </c>
      <c r="D568" t="str">
        <f t="shared" si="8"/>
        <v>16566256-3</v>
      </c>
    </row>
    <row r="569" spans="1:4" x14ac:dyDescent="0.2">
      <c r="A569">
        <f>'Fichas clínicas'!A569</f>
        <v>570</v>
      </c>
      <c r="B569" t="str">
        <f>'Fichas clínicas'!B569</f>
        <v>12911545-9</v>
      </c>
      <c r="C569" t="e">
        <f>VLOOKUP(paciente_tutor!B569,clientes!A569:B2150,2,FALSE)</f>
        <v>#N/A</v>
      </c>
      <c r="D569" t="e">
        <f t="shared" si="8"/>
        <v>#N/A</v>
      </c>
    </row>
    <row r="570" spans="1:4" x14ac:dyDescent="0.2">
      <c r="A570">
        <f>'Fichas clínicas'!A570</f>
        <v>571</v>
      </c>
      <c r="B570" t="str">
        <f>'Fichas clínicas'!B570</f>
        <v>13520503-6</v>
      </c>
      <c r="C570" t="e">
        <f>VLOOKUP(paciente_tutor!B570,clientes!A570:B2151,2,FALSE)</f>
        <v>#N/A</v>
      </c>
      <c r="D570" t="e">
        <f t="shared" si="8"/>
        <v>#N/A</v>
      </c>
    </row>
    <row r="571" spans="1:4" x14ac:dyDescent="0.2">
      <c r="A571">
        <f>'Fichas clínicas'!A571</f>
        <v>572</v>
      </c>
      <c r="B571" t="str">
        <f>'Fichas clínicas'!B571</f>
        <v>8989756-4</v>
      </c>
      <c r="C571" t="str">
        <f>VLOOKUP(paciente_tutor!B571,clientes!A571:B2152,2,FALSE)</f>
        <v>MAGALY</v>
      </c>
      <c r="D571" t="str">
        <f t="shared" si="8"/>
        <v>8989756-4</v>
      </c>
    </row>
    <row r="572" spans="1:4" x14ac:dyDescent="0.2">
      <c r="A572">
        <f>'Fichas clínicas'!A572</f>
        <v>573</v>
      </c>
      <c r="B572" t="str">
        <f>'Fichas clínicas'!B572</f>
        <v>11305611-8</v>
      </c>
      <c r="C572" t="e">
        <f>VLOOKUP(paciente_tutor!B572,clientes!A572:B2153,2,FALSE)</f>
        <v>#N/A</v>
      </c>
      <c r="D572" t="e">
        <f t="shared" si="8"/>
        <v>#N/A</v>
      </c>
    </row>
    <row r="573" spans="1:4" x14ac:dyDescent="0.2">
      <c r="A573">
        <f>'Fichas clínicas'!A573</f>
        <v>574</v>
      </c>
      <c r="B573" t="str">
        <f>'Fichas clínicas'!B573</f>
        <v>20525012-3</v>
      </c>
      <c r="C573" t="str">
        <f>VLOOKUP(paciente_tutor!B573,clientes!A573:B2154,2,FALSE)</f>
        <v>GENESIS</v>
      </c>
      <c r="D573" t="str">
        <f t="shared" si="8"/>
        <v>20525012-3</v>
      </c>
    </row>
    <row r="574" spans="1:4" x14ac:dyDescent="0.2">
      <c r="A574">
        <f>'Fichas clínicas'!A574</f>
        <v>575</v>
      </c>
      <c r="B574" t="str">
        <f>'Fichas clínicas'!B574</f>
        <v>11323923-9</v>
      </c>
      <c r="C574" t="e">
        <f>VLOOKUP(paciente_tutor!B574,clientes!A574:B2155,2,FALSE)</f>
        <v>#N/A</v>
      </c>
      <c r="D574" t="e">
        <f t="shared" si="8"/>
        <v>#N/A</v>
      </c>
    </row>
    <row r="575" spans="1:4" x14ac:dyDescent="0.2">
      <c r="A575">
        <f>'Fichas clínicas'!A575</f>
        <v>576</v>
      </c>
      <c r="B575" t="str">
        <f>'Fichas clínicas'!B575</f>
        <v>11323923-9</v>
      </c>
      <c r="C575" t="e">
        <f>VLOOKUP(paciente_tutor!B575,clientes!A575:B2156,2,FALSE)</f>
        <v>#N/A</v>
      </c>
      <c r="D575" t="e">
        <f t="shared" si="8"/>
        <v>#N/A</v>
      </c>
    </row>
    <row r="576" spans="1:4" x14ac:dyDescent="0.2">
      <c r="A576">
        <f>'Fichas clínicas'!A576</f>
        <v>577</v>
      </c>
      <c r="B576" t="str">
        <f>'Fichas clínicas'!B576</f>
        <v>15884274-2</v>
      </c>
      <c r="C576" t="e">
        <f>VLOOKUP(paciente_tutor!B576,clientes!A576:B2157,2,FALSE)</f>
        <v>#N/A</v>
      </c>
      <c r="D576" t="e">
        <f t="shared" si="8"/>
        <v>#N/A</v>
      </c>
    </row>
    <row r="577" spans="1:4" x14ac:dyDescent="0.2">
      <c r="A577">
        <f>'Fichas clínicas'!A577</f>
        <v>578</v>
      </c>
      <c r="B577" t="str">
        <f>'Fichas clínicas'!B577</f>
        <v>9297655-6</v>
      </c>
      <c r="C577" t="str">
        <f>VLOOKUP(paciente_tutor!B577,clientes!A577:B2158,2,FALSE)</f>
        <v>JAIME</v>
      </c>
      <c r="D577" t="str">
        <f t="shared" si="8"/>
        <v>9297655-6</v>
      </c>
    </row>
    <row r="578" spans="1:4" x14ac:dyDescent="0.2">
      <c r="A578">
        <f>'Fichas clínicas'!A578</f>
        <v>579</v>
      </c>
      <c r="B578" t="str">
        <f>'Fichas clínicas'!B578</f>
        <v>21278741-8</v>
      </c>
      <c r="C578" t="str">
        <f>VLOOKUP(paciente_tutor!B578,clientes!A578:B2159,2,FALSE)</f>
        <v>JAVIERA</v>
      </c>
      <c r="D578" t="str">
        <f t="shared" si="8"/>
        <v>21278741-8</v>
      </c>
    </row>
    <row r="579" spans="1:4" x14ac:dyDescent="0.2">
      <c r="A579">
        <f>'Fichas clínicas'!A579</f>
        <v>580</v>
      </c>
      <c r="B579" t="str">
        <f>'Fichas clínicas'!B579</f>
        <v>12432507-2</v>
      </c>
      <c r="C579" t="e">
        <f>VLOOKUP(paciente_tutor!B579,clientes!A579:B2160,2,FALSE)</f>
        <v>#N/A</v>
      </c>
      <c r="D579" t="e">
        <f t="shared" ref="D579:D642" si="9">IF(C579="#N/A","",B579)</f>
        <v>#N/A</v>
      </c>
    </row>
    <row r="580" spans="1:4" x14ac:dyDescent="0.2">
      <c r="A580">
        <f>'Fichas clínicas'!A580</f>
        <v>581</v>
      </c>
      <c r="B580" t="str">
        <f>'Fichas clínicas'!B580</f>
        <v>20346253-0</v>
      </c>
      <c r="C580" t="str">
        <f>VLOOKUP(paciente_tutor!B580,clientes!A580:B2161,2,FALSE)</f>
        <v>YENIFER</v>
      </c>
      <c r="D580" t="str">
        <f t="shared" si="9"/>
        <v>20346253-0</v>
      </c>
    </row>
    <row r="581" spans="1:4" x14ac:dyDescent="0.2">
      <c r="A581">
        <f>'Fichas clínicas'!A581</f>
        <v>582</v>
      </c>
      <c r="B581" t="str">
        <f>'Fichas clínicas'!B581</f>
        <v>17877165-5</v>
      </c>
      <c r="C581" t="str">
        <f>VLOOKUP(paciente_tutor!B581,clientes!A581:B2162,2,FALSE)</f>
        <v>ROMINA</v>
      </c>
      <c r="D581" t="str">
        <f t="shared" si="9"/>
        <v>17877165-5</v>
      </c>
    </row>
    <row r="582" spans="1:4" x14ac:dyDescent="0.2">
      <c r="A582">
        <f>'Fichas clínicas'!A582</f>
        <v>583</v>
      </c>
      <c r="B582" t="str">
        <f>'Fichas clínicas'!B582</f>
        <v>16872197-8</v>
      </c>
      <c r="C582" t="str">
        <f>VLOOKUP(paciente_tutor!B582,clientes!A582:B2163,2,FALSE)</f>
        <v>MIGUEL</v>
      </c>
      <c r="D582" t="str">
        <f t="shared" si="9"/>
        <v>16872197-8</v>
      </c>
    </row>
    <row r="583" spans="1:4" x14ac:dyDescent="0.2">
      <c r="A583">
        <f>'Fichas clínicas'!A583</f>
        <v>584</v>
      </c>
      <c r="B583" t="str">
        <f>'Fichas clínicas'!B583</f>
        <v>16872197-8</v>
      </c>
      <c r="C583" t="str">
        <f>VLOOKUP(paciente_tutor!B583,clientes!A583:B2164,2,FALSE)</f>
        <v>MIGUEL</v>
      </c>
      <c r="D583" t="str">
        <f t="shared" si="9"/>
        <v>16872197-8</v>
      </c>
    </row>
    <row r="584" spans="1:4" x14ac:dyDescent="0.2">
      <c r="A584">
        <f>'Fichas clínicas'!A584</f>
        <v>585</v>
      </c>
      <c r="B584" t="str">
        <f>'Fichas clínicas'!B584</f>
        <v>7142205-4</v>
      </c>
      <c r="C584" t="str">
        <f>VLOOKUP(paciente_tutor!B584,clientes!A584:B2165,2,FALSE)</f>
        <v>ANITA</v>
      </c>
      <c r="D584" t="str">
        <f t="shared" si="9"/>
        <v>7142205-4</v>
      </c>
    </row>
    <row r="585" spans="1:4" x14ac:dyDescent="0.2">
      <c r="A585">
        <f>'Fichas clínicas'!A585</f>
        <v>586</v>
      </c>
      <c r="B585" t="str">
        <f>'Fichas clínicas'!B585</f>
        <v>6987245-K</v>
      </c>
      <c r="C585" t="str">
        <f>VLOOKUP(paciente_tutor!B585,clientes!A585:B2166,2,FALSE)</f>
        <v>RUDETMIT</v>
      </c>
      <c r="D585" t="str">
        <f t="shared" si="9"/>
        <v>6987245-K</v>
      </c>
    </row>
    <row r="586" spans="1:4" x14ac:dyDescent="0.2">
      <c r="A586">
        <f>'Fichas clínicas'!A586</f>
        <v>587</v>
      </c>
      <c r="B586" t="str">
        <f>'Fichas clínicas'!B586</f>
        <v>21954595-9</v>
      </c>
      <c r="C586" t="str">
        <f>VLOOKUP(paciente_tutor!B586,clientes!A586:B2167,2,FALSE)</f>
        <v>VICTORIA</v>
      </c>
      <c r="D586" t="str">
        <f t="shared" si="9"/>
        <v>21954595-9</v>
      </c>
    </row>
    <row r="587" spans="1:4" x14ac:dyDescent="0.2">
      <c r="A587">
        <f>'Fichas clínicas'!A587</f>
        <v>588</v>
      </c>
      <c r="B587" t="str">
        <f>'Fichas clínicas'!B587</f>
        <v>15293682-6</v>
      </c>
      <c r="C587" t="e">
        <f>VLOOKUP(paciente_tutor!B587,clientes!A587:B2168,2,FALSE)</f>
        <v>#N/A</v>
      </c>
      <c r="D587" t="e">
        <f t="shared" si="9"/>
        <v>#N/A</v>
      </c>
    </row>
    <row r="588" spans="1:4" x14ac:dyDescent="0.2">
      <c r="A588">
        <f>'Fichas clínicas'!A588</f>
        <v>589</v>
      </c>
      <c r="B588" t="str">
        <f>'Fichas clínicas'!B588</f>
        <v>15759669-1</v>
      </c>
      <c r="C588" t="e">
        <f>VLOOKUP(paciente_tutor!B588,clientes!A588:B2169,2,FALSE)</f>
        <v>#N/A</v>
      </c>
      <c r="D588" t="e">
        <f t="shared" si="9"/>
        <v>#N/A</v>
      </c>
    </row>
    <row r="589" spans="1:4" x14ac:dyDescent="0.2">
      <c r="A589">
        <f>'Fichas clínicas'!A589</f>
        <v>590</v>
      </c>
      <c r="B589" t="str">
        <f>'Fichas clínicas'!B589</f>
        <v>15293915-9</v>
      </c>
      <c r="C589" t="e">
        <f>VLOOKUP(paciente_tutor!B589,clientes!A589:B2170,2,FALSE)</f>
        <v>#N/A</v>
      </c>
      <c r="D589" t="e">
        <f t="shared" si="9"/>
        <v>#N/A</v>
      </c>
    </row>
    <row r="590" spans="1:4" x14ac:dyDescent="0.2">
      <c r="A590">
        <f>'Fichas clínicas'!A590</f>
        <v>591</v>
      </c>
      <c r="B590" t="str">
        <f>'Fichas clínicas'!B590</f>
        <v>16048732-1</v>
      </c>
      <c r="C590" t="e">
        <f>VLOOKUP(paciente_tutor!B590,clientes!A590:B2171,2,FALSE)</f>
        <v>#N/A</v>
      </c>
      <c r="D590" t="e">
        <f t="shared" si="9"/>
        <v>#N/A</v>
      </c>
    </row>
    <row r="591" spans="1:4" x14ac:dyDescent="0.2">
      <c r="A591">
        <f>'Fichas clínicas'!A591</f>
        <v>592</v>
      </c>
      <c r="B591" t="str">
        <f>'Fichas clínicas'!B591</f>
        <v>16048732-1</v>
      </c>
      <c r="C591" t="e">
        <f>VLOOKUP(paciente_tutor!B591,clientes!A591:B2172,2,FALSE)</f>
        <v>#N/A</v>
      </c>
      <c r="D591" t="e">
        <f t="shared" si="9"/>
        <v>#N/A</v>
      </c>
    </row>
    <row r="592" spans="1:4" x14ac:dyDescent="0.2">
      <c r="A592">
        <f>'Fichas clínicas'!A592</f>
        <v>593</v>
      </c>
      <c r="B592" t="str">
        <f>'Fichas clínicas'!B592</f>
        <v>20924780-1</v>
      </c>
      <c r="C592" t="str">
        <f>VLOOKUP(paciente_tutor!B592,clientes!A592:B2173,2,FALSE)</f>
        <v>PAZ</v>
      </c>
      <c r="D592" t="str">
        <f t="shared" si="9"/>
        <v>20924780-1</v>
      </c>
    </row>
    <row r="593" spans="1:4" x14ac:dyDescent="0.2">
      <c r="A593">
        <f>'Fichas clínicas'!A593</f>
        <v>594</v>
      </c>
      <c r="B593" t="str">
        <f>'Fichas clínicas'!B593</f>
        <v>19934119-7</v>
      </c>
      <c r="C593" t="str">
        <f>VLOOKUP(paciente_tutor!B593,clientes!A593:B2174,2,FALSE)</f>
        <v>BARBARA</v>
      </c>
      <c r="D593" t="str">
        <f t="shared" si="9"/>
        <v>19934119-7</v>
      </c>
    </row>
    <row r="594" spans="1:4" x14ac:dyDescent="0.2">
      <c r="A594">
        <f>'Fichas clínicas'!A594</f>
        <v>595</v>
      </c>
      <c r="B594" t="str">
        <f>'Fichas clínicas'!B594</f>
        <v>10427235-5</v>
      </c>
      <c r="C594" t="e">
        <f>VLOOKUP(paciente_tutor!B594,clientes!A594:B2175,2,FALSE)</f>
        <v>#N/A</v>
      </c>
      <c r="D594" t="e">
        <f t="shared" si="9"/>
        <v>#N/A</v>
      </c>
    </row>
    <row r="595" spans="1:4" x14ac:dyDescent="0.2">
      <c r="A595">
        <f>'Fichas clínicas'!A595</f>
        <v>596</v>
      </c>
      <c r="B595" t="str">
        <f>'Fichas clínicas'!B595</f>
        <v>18174473-1</v>
      </c>
      <c r="C595" t="str">
        <f>VLOOKUP(paciente_tutor!B595,clientes!A595:B2176,2,FALSE)</f>
        <v>Carolina</v>
      </c>
      <c r="D595" t="str">
        <f t="shared" si="9"/>
        <v>18174473-1</v>
      </c>
    </row>
    <row r="596" spans="1:4" x14ac:dyDescent="0.2">
      <c r="A596">
        <f>'Fichas clínicas'!A596</f>
        <v>597</v>
      </c>
      <c r="B596" t="str">
        <f>'Fichas clínicas'!B596</f>
        <v>15549028-4</v>
      </c>
      <c r="C596" t="e">
        <f>VLOOKUP(paciente_tutor!B596,clientes!A596:B2177,2,FALSE)</f>
        <v>#N/A</v>
      </c>
      <c r="D596" t="e">
        <f t="shared" si="9"/>
        <v>#N/A</v>
      </c>
    </row>
    <row r="597" spans="1:4" x14ac:dyDescent="0.2">
      <c r="A597">
        <f>'Fichas clínicas'!A597</f>
        <v>598</v>
      </c>
      <c r="B597" t="str">
        <f>'Fichas clínicas'!B597</f>
        <v>12310692-K</v>
      </c>
      <c r="C597" t="e">
        <f>VLOOKUP(paciente_tutor!B597,clientes!A597:B2178,2,FALSE)</f>
        <v>#N/A</v>
      </c>
      <c r="D597" t="e">
        <f t="shared" si="9"/>
        <v>#N/A</v>
      </c>
    </row>
    <row r="598" spans="1:4" x14ac:dyDescent="0.2">
      <c r="A598">
        <f>'Fichas clínicas'!A598</f>
        <v>599</v>
      </c>
      <c r="B598" t="str">
        <f>'Fichas clínicas'!B598</f>
        <v>15547930-2</v>
      </c>
      <c r="C598" t="e">
        <f>VLOOKUP(paciente_tutor!B598,clientes!A598:B2179,2,FALSE)</f>
        <v>#N/A</v>
      </c>
      <c r="D598" t="e">
        <f t="shared" si="9"/>
        <v>#N/A</v>
      </c>
    </row>
    <row r="599" spans="1:4" x14ac:dyDescent="0.2">
      <c r="A599">
        <f>'Fichas clínicas'!A599</f>
        <v>600</v>
      </c>
      <c r="B599" t="str">
        <f>'Fichas clínicas'!B599</f>
        <v>15547930-2</v>
      </c>
      <c r="C599" t="e">
        <f>VLOOKUP(paciente_tutor!B599,clientes!A599:B2180,2,FALSE)</f>
        <v>#N/A</v>
      </c>
      <c r="D599" t="e">
        <f t="shared" si="9"/>
        <v>#N/A</v>
      </c>
    </row>
    <row r="600" spans="1:4" x14ac:dyDescent="0.2">
      <c r="A600">
        <f>'Fichas clínicas'!A600</f>
        <v>601</v>
      </c>
      <c r="B600" t="str">
        <f>'Fichas clínicas'!B600</f>
        <v>21294978-7</v>
      </c>
      <c r="C600" t="str">
        <f>VLOOKUP(paciente_tutor!B600,clientes!A600:B2181,2,FALSE)</f>
        <v>YOSELYN</v>
      </c>
      <c r="D600" t="str">
        <f t="shared" si="9"/>
        <v>21294978-7</v>
      </c>
    </row>
    <row r="601" spans="1:4" x14ac:dyDescent="0.2">
      <c r="A601">
        <f>'Fichas clínicas'!A601</f>
        <v>602</v>
      </c>
      <c r="B601" t="str">
        <f>'Fichas clínicas'!B601</f>
        <v>16579486-9</v>
      </c>
      <c r="C601" t="str">
        <f>VLOOKUP(paciente_tutor!B601,clientes!A601:B2182,2,FALSE)</f>
        <v>CARLA PAULINA</v>
      </c>
      <c r="D601" t="str">
        <f t="shared" si="9"/>
        <v>16579486-9</v>
      </c>
    </row>
    <row r="602" spans="1:4" x14ac:dyDescent="0.2">
      <c r="A602">
        <f>'Fichas clínicas'!A602</f>
        <v>603</v>
      </c>
      <c r="B602" t="str">
        <f>'Fichas clínicas'!B602</f>
        <v>17864877-2</v>
      </c>
      <c r="C602" t="str">
        <f>VLOOKUP(paciente_tutor!B602,clientes!A602:B2183,2,FALSE)</f>
        <v>Magdalena</v>
      </c>
      <c r="D602" t="str">
        <f t="shared" si="9"/>
        <v>17864877-2</v>
      </c>
    </row>
    <row r="603" spans="1:4" x14ac:dyDescent="0.2">
      <c r="A603">
        <f>'Fichas clínicas'!A603</f>
        <v>604</v>
      </c>
      <c r="B603" t="str">
        <f>'Fichas clínicas'!B603</f>
        <v>18889121-7</v>
      </c>
      <c r="C603" t="str">
        <f>VLOOKUP(paciente_tutor!B603,clientes!A603:B2184,2,FALSE)</f>
        <v>TAMARA IGNACIA</v>
      </c>
      <c r="D603" t="str">
        <f t="shared" si="9"/>
        <v>18889121-7</v>
      </c>
    </row>
    <row r="604" spans="1:4" x14ac:dyDescent="0.2">
      <c r="A604">
        <f>'Fichas clínicas'!A604</f>
        <v>605</v>
      </c>
      <c r="B604" t="str">
        <f>'Fichas clínicas'!B604</f>
        <v>16806099-8</v>
      </c>
      <c r="C604" t="str">
        <f>VLOOKUP(paciente_tutor!B604,clientes!A604:B2185,2,FALSE)</f>
        <v>LAURA</v>
      </c>
      <c r="D604" t="str">
        <f t="shared" si="9"/>
        <v>16806099-8</v>
      </c>
    </row>
    <row r="605" spans="1:4" x14ac:dyDescent="0.2">
      <c r="A605">
        <f>'Fichas clínicas'!A605</f>
        <v>606</v>
      </c>
      <c r="B605" t="str">
        <f>'Fichas clínicas'!B605</f>
        <v>16806099-8</v>
      </c>
      <c r="C605" t="str">
        <f>VLOOKUP(paciente_tutor!B605,clientes!A605:B2186,2,FALSE)</f>
        <v>LAURA</v>
      </c>
      <c r="D605" t="str">
        <f t="shared" si="9"/>
        <v>16806099-8</v>
      </c>
    </row>
    <row r="606" spans="1:4" x14ac:dyDescent="0.2">
      <c r="A606">
        <f>'Fichas clínicas'!A606</f>
        <v>607</v>
      </c>
      <c r="B606" t="str">
        <f>'Fichas clínicas'!B606</f>
        <v>16806099-8</v>
      </c>
      <c r="C606" t="str">
        <f>VLOOKUP(paciente_tutor!B606,clientes!A606:B2187,2,FALSE)</f>
        <v>LAURA</v>
      </c>
      <c r="D606" t="str">
        <f t="shared" si="9"/>
        <v>16806099-8</v>
      </c>
    </row>
    <row r="607" spans="1:4" x14ac:dyDescent="0.2">
      <c r="A607">
        <f>'Fichas clínicas'!A607</f>
        <v>608</v>
      </c>
      <c r="B607" t="str">
        <f>'Fichas clínicas'!B607</f>
        <v>16048926-K</v>
      </c>
      <c r="C607" t="e">
        <f>VLOOKUP(paciente_tutor!B607,clientes!A607:B2188,2,FALSE)</f>
        <v>#N/A</v>
      </c>
      <c r="D607" t="e">
        <f t="shared" si="9"/>
        <v>#N/A</v>
      </c>
    </row>
    <row r="608" spans="1:4" x14ac:dyDescent="0.2">
      <c r="A608">
        <f>'Fichas clínicas'!A608</f>
        <v>609</v>
      </c>
      <c r="B608" t="str">
        <f>'Fichas clínicas'!B608</f>
        <v>17513079-9</v>
      </c>
      <c r="C608" t="str">
        <f>VLOOKUP(paciente_tutor!B608,clientes!A608:B2189,2,FALSE)</f>
        <v>IVÁN</v>
      </c>
      <c r="D608" t="str">
        <f t="shared" si="9"/>
        <v>17513079-9</v>
      </c>
    </row>
    <row r="609" spans="1:4" x14ac:dyDescent="0.2">
      <c r="A609">
        <f>'Fichas clínicas'!A609</f>
        <v>610</v>
      </c>
      <c r="B609" t="str">
        <f>'Fichas clínicas'!B609</f>
        <v>16564403-4</v>
      </c>
      <c r="C609" t="str">
        <f>VLOOKUP(paciente_tutor!B609,clientes!A609:B2190,2,FALSE)</f>
        <v>Gladis Flores</v>
      </c>
      <c r="D609" t="str">
        <f t="shared" si="9"/>
        <v>16564403-4</v>
      </c>
    </row>
    <row r="610" spans="1:4" x14ac:dyDescent="0.2">
      <c r="A610">
        <f>'Fichas clínicas'!A610</f>
        <v>611</v>
      </c>
      <c r="B610" t="str">
        <f>'Fichas clínicas'!B610</f>
        <v>14159015-4</v>
      </c>
      <c r="C610" t="e">
        <f>VLOOKUP(paciente_tutor!B610,clientes!A610:B2191,2,FALSE)</f>
        <v>#N/A</v>
      </c>
      <c r="D610" t="e">
        <f t="shared" si="9"/>
        <v>#N/A</v>
      </c>
    </row>
    <row r="611" spans="1:4" x14ac:dyDescent="0.2">
      <c r="A611">
        <f>'Fichas clínicas'!A611</f>
        <v>612</v>
      </c>
      <c r="B611" t="str">
        <f>'Fichas clínicas'!B611</f>
        <v>20346407-k</v>
      </c>
      <c r="C611" t="str">
        <f>VLOOKUP(paciente_tutor!B611,clientes!A611:B2192,2,FALSE)</f>
        <v>KATHERINE</v>
      </c>
      <c r="D611" t="str">
        <f t="shared" si="9"/>
        <v>20346407-k</v>
      </c>
    </row>
    <row r="612" spans="1:4" x14ac:dyDescent="0.2">
      <c r="A612">
        <f>'Fichas clínicas'!A612</f>
        <v>613</v>
      </c>
      <c r="B612" t="str">
        <f>'Fichas clínicas'!B612</f>
        <v>16464617-3</v>
      </c>
      <c r="C612" t="str">
        <f>VLOOKUP(paciente_tutor!B612,clientes!A612:B2193,2,FALSE)</f>
        <v>NADIA</v>
      </c>
      <c r="D612" t="str">
        <f t="shared" si="9"/>
        <v>16464617-3</v>
      </c>
    </row>
    <row r="613" spans="1:4" x14ac:dyDescent="0.2">
      <c r="A613">
        <f>'Fichas clínicas'!A613</f>
        <v>614</v>
      </c>
      <c r="B613" t="str">
        <f>'Fichas clínicas'!B613</f>
        <v>13117182-k</v>
      </c>
      <c r="C613" t="e">
        <f>VLOOKUP(paciente_tutor!B613,clientes!A613:B2194,2,FALSE)</f>
        <v>#N/A</v>
      </c>
      <c r="D613" t="e">
        <f t="shared" si="9"/>
        <v>#N/A</v>
      </c>
    </row>
    <row r="614" spans="1:4" x14ac:dyDescent="0.2">
      <c r="A614">
        <f>'Fichas clínicas'!A614</f>
        <v>615</v>
      </c>
      <c r="B614" t="str">
        <f>'Fichas clínicas'!B614</f>
        <v>18843527-0</v>
      </c>
      <c r="C614" t="str">
        <f>VLOOKUP(paciente_tutor!B614,clientes!A614:B2195,2,FALSE)</f>
        <v>Fernanda Angelica</v>
      </c>
      <c r="D614" t="str">
        <f t="shared" si="9"/>
        <v>18843527-0</v>
      </c>
    </row>
    <row r="615" spans="1:4" x14ac:dyDescent="0.2">
      <c r="A615">
        <f>'Fichas clínicas'!A615</f>
        <v>616</v>
      </c>
      <c r="B615" t="str">
        <f>'Fichas clínicas'!B615</f>
        <v>18888970-0</v>
      </c>
      <c r="C615" t="str">
        <f>VLOOKUP(paciente_tutor!B615,clientes!A615:B2196,2,FALSE)</f>
        <v>VICTORIA</v>
      </c>
      <c r="D615" t="str">
        <f t="shared" si="9"/>
        <v>18888970-0</v>
      </c>
    </row>
    <row r="616" spans="1:4" x14ac:dyDescent="0.2">
      <c r="A616">
        <f>'Fichas clínicas'!A616</f>
        <v>617</v>
      </c>
      <c r="B616" t="str">
        <f>'Fichas clínicas'!B616</f>
        <v>21588441-4</v>
      </c>
      <c r="C616" t="str">
        <f>VLOOKUP(paciente_tutor!B616,clientes!A616:B2197,2,FALSE)</f>
        <v>DAVID</v>
      </c>
      <c r="D616" t="str">
        <f t="shared" si="9"/>
        <v>21588441-4</v>
      </c>
    </row>
    <row r="617" spans="1:4" x14ac:dyDescent="0.2">
      <c r="A617">
        <f>'Fichas clínicas'!A617</f>
        <v>618</v>
      </c>
      <c r="B617" t="str">
        <f>'Fichas clínicas'!B617</f>
        <v>15894519-3</v>
      </c>
      <c r="C617" t="e">
        <f>VLOOKUP(paciente_tutor!B617,clientes!A617:B2198,2,FALSE)</f>
        <v>#N/A</v>
      </c>
      <c r="D617" t="e">
        <f t="shared" si="9"/>
        <v>#N/A</v>
      </c>
    </row>
    <row r="618" spans="1:4" x14ac:dyDescent="0.2">
      <c r="A618">
        <f>'Fichas clínicas'!A618</f>
        <v>619</v>
      </c>
      <c r="B618" t="str">
        <f>'Fichas clínicas'!B618</f>
        <v>15894519-3</v>
      </c>
      <c r="C618" t="e">
        <f>VLOOKUP(paciente_tutor!B618,clientes!A618:B2199,2,FALSE)</f>
        <v>#N/A</v>
      </c>
      <c r="D618" t="e">
        <f t="shared" si="9"/>
        <v>#N/A</v>
      </c>
    </row>
    <row r="619" spans="1:4" x14ac:dyDescent="0.2">
      <c r="A619">
        <f>'Fichas clínicas'!A619</f>
        <v>620</v>
      </c>
      <c r="B619" t="str">
        <f>'Fichas clínicas'!B619</f>
        <v>18191502-1</v>
      </c>
      <c r="C619" t="str">
        <f>VLOOKUP(paciente_tutor!B619,clientes!A619:B2200,2,FALSE)</f>
        <v>DANIEL</v>
      </c>
      <c r="D619" t="str">
        <f t="shared" si="9"/>
        <v>18191502-1</v>
      </c>
    </row>
    <row r="620" spans="1:4" x14ac:dyDescent="0.2">
      <c r="A620">
        <f>'Fichas clínicas'!A620</f>
        <v>621</v>
      </c>
      <c r="B620" t="str">
        <f>'Fichas clínicas'!B620</f>
        <v>18191502-1</v>
      </c>
      <c r="C620" t="str">
        <f>VLOOKUP(paciente_tutor!B620,clientes!A620:B2201,2,FALSE)</f>
        <v>DANIEL</v>
      </c>
      <c r="D620" t="str">
        <f t="shared" si="9"/>
        <v>18191502-1</v>
      </c>
    </row>
    <row r="621" spans="1:4" x14ac:dyDescent="0.2">
      <c r="A621">
        <f>'Fichas clínicas'!A621</f>
        <v>622</v>
      </c>
      <c r="B621" t="str">
        <f>'Fichas clínicas'!B621</f>
        <v>15183103-6</v>
      </c>
      <c r="C621" t="e">
        <f>VLOOKUP(paciente_tutor!B621,clientes!A621:B2202,2,FALSE)</f>
        <v>#N/A</v>
      </c>
      <c r="D621" t="e">
        <f t="shared" si="9"/>
        <v>#N/A</v>
      </c>
    </row>
    <row r="622" spans="1:4" x14ac:dyDescent="0.2">
      <c r="A622">
        <f>'Fichas clínicas'!A622</f>
        <v>623</v>
      </c>
      <c r="B622" t="str">
        <f>'Fichas clínicas'!B622</f>
        <v>25341270-4</v>
      </c>
      <c r="C622" t="str">
        <f>VLOOKUP(paciente_tutor!B622,clientes!A622:B2203,2,FALSE)</f>
        <v>ADRIANA MARÍA</v>
      </c>
      <c r="D622" t="str">
        <f t="shared" si="9"/>
        <v>25341270-4</v>
      </c>
    </row>
    <row r="623" spans="1:4" x14ac:dyDescent="0.2">
      <c r="A623">
        <f>'Fichas clínicas'!A623</f>
        <v>624</v>
      </c>
      <c r="B623" t="str">
        <f>'Fichas clínicas'!B623</f>
        <v>13730383-3</v>
      </c>
      <c r="C623" t="e">
        <f>VLOOKUP(paciente_tutor!B623,clientes!A623:B2204,2,FALSE)</f>
        <v>#N/A</v>
      </c>
      <c r="D623" t="e">
        <f t="shared" si="9"/>
        <v>#N/A</v>
      </c>
    </row>
    <row r="624" spans="1:4" x14ac:dyDescent="0.2">
      <c r="A624">
        <f>'Fichas clínicas'!A624</f>
        <v>625</v>
      </c>
      <c r="B624" t="str">
        <f>'Fichas clínicas'!B624</f>
        <v>18886573-9</v>
      </c>
      <c r="C624" t="str">
        <f>VLOOKUP(paciente_tutor!B624,clientes!A624:B2205,2,FALSE)</f>
        <v>Vania Ester</v>
      </c>
      <c r="D624" t="str">
        <f t="shared" si="9"/>
        <v>18886573-9</v>
      </c>
    </row>
    <row r="625" spans="1:4" x14ac:dyDescent="0.2">
      <c r="A625">
        <f>'Fichas clínicas'!A625</f>
        <v>626</v>
      </c>
      <c r="B625" t="str">
        <f>'Fichas clínicas'!B625</f>
        <v>22074218-0</v>
      </c>
      <c r="C625" t="str">
        <f>VLOOKUP(paciente_tutor!B625,clientes!A625:B2206,2,FALSE)</f>
        <v>Pia</v>
      </c>
      <c r="D625" t="str">
        <f t="shared" si="9"/>
        <v>22074218-0</v>
      </c>
    </row>
    <row r="626" spans="1:4" x14ac:dyDescent="0.2">
      <c r="A626">
        <f>'Fichas clínicas'!A626</f>
        <v>627</v>
      </c>
      <c r="B626" t="str">
        <f>'Fichas clínicas'!B626</f>
        <v>12994117-0</v>
      </c>
      <c r="C626" t="e">
        <f>VLOOKUP(paciente_tutor!B626,clientes!A626:B2207,2,FALSE)</f>
        <v>#N/A</v>
      </c>
      <c r="D626" t="e">
        <f t="shared" si="9"/>
        <v>#N/A</v>
      </c>
    </row>
    <row r="627" spans="1:4" x14ac:dyDescent="0.2">
      <c r="A627">
        <f>'Fichas clínicas'!A627</f>
        <v>628</v>
      </c>
      <c r="B627" t="str">
        <f>'Fichas clínicas'!B627</f>
        <v>11306458-7</v>
      </c>
      <c r="C627" t="e">
        <f>VLOOKUP(paciente_tutor!B627,clientes!A627:B2208,2,FALSE)</f>
        <v>#N/A</v>
      </c>
      <c r="D627" t="e">
        <f t="shared" si="9"/>
        <v>#N/A</v>
      </c>
    </row>
    <row r="628" spans="1:4" x14ac:dyDescent="0.2">
      <c r="A628">
        <f>'Fichas clínicas'!A628</f>
        <v>629</v>
      </c>
      <c r="B628" t="str">
        <f>'Fichas clínicas'!B628</f>
        <v>18174469-3</v>
      </c>
      <c r="C628" t="str">
        <f>VLOOKUP(paciente_tutor!B628,clientes!A628:B2209,2,FALSE)</f>
        <v>Leonardo</v>
      </c>
      <c r="D628" t="str">
        <f t="shared" si="9"/>
        <v>18174469-3</v>
      </c>
    </row>
    <row r="629" spans="1:4" x14ac:dyDescent="0.2">
      <c r="A629">
        <f>'Fichas clínicas'!A629</f>
        <v>630</v>
      </c>
      <c r="B629" t="str">
        <f>'Fichas clínicas'!B629</f>
        <v>21768080-8</v>
      </c>
      <c r="C629" t="str">
        <f>VLOOKUP(paciente_tutor!B629,clientes!A629:B2210,2,FALSE)</f>
        <v>Matias</v>
      </c>
      <c r="D629" t="str">
        <f t="shared" si="9"/>
        <v>21768080-8</v>
      </c>
    </row>
    <row r="630" spans="1:4" x14ac:dyDescent="0.2">
      <c r="A630">
        <f>'Fichas clínicas'!A630</f>
        <v>631</v>
      </c>
      <c r="B630" t="str">
        <f>'Fichas clínicas'!B630</f>
        <v>20731683-0</v>
      </c>
      <c r="C630" t="str">
        <f>VLOOKUP(paciente_tutor!B630,clientes!A630:B2211,2,FALSE)</f>
        <v>Catalina</v>
      </c>
      <c r="D630" t="str">
        <f t="shared" si="9"/>
        <v>20731683-0</v>
      </c>
    </row>
    <row r="631" spans="1:4" x14ac:dyDescent="0.2">
      <c r="A631">
        <f>'Fichas clínicas'!A631</f>
        <v>632</v>
      </c>
      <c r="B631" t="str">
        <f>'Fichas clínicas'!B631</f>
        <v>14081233-1</v>
      </c>
      <c r="C631" t="e">
        <f>VLOOKUP(paciente_tutor!B631,clientes!A631:B2212,2,FALSE)</f>
        <v>#N/A</v>
      </c>
      <c r="D631" t="e">
        <f t="shared" si="9"/>
        <v>#N/A</v>
      </c>
    </row>
    <row r="632" spans="1:4" x14ac:dyDescent="0.2">
      <c r="A632">
        <f>'Fichas clínicas'!A632</f>
        <v>633</v>
      </c>
      <c r="B632" t="str">
        <f>'Fichas clínicas'!B632</f>
        <v>12741962-0</v>
      </c>
      <c r="C632" t="e">
        <f>VLOOKUP(paciente_tutor!B632,clientes!A632:B2213,2,FALSE)</f>
        <v>#N/A</v>
      </c>
      <c r="D632" t="e">
        <f t="shared" si="9"/>
        <v>#N/A</v>
      </c>
    </row>
    <row r="633" spans="1:4" x14ac:dyDescent="0.2">
      <c r="A633">
        <f>'Fichas clínicas'!A633</f>
        <v>634</v>
      </c>
      <c r="B633" t="str">
        <f>'Fichas clínicas'!B633</f>
        <v>18133353-7</v>
      </c>
      <c r="C633" t="str">
        <f>VLOOKUP(paciente_tutor!B633,clientes!A633:B2214,2,FALSE)</f>
        <v>Lidia</v>
      </c>
      <c r="D633" t="str">
        <f t="shared" si="9"/>
        <v>18133353-7</v>
      </c>
    </row>
    <row r="634" spans="1:4" x14ac:dyDescent="0.2">
      <c r="A634">
        <f>'Fichas clínicas'!A634</f>
        <v>635</v>
      </c>
      <c r="B634" t="str">
        <f>'Fichas clínicas'!B634</f>
        <v>10169509-3</v>
      </c>
      <c r="C634" t="e">
        <f>VLOOKUP(paciente_tutor!B634,clientes!A634:B2215,2,FALSE)</f>
        <v>#N/A</v>
      </c>
      <c r="D634" t="e">
        <f t="shared" si="9"/>
        <v>#N/A</v>
      </c>
    </row>
    <row r="635" spans="1:4" x14ac:dyDescent="0.2">
      <c r="A635">
        <f>'Fichas clínicas'!A635</f>
        <v>636</v>
      </c>
      <c r="B635" t="str">
        <f>'Fichas clínicas'!B635</f>
        <v>10169509-3</v>
      </c>
      <c r="C635" t="e">
        <f>VLOOKUP(paciente_tutor!B635,clientes!A635:B2216,2,FALSE)</f>
        <v>#N/A</v>
      </c>
      <c r="D635" t="e">
        <f t="shared" si="9"/>
        <v>#N/A</v>
      </c>
    </row>
    <row r="636" spans="1:4" x14ac:dyDescent="0.2">
      <c r="A636">
        <f>'Fichas clínicas'!A636</f>
        <v>637</v>
      </c>
      <c r="B636" t="str">
        <f>'Fichas clínicas'!B636</f>
        <v>18045340-7</v>
      </c>
      <c r="C636" t="str">
        <f>VLOOKUP(paciente_tutor!B636,clientes!A636:B2217,2,FALSE)</f>
        <v>Mauricio</v>
      </c>
      <c r="D636" t="str">
        <f t="shared" si="9"/>
        <v>18045340-7</v>
      </c>
    </row>
    <row r="637" spans="1:4" x14ac:dyDescent="0.2">
      <c r="A637">
        <f>'Fichas clínicas'!A637</f>
        <v>638</v>
      </c>
      <c r="B637" t="str">
        <f>'Fichas clínicas'!B637</f>
        <v>19094359-3</v>
      </c>
      <c r="C637" t="str">
        <f>VLOOKUP(paciente_tutor!B637,clientes!A637:B2218,2,FALSE)</f>
        <v>JOSE</v>
      </c>
      <c r="D637" t="str">
        <f t="shared" si="9"/>
        <v>19094359-3</v>
      </c>
    </row>
    <row r="638" spans="1:4" x14ac:dyDescent="0.2">
      <c r="A638">
        <f>'Fichas clínicas'!A638</f>
        <v>639</v>
      </c>
      <c r="B638" t="str">
        <f>'Fichas clínicas'!B638</f>
        <v>17864877-2</v>
      </c>
      <c r="C638" t="str">
        <f>VLOOKUP(paciente_tutor!B638,clientes!A638:B2219,2,FALSE)</f>
        <v>Magdalena</v>
      </c>
      <c r="D638" t="str">
        <f t="shared" si="9"/>
        <v>17864877-2</v>
      </c>
    </row>
    <row r="639" spans="1:4" x14ac:dyDescent="0.2">
      <c r="A639">
        <f>'Fichas clínicas'!A639</f>
        <v>640</v>
      </c>
      <c r="B639" t="str">
        <f>'Fichas clínicas'!B639</f>
        <v>22360484-6</v>
      </c>
      <c r="C639" t="str">
        <f>VLOOKUP(paciente_tutor!B639,clientes!A639:B2220,2,FALSE)</f>
        <v>Tiare</v>
      </c>
      <c r="D639" t="str">
        <f t="shared" si="9"/>
        <v>22360484-6</v>
      </c>
    </row>
    <row r="640" spans="1:4" x14ac:dyDescent="0.2">
      <c r="A640">
        <f>'Fichas clínicas'!A640</f>
        <v>641</v>
      </c>
      <c r="B640" t="str">
        <f>'Fichas clínicas'!B640</f>
        <v>21781350-6</v>
      </c>
      <c r="C640" t="str">
        <f>VLOOKUP(paciente_tutor!B640,clientes!A640:B2221,2,FALSE)</f>
        <v>Tabata</v>
      </c>
      <c r="D640" t="str">
        <f t="shared" si="9"/>
        <v>21781350-6</v>
      </c>
    </row>
    <row r="641" spans="1:4" x14ac:dyDescent="0.2">
      <c r="A641">
        <f>'Fichas clínicas'!A641</f>
        <v>642</v>
      </c>
      <c r="B641" t="str">
        <f>'Fichas clínicas'!B641</f>
        <v>10820182-7</v>
      </c>
      <c r="C641" t="e">
        <f>VLOOKUP(paciente_tutor!B641,clientes!A641:B2222,2,FALSE)</f>
        <v>#N/A</v>
      </c>
      <c r="D641" t="e">
        <f t="shared" si="9"/>
        <v>#N/A</v>
      </c>
    </row>
    <row r="642" spans="1:4" x14ac:dyDescent="0.2">
      <c r="A642">
        <f>'Fichas clínicas'!A642</f>
        <v>643</v>
      </c>
      <c r="B642" t="str">
        <f>'Fichas clínicas'!B642</f>
        <v>16564231-7</v>
      </c>
      <c r="C642" t="str">
        <f>VLOOKUP(paciente_tutor!B642,clientes!A642:B2223,2,FALSE)</f>
        <v>ÁNGELA</v>
      </c>
      <c r="D642" t="str">
        <f t="shared" si="9"/>
        <v>16564231-7</v>
      </c>
    </row>
    <row r="643" spans="1:4" x14ac:dyDescent="0.2">
      <c r="A643">
        <f>'Fichas clínicas'!A643</f>
        <v>644</v>
      </c>
      <c r="B643" t="str">
        <f>'Fichas clínicas'!B643</f>
        <v>17512183-8</v>
      </c>
      <c r="C643" t="str">
        <f>VLOOKUP(paciente_tutor!B643,clientes!A643:B2224,2,FALSE)</f>
        <v>Camila</v>
      </c>
      <c r="D643" t="str">
        <f t="shared" ref="D643:D706" si="10">IF(C643="#N/A","",B643)</f>
        <v>17512183-8</v>
      </c>
    </row>
    <row r="644" spans="1:4" x14ac:dyDescent="0.2">
      <c r="A644">
        <f>'Fichas clínicas'!A644</f>
        <v>645</v>
      </c>
      <c r="B644" t="str">
        <f>'Fichas clínicas'!B644</f>
        <v>17512183-8</v>
      </c>
      <c r="C644" t="str">
        <f>VLOOKUP(paciente_tutor!B644,clientes!A644:B2225,2,FALSE)</f>
        <v>Camila</v>
      </c>
      <c r="D644" t="str">
        <f t="shared" si="10"/>
        <v>17512183-8</v>
      </c>
    </row>
    <row r="645" spans="1:4" x14ac:dyDescent="0.2">
      <c r="A645">
        <f>'Fichas clínicas'!A645</f>
        <v>646</v>
      </c>
      <c r="B645" t="str">
        <f>'Fichas clínicas'!B645</f>
        <v>6950951-7</v>
      </c>
      <c r="C645" t="str">
        <f>VLOOKUP(paciente_tutor!B645,clientes!A645:B2226,2,FALSE)</f>
        <v>Heroina Francisca</v>
      </c>
      <c r="D645" t="str">
        <f t="shared" si="10"/>
        <v>6950951-7</v>
      </c>
    </row>
    <row r="646" spans="1:4" x14ac:dyDescent="0.2">
      <c r="A646">
        <f>'Fichas clínicas'!A646</f>
        <v>647</v>
      </c>
      <c r="B646" t="str">
        <f>'Fichas clínicas'!B646</f>
        <v>15547738-5</v>
      </c>
      <c r="C646" t="e">
        <f>VLOOKUP(paciente_tutor!B646,clientes!A646:B2227,2,FALSE)</f>
        <v>#N/A</v>
      </c>
      <c r="D646" t="e">
        <f t="shared" si="10"/>
        <v>#N/A</v>
      </c>
    </row>
    <row r="647" spans="1:4" x14ac:dyDescent="0.2">
      <c r="A647">
        <f>'Fichas clínicas'!A647</f>
        <v>648</v>
      </c>
      <c r="B647" t="str">
        <f>'Fichas clínicas'!B647</f>
        <v>15269813-5</v>
      </c>
      <c r="C647" t="e">
        <f>VLOOKUP(paciente_tutor!B647,clientes!A647:B2228,2,FALSE)</f>
        <v>#N/A</v>
      </c>
      <c r="D647" t="e">
        <f t="shared" si="10"/>
        <v>#N/A</v>
      </c>
    </row>
    <row r="648" spans="1:4" x14ac:dyDescent="0.2">
      <c r="A648">
        <f>'Fichas clínicas'!A648</f>
        <v>649</v>
      </c>
      <c r="B648" t="str">
        <f>'Fichas clínicas'!B648</f>
        <v>14159015-4</v>
      </c>
      <c r="C648" t="e">
        <f>VLOOKUP(paciente_tutor!B648,clientes!A648:B2229,2,FALSE)</f>
        <v>#N/A</v>
      </c>
      <c r="D648" t="e">
        <f t="shared" si="10"/>
        <v>#N/A</v>
      </c>
    </row>
    <row r="649" spans="1:4" x14ac:dyDescent="0.2">
      <c r="A649">
        <f>'Fichas clínicas'!A649</f>
        <v>650</v>
      </c>
      <c r="B649" t="str">
        <f>'Fichas clínicas'!B649</f>
        <v>19554244-9</v>
      </c>
      <c r="C649" t="str">
        <f>VLOOKUP(paciente_tutor!B649,clientes!A649:B2230,2,FALSE)</f>
        <v>Scarlett</v>
      </c>
      <c r="D649" t="str">
        <f t="shared" si="10"/>
        <v>19554244-9</v>
      </c>
    </row>
    <row r="650" spans="1:4" x14ac:dyDescent="0.2">
      <c r="A650">
        <f>'Fichas clínicas'!A650</f>
        <v>651</v>
      </c>
      <c r="B650" t="str">
        <f>'Fichas clínicas'!B650</f>
        <v>16266401-8</v>
      </c>
      <c r="C650" t="e">
        <f>VLOOKUP(paciente_tutor!B650,clientes!A650:B2231,2,FALSE)</f>
        <v>#N/A</v>
      </c>
      <c r="D650" t="e">
        <f t="shared" si="10"/>
        <v>#N/A</v>
      </c>
    </row>
    <row r="651" spans="1:4" x14ac:dyDescent="0.2">
      <c r="A651">
        <f>'Fichas clínicas'!A651</f>
        <v>652</v>
      </c>
      <c r="B651" t="str">
        <f>'Fichas clínicas'!B651</f>
        <v>16266401-8</v>
      </c>
      <c r="C651" t="e">
        <f>VLOOKUP(paciente_tutor!B651,clientes!A651:B2232,2,FALSE)</f>
        <v>#N/A</v>
      </c>
      <c r="D651" t="e">
        <f t="shared" si="10"/>
        <v>#N/A</v>
      </c>
    </row>
    <row r="652" spans="1:4" x14ac:dyDescent="0.2">
      <c r="A652">
        <f>'Fichas clínicas'!A652</f>
        <v>653</v>
      </c>
      <c r="B652" t="str">
        <f>'Fichas clínicas'!B652</f>
        <v>16978228-8</v>
      </c>
      <c r="C652" t="str">
        <f>VLOOKUP(paciente_tutor!B652,clientes!A652:B2233,2,FALSE)</f>
        <v>DANIELA</v>
      </c>
      <c r="D652" t="str">
        <f t="shared" si="10"/>
        <v>16978228-8</v>
      </c>
    </row>
    <row r="653" spans="1:4" x14ac:dyDescent="0.2">
      <c r="A653">
        <f>'Fichas clínicas'!A653</f>
        <v>654</v>
      </c>
      <c r="B653" t="str">
        <f>'Fichas clínicas'!B653</f>
        <v>20306826-3</v>
      </c>
      <c r="C653" t="str">
        <f>VLOOKUP(paciente_tutor!B653,clientes!A653:B2234,2,FALSE)</f>
        <v>Constanza</v>
      </c>
      <c r="D653" t="str">
        <f t="shared" si="10"/>
        <v>20306826-3</v>
      </c>
    </row>
    <row r="654" spans="1:4" x14ac:dyDescent="0.2">
      <c r="A654">
        <f>'Fichas clínicas'!A654</f>
        <v>655</v>
      </c>
      <c r="B654" t="str">
        <f>'Fichas clínicas'!B654</f>
        <v>15293802-0</v>
      </c>
      <c r="C654" t="e">
        <f>VLOOKUP(paciente_tutor!B654,clientes!A654:B2235,2,FALSE)</f>
        <v>#N/A</v>
      </c>
      <c r="D654" t="e">
        <f t="shared" si="10"/>
        <v>#N/A</v>
      </c>
    </row>
    <row r="655" spans="1:4" x14ac:dyDescent="0.2">
      <c r="A655">
        <f>'Fichas clínicas'!A655</f>
        <v>656</v>
      </c>
      <c r="B655" t="str">
        <f>'Fichas clínicas'!B655</f>
        <v>18095047-8</v>
      </c>
      <c r="C655" t="str">
        <f>VLOOKUP(paciente_tutor!B655,clientes!A655:B2236,2,FALSE)</f>
        <v>Constanza</v>
      </c>
      <c r="D655" t="str">
        <f t="shared" si="10"/>
        <v>18095047-8</v>
      </c>
    </row>
    <row r="656" spans="1:4" x14ac:dyDescent="0.2">
      <c r="A656">
        <f>'Fichas clínicas'!A656</f>
        <v>657</v>
      </c>
      <c r="B656" t="str">
        <f>'Fichas clínicas'!B656</f>
        <v>17962917-8</v>
      </c>
      <c r="C656" t="str">
        <f>VLOOKUP(paciente_tutor!B656,clientes!A656:B2237,2,FALSE)</f>
        <v>Alejandra Caroline</v>
      </c>
      <c r="D656" t="str">
        <f t="shared" si="10"/>
        <v>17962917-8</v>
      </c>
    </row>
    <row r="657" spans="1:4" x14ac:dyDescent="0.2">
      <c r="A657">
        <f>'Fichas clínicas'!A657</f>
        <v>658</v>
      </c>
      <c r="B657" t="str">
        <f>'Fichas clínicas'!B657</f>
        <v>8226058-7</v>
      </c>
      <c r="C657" t="str">
        <f>VLOOKUP(paciente_tutor!B657,clientes!A657:B2238,2,FALSE)</f>
        <v>Jaime</v>
      </c>
      <c r="D657" t="str">
        <f t="shared" si="10"/>
        <v>8226058-7</v>
      </c>
    </row>
    <row r="658" spans="1:4" x14ac:dyDescent="0.2">
      <c r="A658">
        <f>'Fichas clínicas'!A658</f>
        <v>659</v>
      </c>
      <c r="B658" t="str">
        <f>'Fichas clínicas'!B658</f>
        <v>13847523-9</v>
      </c>
      <c r="C658" t="e">
        <f>VLOOKUP(paciente_tutor!B658,clientes!A658:B2239,2,FALSE)</f>
        <v>#N/A</v>
      </c>
      <c r="D658" t="e">
        <f t="shared" si="10"/>
        <v>#N/A</v>
      </c>
    </row>
    <row r="659" spans="1:4" x14ac:dyDescent="0.2">
      <c r="A659">
        <f>'Fichas clínicas'!A659</f>
        <v>661</v>
      </c>
      <c r="B659" t="str">
        <f>'Fichas clínicas'!B659</f>
        <v>19645201-k</v>
      </c>
      <c r="C659" t="str">
        <f>VLOOKUP(paciente_tutor!B659,clientes!A659:B2240,2,FALSE)</f>
        <v>Ivania</v>
      </c>
      <c r="D659" t="str">
        <f t="shared" si="10"/>
        <v>19645201-k</v>
      </c>
    </row>
    <row r="660" spans="1:4" x14ac:dyDescent="0.2">
      <c r="A660">
        <f>'Fichas clínicas'!A660</f>
        <v>662</v>
      </c>
      <c r="B660" t="str">
        <f>'Fichas clínicas'!B660</f>
        <v>11592233-5</v>
      </c>
      <c r="C660" t="e">
        <f>VLOOKUP(paciente_tutor!B660,clientes!A660:B2241,2,FALSE)</f>
        <v>#N/A</v>
      </c>
      <c r="D660" t="e">
        <f t="shared" si="10"/>
        <v>#N/A</v>
      </c>
    </row>
    <row r="661" spans="1:4" x14ac:dyDescent="0.2">
      <c r="A661">
        <f>'Fichas clínicas'!A661</f>
        <v>663</v>
      </c>
      <c r="B661" t="str">
        <f>'Fichas clínicas'!B661</f>
        <v>15883460-K</v>
      </c>
      <c r="C661" t="e">
        <f>VLOOKUP(paciente_tutor!B661,clientes!A661:B2242,2,FALSE)</f>
        <v>#N/A</v>
      </c>
      <c r="D661" t="e">
        <f t="shared" si="10"/>
        <v>#N/A</v>
      </c>
    </row>
    <row r="662" spans="1:4" x14ac:dyDescent="0.2">
      <c r="A662">
        <f>'Fichas clínicas'!A662</f>
        <v>664</v>
      </c>
      <c r="B662" t="str">
        <f>'Fichas clínicas'!B662</f>
        <v>20417295-1</v>
      </c>
      <c r="C662" t="str">
        <f>VLOOKUP(paciente_tutor!B662,clientes!A662:B2243,2,FALSE)</f>
        <v>Susana Francisca</v>
      </c>
      <c r="D662" t="str">
        <f t="shared" si="10"/>
        <v>20417295-1</v>
      </c>
    </row>
    <row r="663" spans="1:4" x14ac:dyDescent="0.2">
      <c r="A663">
        <f>'Fichas clínicas'!A663</f>
        <v>665</v>
      </c>
      <c r="B663" t="str">
        <f>'Fichas clínicas'!B663</f>
        <v>18458484-0</v>
      </c>
      <c r="C663" t="str">
        <f>VLOOKUP(paciente_tutor!B663,clientes!A663:B2244,2,FALSE)</f>
        <v>Francisca Alejandra</v>
      </c>
      <c r="D663" t="str">
        <f t="shared" si="10"/>
        <v>18458484-0</v>
      </c>
    </row>
    <row r="664" spans="1:4" x14ac:dyDescent="0.2">
      <c r="A664">
        <f>'Fichas clínicas'!A664</f>
        <v>666</v>
      </c>
      <c r="B664" t="str">
        <f>'Fichas clínicas'!B664</f>
        <v>16806819-0</v>
      </c>
      <c r="C664" t="str">
        <f>VLOOKUP(paciente_tutor!B664,clientes!A664:B2245,2,FALSE)</f>
        <v>Jenny</v>
      </c>
      <c r="D664" t="str">
        <f t="shared" si="10"/>
        <v>16806819-0</v>
      </c>
    </row>
    <row r="665" spans="1:4" x14ac:dyDescent="0.2">
      <c r="A665">
        <f>'Fichas clínicas'!A665</f>
        <v>667</v>
      </c>
      <c r="B665" t="str">
        <f>'Fichas clínicas'!B665</f>
        <v>7610622-3</v>
      </c>
      <c r="C665" t="str">
        <f>VLOOKUP(paciente_tutor!B665,clientes!A665:B2246,2,FALSE)</f>
        <v>Juana</v>
      </c>
      <c r="D665" t="str">
        <f t="shared" si="10"/>
        <v>7610622-3</v>
      </c>
    </row>
    <row r="666" spans="1:4" x14ac:dyDescent="0.2">
      <c r="A666">
        <f>'Fichas clínicas'!A666</f>
        <v>668</v>
      </c>
      <c r="B666" t="str">
        <f>'Fichas clínicas'!B666</f>
        <v>14281116-2</v>
      </c>
      <c r="C666" t="e">
        <f>VLOOKUP(paciente_tutor!B666,clientes!A666:B2247,2,FALSE)</f>
        <v>#N/A</v>
      </c>
      <c r="D666" t="e">
        <f t="shared" si="10"/>
        <v>#N/A</v>
      </c>
    </row>
    <row r="667" spans="1:4" x14ac:dyDescent="0.2">
      <c r="A667">
        <f>'Fichas clínicas'!A667</f>
        <v>669</v>
      </c>
      <c r="B667" t="str">
        <f>'Fichas clínicas'!B667</f>
        <v>18590792-9</v>
      </c>
      <c r="C667" t="str">
        <f>VLOOKUP(paciente_tutor!B667,clientes!A667:B2248,2,FALSE)</f>
        <v>DANIELA DEL CARMEN</v>
      </c>
      <c r="D667" t="str">
        <f t="shared" si="10"/>
        <v>18590792-9</v>
      </c>
    </row>
    <row r="668" spans="1:4" x14ac:dyDescent="0.2">
      <c r="A668">
        <f>'Fichas clínicas'!A668</f>
        <v>670</v>
      </c>
      <c r="B668" t="str">
        <f>'Fichas clínicas'!B668</f>
        <v>17360176-k</v>
      </c>
      <c r="C668" t="str">
        <f>VLOOKUP(paciente_tutor!B668,clientes!A668:B2249,2,FALSE)</f>
        <v>Bianca</v>
      </c>
      <c r="D668" t="str">
        <f t="shared" si="10"/>
        <v>17360176-k</v>
      </c>
    </row>
    <row r="669" spans="1:4" x14ac:dyDescent="0.2">
      <c r="A669">
        <f>'Fichas clínicas'!A669</f>
        <v>671</v>
      </c>
      <c r="B669" t="str">
        <f>'Fichas clínicas'!B669</f>
        <v>18289042-1</v>
      </c>
      <c r="C669" t="str">
        <f>VLOOKUP(paciente_tutor!B669,clientes!A669:B2250,2,FALSE)</f>
        <v>Pablo</v>
      </c>
      <c r="D669" t="str">
        <f t="shared" si="10"/>
        <v>18289042-1</v>
      </c>
    </row>
    <row r="670" spans="1:4" x14ac:dyDescent="0.2">
      <c r="A670">
        <f>'Fichas clínicas'!A670</f>
        <v>672</v>
      </c>
      <c r="B670" t="str">
        <f>'Fichas clínicas'!B670</f>
        <v>8989756-4</v>
      </c>
      <c r="C670" t="str">
        <f>VLOOKUP(paciente_tutor!B670,clientes!A670:B2251,2,FALSE)</f>
        <v>MAGALY</v>
      </c>
      <c r="D670" t="str">
        <f t="shared" si="10"/>
        <v>8989756-4</v>
      </c>
    </row>
    <row r="671" spans="1:4" x14ac:dyDescent="0.2">
      <c r="A671">
        <f>'Fichas clínicas'!A671</f>
        <v>673</v>
      </c>
      <c r="B671" t="str">
        <f>'Fichas clínicas'!B671</f>
        <v>17946846-8</v>
      </c>
      <c r="C671" t="str">
        <f>VLOOKUP(paciente_tutor!B671,clientes!A671:B2252,2,FALSE)</f>
        <v>Mara Andrea</v>
      </c>
      <c r="D671" t="str">
        <f t="shared" si="10"/>
        <v>17946846-8</v>
      </c>
    </row>
    <row r="672" spans="1:4" x14ac:dyDescent="0.2">
      <c r="A672">
        <f>'Fichas clínicas'!A672</f>
        <v>674</v>
      </c>
      <c r="B672" t="str">
        <f>'Fichas clínicas'!B672</f>
        <v>15293568-4</v>
      </c>
      <c r="C672" t="e">
        <f>VLOOKUP(paciente_tutor!B672,clientes!A672:B2253,2,FALSE)</f>
        <v>#N/A</v>
      </c>
      <c r="D672" t="e">
        <f t="shared" si="10"/>
        <v>#N/A</v>
      </c>
    </row>
    <row r="673" spans="1:4" x14ac:dyDescent="0.2">
      <c r="A673">
        <f>'Fichas clínicas'!A673</f>
        <v>675</v>
      </c>
      <c r="B673" t="str">
        <f>'Fichas clínicas'!B673</f>
        <v>19249246-7</v>
      </c>
      <c r="C673" t="str">
        <f>VLOOKUP(paciente_tutor!B673,clientes!A673:B2254,2,FALSE)</f>
        <v>Priscila</v>
      </c>
      <c r="D673" t="str">
        <f t="shared" si="10"/>
        <v>19249246-7</v>
      </c>
    </row>
    <row r="674" spans="1:4" x14ac:dyDescent="0.2">
      <c r="A674">
        <f>'Fichas clínicas'!A674</f>
        <v>676</v>
      </c>
      <c r="B674" t="str">
        <f>'Fichas clínicas'!B674</f>
        <v>16266401-8</v>
      </c>
      <c r="C674" t="e">
        <f>VLOOKUP(paciente_tutor!B674,clientes!A674:B2255,2,FALSE)</f>
        <v>#N/A</v>
      </c>
      <c r="D674" t="e">
        <f t="shared" si="10"/>
        <v>#N/A</v>
      </c>
    </row>
    <row r="675" spans="1:4" x14ac:dyDescent="0.2">
      <c r="A675">
        <f>'Fichas clínicas'!A675</f>
        <v>677</v>
      </c>
      <c r="B675" t="str">
        <f>'Fichas clínicas'!B675</f>
        <v>16464661-0</v>
      </c>
      <c r="C675" t="e">
        <f>VLOOKUP(paciente_tutor!B675,clientes!A675:B2256,2,FALSE)</f>
        <v>#N/A</v>
      </c>
      <c r="D675" t="e">
        <f t="shared" si="10"/>
        <v>#N/A</v>
      </c>
    </row>
    <row r="676" spans="1:4" x14ac:dyDescent="0.2">
      <c r="A676">
        <f>'Fichas clínicas'!A676</f>
        <v>678</v>
      </c>
      <c r="B676" t="str">
        <f>'Fichas clínicas'!B676</f>
        <v>19375926-2</v>
      </c>
      <c r="C676" t="str">
        <f>VLOOKUP(paciente_tutor!B676,clientes!A676:B2257,2,FALSE)</f>
        <v>EMILIO</v>
      </c>
      <c r="D676" t="str">
        <f t="shared" si="10"/>
        <v>19375926-2</v>
      </c>
    </row>
    <row r="677" spans="1:4" x14ac:dyDescent="0.2">
      <c r="A677">
        <f>'Fichas clínicas'!A677</f>
        <v>679</v>
      </c>
      <c r="B677" t="str">
        <f>'Fichas clínicas'!B677</f>
        <v>16372666-1</v>
      </c>
      <c r="C677" t="e">
        <f>VLOOKUP(paciente_tutor!B677,clientes!A677:B2258,2,FALSE)</f>
        <v>#N/A</v>
      </c>
      <c r="D677" t="e">
        <f t="shared" si="10"/>
        <v>#N/A</v>
      </c>
    </row>
    <row r="678" spans="1:4" x14ac:dyDescent="0.2">
      <c r="A678">
        <f>'Fichas clínicas'!A678</f>
        <v>680</v>
      </c>
      <c r="B678" t="str">
        <f>'Fichas clínicas'!B678</f>
        <v>14130612-k</v>
      </c>
      <c r="C678" t="e">
        <f>VLOOKUP(paciente_tutor!B678,clientes!A678:B2259,2,FALSE)</f>
        <v>#N/A</v>
      </c>
      <c r="D678" t="e">
        <f t="shared" si="10"/>
        <v>#N/A</v>
      </c>
    </row>
    <row r="679" spans="1:4" x14ac:dyDescent="0.2">
      <c r="A679">
        <f>'Fichas clínicas'!A679</f>
        <v>681</v>
      </c>
      <c r="B679" t="str">
        <f>'Fichas clínicas'!B679</f>
        <v>13117429-2</v>
      </c>
      <c r="C679" t="e">
        <f>VLOOKUP(paciente_tutor!B679,clientes!A679:B2260,2,FALSE)</f>
        <v>#N/A</v>
      </c>
      <c r="D679" t="e">
        <f t="shared" si="10"/>
        <v>#N/A</v>
      </c>
    </row>
    <row r="680" spans="1:4" x14ac:dyDescent="0.2">
      <c r="A680">
        <f>'Fichas clínicas'!A680</f>
        <v>682</v>
      </c>
      <c r="B680" t="str">
        <f>'Fichas clínicas'!B680</f>
        <v>14130612-k</v>
      </c>
      <c r="C680" t="e">
        <f>VLOOKUP(paciente_tutor!B680,clientes!A680:B2261,2,FALSE)</f>
        <v>#N/A</v>
      </c>
      <c r="D680" t="e">
        <f t="shared" si="10"/>
        <v>#N/A</v>
      </c>
    </row>
    <row r="681" spans="1:4" x14ac:dyDescent="0.2">
      <c r="A681">
        <f>'Fichas clínicas'!A681</f>
        <v>683</v>
      </c>
      <c r="B681" t="str">
        <f>'Fichas clínicas'!B681</f>
        <v>10628325-7</v>
      </c>
      <c r="C681" t="e">
        <f>VLOOKUP(paciente_tutor!B681,clientes!A681:B2262,2,FALSE)</f>
        <v>#N/A</v>
      </c>
      <c r="D681" t="e">
        <f t="shared" si="10"/>
        <v>#N/A</v>
      </c>
    </row>
    <row r="682" spans="1:4" x14ac:dyDescent="0.2">
      <c r="A682">
        <f>'Fichas clínicas'!A682</f>
        <v>684</v>
      </c>
      <c r="B682" t="str">
        <f>'Fichas clínicas'!B682</f>
        <v>20556573-6</v>
      </c>
      <c r="C682" t="str">
        <f>VLOOKUP(paciente_tutor!B682,clientes!A682:B2263,2,FALSE)</f>
        <v>Milanet</v>
      </c>
      <c r="D682" t="str">
        <f t="shared" si="10"/>
        <v>20556573-6</v>
      </c>
    </row>
    <row r="683" spans="1:4" x14ac:dyDescent="0.2">
      <c r="A683">
        <f>'Fichas clínicas'!A683</f>
        <v>685</v>
      </c>
      <c r="B683" t="str">
        <f>'Fichas clínicas'!B683</f>
        <v>16160092-K</v>
      </c>
      <c r="C683" t="e">
        <f>VLOOKUP(paciente_tutor!B683,clientes!A683:B2264,2,FALSE)</f>
        <v>#N/A</v>
      </c>
      <c r="D683" t="e">
        <f t="shared" si="10"/>
        <v>#N/A</v>
      </c>
    </row>
    <row r="684" spans="1:4" x14ac:dyDescent="0.2">
      <c r="A684">
        <f>'Fichas clínicas'!A684</f>
        <v>686</v>
      </c>
      <c r="B684" t="str">
        <f>'Fichas clínicas'!B684</f>
        <v>17924520-5</v>
      </c>
      <c r="C684" t="str">
        <f>VLOOKUP(paciente_tutor!B684,clientes!A684:B2265,2,FALSE)</f>
        <v>Lucero</v>
      </c>
      <c r="D684" t="str">
        <f t="shared" si="10"/>
        <v>17924520-5</v>
      </c>
    </row>
    <row r="685" spans="1:4" x14ac:dyDescent="0.2">
      <c r="A685">
        <f>'Fichas clínicas'!A685</f>
        <v>687</v>
      </c>
      <c r="B685" t="str">
        <f>'Fichas clínicas'!B685</f>
        <v>17324234-4</v>
      </c>
      <c r="C685" t="str">
        <f>VLOOKUP(paciente_tutor!B685,clientes!A685:B2266,2,FALSE)</f>
        <v>Vanesa</v>
      </c>
      <c r="D685" t="str">
        <f t="shared" si="10"/>
        <v>17324234-4</v>
      </c>
    </row>
    <row r="686" spans="1:4" x14ac:dyDescent="0.2">
      <c r="A686">
        <f>'Fichas clínicas'!A686</f>
        <v>688</v>
      </c>
      <c r="B686" t="str">
        <f>'Fichas clínicas'!B686</f>
        <v>10786983-2</v>
      </c>
      <c r="C686" t="e">
        <f>VLOOKUP(paciente_tutor!B686,clientes!A686:B2267,2,FALSE)</f>
        <v>#N/A</v>
      </c>
      <c r="D686" t="e">
        <f t="shared" si="10"/>
        <v>#N/A</v>
      </c>
    </row>
    <row r="687" spans="1:4" x14ac:dyDescent="0.2">
      <c r="A687">
        <f>'Fichas clínicas'!A687</f>
        <v>689</v>
      </c>
      <c r="B687" t="str">
        <f>'Fichas clínicas'!B687</f>
        <v>10786983-2</v>
      </c>
      <c r="C687" t="e">
        <f>VLOOKUP(paciente_tutor!B687,clientes!A687:B2268,2,FALSE)</f>
        <v>#N/A</v>
      </c>
      <c r="D687" t="e">
        <f t="shared" si="10"/>
        <v>#N/A</v>
      </c>
    </row>
    <row r="688" spans="1:4" x14ac:dyDescent="0.2">
      <c r="A688">
        <f>'Fichas clínicas'!A688</f>
        <v>690</v>
      </c>
      <c r="B688" t="str">
        <f>'Fichas clínicas'!B688</f>
        <v>19554642-8</v>
      </c>
      <c r="C688" t="str">
        <f>VLOOKUP(paciente_tutor!B688,clientes!A688:B2269,2,FALSE)</f>
        <v>NICOLAS</v>
      </c>
      <c r="D688" t="str">
        <f t="shared" si="10"/>
        <v>19554642-8</v>
      </c>
    </row>
    <row r="689" spans="1:4" x14ac:dyDescent="0.2">
      <c r="A689">
        <f>'Fichas clínicas'!A689</f>
        <v>691</v>
      </c>
      <c r="B689" t="str">
        <f>'Fichas clínicas'!B689</f>
        <v>13116889-6</v>
      </c>
      <c r="C689" t="e">
        <f>VLOOKUP(paciente_tutor!B689,clientes!A689:B2270,2,FALSE)</f>
        <v>#N/A</v>
      </c>
      <c r="D689" t="e">
        <f t="shared" si="10"/>
        <v>#N/A</v>
      </c>
    </row>
    <row r="690" spans="1:4" x14ac:dyDescent="0.2">
      <c r="A690">
        <f>'Fichas clínicas'!A690</f>
        <v>692</v>
      </c>
      <c r="B690" t="str">
        <f>'Fichas clínicas'!B690</f>
        <v>13116889-6</v>
      </c>
      <c r="C690" t="e">
        <f>VLOOKUP(paciente_tutor!B690,clientes!A690:B2271,2,FALSE)</f>
        <v>#N/A</v>
      </c>
      <c r="D690" t="e">
        <f t="shared" si="10"/>
        <v>#N/A</v>
      </c>
    </row>
    <row r="691" spans="1:4" x14ac:dyDescent="0.2">
      <c r="A691">
        <f>'Fichas clínicas'!A691</f>
        <v>693</v>
      </c>
      <c r="B691" t="str">
        <f>'Fichas clínicas'!B691</f>
        <v>16464661-0</v>
      </c>
      <c r="C691" t="e">
        <f>VLOOKUP(paciente_tutor!B691,clientes!A691:B2272,2,FALSE)</f>
        <v>#N/A</v>
      </c>
      <c r="D691" t="e">
        <f t="shared" si="10"/>
        <v>#N/A</v>
      </c>
    </row>
    <row r="692" spans="1:4" x14ac:dyDescent="0.2">
      <c r="A692">
        <f>'Fichas clínicas'!A692</f>
        <v>694</v>
      </c>
      <c r="B692" t="str">
        <f>'Fichas clínicas'!B692</f>
        <v>18290007-9</v>
      </c>
      <c r="C692" t="str">
        <f>VLOOKUP(paciente_tutor!B692,clientes!A692:B2273,2,FALSE)</f>
        <v>Francisca</v>
      </c>
      <c r="D692" t="str">
        <f t="shared" si="10"/>
        <v>18290007-9</v>
      </c>
    </row>
    <row r="693" spans="1:4" x14ac:dyDescent="0.2">
      <c r="A693">
        <f>'Fichas clínicas'!A693</f>
        <v>695</v>
      </c>
      <c r="B693" t="str">
        <f>'Fichas clínicas'!B693</f>
        <v>12746226-7</v>
      </c>
      <c r="C693" t="e">
        <f>VLOOKUP(paciente_tutor!B693,clientes!A693:B2274,2,FALSE)</f>
        <v>#N/A</v>
      </c>
      <c r="D693" t="e">
        <f t="shared" si="10"/>
        <v>#N/A</v>
      </c>
    </row>
    <row r="694" spans="1:4" x14ac:dyDescent="0.2">
      <c r="A694">
        <f>'Fichas clínicas'!A694</f>
        <v>696</v>
      </c>
      <c r="B694" t="str">
        <f>'Fichas clínicas'!B694</f>
        <v>14041283-k</v>
      </c>
      <c r="C694" t="e">
        <f>VLOOKUP(paciente_tutor!B694,clientes!A694:B2275,2,FALSE)</f>
        <v>#N/A</v>
      </c>
      <c r="D694" t="e">
        <f t="shared" si="10"/>
        <v>#N/A</v>
      </c>
    </row>
    <row r="695" spans="1:4" x14ac:dyDescent="0.2">
      <c r="A695">
        <f>'Fichas clínicas'!A695</f>
        <v>697</v>
      </c>
      <c r="B695" t="str">
        <f>'Fichas clínicas'!B695</f>
        <v>18095047-8</v>
      </c>
      <c r="C695" t="str">
        <f>VLOOKUP(paciente_tutor!B695,clientes!A695:B2276,2,FALSE)</f>
        <v>Constanza</v>
      </c>
      <c r="D695" t="str">
        <f t="shared" si="10"/>
        <v>18095047-8</v>
      </c>
    </row>
    <row r="696" spans="1:4" x14ac:dyDescent="0.2">
      <c r="A696">
        <f>'Fichas clínicas'!A696</f>
        <v>698</v>
      </c>
      <c r="B696" t="str">
        <f>'Fichas clínicas'!B696</f>
        <v>18886545-3</v>
      </c>
      <c r="C696" t="str">
        <f>VLOOKUP(paciente_tutor!B696,clientes!A696:B2277,2,FALSE)</f>
        <v>NATTALIE</v>
      </c>
      <c r="D696" t="str">
        <f t="shared" si="10"/>
        <v>18886545-3</v>
      </c>
    </row>
    <row r="697" spans="1:4" x14ac:dyDescent="0.2">
      <c r="A697">
        <f>'Fichas clínicas'!A697</f>
        <v>699</v>
      </c>
      <c r="B697" t="str">
        <f>'Fichas clínicas'!B697</f>
        <v>10396824-0</v>
      </c>
      <c r="C697" t="e">
        <f>VLOOKUP(paciente_tutor!B697,clientes!A697:B2278,2,FALSE)</f>
        <v>#N/A</v>
      </c>
      <c r="D697" t="e">
        <f t="shared" si="10"/>
        <v>#N/A</v>
      </c>
    </row>
    <row r="698" spans="1:4" x14ac:dyDescent="0.2">
      <c r="A698">
        <f>'Fichas clínicas'!A698</f>
        <v>700</v>
      </c>
      <c r="B698" t="str">
        <f>'Fichas clínicas'!B698</f>
        <v>16871128-k</v>
      </c>
      <c r="C698" t="str">
        <f>VLOOKUP(paciente_tutor!B698,clientes!A698:B2279,2,FALSE)</f>
        <v>Anita</v>
      </c>
      <c r="D698" t="str">
        <f t="shared" si="10"/>
        <v>16871128-k</v>
      </c>
    </row>
    <row r="699" spans="1:4" x14ac:dyDescent="0.2">
      <c r="A699">
        <f>'Fichas clínicas'!A699</f>
        <v>701</v>
      </c>
      <c r="B699" t="str">
        <f>'Fichas clínicas'!B699</f>
        <v>12746465-0</v>
      </c>
      <c r="C699" t="e">
        <f>VLOOKUP(paciente_tutor!B699,clientes!A699:B2280,2,FALSE)</f>
        <v>#N/A</v>
      </c>
      <c r="D699" t="e">
        <f t="shared" si="10"/>
        <v>#N/A</v>
      </c>
    </row>
    <row r="700" spans="1:4" x14ac:dyDescent="0.2">
      <c r="A700">
        <f>'Fichas clínicas'!A700</f>
        <v>702</v>
      </c>
      <c r="B700" t="str">
        <f>'Fichas clínicas'!B700</f>
        <v>16049610-k</v>
      </c>
      <c r="C700" t="e">
        <f>VLOOKUP(paciente_tutor!B700,clientes!A700:B2281,2,FALSE)</f>
        <v>#N/A</v>
      </c>
      <c r="D700" t="e">
        <f t="shared" si="10"/>
        <v>#N/A</v>
      </c>
    </row>
    <row r="701" spans="1:4" x14ac:dyDescent="0.2">
      <c r="A701">
        <f>'Fichas clínicas'!A701</f>
        <v>703</v>
      </c>
      <c r="B701" t="str">
        <f>'Fichas clínicas'!B701</f>
        <v>16049610-k</v>
      </c>
      <c r="C701" t="e">
        <f>VLOOKUP(paciente_tutor!B701,clientes!A701:B2282,2,FALSE)</f>
        <v>#N/A</v>
      </c>
      <c r="D701" t="e">
        <f t="shared" si="10"/>
        <v>#N/A</v>
      </c>
    </row>
    <row r="702" spans="1:4" x14ac:dyDescent="0.2">
      <c r="A702">
        <f>'Fichas clínicas'!A702</f>
        <v>704</v>
      </c>
      <c r="B702" t="str">
        <f>'Fichas clínicas'!B702</f>
        <v>18095047-8</v>
      </c>
      <c r="C702" t="str">
        <f>VLOOKUP(paciente_tutor!B702,clientes!A702:B2283,2,FALSE)</f>
        <v>Constanza</v>
      </c>
      <c r="D702" t="str">
        <f t="shared" si="10"/>
        <v>18095047-8</v>
      </c>
    </row>
    <row r="703" spans="1:4" x14ac:dyDescent="0.2">
      <c r="A703">
        <f>'Fichas clínicas'!A703</f>
        <v>705</v>
      </c>
      <c r="B703" t="str">
        <f>'Fichas clínicas'!B703</f>
        <v>19250118-0</v>
      </c>
      <c r="C703" t="str">
        <f>VLOOKUP(paciente_tutor!B703,clientes!A703:B2284,2,FALSE)</f>
        <v>Paulina</v>
      </c>
      <c r="D703" t="str">
        <f t="shared" si="10"/>
        <v>19250118-0</v>
      </c>
    </row>
    <row r="704" spans="1:4" x14ac:dyDescent="0.2">
      <c r="A704">
        <f>'Fichas clínicas'!A704</f>
        <v>706</v>
      </c>
      <c r="B704" t="str">
        <f>'Fichas clínicas'!B704</f>
        <v>11129722-3</v>
      </c>
      <c r="C704" t="e">
        <f>VLOOKUP(paciente_tutor!B704,clientes!A704:B2285,2,FALSE)</f>
        <v>#N/A</v>
      </c>
      <c r="D704" t="e">
        <f t="shared" si="10"/>
        <v>#N/A</v>
      </c>
    </row>
    <row r="705" spans="1:4" x14ac:dyDescent="0.2">
      <c r="A705">
        <f>'Fichas clínicas'!A705</f>
        <v>707</v>
      </c>
      <c r="B705" t="str">
        <f>'Fichas clínicas'!B705</f>
        <v>18888754-6</v>
      </c>
      <c r="C705" t="str">
        <f>VLOOKUP(paciente_tutor!B705,clientes!A705:B2286,2,FALSE)</f>
        <v>MACARENA</v>
      </c>
      <c r="D705" t="str">
        <f t="shared" si="10"/>
        <v>18888754-6</v>
      </c>
    </row>
    <row r="706" spans="1:4" x14ac:dyDescent="0.2">
      <c r="A706">
        <f>'Fichas clínicas'!A706</f>
        <v>708</v>
      </c>
      <c r="B706" t="str">
        <f>'Fichas clínicas'!B706</f>
        <v>22360484-6</v>
      </c>
      <c r="C706" t="str">
        <f>VLOOKUP(paciente_tutor!B706,clientes!A706:B2287,2,FALSE)</f>
        <v>Tiare</v>
      </c>
      <c r="D706" t="str">
        <f t="shared" si="10"/>
        <v>22360484-6</v>
      </c>
    </row>
    <row r="707" spans="1:4" x14ac:dyDescent="0.2">
      <c r="A707">
        <f>'Fichas clínicas'!A707</f>
        <v>709</v>
      </c>
      <c r="B707" t="str">
        <f>'Fichas clínicas'!B707</f>
        <v>18889066-0</v>
      </c>
      <c r="C707" t="str">
        <f>VLOOKUP(paciente_tutor!B707,clientes!A707:B2288,2,FALSE)</f>
        <v>YESSENIA</v>
      </c>
      <c r="D707" t="str">
        <f t="shared" ref="D707:D770" si="11">IF(C707="#N/A","",B707)</f>
        <v>18889066-0</v>
      </c>
    </row>
    <row r="708" spans="1:4" x14ac:dyDescent="0.2">
      <c r="A708">
        <f>'Fichas clínicas'!A708</f>
        <v>710</v>
      </c>
      <c r="B708" t="str">
        <f>'Fichas clínicas'!B708</f>
        <v>16724575-7</v>
      </c>
      <c r="C708" t="e">
        <f>VLOOKUP(paciente_tutor!B708,clientes!A708:B2289,2,FALSE)</f>
        <v>#N/A</v>
      </c>
      <c r="D708" t="e">
        <f t="shared" si="11"/>
        <v>#N/A</v>
      </c>
    </row>
    <row r="709" spans="1:4" x14ac:dyDescent="0.2">
      <c r="A709">
        <f>'Fichas clínicas'!A709</f>
        <v>711</v>
      </c>
      <c r="B709" t="str">
        <f>'Fichas clínicas'!B709</f>
        <v>16805190-5</v>
      </c>
      <c r="C709" t="e">
        <f>VLOOKUP(paciente_tutor!B709,clientes!A709:B2290,2,FALSE)</f>
        <v>#N/A</v>
      </c>
      <c r="D709" t="e">
        <f t="shared" si="11"/>
        <v>#N/A</v>
      </c>
    </row>
    <row r="710" spans="1:4" x14ac:dyDescent="0.2">
      <c r="A710">
        <f>'Fichas clínicas'!A710</f>
        <v>712</v>
      </c>
      <c r="B710" t="str">
        <f>'Fichas clínicas'!B710</f>
        <v>15292936-6</v>
      </c>
      <c r="C710" t="e">
        <f>VLOOKUP(paciente_tutor!B710,clientes!A710:B2291,2,FALSE)</f>
        <v>#N/A</v>
      </c>
      <c r="D710" t="e">
        <f t="shared" si="11"/>
        <v>#N/A</v>
      </c>
    </row>
    <row r="711" spans="1:4" x14ac:dyDescent="0.2">
      <c r="A711">
        <f>'Fichas clínicas'!A711</f>
        <v>713</v>
      </c>
      <c r="B711" t="str">
        <f>'Fichas clínicas'!B711</f>
        <v>17963696-4</v>
      </c>
      <c r="C711" t="str">
        <f>VLOOKUP(paciente_tutor!B711,clientes!A711:B2292,2,FALSE)</f>
        <v>GISELLE</v>
      </c>
      <c r="D711" t="str">
        <f t="shared" si="11"/>
        <v>17963696-4</v>
      </c>
    </row>
    <row r="712" spans="1:4" x14ac:dyDescent="0.2">
      <c r="A712">
        <f>'Fichas clínicas'!A712</f>
        <v>714</v>
      </c>
      <c r="B712" t="str">
        <f>'Fichas clínicas'!B712</f>
        <v>16460496-9</v>
      </c>
      <c r="C712" t="e">
        <f>VLOOKUP(paciente_tutor!B712,clientes!A712:B2293,2,FALSE)</f>
        <v>#N/A</v>
      </c>
      <c r="D712" t="e">
        <f t="shared" si="11"/>
        <v>#N/A</v>
      </c>
    </row>
    <row r="713" spans="1:4" x14ac:dyDescent="0.2">
      <c r="A713">
        <f>'Fichas clínicas'!A713</f>
        <v>715</v>
      </c>
      <c r="B713" t="str">
        <f>'Fichas clínicas'!B713</f>
        <v>15294537-K</v>
      </c>
      <c r="C713" t="e">
        <f>VLOOKUP(paciente_tutor!B713,clientes!A713:B2294,2,FALSE)</f>
        <v>#N/A</v>
      </c>
      <c r="D713" t="e">
        <f t="shared" si="11"/>
        <v>#N/A</v>
      </c>
    </row>
    <row r="714" spans="1:4" x14ac:dyDescent="0.2">
      <c r="A714">
        <f>'Fichas clínicas'!A714</f>
        <v>716</v>
      </c>
      <c r="B714" t="str">
        <f>'Fichas clínicas'!B714</f>
        <v>15360539-4</v>
      </c>
      <c r="C714" t="e">
        <f>VLOOKUP(paciente_tutor!B714,clientes!A714:B2295,2,FALSE)</f>
        <v>#N/A</v>
      </c>
      <c r="D714" t="e">
        <f t="shared" si="11"/>
        <v>#N/A</v>
      </c>
    </row>
    <row r="715" spans="1:4" x14ac:dyDescent="0.2">
      <c r="A715">
        <f>'Fichas clínicas'!A715</f>
        <v>717</v>
      </c>
      <c r="B715" t="str">
        <f>'Fichas clínicas'!B715</f>
        <v>19938656-5</v>
      </c>
      <c r="C715" t="str">
        <f>VLOOKUP(paciente_tutor!B715,clientes!A715:B2296,2,FALSE)</f>
        <v>Patricio</v>
      </c>
      <c r="D715" t="str">
        <f t="shared" si="11"/>
        <v>19938656-5</v>
      </c>
    </row>
    <row r="716" spans="1:4" x14ac:dyDescent="0.2">
      <c r="A716">
        <f>'Fichas clínicas'!A716</f>
        <v>718</v>
      </c>
      <c r="B716" t="str">
        <f>'Fichas clínicas'!B716</f>
        <v>10287799-3</v>
      </c>
      <c r="C716" t="e">
        <f>VLOOKUP(paciente_tutor!B716,clientes!A716:B2297,2,FALSE)</f>
        <v>#N/A</v>
      </c>
      <c r="D716" t="e">
        <f t="shared" si="11"/>
        <v>#N/A</v>
      </c>
    </row>
    <row r="717" spans="1:4" x14ac:dyDescent="0.2">
      <c r="A717">
        <f>'Fichas clínicas'!A717</f>
        <v>719</v>
      </c>
      <c r="B717" t="str">
        <f>'Fichas clínicas'!B717</f>
        <v>12339440-2</v>
      </c>
      <c r="C717" t="e">
        <f>VLOOKUP(paciente_tutor!B717,clientes!A717:B2298,2,FALSE)</f>
        <v>#N/A</v>
      </c>
      <c r="D717" t="e">
        <f t="shared" si="11"/>
        <v>#N/A</v>
      </c>
    </row>
    <row r="718" spans="1:4" x14ac:dyDescent="0.2">
      <c r="A718">
        <f>'Fichas clínicas'!A718</f>
        <v>720</v>
      </c>
      <c r="B718" t="str">
        <f>'Fichas clínicas'!B718</f>
        <v>22806400-9</v>
      </c>
      <c r="C718" t="str">
        <f>VLOOKUP(paciente_tutor!B718,clientes!A718:B2299,2,FALSE)</f>
        <v>MARTIN</v>
      </c>
      <c r="D718" t="str">
        <f t="shared" si="11"/>
        <v>22806400-9</v>
      </c>
    </row>
    <row r="719" spans="1:4" x14ac:dyDescent="0.2">
      <c r="A719">
        <f>'Fichas clínicas'!A719</f>
        <v>721</v>
      </c>
      <c r="B719" t="str">
        <f>'Fichas clínicas'!B719</f>
        <v>12338062-2</v>
      </c>
      <c r="C719" t="e">
        <f>VLOOKUP(paciente_tutor!B719,clientes!A719:B2300,2,FALSE)</f>
        <v>#N/A</v>
      </c>
      <c r="D719" t="e">
        <f t="shared" si="11"/>
        <v>#N/A</v>
      </c>
    </row>
    <row r="720" spans="1:4" x14ac:dyDescent="0.2">
      <c r="A720">
        <f>'Fichas clínicas'!A720</f>
        <v>722</v>
      </c>
      <c r="B720" t="str">
        <f>'Fichas clínicas'!B720</f>
        <v>19248338-7</v>
      </c>
      <c r="C720" t="str">
        <f>VLOOKUP(paciente_tutor!B720,clientes!A720:B2301,2,FALSE)</f>
        <v>Exequiel Alejandro</v>
      </c>
      <c r="D720" t="str">
        <f t="shared" si="11"/>
        <v>19248338-7</v>
      </c>
    </row>
    <row r="721" spans="1:4" x14ac:dyDescent="0.2">
      <c r="A721">
        <f>'Fichas clínicas'!A721</f>
        <v>723</v>
      </c>
      <c r="B721" t="str">
        <f>'Fichas clínicas'!B721</f>
        <v>15025021-8</v>
      </c>
      <c r="C721" t="e">
        <f>VLOOKUP(paciente_tutor!B721,clientes!A721:B2302,2,FALSE)</f>
        <v>#N/A</v>
      </c>
      <c r="D721" t="e">
        <f t="shared" si="11"/>
        <v>#N/A</v>
      </c>
    </row>
    <row r="722" spans="1:4" x14ac:dyDescent="0.2">
      <c r="A722">
        <f>'Fichas clínicas'!A722</f>
        <v>724</v>
      </c>
      <c r="B722" t="str">
        <f>'Fichas clínicas'!B722</f>
        <v>25467430-3</v>
      </c>
      <c r="C722" t="str">
        <f>VLOOKUP(paciente_tutor!B722,clientes!A722:B2303,2,FALSE)</f>
        <v>EDGAR</v>
      </c>
      <c r="D722" t="str">
        <f t="shared" si="11"/>
        <v>25467430-3</v>
      </c>
    </row>
    <row r="723" spans="1:4" x14ac:dyDescent="0.2">
      <c r="A723">
        <f>'Fichas clínicas'!A723</f>
        <v>725</v>
      </c>
      <c r="B723" t="str">
        <f>'Fichas clínicas'!B723</f>
        <v>13846885-2</v>
      </c>
      <c r="C723" t="e">
        <f>VLOOKUP(paciente_tutor!B723,clientes!A723:B2304,2,FALSE)</f>
        <v>#N/A</v>
      </c>
      <c r="D723" t="e">
        <f t="shared" si="11"/>
        <v>#N/A</v>
      </c>
    </row>
    <row r="724" spans="1:4" x14ac:dyDescent="0.2">
      <c r="A724">
        <f>'Fichas clínicas'!A724</f>
        <v>726</v>
      </c>
      <c r="B724" t="str">
        <f>'Fichas clínicas'!B724</f>
        <v>12432371-1</v>
      </c>
      <c r="C724" t="e">
        <f>VLOOKUP(paciente_tutor!B724,clientes!A724:B2305,2,FALSE)</f>
        <v>#N/A</v>
      </c>
      <c r="D724" t="e">
        <f t="shared" si="11"/>
        <v>#N/A</v>
      </c>
    </row>
    <row r="725" spans="1:4" x14ac:dyDescent="0.2">
      <c r="A725">
        <f>'Fichas clínicas'!A725</f>
        <v>727</v>
      </c>
      <c r="B725" t="str">
        <f>'Fichas clínicas'!B725</f>
        <v>17924520-5</v>
      </c>
      <c r="C725" t="str">
        <f>VLOOKUP(paciente_tutor!B725,clientes!A725:B2306,2,FALSE)</f>
        <v>Lucero</v>
      </c>
      <c r="D725" t="str">
        <f t="shared" si="11"/>
        <v>17924520-5</v>
      </c>
    </row>
    <row r="726" spans="1:4" x14ac:dyDescent="0.2">
      <c r="A726">
        <f>'Fichas clínicas'!A726</f>
        <v>728</v>
      </c>
      <c r="B726" t="str">
        <f>'Fichas clínicas'!B726</f>
        <v>14084824-7</v>
      </c>
      <c r="C726" t="e">
        <f>VLOOKUP(paciente_tutor!B726,clientes!A726:B2307,2,FALSE)</f>
        <v>#N/A</v>
      </c>
      <c r="D726" t="e">
        <f t="shared" si="11"/>
        <v>#N/A</v>
      </c>
    </row>
    <row r="727" spans="1:4" x14ac:dyDescent="0.2">
      <c r="A727">
        <f>'Fichas clínicas'!A727</f>
        <v>729</v>
      </c>
      <c r="B727" t="str">
        <f>'Fichas clínicas'!B727</f>
        <v>14084824-7</v>
      </c>
      <c r="C727" t="e">
        <f>VLOOKUP(paciente_tutor!B727,clientes!A727:B2308,2,FALSE)</f>
        <v>#N/A</v>
      </c>
      <c r="D727" t="e">
        <f t="shared" si="11"/>
        <v>#N/A</v>
      </c>
    </row>
    <row r="728" spans="1:4" x14ac:dyDescent="0.2">
      <c r="A728">
        <f>'Fichas clínicas'!A728</f>
        <v>730</v>
      </c>
      <c r="B728" t="str">
        <f>'Fichas clínicas'!B728</f>
        <v>19249871-6</v>
      </c>
      <c r="C728" t="str">
        <f>VLOOKUP(paciente_tutor!B728,clientes!A728:B2309,2,FALSE)</f>
        <v>VALENTINA BELEN</v>
      </c>
      <c r="D728" t="str">
        <f t="shared" si="11"/>
        <v>19249871-6</v>
      </c>
    </row>
    <row r="729" spans="1:4" x14ac:dyDescent="0.2">
      <c r="A729">
        <f>'Fichas clínicas'!A729</f>
        <v>731</v>
      </c>
      <c r="B729" t="str">
        <f>'Fichas clínicas'!B729</f>
        <v>17069824-k</v>
      </c>
      <c r="C729" t="str">
        <f>VLOOKUP(paciente_tutor!B729,clientes!A729:B2310,2,FALSE)</f>
        <v>María Graciela</v>
      </c>
      <c r="D729" t="str">
        <f t="shared" si="11"/>
        <v>17069824-k</v>
      </c>
    </row>
    <row r="730" spans="1:4" x14ac:dyDescent="0.2">
      <c r="A730">
        <f>'Fichas clínicas'!A730</f>
        <v>732</v>
      </c>
      <c r="B730" t="str">
        <f>'Fichas clínicas'!B730</f>
        <v>11324412-7</v>
      </c>
      <c r="C730" t="e">
        <f>VLOOKUP(paciente_tutor!B730,clientes!A730:B2311,2,FALSE)</f>
        <v>#N/A</v>
      </c>
      <c r="D730" t="e">
        <f t="shared" si="11"/>
        <v>#N/A</v>
      </c>
    </row>
    <row r="731" spans="1:4" x14ac:dyDescent="0.2">
      <c r="A731">
        <f>'Fichas clínicas'!A731</f>
        <v>733</v>
      </c>
      <c r="B731" t="str">
        <f>'Fichas clínicas'!B731</f>
        <v>18173744-1</v>
      </c>
      <c r="C731" t="str">
        <f>VLOOKUP(paciente_tutor!B731,clientes!A731:B2312,2,FALSE)</f>
        <v>Fernanda Del Rosario</v>
      </c>
      <c r="D731" t="str">
        <f t="shared" si="11"/>
        <v>18173744-1</v>
      </c>
    </row>
    <row r="732" spans="1:4" x14ac:dyDescent="0.2">
      <c r="A732">
        <f>'Fichas clínicas'!A732</f>
        <v>734</v>
      </c>
      <c r="B732" t="str">
        <f>'Fichas clínicas'!B732</f>
        <v>10346203-7</v>
      </c>
      <c r="C732" t="e">
        <f>VLOOKUP(paciente_tutor!B732,clientes!A732:B2313,2,FALSE)</f>
        <v>#N/A</v>
      </c>
      <c r="D732" t="e">
        <f t="shared" si="11"/>
        <v>#N/A</v>
      </c>
    </row>
    <row r="733" spans="1:4" x14ac:dyDescent="0.2">
      <c r="A733">
        <f>'Fichas clínicas'!A733</f>
        <v>735</v>
      </c>
      <c r="B733" t="str">
        <f>'Fichas clínicas'!B733</f>
        <v>10346203-7</v>
      </c>
      <c r="C733" t="e">
        <f>VLOOKUP(paciente_tutor!B733,clientes!A733:B2314,2,FALSE)</f>
        <v>#N/A</v>
      </c>
      <c r="D733" t="e">
        <f t="shared" si="11"/>
        <v>#N/A</v>
      </c>
    </row>
    <row r="734" spans="1:4" x14ac:dyDescent="0.2">
      <c r="A734">
        <f>'Fichas clínicas'!A734</f>
        <v>736</v>
      </c>
      <c r="B734" t="str">
        <f>'Fichas clínicas'!B734</f>
        <v>14082477-1</v>
      </c>
      <c r="C734" t="e">
        <f>VLOOKUP(paciente_tutor!B734,clientes!A734:B2315,2,FALSE)</f>
        <v>#N/A</v>
      </c>
      <c r="D734" t="e">
        <f t="shared" si="11"/>
        <v>#N/A</v>
      </c>
    </row>
    <row r="735" spans="1:4" x14ac:dyDescent="0.2">
      <c r="A735">
        <f>'Fichas clínicas'!A735</f>
        <v>737</v>
      </c>
      <c r="B735" t="str">
        <f>'Fichas clínicas'!B735</f>
        <v>19755390-1</v>
      </c>
      <c r="C735" t="str">
        <f>VLOOKUP(paciente_tutor!B735,clientes!A735:B2316,2,FALSE)</f>
        <v>CINTHYA</v>
      </c>
      <c r="D735" t="str">
        <f t="shared" si="11"/>
        <v>19755390-1</v>
      </c>
    </row>
    <row r="736" spans="1:4" x14ac:dyDescent="0.2">
      <c r="A736">
        <f>'Fichas clínicas'!A736</f>
        <v>738</v>
      </c>
      <c r="B736" t="str">
        <f>'Fichas clínicas'!B736</f>
        <v>13734548-k</v>
      </c>
      <c r="C736" t="e">
        <f>VLOOKUP(paciente_tutor!B736,clientes!A736:B2317,2,FALSE)</f>
        <v>#N/A</v>
      </c>
      <c r="D736" t="e">
        <f t="shared" si="11"/>
        <v>#N/A</v>
      </c>
    </row>
    <row r="737" spans="1:4" x14ac:dyDescent="0.2">
      <c r="A737">
        <f>'Fichas clínicas'!A737</f>
        <v>739</v>
      </c>
      <c r="B737" t="str">
        <f>'Fichas clínicas'!B737</f>
        <v>16464891-5</v>
      </c>
      <c r="C737" t="e">
        <f>VLOOKUP(paciente_tutor!B737,clientes!A737:B2318,2,FALSE)</f>
        <v>#N/A</v>
      </c>
      <c r="D737" t="e">
        <f t="shared" si="11"/>
        <v>#N/A</v>
      </c>
    </row>
    <row r="738" spans="1:4" x14ac:dyDescent="0.2">
      <c r="A738">
        <f>'Fichas clínicas'!A738</f>
        <v>740</v>
      </c>
      <c r="B738" t="str">
        <f>'Fichas clínicas'!B738</f>
        <v>20731691-1</v>
      </c>
      <c r="C738" t="str">
        <f>VLOOKUP(paciente_tutor!B738,clientes!A738:B2319,2,FALSE)</f>
        <v>CAMILA</v>
      </c>
      <c r="D738" t="str">
        <f t="shared" si="11"/>
        <v>20731691-1</v>
      </c>
    </row>
    <row r="739" spans="1:4" x14ac:dyDescent="0.2">
      <c r="A739">
        <f>'Fichas clínicas'!A739</f>
        <v>741</v>
      </c>
      <c r="B739" t="str">
        <f>'Fichas clínicas'!B739</f>
        <v>11129923-4</v>
      </c>
      <c r="C739" t="e">
        <f>VLOOKUP(paciente_tutor!B739,clientes!A739:B2320,2,FALSE)</f>
        <v>#N/A</v>
      </c>
      <c r="D739" t="e">
        <f t="shared" si="11"/>
        <v>#N/A</v>
      </c>
    </row>
    <row r="740" spans="1:4" x14ac:dyDescent="0.2">
      <c r="A740">
        <f>'Fichas clínicas'!A740</f>
        <v>742</v>
      </c>
      <c r="B740" t="str">
        <f>'Fichas clínicas'!B740</f>
        <v>18887304-9</v>
      </c>
      <c r="C740" t="str">
        <f>VLOOKUP(paciente_tutor!B740,clientes!A740:B2321,2,FALSE)</f>
        <v>Diana Pamela</v>
      </c>
      <c r="D740" t="str">
        <f t="shared" si="11"/>
        <v>18887304-9</v>
      </c>
    </row>
    <row r="741" spans="1:4" x14ac:dyDescent="0.2">
      <c r="A741">
        <f>'Fichas clínicas'!A741</f>
        <v>743</v>
      </c>
      <c r="B741" t="str">
        <f>'Fichas clínicas'!B741</f>
        <v>20840664-7</v>
      </c>
      <c r="C741" t="str">
        <f>VLOOKUP(paciente_tutor!B741,clientes!A741:B2322,2,FALSE)</f>
        <v>Felipe</v>
      </c>
      <c r="D741" t="str">
        <f t="shared" si="11"/>
        <v>20840664-7</v>
      </c>
    </row>
    <row r="742" spans="1:4" x14ac:dyDescent="0.2">
      <c r="A742">
        <f>'Fichas clínicas'!A742</f>
        <v>744</v>
      </c>
      <c r="B742" t="str">
        <f>'Fichas clínicas'!B742</f>
        <v>13587850-2</v>
      </c>
      <c r="C742" t="e">
        <f>VLOOKUP(paciente_tutor!B742,clientes!A742:B2323,2,FALSE)</f>
        <v>#N/A</v>
      </c>
      <c r="D742" t="e">
        <f t="shared" si="11"/>
        <v>#N/A</v>
      </c>
    </row>
    <row r="743" spans="1:4" x14ac:dyDescent="0.2">
      <c r="A743">
        <f>'Fichas clínicas'!A743</f>
        <v>745</v>
      </c>
      <c r="B743" t="str">
        <f>'Fichas clínicas'!B743</f>
        <v>18288737-4</v>
      </c>
      <c r="C743" t="str">
        <f>VLOOKUP(paciente_tutor!B743,clientes!A743:B2324,2,FALSE)</f>
        <v>BRYAN</v>
      </c>
      <c r="D743" t="str">
        <f t="shared" si="11"/>
        <v>18288737-4</v>
      </c>
    </row>
    <row r="744" spans="1:4" x14ac:dyDescent="0.2">
      <c r="A744">
        <f>'Fichas clínicas'!A744</f>
        <v>746</v>
      </c>
      <c r="B744" t="str">
        <f>'Fichas clínicas'!B744</f>
        <v>17864252-9</v>
      </c>
      <c r="C744" t="str">
        <f>VLOOKUP(paciente_tutor!B744,clientes!A744:B2325,2,FALSE)</f>
        <v>Bruno Eduardo</v>
      </c>
      <c r="D744" t="str">
        <f t="shared" si="11"/>
        <v>17864252-9</v>
      </c>
    </row>
    <row r="745" spans="1:4" x14ac:dyDescent="0.2">
      <c r="A745">
        <f>'Fichas clínicas'!A745</f>
        <v>747</v>
      </c>
      <c r="B745" t="str">
        <f>'Fichas clínicas'!B745</f>
        <v>17964201-8</v>
      </c>
      <c r="C745" t="str">
        <f>VLOOKUP(paciente_tutor!B745,clientes!A745:B2326,2,FALSE)</f>
        <v>Anyeline</v>
      </c>
      <c r="D745" t="str">
        <f t="shared" si="11"/>
        <v>17964201-8</v>
      </c>
    </row>
    <row r="746" spans="1:4" x14ac:dyDescent="0.2">
      <c r="A746">
        <f>'Fichas clínicas'!A746</f>
        <v>748</v>
      </c>
      <c r="B746" t="str">
        <f>'Fichas clínicas'!B746</f>
        <v>19954556-6</v>
      </c>
      <c r="C746" t="str">
        <f>VLOOKUP(paciente_tutor!B746,clientes!A746:B2327,2,FALSE)</f>
        <v>CAMILA</v>
      </c>
      <c r="D746" t="str">
        <f t="shared" si="11"/>
        <v>19954556-6</v>
      </c>
    </row>
    <row r="747" spans="1:4" x14ac:dyDescent="0.2">
      <c r="A747">
        <f>'Fichas clínicas'!A747</f>
        <v>749</v>
      </c>
      <c r="B747" t="str">
        <f>'Fichas clínicas'!B747</f>
        <v>20314488-1</v>
      </c>
      <c r="C747" t="str">
        <f>VLOOKUP(paciente_tutor!B747,clientes!A747:B2328,2,FALSE)</f>
        <v>Damaris Isabella</v>
      </c>
      <c r="D747" t="str">
        <f t="shared" si="11"/>
        <v>20314488-1</v>
      </c>
    </row>
    <row r="748" spans="1:4" x14ac:dyDescent="0.2">
      <c r="A748">
        <f>'Fichas clínicas'!A748</f>
        <v>750</v>
      </c>
      <c r="B748" t="str">
        <f>'Fichas clínicas'!B748</f>
        <v>19335663-k</v>
      </c>
      <c r="C748" t="str">
        <f>VLOOKUP(paciente_tutor!B748,clientes!A748:B2329,2,FALSE)</f>
        <v>Jonathan Ricardo</v>
      </c>
      <c r="D748" t="str">
        <f t="shared" si="11"/>
        <v>19335663-k</v>
      </c>
    </row>
    <row r="749" spans="1:4" x14ac:dyDescent="0.2">
      <c r="A749">
        <f>'Fichas clínicas'!A749</f>
        <v>751</v>
      </c>
      <c r="B749" t="str">
        <f>'Fichas clínicas'!B749</f>
        <v>13730383-3</v>
      </c>
      <c r="C749" t="e">
        <f>VLOOKUP(paciente_tutor!B749,clientes!A749:B2330,2,FALSE)</f>
        <v>#N/A</v>
      </c>
      <c r="D749" t="e">
        <f t="shared" si="11"/>
        <v>#N/A</v>
      </c>
    </row>
    <row r="750" spans="1:4" x14ac:dyDescent="0.2">
      <c r="A750">
        <f>'Fichas clínicas'!A750</f>
        <v>752</v>
      </c>
      <c r="B750" t="str">
        <f>'Fichas clínicas'!B750</f>
        <v>13320581-0</v>
      </c>
      <c r="C750" t="e">
        <f>VLOOKUP(paciente_tutor!B750,clientes!A750:B2331,2,FALSE)</f>
        <v>#N/A</v>
      </c>
      <c r="D750" t="e">
        <f t="shared" si="11"/>
        <v>#N/A</v>
      </c>
    </row>
    <row r="751" spans="1:4" x14ac:dyDescent="0.2">
      <c r="A751">
        <f>'Fichas clínicas'!A751</f>
        <v>753</v>
      </c>
      <c r="B751" t="str">
        <f>'Fichas clínicas'!B751</f>
        <v>14082232-9</v>
      </c>
      <c r="C751" t="e">
        <f>VLOOKUP(paciente_tutor!B751,clientes!A751:B2332,2,FALSE)</f>
        <v>#N/A</v>
      </c>
      <c r="D751" t="e">
        <f t="shared" si="11"/>
        <v>#N/A</v>
      </c>
    </row>
    <row r="752" spans="1:4" x14ac:dyDescent="0.2">
      <c r="A752">
        <f>'Fichas clínicas'!A752</f>
        <v>754</v>
      </c>
      <c r="B752" t="str">
        <f>'Fichas clínicas'!B752</f>
        <v>16806305-9</v>
      </c>
      <c r="C752" t="e">
        <f>VLOOKUP(paciente_tutor!B752,clientes!A752:B2333,2,FALSE)</f>
        <v>#N/A</v>
      </c>
      <c r="D752" t="e">
        <f t="shared" si="11"/>
        <v>#N/A</v>
      </c>
    </row>
    <row r="753" spans="1:4" x14ac:dyDescent="0.2">
      <c r="A753">
        <f>'Fichas clínicas'!A753</f>
        <v>755</v>
      </c>
      <c r="B753" t="str">
        <f>'Fichas clínicas'!B753</f>
        <v>18289254-8</v>
      </c>
      <c r="C753" t="str">
        <f>VLOOKUP(paciente_tutor!B753,clientes!A753:B2334,2,FALSE)</f>
        <v>Elsa</v>
      </c>
      <c r="D753" t="str">
        <f t="shared" si="11"/>
        <v>18289254-8</v>
      </c>
    </row>
    <row r="754" spans="1:4" x14ac:dyDescent="0.2">
      <c r="A754">
        <f>'Fichas clínicas'!A754</f>
        <v>756</v>
      </c>
      <c r="B754" t="str">
        <f>'Fichas clínicas'!B754</f>
        <v>19555002-6</v>
      </c>
      <c r="C754" t="str">
        <f>VLOOKUP(paciente_tutor!B754,clientes!A754:B2335,2,FALSE)</f>
        <v>Maryorie</v>
      </c>
      <c r="D754" t="str">
        <f t="shared" si="11"/>
        <v>19555002-6</v>
      </c>
    </row>
    <row r="755" spans="1:4" x14ac:dyDescent="0.2">
      <c r="A755">
        <f>'Fichas clínicas'!A755</f>
        <v>757</v>
      </c>
      <c r="B755" t="str">
        <f>'Fichas clínicas'!B755</f>
        <v>16872082-3</v>
      </c>
      <c r="C755" t="e">
        <f>VLOOKUP(paciente_tutor!B755,clientes!A755:B2336,2,FALSE)</f>
        <v>#N/A</v>
      </c>
      <c r="D755" t="e">
        <f t="shared" si="11"/>
        <v>#N/A</v>
      </c>
    </row>
    <row r="756" spans="1:4" x14ac:dyDescent="0.2">
      <c r="A756">
        <f>'Fichas clínicas'!A756</f>
        <v>758</v>
      </c>
      <c r="B756" t="str">
        <f>'Fichas clínicas'!B756</f>
        <v>17549606-8</v>
      </c>
      <c r="C756" t="str">
        <f>VLOOKUP(paciente_tutor!B756,clientes!A756:B2337,2,FALSE)</f>
        <v>Carla Andrea</v>
      </c>
      <c r="D756" t="str">
        <f t="shared" si="11"/>
        <v>17549606-8</v>
      </c>
    </row>
    <row r="757" spans="1:4" x14ac:dyDescent="0.2">
      <c r="A757">
        <f>'Fichas clínicas'!A757</f>
        <v>759</v>
      </c>
      <c r="B757" t="str">
        <f>'Fichas clínicas'!B757</f>
        <v>16805570-6</v>
      </c>
      <c r="C757" t="e">
        <f>VLOOKUP(paciente_tutor!B757,clientes!A757:B2338,2,FALSE)</f>
        <v>#N/A</v>
      </c>
      <c r="D757" t="e">
        <f t="shared" si="11"/>
        <v>#N/A</v>
      </c>
    </row>
    <row r="758" spans="1:4" x14ac:dyDescent="0.2">
      <c r="A758">
        <f>'Fichas clínicas'!A758</f>
        <v>760</v>
      </c>
      <c r="B758" t="str">
        <f>'Fichas clínicas'!B758</f>
        <v>12150663-7</v>
      </c>
      <c r="C758" t="e">
        <f>VLOOKUP(paciente_tutor!B758,clientes!A758:B2339,2,FALSE)</f>
        <v>#N/A</v>
      </c>
      <c r="D758" t="e">
        <f t="shared" si="11"/>
        <v>#N/A</v>
      </c>
    </row>
    <row r="759" spans="1:4" x14ac:dyDescent="0.2">
      <c r="A759">
        <f>'Fichas clínicas'!A759</f>
        <v>761</v>
      </c>
      <c r="B759" t="str">
        <f>'Fichas clínicas'!B759</f>
        <v>16870794-0</v>
      </c>
      <c r="C759" t="e">
        <f>VLOOKUP(paciente_tutor!B759,clientes!A759:B2340,2,FALSE)</f>
        <v>#N/A</v>
      </c>
      <c r="D759" t="e">
        <f t="shared" si="11"/>
        <v>#N/A</v>
      </c>
    </row>
    <row r="760" spans="1:4" x14ac:dyDescent="0.2">
      <c r="A760">
        <f>'Fichas clínicas'!A760</f>
        <v>762</v>
      </c>
      <c r="B760" t="str">
        <f>'Fichas clínicas'!B760</f>
        <v>18889078-4</v>
      </c>
      <c r="C760" t="str">
        <f>VLOOKUP(paciente_tutor!B760,clientes!A760:B2341,2,FALSE)</f>
        <v>Alexia Mónica</v>
      </c>
      <c r="D760" t="str">
        <f t="shared" si="11"/>
        <v>18889078-4</v>
      </c>
    </row>
    <row r="761" spans="1:4" x14ac:dyDescent="0.2">
      <c r="A761">
        <f>'Fichas clínicas'!A761</f>
        <v>763</v>
      </c>
      <c r="B761" t="str">
        <f>'Fichas clínicas'!B761</f>
        <v>9598871-7</v>
      </c>
      <c r="C761" t="str">
        <f>VLOOKUP(paciente_tutor!B761,clientes!A761:B2342,2,FALSE)</f>
        <v>CARLOS</v>
      </c>
      <c r="D761" t="str">
        <f t="shared" si="11"/>
        <v>9598871-7</v>
      </c>
    </row>
    <row r="762" spans="1:4" x14ac:dyDescent="0.2">
      <c r="A762">
        <f>'Fichas clínicas'!A762</f>
        <v>764</v>
      </c>
      <c r="B762" t="str">
        <f>'Fichas clínicas'!B762</f>
        <v>12041820-3</v>
      </c>
      <c r="C762" t="e">
        <f>VLOOKUP(paciente_tutor!B762,clientes!A762:B2343,2,FALSE)</f>
        <v>#N/A</v>
      </c>
      <c r="D762" t="e">
        <f t="shared" si="11"/>
        <v>#N/A</v>
      </c>
    </row>
    <row r="763" spans="1:4" x14ac:dyDescent="0.2">
      <c r="A763">
        <f>'Fichas clínicas'!A763</f>
        <v>765</v>
      </c>
      <c r="B763" t="str">
        <f>'Fichas clínicas'!B763</f>
        <v>16159595-0</v>
      </c>
      <c r="C763" t="e">
        <f>VLOOKUP(paciente_tutor!B763,clientes!A763:B2344,2,FALSE)</f>
        <v>#N/A</v>
      </c>
      <c r="D763" t="e">
        <f t="shared" si="11"/>
        <v>#N/A</v>
      </c>
    </row>
    <row r="764" spans="1:4" x14ac:dyDescent="0.2">
      <c r="A764">
        <f>'Fichas clínicas'!A764</f>
        <v>766</v>
      </c>
      <c r="B764" t="str">
        <f>'Fichas clínicas'!B764</f>
        <v>15477487-4</v>
      </c>
      <c r="C764" t="e">
        <f>VLOOKUP(paciente_tutor!B764,clientes!A764:B2345,2,FALSE)</f>
        <v>#N/A</v>
      </c>
      <c r="D764" t="e">
        <f t="shared" si="11"/>
        <v>#N/A</v>
      </c>
    </row>
    <row r="765" spans="1:4" x14ac:dyDescent="0.2">
      <c r="A765">
        <f>'Fichas clínicas'!A765</f>
        <v>767</v>
      </c>
      <c r="B765" t="str">
        <f>'Fichas clínicas'!B765</f>
        <v>20641606-8</v>
      </c>
      <c r="C765" t="str">
        <f>VLOOKUP(paciente_tutor!B765,clientes!A765:B2346,2,FALSE)</f>
        <v>Emanuel</v>
      </c>
      <c r="D765" t="str">
        <f t="shared" si="11"/>
        <v>20641606-8</v>
      </c>
    </row>
    <row r="766" spans="1:4" x14ac:dyDescent="0.2">
      <c r="A766">
        <f>'Fichas clínicas'!A766</f>
        <v>768</v>
      </c>
      <c r="B766" t="str">
        <f>'Fichas clínicas'!B766</f>
        <v>19555317-3</v>
      </c>
      <c r="C766" t="str">
        <f>VLOOKUP(paciente_tutor!B766,clientes!A766:B2347,2,FALSE)</f>
        <v>Angela</v>
      </c>
      <c r="D766" t="str">
        <f t="shared" si="11"/>
        <v>19555317-3</v>
      </c>
    </row>
    <row r="767" spans="1:4" x14ac:dyDescent="0.2">
      <c r="A767">
        <f>'Fichas clínicas'!A767</f>
        <v>769</v>
      </c>
      <c r="B767" t="str">
        <f>'Fichas clínicas'!B767</f>
        <v>19248127-9</v>
      </c>
      <c r="C767" t="str">
        <f>VLOOKUP(paciente_tutor!B767,clientes!A767:B2348,2,FALSE)</f>
        <v>CAMILA</v>
      </c>
      <c r="D767" t="str">
        <f t="shared" si="11"/>
        <v>19248127-9</v>
      </c>
    </row>
    <row r="768" spans="1:4" x14ac:dyDescent="0.2">
      <c r="A768">
        <f>'Fichas clínicas'!A768</f>
        <v>770</v>
      </c>
      <c r="B768" t="str">
        <f>'Fichas clínicas'!B768</f>
        <v>19248127-9</v>
      </c>
      <c r="C768" t="str">
        <f>VLOOKUP(paciente_tutor!B768,clientes!A768:B2349,2,FALSE)</f>
        <v>CAMILA</v>
      </c>
      <c r="D768" t="str">
        <f t="shared" si="11"/>
        <v>19248127-9</v>
      </c>
    </row>
    <row r="769" spans="1:4" x14ac:dyDescent="0.2">
      <c r="A769">
        <f>'Fichas clínicas'!A769</f>
        <v>771</v>
      </c>
      <c r="B769" t="str">
        <f>'Fichas clínicas'!B769</f>
        <v>13847298-1</v>
      </c>
      <c r="C769" t="e">
        <f>VLOOKUP(paciente_tutor!B769,clientes!A769:B2350,2,FALSE)</f>
        <v>#N/A</v>
      </c>
      <c r="D769" t="e">
        <f t="shared" si="11"/>
        <v>#N/A</v>
      </c>
    </row>
    <row r="770" spans="1:4" x14ac:dyDescent="0.2">
      <c r="A770">
        <f>'Fichas clínicas'!A770</f>
        <v>772</v>
      </c>
      <c r="B770" t="str">
        <f>'Fichas clínicas'!B770</f>
        <v>18289311-0</v>
      </c>
      <c r="C770" t="str">
        <f>VLOOKUP(paciente_tutor!B770,clientes!A770:B2351,2,FALSE)</f>
        <v>Yasna</v>
      </c>
      <c r="D770" t="str">
        <f t="shared" si="11"/>
        <v>18289311-0</v>
      </c>
    </row>
    <row r="771" spans="1:4" x14ac:dyDescent="0.2">
      <c r="A771">
        <f>'Fichas clínicas'!A771</f>
        <v>773</v>
      </c>
      <c r="B771" t="str">
        <f>'Fichas clínicas'!B771</f>
        <v>16587933-3</v>
      </c>
      <c r="C771" t="e">
        <f>VLOOKUP(paciente_tutor!B771,clientes!A771:B2352,2,FALSE)</f>
        <v>#N/A</v>
      </c>
      <c r="D771" t="e">
        <f t="shared" ref="D771:D834" si="12">IF(C771="#N/A","",B771)</f>
        <v>#N/A</v>
      </c>
    </row>
    <row r="772" spans="1:4" x14ac:dyDescent="0.2">
      <c r="A772">
        <f>'Fichas clínicas'!A772</f>
        <v>774</v>
      </c>
      <c r="B772" t="str">
        <f>'Fichas clínicas'!B772</f>
        <v>16806406-3</v>
      </c>
      <c r="C772" t="e">
        <f>VLOOKUP(paciente_tutor!B772,clientes!A772:B2353,2,FALSE)</f>
        <v>#N/A</v>
      </c>
      <c r="D772" t="e">
        <f t="shared" si="12"/>
        <v>#N/A</v>
      </c>
    </row>
    <row r="773" spans="1:4" x14ac:dyDescent="0.2">
      <c r="A773">
        <f>'Fichas clínicas'!A773</f>
        <v>775</v>
      </c>
      <c r="B773" t="str">
        <f>'Fichas clínicas'!B773</f>
        <v>16160492-5</v>
      </c>
      <c r="C773" t="e">
        <f>VLOOKUP(paciente_tutor!B773,clientes!A773:B2354,2,FALSE)</f>
        <v>#N/A</v>
      </c>
      <c r="D773" t="e">
        <f t="shared" si="12"/>
        <v>#N/A</v>
      </c>
    </row>
    <row r="774" spans="1:4" x14ac:dyDescent="0.2">
      <c r="A774">
        <f>'Fichas clínicas'!A774</f>
        <v>776</v>
      </c>
      <c r="B774" t="str">
        <f>'Fichas clínicas'!B774</f>
        <v>10266974-6</v>
      </c>
      <c r="C774" t="e">
        <f>VLOOKUP(paciente_tutor!B774,clientes!A774:B2355,2,FALSE)</f>
        <v>#N/A</v>
      </c>
      <c r="D774" t="e">
        <f t="shared" si="12"/>
        <v>#N/A</v>
      </c>
    </row>
    <row r="775" spans="1:4" x14ac:dyDescent="0.2">
      <c r="A775">
        <f>'Fichas clínicas'!A775</f>
        <v>777</v>
      </c>
      <c r="B775" t="str">
        <f>'Fichas clínicas'!B775</f>
        <v>17276561-0</v>
      </c>
      <c r="C775" t="e">
        <f>VLOOKUP(paciente_tutor!B775,clientes!A775:B2356,2,FALSE)</f>
        <v>#N/A</v>
      </c>
      <c r="D775" t="e">
        <f t="shared" si="12"/>
        <v>#N/A</v>
      </c>
    </row>
    <row r="776" spans="1:4" x14ac:dyDescent="0.2">
      <c r="A776">
        <f>'Fichas clínicas'!A776</f>
        <v>778</v>
      </c>
      <c r="B776" t="str">
        <f>'Fichas clínicas'!B776</f>
        <v>18886601-8</v>
      </c>
      <c r="C776" t="str">
        <f>VLOOKUP(paciente_tutor!B776,clientes!A776:B2357,2,FALSE)</f>
        <v>Valentina</v>
      </c>
      <c r="D776" t="str">
        <f t="shared" si="12"/>
        <v>18886601-8</v>
      </c>
    </row>
    <row r="777" spans="1:4" x14ac:dyDescent="0.2">
      <c r="A777">
        <f>'Fichas clínicas'!A777</f>
        <v>779</v>
      </c>
      <c r="B777" t="str">
        <f>'Fichas clínicas'!B777</f>
        <v>13810265-3</v>
      </c>
      <c r="C777" t="e">
        <f>VLOOKUP(paciente_tutor!B777,clientes!A777:B2358,2,FALSE)</f>
        <v>#N/A</v>
      </c>
      <c r="D777" t="e">
        <f t="shared" si="12"/>
        <v>#N/A</v>
      </c>
    </row>
    <row r="778" spans="1:4" x14ac:dyDescent="0.2">
      <c r="A778">
        <f>'Fichas clínicas'!A778</f>
        <v>780</v>
      </c>
      <c r="B778" t="str">
        <f>'Fichas clínicas'!B778</f>
        <v>20922023-7</v>
      </c>
      <c r="C778" t="str">
        <f>VLOOKUP(paciente_tutor!B778,clientes!A778:B2359,2,FALSE)</f>
        <v>Josefina</v>
      </c>
      <c r="D778" t="str">
        <f t="shared" si="12"/>
        <v>20922023-7</v>
      </c>
    </row>
    <row r="779" spans="1:4" x14ac:dyDescent="0.2">
      <c r="A779">
        <f>'Fichas clínicas'!A779</f>
        <v>781</v>
      </c>
      <c r="B779" t="str">
        <f>'Fichas clínicas'!B779</f>
        <v>18843511-4</v>
      </c>
      <c r="C779" t="str">
        <f>VLOOKUP(paciente_tutor!B779,clientes!A779:B2360,2,FALSE)</f>
        <v>BRITANY</v>
      </c>
      <c r="D779" t="str">
        <f t="shared" si="12"/>
        <v>18843511-4</v>
      </c>
    </row>
    <row r="780" spans="1:4" x14ac:dyDescent="0.2">
      <c r="A780">
        <f>'Fichas clínicas'!A780</f>
        <v>782</v>
      </c>
      <c r="B780" t="str">
        <f>'Fichas clínicas'!B780</f>
        <v>11138364-2</v>
      </c>
      <c r="C780" t="e">
        <f>VLOOKUP(paciente_tutor!B780,clientes!A780:B2361,2,FALSE)</f>
        <v>#N/A</v>
      </c>
      <c r="D780" t="e">
        <f t="shared" si="12"/>
        <v>#N/A</v>
      </c>
    </row>
    <row r="781" spans="1:4" x14ac:dyDescent="0.2">
      <c r="A781">
        <f>'Fichas clínicas'!A781</f>
        <v>783</v>
      </c>
      <c r="B781" t="str">
        <f>'Fichas clínicas'!B781</f>
        <v>13549234-5</v>
      </c>
      <c r="C781" t="e">
        <f>VLOOKUP(paciente_tutor!B781,clientes!A781:B2362,2,FALSE)</f>
        <v>#N/A</v>
      </c>
      <c r="D781" t="e">
        <f t="shared" si="12"/>
        <v>#N/A</v>
      </c>
    </row>
    <row r="782" spans="1:4" x14ac:dyDescent="0.2">
      <c r="A782">
        <f>'Fichas clínicas'!A782</f>
        <v>784</v>
      </c>
      <c r="B782" t="str">
        <f>'Fichas clínicas'!B782</f>
        <v>16319660-3</v>
      </c>
      <c r="C782" t="e">
        <f>VLOOKUP(paciente_tutor!B782,clientes!A782:B2363,2,FALSE)</f>
        <v>#N/A</v>
      </c>
      <c r="D782" t="e">
        <f t="shared" si="12"/>
        <v>#N/A</v>
      </c>
    </row>
    <row r="783" spans="1:4" x14ac:dyDescent="0.2">
      <c r="A783">
        <f>'Fichas clínicas'!A783</f>
        <v>785</v>
      </c>
      <c r="B783" t="str">
        <f>'Fichas clínicas'!B783</f>
        <v>9248174-3</v>
      </c>
      <c r="C783" t="str">
        <f>VLOOKUP(paciente_tutor!B783,clientes!A783:B2364,2,FALSE)</f>
        <v>Miriam Guillermina</v>
      </c>
      <c r="D783" t="str">
        <f t="shared" si="12"/>
        <v>9248174-3</v>
      </c>
    </row>
    <row r="784" spans="1:4" x14ac:dyDescent="0.2">
      <c r="A784">
        <f>'Fichas clínicas'!A784</f>
        <v>786</v>
      </c>
      <c r="B784" t="str">
        <f>'Fichas clínicas'!B784</f>
        <v>17694505-2</v>
      </c>
      <c r="C784" t="str">
        <f>VLOOKUP(paciente_tutor!B784,clientes!A784:B2365,2,FALSE)</f>
        <v>Betsy</v>
      </c>
      <c r="D784" t="str">
        <f t="shared" si="12"/>
        <v>17694505-2</v>
      </c>
    </row>
    <row r="785" spans="1:4" x14ac:dyDescent="0.2">
      <c r="A785">
        <f>'Fichas clínicas'!A785</f>
        <v>787</v>
      </c>
      <c r="B785" t="str">
        <f>'Fichas clínicas'!B785</f>
        <v>11918117-8</v>
      </c>
      <c r="C785" t="e">
        <f>VLOOKUP(paciente_tutor!B785,clientes!A785:B2366,2,FALSE)</f>
        <v>#N/A</v>
      </c>
      <c r="D785" t="e">
        <f t="shared" si="12"/>
        <v>#N/A</v>
      </c>
    </row>
    <row r="786" spans="1:4" x14ac:dyDescent="0.2">
      <c r="A786">
        <f>'Fichas clínicas'!A786</f>
        <v>788</v>
      </c>
      <c r="B786" t="str">
        <f>'Fichas clínicas'!B786</f>
        <v>15443348-1</v>
      </c>
      <c r="C786" t="e">
        <f>VLOOKUP(paciente_tutor!B786,clientes!A786:B2367,2,FALSE)</f>
        <v>#N/A</v>
      </c>
      <c r="D786" t="e">
        <f t="shared" si="12"/>
        <v>#N/A</v>
      </c>
    </row>
    <row r="787" spans="1:4" x14ac:dyDescent="0.2">
      <c r="A787">
        <f>'Fichas clínicas'!A787</f>
        <v>789</v>
      </c>
      <c r="B787" t="str">
        <f>'Fichas clínicas'!B787</f>
        <v>15883362-K</v>
      </c>
      <c r="C787" t="e">
        <f>VLOOKUP(paciente_tutor!B787,clientes!A787:B2368,2,FALSE)</f>
        <v>#N/A</v>
      </c>
      <c r="D787" t="e">
        <f t="shared" si="12"/>
        <v>#N/A</v>
      </c>
    </row>
    <row r="788" spans="1:4" x14ac:dyDescent="0.2">
      <c r="A788">
        <f>'Fichas clínicas'!A788</f>
        <v>790</v>
      </c>
      <c r="B788" t="str">
        <f>'Fichas clínicas'!B788</f>
        <v>15548504-3</v>
      </c>
      <c r="C788" t="e">
        <f>VLOOKUP(paciente_tutor!B788,clientes!A788:B2369,2,FALSE)</f>
        <v>#N/A</v>
      </c>
      <c r="D788" t="e">
        <f t="shared" si="12"/>
        <v>#N/A</v>
      </c>
    </row>
    <row r="789" spans="1:4" x14ac:dyDescent="0.2">
      <c r="A789">
        <f>'Fichas clínicas'!A789</f>
        <v>791</v>
      </c>
      <c r="B789" t="str">
        <f>'Fichas clínicas'!B789</f>
        <v>20641494-4</v>
      </c>
      <c r="C789" t="str">
        <f>VLOOKUP(paciente_tutor!B789,clientes!A789:B2370,2,FALSE)</f>
        <v>RAYEN</v>
      </c>
      <c r="D789" t="str">
        <f t="shared" si="12"/>
        <v>20641494-4</v>
      </c>
    </row>
    <row r="790" spans="1:4" x14ac:dyDescent="0.2">
      <c r="A790">
        <f>'Fichas clínicas'!A790</f>
        <v>792</v>
      </c>
      <c r="B790" t="str">
        <f>'Fichas clínicas'!B790</f>
        <v>17811375-5</v>
      </c>
      <c r="C790" t="str">
        <f>VLOOKUP(paciente_tutor!B790,clientes!A790:B2371,2,FALSE)</f>
        <v>Maria Soledad</v>
      </c>
      <c r="D790" t="str">
        <f t="shared" si="12"/>
        <v>17811375-5</v>
      </c>
    </row>
    <row r="791" spans="1:4" x14ac:dyDescent="0.2">
      <c r="A791">
        <f>'Fichas clínicas'!A791</f>
        <v>793</v>
      </c>
      <c r="B791" t="str">
        <f>'Fichas clínicas'!B791</f>
        <v>20313889-k</v>
      </c>
      <c r="C791" t="str">
        <f>VLOOKUP(paciente_tutor!B791,clientes!A791:B2372,2,FALSE)</f>
        <v>NATALIA</v>
      </c>
      <c r="D791" t="str">
        <f t="shared" si="12"/>
        <v>20313889-k</v>
      </c>
    </row>
    <row r="792" spans="1:4" x14ac:dyDescent="0.2">
      <c r="A792">
        <f>'Fichas clínicas'!A792</f>
        <v>794</v>
      </c>
      <c r="B792" t="str">
        <f>'Fichas clínicas'!B792</f>
        <v>19973419-9</v>
      </c>
      <c r="C792" t="str">
        <f>VLOOKUP(paciente_tutor!B792,clientes!A792:B2373,2,FALSE)</f>
        <v>José Luis</v>
      </c>
      <c r="D792" t="str">
        <f t="shared" si="12"/>
        <v>19973419-9</v>
      </c>
    </row>
    <row r="793" spans="1:4" x14ac:dyDescent="0.2">
      <c r="A793">
        <f>'Fichas clínicas'!A793</f>
        <v>795</v>
      </c>
      <c r="B793" t="str">
        <f>'Fichas clínicas'!B793</f>
        <v>20346239-5</v>
      </c>
      <c r="C793" t="str">
        <f>VLOOKUP(paciente_tutor!B793,clientes!A793:B2374,2,FALSE)</f>
        <v>Valeria Alejandra</v>
      </c>
      <c r="D793" t="str">
        <f t="shared" si="12"/>
        <v>20346239-5</v>
      </c>
    </row>
    <row r="794" spans="1:4" x14ac:dyDescent="0.2">
      <c r="A794">
        <f>'Fichas clínicas'!A794</f>
        <v>796</v>
      </c>
      <c r="B794" t="str">
        <f>'Fichas clínicas'!B794</f>
        <v>16214578-9</v>
      </c>
      <c r="C794" t="e">
        <f>VLOOKUP(paciente_tutor!B794,clientes!A794:B2375,2,FALSE)</f>
        <v>#N/A</v>
      </c>
      <c r="D794" t="e">
        <f t="shared" si="12"/>
        <v>#N/A</v>
      </c>
    </row>
    <row r="795" spans="1:4" x14ac:dyDescent="0.2">
      <c r="A795">
        <f>'Fichas clínicas'!A795</f>
        <v>797</v>
      </c>
      <c r="B795" t="str">
        <f>'Fichas clínicas'!B795</f>
        <v>19934119-7</v>
      </c>
      <c r="C795" t="str">
        <f>VLOOKUP(paciente_tutor!B795,clientes!A795:B2376,2,FALSE)</f>
        <v>BARBARA</v>
      </c>
      <c r="D795" t="str">
        <f t="shared" si="12"/>
        <v>19934119-7</v>
      </c>
    </row>
    <row r="796" spans="1:4" x14ac:dyDescent="0.2">
      <c r="A796">
        <f>'Fichas clínicas'!A796</f>
        <v>798</v>
      </c>
      <c r="B796" t="str">
        <f>'Fichas clínicas'!B796</f>
        <v>17395203-1</v>
      </c>
      <c r="C796" t="e">
        <f>VLOOKUP(paciente_tutor!B796,clientes!A796:B2377,2,FALSE)</f>
        <v>#N/A</v>
      </c>
      <c r="D796" t="e">
        <f t="shared" si="12"/>
        <v>#N/A</v>
      </c>
    </row>
    <row r="797" spans="1:4" x14ac:dyDescent="0.2">
      <c r="A797">
        <f>'Fichas clínicas'!A797</f>
        <v>799</v>
      </c>
      <c r="B797" t="str">
        <f>'Fichas clínicas'!B797</f>
        <v>15415143-5</v>
      </c>
      <c r="C797" t="e">
        <f>VLOOKUP(paciente_tutor!B797,clientes!A797:B2378,2,FALSE)</f>
        <v>#N/A</v>
      </c>
      <c r="D797" t="e">
        <f t="shared" si="12"/>
        <v>#N/A</v>
      </c>
    </row>
    <row r="798" spans="1:4" x14ac:dyDescent="0.2">
      <c r="A798">
        <f>'Fichas clínicas'!A798</f>
        <v>800</v>
      </c>
      <c r="B798" t="str">
        <f>'Fichas clínicas'!B798</f>
        <v>10051505-9</v>
      </c>
      <c r="C798" t="e">
        <f>VLOOKUP(paciente_tutor!B798,clientes!A798:B2379,2,FALSE)</f>
        <v>#N/A</v>
      </c>
      <c r="D798" t="e">
        <f t="shared" si="12"/>
        <v>#N/A</v>
      </c>
    </row>
    <row r="799" spans="1:4" x14ac:dyDescent="0.2">
      <c r="A799">
        <f>'Fichas clínicas'!A799</f>
        <v>801</v>
      </c>
      <c r="B799" t="str">
        <f>'Fichas clínicas'!B799</f>
        <v>17692726-7</v>
      </c>
      <c r="C799" t="str">
        <f>VLOOKUP(paciente_tutor!B799,clientes!A799:B2380,2,FALSE)</f>
        <v>Camila Francisca</v>
      </c>
      <c r="D799" t="str">
        <f t="shared" si="12"/>
        <v>17692726-7</v>
      </c>
    </row>
    <row r="800" spans="1:4" x14ac:dyDescent="0.2">
      <c r="A800">
        <f>'Fichas clínicas'!A800</f>
        <v>802</v>
      </c>
      <c r="B800" t="str">
        <f>'Fichas clínicas'!B800</f>
        <v>13319653-6</v>
      </c>
      <c r="C800" t="e">
        <f>VLOOKUP(paciente_tutor!B800,clientes!A800:B2381,2,FALSE)</f>
        <v>#N/A</v>
      </c>
      <c r="D800" t="e">
        <f t="shared" si="12"/>
        <v>#N/A</v>
      </c>
    </row>
    <row r="801" spans="1:4" x14ac:dyDescent="0.2">
      <c r="A801">
        <f>'Fichas clínicas'!A801</f>
        <v>803</v>
      </c>
      <c r="B801" t="str">
        <f>'Fichas clínicas'!B801</f>
        <v>20922023-7</v>
      </c>
      <c r="C801" t="str">
        <f>VLOOKUP(paciente_tutor!B801,clientes!A801:B2382,2,FALSE)</f>
        <v>Josefina</v>
      </c>
      <c r="D801" t="str">
        <f t="shared" si="12"/>
        <v>20922023-7</v>
      </c>
    </row>
    <row r="802" spans="1:4" x14ac:dyDescent="0.2">
      <c r="A802">
        <f>'Fichas clínicas'!A802</f>
        <v>804</v>
      </c>
      <c r="B802" t="str">
        <f>'Fichas clínicas'!B802</f>
        <v>20332801-K</v>
      </c>
      <c r="C802" t="str">
        <f>VLOOKUP(paciente_tutor!B802,clientes!A802:B2383,2,FALSE)</f>
        <v>CAROLINA</v>
      </c>
      <c r="D802" t="str">
        <f t="shared" si="12"/>
        <v>20332801-K</v>
      </c>
    </row>
    <row r="803" spans="1:4" x14ac:dyDescent="0.2">
      <c r="A803">
        <f>'Fichas clínicas'!A803</f>
        <v>805</v>
      </c>
      <c r="B803" t="str">
        <f>'Fichas clínicas'!B803</f>
        <v>12958214-6</v>
      </c>
      <c r="C803" t="e">
        <f>VLOOKUP(paciente_tutor!B803,clientes!A803:B2384,2,FALSE)</f>
        <v>#N/A</v>
      </c>
      <c r="D803" t="e">
        <f t="shared" si="12"/>
        <v>#N/A</v>
      </c>
    </row>
    <row r="804" spans="1:4" x14ac:dyDescent="0.2">
      <c r="A804">
        <f>'Fichas clínicas'!A804</f>
        <v>806</v>
      </c>
      <c r="B804" t="str">
        <f>'Fichas clínicas'!B804</f>
        <v>15880508-1</v>
      </c>
      <c r="C804" t="e">
        <f>VLOOKUP(paciente_tutor!B804,clientes!A804:B2385,2,FALSE)</f>
        <v>#N/A</v>
      </c>
      <c r="D804" t="e">
        <f t="shared" si="12"/>
        <v>#N/A</v>
      </c>
    </row>
    <row r="805" spans="1:4" x14ac:dyDescent="0.2">
      <c r="A805">
        <f>'Fichas clínicas'!A805</f>
        <v>807</v>
      </c>
      <c r="B805" t="str">
        <f>'Fichas clínicas'!B805</f>
        <v>16159561-6</v>
      </c>
      <c r="C805" t="e">
        <f>VLOOKUP(paciente_tutor!B805,clientes!A805:B2386,2,FALSE)</f>
        <v>#N/A</v>
      </c>
      <c r="D805" t="e">
        <f t="shared" si="12"/>
        <v>#N/A</v>
      </c>
    </row>
    <row r="806" spans="1:4" x14ac:dyDescent="0.2">
      <c r="A806">
        <f>'Fichas clínicas'!A806</f>
        <v>808</v>
      </c>
      <c r="B806" t="str">
        <f>'Fichas clínicas'!B806</f>
        <v>11591598-3</v>
      </c>
      <c r="C806" t="e">
        <f>VLOOKUP(paciente_tutor!B806,clientes!A806:B2387,2,FALSE)</f>
        <v>#N/A</v>
      </c>
      <c r="D806" t="e">
        <f t="shared" si="12"/>
        <v>#N/A</v>
      </c>
    </row>
    <row r="807" spans="1:4" x14ac:dyDescent="0.2">
      <c r="A807">
        <f>'Fichas clínicas'!A807</f>
        <v>809</v>
      </c>
      <c r="B807" t="str">
        <f>'Fichas clínicas'!B807</f>
        <v>13160140-9</v>
      </c>
      <c r="C807" t="e">
        <f>VLOOKUP(paciente_tutor!B807,clientes!A807:B2388,2,FALSE)</f>
        <v>#N/A</v>
      </c>
      <c r="D807" t="e">
        <f t="shared" si="12"/>
        <v>#N/A</v>
      </c>
    </row>
    <row r="808" spans="1:4" x14ac:dyDescent="0.2">
      <c r="A808">
        <f>'Fichas clínicas'!A808</f>
        <v>810</v>
      </c>
      <c r="B808" t="str">
        <f>'Fichas clínicas'!B808</f>
        <v>13609615-K</v>
      </c>
      <c r="C808" t="e">
        <f>VLOOKUP(paciente_tutor!B808,clientes!A808:B2389,2,FALSE)</f>
        <v>#N/A</v>
      </c>
      <c r="D808" t="e">
        <f t="shared" si="12"/>
        <v>#N/A</v>
      </c>
    </row>
    <row r="809" spans="1:4" x14ac:dyDescent="0.2">
      <c r="A809">
        <f>'Fichas clínicas'!A809</f>
        <v>811</v>
      </c>
      <c r="B809" t="str">
        <f>'Fichas clínicas'!B809</f>
        <v>12748218-7</v>
      </c>
      <c r="C809" t="e">
        <f>VLOOKUP(paciente_tutor!B809,clientes!A809:B2390,2,FALSE)</f>
        <v>#N/A</v>
      </c>
      <c r="D809" t="e">
        <f t="shared" si="12"/>
        <v>#N/A</v>
      </c>
    </row>
    <row r="810" spans="1:4" x14ac:dyDescent="0.2">
      <c r="A810">
        <f>'Fichas clínicas'!A810</f>
        <v>812</v>
      </c>
      <c r="B810" t="str">
        <f>'Fichas clínicas'!B810</f>
        <v>17634712-0</v>
      </c>
      <c r="C810" t="e">
        <f>VLOOKUP(paciente_tutor!B810,clientes!A810:B2391,2,FALSE)</f>
        <v>#N/A</v>
      </c>
      <c r="D810" t="e">
        <f t="shared" si="12"/>
        <v>#N/A</v>
      </c>
    </row>
    <row r="811" spans="1:4" x14ac:dyDescent="0.2">
      <c r="A811">
        <f>'Fichas clínicas'!A811</f>
        <v>813</v>
      </c>
      <c r="B811" t="str">
        <f>'Fichas clínicas'!B811</f>
        <v>26187713-9</v>
      </c>
      <c r="C811" t="str">
        <f>VLOOKUP(paciente_tutor!B811,clientes!A811:B2392,2,FALSE)</f>
        <v>DANIELA</v>
      </c>
      <c r="D811" t="str">
        <f t="shared" si="12"/>
        <v>26187713-9</v>
      </c>
    </row>
    <row r="812" spans="1:4" x14ac:dyDescent="0.2">
      <c r="A812">
        <f>'Fichas clínicas'!A812</f>
        <v>814</v>
      </c>
      <c r="B812" t="str">
        <f>'Fichas clínicas'!B812</f>
        <v>23049858-k</v>
      </c>
      <c r="C812" t="str">
        <f>VLOOKUP(paciente_tutor!B812,clientes!A812:B2393,2,FALSE)</f>
        <v>Marian Romina</v>
      </c>
      <c r="D812" t="str">
        <f t="shared" si="12"/>
        <v>23049858-k</v>
      </c>
    </row>
    <row r="813" spans="1:4" x14ac:dyDescent="0.2">
      <c r="A813">
        <f>'Fichas clínicas'!A813</f>
        <v>815</v>
      </c>
      <c r="B813" t="str">
        <f>'Fichas clínicas'!B813</f>
        <v>13117149-8</v>
      </c>
      <c r="C813" t="e">
        <f>VLOOKUP(paciente_tutor!B813,clientes!A813:B2394,2,FALSE)</f>
        <v>#N/A</v>
      </c>
      <c r="D813" t="e">
        <f t="shared" si="12"/>
        <v>#N/A</v>
      </c>
    </row>
    <row r="814" spans="1:4" x14ac:dyDescent="0.2">
      <c r="A814">
        <f>'Fichas clínicas'!A814</f>
        <v>816</v>
      </c>
      <c r="B814" t="str">
        <f>'Fichas clínicas'!B814</f>
        <v>19248534-7</v>
      </c>
      <c r="C814" t="str">
        <f>VLOOKUP(paciente_tutor!B814,clientes!A814:B2395,2,FALSE)</f>
        <v>CRISTOBAL</v>
      </c>
      <c r="D814" t="str">
        <f t="shared" si="12"/>
        <v>19248534-7</v>
      </c>
    </row>
    <row r="815" spans="1:4" x14ac:dyDescent="0.2">
      <c r="A815">
        <f>'Fichas clínicas'!A815</f>
        <v>817</v>
      </c>
      <c r="B815" t="str">
        <f>'Fichas clínicas'!B815</f>
        <v>20641606-8</v>
      </c>
      <c r="C815" t="str">
        <f>VLOOKUP(paciente_tutor!B815,clientes!A815:B2396,2,FALSE)</f>
        <v>Emanuel</v>
      </c>
      <c r="D815" t="str">
        <f t="shared" si="12"/>
        <v>20641606-8</v>
      </c>
    </row>
    <row r="816" spans="1:4" x14ac:dyDescent="0.2">
      <c r="A816">
        <f>'Fichas clínicas'!A816</f>
        <v>818</v>
      </c>
      <c r="B816" t="str">
        <f>'Fichas clínicas'!B816</f>
        <v>12921749-9</v>
      </c>
      <c r="C816" t="e">
        <f>VLOOKUP(paciente_tutor!B816,clientes!A816:B2397,2,FALSE)</f>
        <v>#N/A</v>
      </c>
      <c r="D816" t="e">
        <f t="shared" si="12"/>
        <v>#N/A</v>
      </c>
    </row>
    <row r="817" spans="1:4" x14ac:dyDescent="0.2">
      <c r="A817">
        <f>'Fichas clínicas'!A817</f>
        <v>819</v>
      </c>
      <c r="B817" t="str">
        <f>'Fichas clínicas'!B817</f>
        <v>17877165-5</v>
      </c>
      <c r="C817" t="str">
        <f>VLOOKUP(paciente_tutor!B817,clientes!A817:B2398,2,FALSE)</f>
        <v>ROMINA</v>
      </c>
      <c r="D817" t="str">
        <f t="shared" si="12"/>
        <v>17877165-5</v>
      </c>
    </row>
    <row r="818" spans="1:4" x14ac:dyDescent="0.2">
      <c r="A818">
        <f>'Fichas clínicas'!A818</f>
        <v>820</v>
      </c>
      <c r="B818" t="str">
        <f>'Fichas clínicas'!B818</f>
        <v>13116889-6</v>
      </c>
      <c r="C818" t="e">
        <f>VLOOKUP(paciente_tutor!B818,clientes!A818:B2399,2,FALSE)</f>
        <v>#N/A</v>
      </c>
      <c r="D818" t="e">
        <f t="shared" si="12"/>
        <v>#N/A</v>
      </c>
    </row>
    <row r="819" spans="1:4" x14ac:dyDescent="0.2">
      <c r="A819">
        <f>'Fichas clínicas'!A819</f>
        <v>821</v>
      </c>
      <c r="B819" t="str">
        <f>'Fichas clínicas'!B819</f>
        <v>10288313-6</v>
      </c>
      <c r="C819" t="e">
        <f>VLOOKUP(paciente_tutor!B819,clientes!A819:B2400,2,FALSE)</f>
        <v>#N/A</v>
      </c>
      <c r="D819" t="e">
        <f t="shared" si="12"/>
        <v>#N/A</v>
      </c>
    </row>
    <row r="820" spans="1:4" x14ac:dyDescent="0.2">
      <c r="A820">
        <f>'Fichas clínicas'!A820</f>
        <v>822</v>
      </c>
      <c r="B820" t="str">
        <f>'Fichas clínicas'!B820</f>
        <v>13816125-0</v>
      </c>
      <c r="C820" t="e">
        <f>VLOOKUP(paciente_tutor!B820,clientes!A820:B2401,2,FALSE)</f>
        <v>#N/A</v>
      </c>
      <c r="D820" t="e">
        <f t="shared" si="12"/>
        <v>#N/A</v>
      </c>
    </row>
    <row r="821" spans="1:4" x14ac:dyDescent="0.2">
      <c r="A821">
        <f>'Fichas clínicas'!A821</f>
        <v>823</v>
      </c>
      <c r="B821" t="str">
        <f>'Fichas clínicas'!B821</f>
        <v>15292936-6</v>
      </c>
      <c r="C821" t="e">
        <f>VLOOKUP(paciente_tutor!B821,clientes!A821:B2402,2,FALSE)</f>
        <v>#N/A</v>
      </c>
      <c r="D821" t="e">
        <f t="shared" si="12"/>
        <v>#N/A</v>
      </c>
    </row>
    <row r="822" spans="1:4" x14ac:dyDescent="0.2">
      <c r="A822">
        <f>'Fichas clínicas'!A822</f>
        <v>824</v>
      </c>
      <c r="B822" t="str">
        <f>'Fichas clínicas'!B822</f>
        <v>16805661-3</v>
      </c>
      <c r="C822" t="e">
        <f>VLOOKUP(paciente_tutor!B822,clientes!A822:B2403,2,FALSE)</f>
        <v>#N/A</v>
      </c>
      <c r="D822" t="e">
        <f t="shared" si="12"/>
        <v>#N/A</v>
      </c>
    </row>
    <row r="823" spans="1:4" x14ac:dyDescent="0.2">
      <c r="A823">
        <f>'Fichas clínicas'!A823</f>
        <v>825</v>
      </c>
      <c r="B823" t="str">
        <f>'Fichas clínicas'!B823</f>
        <v>10288313-6</v>
      </c>
      <c r="C823" t="e">
        <f>VLOOKUP(paciente_tutor!B823,clientes!A823:B2404,2,FALSE)</f>
        <v>#N/A</v>
      </c>
      <c r="D823" t="e">
        <f t="shared" si="12"/>
        <v>#N/A</v>
      </c>
    </row>
    <row r="824" spans="1:4" x14ac:dyDescent="0.2">
      <c r="A824">
        <f>'Fichas clínicas'!A824</f>
        <v>826</v>
      </c>
      <c r="B824" t="str">
        <f>'Fichas clínicas'!B824</f>
        <v>18955016-2</v>
      </c>
      <c r="C824" t="str">
        <f>VLOOKUP(paciente_tutor!B824,clientes!A824:B2405,2,FALSE)</f>
        <v>Alejandra</v>
      </c>
      <c r="D824" t="str">
        <f t="shared" si="12"/>
        <v>18955016-2</v>
      </c>
    </row>
    <row r="825" spans="1:4" x14ac:dyDescent="0.2">
      <c r="A825">
        <f>'Fichas clínicas'!A825</f>
        <v>827</v>
      </c>
      <c r="B825" t="str">
        <f>'Fichas clínicas'!B825</f>
        <v>13399448-3</v>
      </c>
      <c r="C825" t="e">
        <f>VLOOKUP(paciente_tutor!B825,clientes!A825:B2406,2,FALSE)</f>
        <v>#N/A</v>
      </c>
      <c r="D825" t="e">
        <f t="shared" si="12"/>
        <v>#N/A</v>
      </c>
    </row>
    <row r="826" spans="1:4" x14ac:dyDescent="0.2">
      <c r="A826">
        <f>'Fichas clínicas'!A826</f>
        <v>828</v>
      </c>
      <c r="B826" t="str">
        <f>'Fichas clínicas'!B826</f>
        <v>20314778-3</v>
      </c>
      <c r="C826" t="str">
        <f>VLOOKUP(paciente_tutor!B826,clientes!A826:B2407,2,FALSE)</f>
        <v>Alexandra Juliet</v>
      </c>
      <c r="D826" t="str">
        <f t="shared" si="12"/>
        <v>20314778-3</v>
      </c>
    </row>
    <row r="827" spans="1:4" x14ac:dyDescent="0.2">
      <c r="A827">
        <f>'Fichas clínicas'!A827</f>
        <v>829</v>
      </c>
      <c r="B827" t="str">
        <f>'Fichas clínicas'!B827</f>
        <v>20316116-6</v>
      </c>
      <c r="C827" t="str">
        <f>VLOOKUP(paciente_tutor!B827,clientes!A827:B2408,2,FALSE)</f>
        <v>Juan</v>
      </c>
      <c r="D827" t="str">
        <f t="shared" si="12"/>
        <v>20316116-6</v>
      </c>
    </row>
    <row r="828" spans="1:4" x14ac:dyDescent="0.2">
      <c r="A828">
        <f>'Fichas clínicas'!A828</f>
        <v>830</v>
      </c>
      <c r="B828" t="str">
        <f>'Fichas clínicas'!B828</f>
        <v>16875224-5</v>
      </c>
      <c r="C828" t="e">
        <f>VLOOKUP(paciente_tutor!B828,clientes!A828:B2409,2,FALSE)</f>
        <v>#N/A</v>
      </c>
      <c r="D828" t="e">
        <f t="shared" si="12"/>
        <v>#N/A</v>
      </c>
    </row>
    <row r="829" spans="1:4" x14ac:dyDescent="0.2">
      <c r="A829">
        <f>'Fichas clínicas'!A829</f>
        <v>831</v>
      </c>
      <c r="B829" t="str">
        <f>'Fichas clínicas'!B829</f>
        <v>13116889-6</v>
      </c>
      <c r="C829" t="e">
        <f>VLOOKUP(paciente_tutor!B829,clientes!A829:B2410,2,FALSE)</f>
        <v>#N/A</v>
      </c>
      <c r="D829" t="e">
        <f t="shared" si="12"/>
        <v>#N/A</v>
      </c>
    </row>
    <row r="830" spans="1:4" x14ac:dyDescent="0.2">
      <c r="A830">
        <f>'Fichas clínicas'!A830</f>
        <v>832</v>
      </c>
      <c r="B830" t="str">
        <f>'Fichas clínicas'!B830</f>
        <v>13116889-6</v>
      </c>
      <c r="C830" t="e">
        <f>VLOOKUP(paciente_tutor!B830,clientes!A830:B2411,2,FALSE)</f>
        <v>#N/A</v>
      </c>
      <c r="D830" t="e">
        <f t="shared" si="12"/>
        <v>#N/A</v>
      </c>
    </row>
    <row r="831" spans="1:4" x14ac:dyDescent="0.2">
      <c r="A831">
        <f>'Fichas clínicas'!A831</f>
        <v>833</v>
      </c>
      <c r="B831" t="str">
        <f>'Fichas clínicas'!B831</f>
        <v>13319653-6</v>
      </c>
      <c r="C831" t="e">
        <f>VLOOKUP(paciente_tutor!B831,clientes!A831:B2412,2,FALSE)</f>
        <v>#N/A</v>
      </c>
      <c r="D831" t="e">
        <f t="shared" si="12"/>
        <v>#N/A</v>
      </c>
    </row>
    <row r="832" spans="1:4" x14ac:dyDescent="0.2">
      <c r="A832">
        <f>'Fichas clínicas'!A832</f>
        <v>834</v>
      </c>
      <c r="B832" t="str">
        <f>'Fichas clínicas'!B832</f>
        <v>19554097-7</v>
      </c>
      <c r="C832" t="str">
        <f>VLOOKUP(paciente_tutor!B832,clientes!A832:B2413,2,FALSE)</f>
        <v>CAMILA</v>
      </c>
      <c r="D832" t="str">
        <f t="shared" si="12"/>
        <v>19554097-7</v>
      </c>
    </row>
    <row r="833" spans="1:4" x14ac:dyDescent="0.2">
      <c r="A833">
        <f>'Fichas clínicas'!A833</f>
        <v>835</v>
      </c>
      <c r="B833" t="str">
        <f>'Fichas clínicas'!B833</f>
        <v>15293915-9</v>
      </c>
      <c r="C833" t="e">
        <f>VLOOKUP(paciente_tutor!B833,clientes!A833:B2414,2,FALSE)</f>
        <v>#N/A</v>
      </c>
      <c r="D833" t="e">
        <f t="shared" si="12"/>
        <v>#N/A</v>
      </c>
    </row>
    <row r="834" spans="1:4" x14ac:dyDescent="0.2">
      <c r="A834">
        <f>'Fichas clínicas'!A834</f>
        <v>836</v>
      </c>
      <c r="B834" t="str">
        <f>'Fichas clínicas'!B834</f>
        <v>18095047-8</v>
      </c>
      <c r="C834" t="str">
        <f>VLOOKUP(paciente_tutor!B834,clientes!A834:B2415,2,FALSE)</f>
        <v>Constanza</v>
      </c>
      <c r="D834" t="str">
        <f t="shared" si="12"/>
        <v>18095047-8</v>
      </c>
    </row>
    <row r="835" spans="1:4" x14ac:dyDescent="0.2">
      <c r="A835">
        <f>'Fichas clínicas'!A835</f>
        <v>837</v>
      </c>
      <c r="B835" t="str">
        <f>'Fichas clínicas'!B835</f>
        <v>22026799-7</v>
      </c>
      <c r="C835" t="str">
        <f>VLOOKUP(paciente_tutor!B835,clientes!A835:B2416,2,FALSE)</f>
        <v>AMANDA</v>
      </c>
      <c r="D835" t="str">
        <f t="shared" ref="D835:D898" si="13">IF(C835="#N/A","",B835)</f>
        <v>22026799-7</v>
      </c>
    </row>
    <row r="836" spans="1:4" x14ac:dyDescent="0.2">
      <c r="A836">
        <f>'Fichas clínicas'!A836</f>
        <v>838</v>
      </c>
      <c r="B836" t="str">
        <f>'Fichas clínicas'!B836</f>
        <v>16200881-1</v>
      </c>
      <c r="C836" t="e">
        <f>VLOOKUP(paciente_tutor!B836,clientes!A836:B2417,2,FALSE)</f>
        <v>#N/A</v>
      </c>
      <c r="D836" t="e">
        <f t="shared" si="13"/>
        <v>#N/A</v>
      </c>
    </row>
    <row r="837" spans="1:4" x14ac:dyDescent="0.2">
      <c r="A837">
        <f>'Fichas clínicas'!A837</f>
        <v>839</v>
      </c>
      <c r="B837" t="str">
        <f>'Fichas clínicas'!B837</f>
        <v>20494313-3</v>
      </c>
      <c r="C837" t="str">
        <f>VLOOKUP(paciente_tutor!B837,clientes!A837:B2418,2,FALSE)</f>
        <v>Marcos</v>
      </c>
      <c r="D837" t="str">
        <f t="shared" si="13"/>
        <v>20494313-3</v>
      </c>
    </row>
    <row r="838" spans="1:4" x14ac:dyDescent="0.2">
      <c r="A838">
        <f>'Fichas clínicas'!A838</f>
        <v>840</v>
      </c>
      <c r="B838" t="str">
        <f>'Fichas clínicas'!B838</f>
        <v>19938797-9</v>
      </c>
      <c r="C838" t="str">
        <f>VLOOKUP(paciente_tutor!B838,clientes!A838:B2419,2,FALSE)</f>
        <v>FRANCISCA</v>
      </c>
      <c r="D838" t="str">
        <f t="shared" si="13"/>
        <v>19938797-9</v>
      </c>
    </row>
    <row r="839" spans="1:4" x14ac:dyDescent="0.2">
      <c r="A839">
        <f>'Fichas clínicas'!A839</f>
        <v>841</v>
      </c>
      <c r="B839" t="str">
        <f>'Fichas clínicas'!B839</f>
        <v>20293964-3</v>
      </c>
      <c r="C839" t="str">
        <f>VLOOKUP(paciente_tutor!B839,clientes!A839:B2420,2,FALSE)</f>
        <v>FRANCISCA</v>
      </c>
      <c r="D839" t="str">
        <f t="shared" si="13"/>
        <v>20293964-3</v>
      </c>
    </row>
    <row r="840" spans="1:4" x14ac:dyDescent="0.2">
      <c r="A840">
        <f>'Fichas clínicas'!A840</f>
        <v>842</v>
      </c>
      <c r="B840" t="str">
        <f>'Fichas clínicas'!B840</f>
        <v>16038620-7</v>
      </c>
      <c r="C840" t="e">
        <f>VLOOKUP(paciente_tutor!B840,clientes!A840:B2421,2,FALSE)</f>
        <v>#N/A</v>
      </c>
      <c r="D840" t="e">
        <f t="shared" si="13"/>
        <v>#N/A</v>
      </c>
    </row>
    <row r="841" spans="1:4" x14ac:dyDescent="0.2">
      <c r="A841">
        <f>'Fichas clínicas'!A841</f>
        <v>843</v>
      </c>
      <c r="B841" t="str">
        <f>'Fichas clínicas'!B841</f>
        <v>14081233-1</v>
      </c>
      <c r="C841" t="e">
        <f>VLOOKUP(paciente_tutor!B841,clientes!A841:B2422,2,FALSE)</f>
        <v>#N/A</v>
      </c>
      <c r="D841" t="e">
        <f t="shared" si="13"/>
        <v>#N/A</v>
      </c>
    </row>
    <row r="842" spans="1:4" x14ac:dyDescent="0.2">
      <c r="A842">
        <f>'Fichas clínicas'!A842</f>
        <v>844</v>
      </c>
      <c r="B842" t="str">
        <f>'Fichas clínicas'!B842</f>
        <v>13847091-1</v>
      </c>
      <c r="C842" t="e">
        <f>VLOOKUP(paciente_tutor!B842,clientes!A842:B2423,2,FALSE)</f>
        <v>#N/A</v>
      </c>
      <c r="D842" t="e">
        <f t="shared" si="13"/>
        <v>#N/A</v>
      </c>
    </row>
    <row r="843" spans="1:4" x14ac:dyDescent="0.2">
      <c r="A843">
        <f>'Fichas clínicas'!A843</f>
        <v>845</v>
      </c>
      <c r="B843" t="str">
        <f>'Fichas clínicas'!B843</f>
        <v>12431322-8</v>
      </c>
      <c r="C843" t="e">
        <f>VLOOKUP(paciente_tutor!B843,clientes!A843:B2424,2,FALSE)</f>
        <v>#N/A</v>
      </c>
      <c r="D843" t="e">
        <f t="shared" si="13"/>
        <v>#N/A</v>
      </c>
    </row>
    <row r="844" spans="1:4" x14ac:dyDescent="0.2">
      <c r="A844">
        <f>'Fichas clínicas'!A844</f>
        <v>846</v>
      </c>
      <c r="B844" t="str">
        <f>'Fichas clínicas'!B844</f>
        <v>18885398-6</v>
      </c>
      <c r="C844" t="str">
        <f>VLOOKUP(paciente_tutor!B844,clientes!A844:B2425,2,FALSE)</f>
        <v>JEANNETTE</v>
      </c>
      <c r="D844" t="str">
        <f t="shared" si="13"/>
        <v>18885398-6</v>
      </c>
    </row>
    <row r="845" spans="1:4" x14ac:dyDescent="0.2">
      <c r="A845">
        <f>'Fichas clínicas'!A845</f>
        <v>847</v>
      </c>
      <c r="B845" t="str">
        <f>'Fichas clínicas'!B845</f>
        <v>18885398-6</v>
      </c>
      <c r="C845" t="str">
        <f>VLOOKUP(paciente_tutor!B845,clientes!A845:B2426,2,FALSE)</f>
        <v>JEANNETTE</v>
      </c>
      <c r="D845" t="str">
        <f t="shared" si="13"/>
        <v>18885398-6</v>
      </c>
    </row>
    <row r="846" spans="1:4" x14ac:dyDescent="0.2">
      <c r="A846">
        <f>'Fichas clínicas'!A846</f>
        <v>848</v>
      </c>
      <c r="B846" t="str">
        <f>'Fichas clínicas'!B846</f>
        <v>17056482-0</v>
      </c>
      <c r="C846" t="e">
        <f>VLOOKUP(paciente_tutor!B846,clientes!A846:B2427,2,FALSE)</f>
        <v>#N/A</v>
      </c>
      <c r="D846" t="e">
        <f t="shared" si="13"/>
        <v>#N/A</v>
      </c>
    </row>
    <row r="847" spans="1:4" x14ac:dyDescent="0.2">
      <c r="A847">
        <f>'Fichas clínicas'!A847</f>
        <v>849</v>
      </c>
      <c r="B847" t="str">
        <f>'Fichas clínicas'!B847</f>
        <v>15549791-2</v>
      </c>
      <c r="C847" t="e">
        <f>VLOOKUP(paciente_tutor!B847,clientes!A847:B2428,2,FALSE)</f>
        <v>#N/A</v>
      </c>
      <c r="D847" t="e">
        <f t="shared" si="13"/>
        <v>#N/A</v>
      </c>
    </row>
    <row r="848" spans="1:4" x14ac:dyDescent="0.2">
      <c r="A848">
        <f>'Fichas clínicas'!A848</f>
        <v>850</v>
      </c>
      <c r="B848" t="str">
        <f>'Fichas clínicas'!B848</f>
        <v>18895602-5</v>
      </c>
      <c r="C848" t="str">
        <f>VLOOKUP(paciente_tutor!B848,clientes!A848:B2429,2,FALSE)</f>
        <v>LAIDY</v>
      </c>
      <c r="D848" t="str">
        <f t="shared" si="13"/>
        <v>18895602-5</v>
      </c>
    </row>
    <row r="849" spans="1:4" x14ac:dyDescent="0.2">
      <c r="A849">
        <f>'Fichas clínicas'!A849</f>
        <v>851</v>
      </c>
      <c r="B849" t="str">
        <f>'Fichas clínicas'!B849</f>
        <v>18753947-1</v>
      </c>
      <c r="C849" t="str">
        <f>VLOOKUP(paciente_tutor!B849,clientes!A849:B2430,2,FALSE)</f>
        <v>MARGOT</v>
      </c>
      <c r="D849" t="str">
        <f t="shared" si="13"/>
        <v>18753947-1</v>
      </c>
    </row>
    <row r="850" spans="1:4" x14ac:dyDescent="0.2">
      <c r="A850">
        <f>'Fichas clínicas'!A850</f>
        <v>852</v>
      </c>
      <c r="B850" t="str">
        <f>'Fichas clínicas'!B850</f>
        <v>13519653-3</v>
      </c>
      <c r="C850" t="e">
        <f>VLOOKUP(paciente_tutor!B850,clientes!A850:B2431,2,FALSE)</f>
        <v>#N/A</v>
      </c>
      <c r="D850" t="e">
        <f t="shared" si="13"/>
        <v>#N/A</v>
      </c>
    </row>
    <row r="851" spans="1:4" x14ac:dyDescent="0.2">
      <c r="A851">
        <f>'Fichas clínicas'!A851</f>
        <v>853</v>
      </c>
      <c r="B851" t="str">
        <f>'Fichas clínicas'!B851</f>
        <v>6308877-3</v>
      </c>
      <c r="C851" t="str">
        <f>VLOOKUP(paciente_tutor!B851,clientes!A851:B2432,2,FALSE)</f>
        <v>EMILIO</v>
      </c>
      <c r="D851" t="str">
        <f t="shared" si="13"/>
        <v>6308877-3</v>
      </c>
    </row>
    <row r="852" spans="1:4" x14ac:dyDescent="0.2">
      <c r="A852">
        <f>'Fichas clínicas'!A852</f>
        <v>854</v>
      </c>
      <c r="B852" t="str">
        <f>'Fichas clínicas'!B852</f>
        <v>11425525-4</v>
      </c>
      <c r="C852" t="e">
        <f>VLOOKUP(paciente_tutor!B852,clientes!A852:B2433,2,FALSE)</f>
        <v>#N/A</v>
      </c>
      <c r="D852" t="e">
        <f t="shared" si="13"/>
        <v>#N/A</v>
      </c>
    </row>
    <row r="853" spans="1:4" x14ac:dyDescent="0.2">
      <c r="A853">
        <f>'Fichas clínicas'!A853</f>
        <v>855</v>
      </c>
      <c r="B853" t="str">
        <f>'Fichas clínicas'!B853</f>
        <v>11426013-4</v>
      </c>
      <c r="C853" t="e">
        <f>VLOOKUP(paciente_tutor!B853,clientes!A853:B2434,2,FALSE)</f>
        <v>#N/A</v>
      </c>
      <c r="D853" t="e">
        <f t="shared" si="13"/>
        <v>#N/A</v>
      </c>
    </row>
    <row r="854" spans="1:4" x14ac:dyDescent="0.2">
      <c r="A854">
        <f>'Fichas clínicas'!A854</f>
        <v>856</v>
      </c>
      <c r="B854" t="str">
        <f>'Fichas clínicas'!B854</f>
        <v>15884548-2</v>
      </c>
      <c r="C854" t="e">
        <f>VLOOKUP(paciente_tutor!B854,clientes!A854:B2435,2,FALSE)</f>
        <v>#N/A</v>
      </c>
      <c r="D854" t="e">
        <f t="shared" si="13"/>
        <v>#N/A</v>
      </c>
    </row>
    <row r="855" spans="1:4" x14ac:dyDescent="0.2">
      <c r="A855">
        <f>'Fichas clínicas'!A855</f>
        <v>857</v>
      </c>
      <c r="B855" t="str">
        <f>'Fichas clínicas'!B855</f>
        <v>14343613-6</v>
      </c>
      <c r="C855" t="e">
        <f>VLOOKUP(paciente_tutor!B855,clientes!A855:B2436,2,FALSE)</f>
        <v>#N/A</v>
      </c>
      <c r="D855" t="e">
        <f t="shared" si="13"/>
        <v>#N/A</v>
      </c>
    </row>
    <row r="856" spans="1:4" x14ac:dyDescent="0.2">
      <c r="A856">
        <f>'Fichas clínicas'!A856</f>
        <v>858</v>
      </c>
      <c r="B856" t="str">
        <f>'Fichas clínicas'!B856</f>
        <v>18289802-3</v>
      </c>
      <c r="C856" t="str">
        <f>VLOOKUP(paciente_tutor!B856,clientes!A856:B2437,2,FALSE)</f>
        <v>Evelyn</v>
      </c>
      <c r="D856" t="str">
        <f t="shared" si="13"/>
        <v>18289802-3</v>
      </c>
    </row>
    <row r="857" spans="1:4" x14ac:dyDescent="0.2">
      <c r="A857">
        <f>'Fichas clínicas'!A857</f>
        <v>859</v>
      </c>
      <c r="B857" t="str">
        <f>'Fichas clínicas'!B857</f>
        <v>17207411-1</v>
      </c>
      <c r="C857" t="e">
        <f>VLOOKUP(paciente_tutor!B857,clientes!A857:B2438,2,FALSE)</f>
        <v>#N/A</v>
      </c>
      <c r="D857" t="e">
        <f t="shared" si="13"/>
        <v>#N/A</v>
      </c>
    </row>
    <row r="858" spans="1:4" x14ac:dyDescent="0.2">
      <c r="A858">
        <f>'Fichas clínicas'!A858</f>
        <v>860</v>
      </c>
      <c r="B858" t="str">
        <f>'Fichas clínicas'!B858</f>
        <v>15884018-9</v>
      </c>
      <c r="C858" t="e">
        <f>VLOOKUP(paciente_tutor!B858,clientes!A858:B2439,2,FALSE)</f>
        <v>#N/A</v>
      </c>
      <c r="D858" t="e">
        <f t="shared" si="13"/>
        <v>#N/A</v>
      </c>
    </row>
    <row r="859" spans="1:4" x14ac:dyDescent="0.2">
      <c r="A859">
        <f>'Fichas clínicas'!A859</f>
        <v>861</v>
      </c>
      <c r="B859" t="str">
        <f>'Fichas clínicas'!B859</f>
        <v>9457654-7</v>
      </c>
      <c r="C859" t="str">
        <f>VLOOKUP(paciente_tutor!B859,clientes!A859:B2440,2,FALSE)</f>
        <v>ALEJANDRA</v>
      </c>
      <c r="D859" t="str">
        <f t="shared" si="13"/>
        <v>9457654-7</v>
      </c>
    </row>
    <row r="860" spans="1:4" x14ac:dyDescent="0.2">
      <c r="A860">
        <f>'Fichas clínicas'!A860</f>
        <v>862</v>
      </c>
      <c r="B860" t="str">
        <f>'Fichas clínicas'!B860</f>
        <v>21218042-4</v>
      </c>
      <c r="C860" t="str">
        <f>VLOOKUP(paciente_tutor!B860,clientes!A860:B2441,2,FALSE)</f>
        <v>Antonia</v>
      </c>
      <c r="D860" t="str">
        <f t="shared" si="13"/>
        <v>21218042-4</v>
      </c>
    </row>
    <row r="861" spans="1:4" x14ac:dyDescent="0.2">
      <c r="A861">
        <f>'Fichas clínicas'!A861</f>
        <v>863</v>
      </c>
      <c r="B861" t="str">
        <f>'Fichas clínicas'!B861</f>
        <v>21218042-4</v>
      </c>
      <c r="C861" t="str">
        <f>VLOOKUP(paciente_tutor!B861,clientes!A861:B2442,2,FALSE)</f>
        <v>Antonia</v>
      </c>
      <c r="D861" t="str">
        <f t="shared" si="13"/>
        <v>21218042-4</v>
      </c>
    </row>
    <row r="862" spans="1:4" x14ac:dyDescent="0.2">
      <c r="A862">
        <f>'Fichas clínicas'!A862</f>
        <v>864</v>
      </c>
      <c r="B862" t="str">
        <f>'Fichas clínicas'!B862</f>
        <v>21278741-8</v>
      </c>
      <c r="C862" t="str">
        <f>VLOOKUP(paciente_tutor!B862,clientes!A862:B2443,2,FALSE)</f>
        <v>JAVIERA</v>
      </c>
      <c r="D862" t="str">
        <f t="shared" si="13"/>
        <v>21278741-8</v>
      </c>
    </row>
    <row r="863" spans="1:4" x14ac:dyDescent="0.2">
      <c r="A863">
        <f>'Fichas clínicas'!A863</f>
        <v>865</v>
      </c>
      <c r="B863" t="str">
        <f>'Fichas clínicas'!B863</f>
        <v>12748410-4</v>
      </c>
      <c r="C863" t="e">
        <f>VLOOKUP(paciente_tutor!B863,clientes!A863:B2444,2,FALSE)</f>
        <v>#N/A</v>
      </c>
      <c r="D863" t="e">
        <f t="shared" si="13"/>
        <v>#N/A</v>
      </c>
    </row>
    <row r="864" spans="1:4" x14ac:dyDescent="0.2">
      <c r="A864">
        <f>'Fichas clínicas'!A864</f>
        <v>866</v>
      </c>
      <c r="B864" t="str">
        <f>'Fichas clínicas'!B864</f>
        <v>14343613-6</v>
      </c>
      <c r="C864" t="e">
        <f>VLOOKUP(paciente_tutor!B864,clientes!A864:B2445,2,FALSE)</f>
        <v>#N/A</v>
      </c>
      <c r="D864" t="e">
        <f t="shared" si="13"/>
        <v>#N/A</v>
      </c>
    </row>
    <row r="865" spans="1:4" x14ac:dyDescent="0.2">
      <c r="A865">
        <f>'Fichas clínicas'!A865</f>
        <v>867</v>
      </c>
      <c r="B865" t="str">
        <f>'Fichas clínicas'!B865</f>
        <v>14343613-6</v>
      </c>
      <c r="C865" t="e">
        <f>VLOOKUP(paciente_tutor!B865,clientes!A865:B2446,2,FALSE)</f>
        <v>#N/A</v>
      </c>
      <c r="D865" t="e">
        <f t="shared" si="13"/>
        <v>#N/A</v>
      </c>
    </row>
    <row r="866" spans="1:4" x14ac:dyDescent="0.2">
      <c r="A866">
        <f>'Fichas clínicas'!A866</f>
        <v>868</v>
      </c>
      <c r="B866" t="str">
        <f>'Fichas clínicas'!B866</f>
        <v>18297635-0</v>
      </c>
      <c r="C866" t="str">
        <f>VLOOKUP(paciente_tutor!B866,clientes!A866:B2447,2,FALSE)</f>
        <v>Matías Ignacio</v>
      </c>
      <c r="D866" t="str">
        <f t="shared" si="13"/>
        <v>18297635-0</v>
      </c>
    </row>
    <row r="867" spans="1:4" x14ac:dyDescent="0.2">
      <c r="A867">
        <f>'Fichas clínicas'!A867</f>
        <v>869</v>
      </c>
      <c r="B867" t="str">
        <f>'Fichas clínicas'!B867</f>
        <v>16929709-6</v>
      </c>
      <c r="C867" t="e">
        <f>VLOOKUP(paciente_tutor!B867,clientes!A867:B2448,2,FALSE)</f>
        <v>#N/A</v>
      </c>
      <c r="D867" t="e">
        <f t="shared" si="13"/>
        <v>#N/A</v>
      </c>
    </row>
    <row r="868" spans="1:4" x14ac:dyDescent="0.2">
      <c r="A868">
        <f>'Fichas clínicas'!A868</f>
        <v>870</v>
      </c>
      <c r="B868" t="str">
        <f>'Fichas clínicas'!B868</f>
        <v>21777567-1</v>
      </c>
      <c r="C868" t="str">
        <f>VLOOKUP(paciente_tutor!B868,clientes!A868:B2449,2,FALSE)</f>
        <v>CAMILA</v>
      </c>
      <c r="D868" t="str">
        <f t="shared" si="13"/>
        <v>21777567-1</v>
      </c>
    </row>
    <row r="869" spans="1:4" x14ac:dyDescent="0.2">
      <c r="A869">
        <f>'Fichas clínicas'!A869</f>
        <v>871</v>
      </c>
      <c r="B869" t="str">
        <f>'Fichas clínicas'!B869</f>
        <v>10568197-6</v>
      </c>
      <c r="C869" t="e">
        <f>VLOOKUP(paciente_tutor!B869,clientes!A869:B2450,2,FALSE)</f>
        <v>#N/A</v>
      </c>
      <c r="D869" t="e">
        <f t="shared" si="13"/>
        <v>#N/A</v>
      </c>
    </row>
    <row r="870" spans="1:4" x14ac:dyDescent="0.2">
      <c r="A870">
        <f>'Fichas clínicas'!A870</f>
        <v>872</v>
      </c>
      <c r="B870" t="str">
        <f>'Fichas clínicas'!B870</f>
        <v>16805169-7</v>
      </c>
      <c r="C870" t="e">
        <f>VLOOKUP(paciente_tutor!B870,clientes!A870:B2451,2,FALSE)</f>
        <v>#N/A</v>
      </c>
      <c r="D870" t="e">
        <f t="shared" si="13"/>
        <v>#N/A</v>
      </c>
    </row>
    <row r="871" spans="1:4" x14ac:dyDescent="0.2">
      <c r="A871">
        <f>'Fichas clínicas'!A871</f>
        <v>873</v>
      </c>
      <c r="B871" t="str">
        <f>'Fichas clínicas'!B871</f>
        <v>16805169-7</v>
      </c>
      <c r="C871" t="e">
        <f>VLOOKUP(paciente_tutor!B871,clientes!A871:B2452,2,FALSE)</f>
        <v>#N/A</v>
      </c>
      <c r="D871" t="e">
        <f t="shared" si="13"/>
        <v>#N/A</v>
      </c>
    </row>
    <row r="872" spans="1:4" x14ac:dyDescent="0.2">
      <c r="A872">
        <f>'Fichas clínicas'!A872</f>
        <v>874</v>
      </c>
      <c r="B872" t="str">
        <f>'Fichas clínicas'!B872</f>
        <v>18133585-8</v>
      </c>
      <c r="C872" t="str">
        <f>VLOOKUP(paciente_tutor!B872,clientes!A872:B2453,2,FALSE)</f>
        <v>Mariana</v>
      </c>
      <c r="D872" t="str">
        <f t="shared" si="13"/>
        <v>18133585-8</v>
      </c>
    </row>
    <row r="873" spans="1:4" x14ac:dyDescent="0.2">
      <c r="A873">
        <f>'Fichas clínicas'!A873</f>
        <v>875</v>
      </c>
      <c r="B873" t="str">
        <f>'Fichas clínicas'!B873</f>
        <v>12339440-2</v>
      </c>
      <c r="C873" t="e">
        <f>VLOOKUP(paciente_tutor!B873,clientes!A873:B2454,2,FALSE)</f>
        <v>#N/A</v>
      </c>
      <c r="D873" t="e">
        <f t="shared" si="13"/>
        <v>#N/A</v>
      </c>
    </row>
    <row r="874" spans="1:4" x14ac:dyDescent="0.2">
      <c r="A874">
        <f>'Fichas clínicas'!A874</f>
        <v>876</v>
      </c>
      <c r="B874" t="str">
        <f>'Fichas clínicas'!B874</f>
        <v>12339440-2</v>
      </c>
      <c r="C874" t="e">
        <f>VLOOKUP(paciente_tutor!B874,clientes!A874:B2455,2,FALSE)</f>
        <v>#N/A</v>
      </c>
      <c r="D874" t="e">
        <f t="shared" si="13"/>
        <v>#N/A</v>
      </c>
    </row>
    <row r="875" spans="1:4" x14ac:dyDescent="0.2">
      <c r="A875">
        <f>'Fichas clínicas'!A875</f>
        <v>877</v>
      </c>
      <c r="B875" t="str">
        <f>'Fichas clínicas'!B875</f>
        <v>15389247-4</v>
      </c>
      <c r="C875" t="e">
        <f>VLOOKUP(paciente_tutor!B875,clientes!A875:B2456,2,FALSE)</f>
        <v>#N/A</v>
      </c>
      <c r="D875" t="e">
        <f t="shared" si="13"/>
        <v>#N/A</v>
      </c>
    </row>
    <row r="876" spans="1:4" x14ac:dyDescent="0.2">
      <c r="A876">
        <f>'Fichas clínicas'!A876</f>
        <v>878</v>
      </c>
      <c r="B876" t="str">
        <f>'Fichas clínicas'!B876</f>
        <v>19954556-6</v>
      </c>
      <c r="C876" t="str">
        <f>VLOOKUP(paciente_tutor!B876,clientes!A876:B2457,2,FALSE)</f>
        <v>CAMILA</v>
      </c>
      <c r="D876" t="str">
        <f t="shared" si="13"/>
        <v>19954556-6</v>
      </c>
    </row>
    <row r="877" spans="1:4" x14ac:dyDescent="0.2">
      <c r="A877">
        <f>'Fichas clínicas'!A877</f>
        <v>879</v>
      </c>
      <c r="B877" t="str">
        <f>'Fichas clínicas'!B877</f>
        <v>14159015-4</v>
      </c>
      <c r="C877" t="e">
        <f>VLOOKUP(paciente_tutor!B877,clientes!A877:B2458,2,FALSE)</f>
        <v>#N/A</v>
      </c>
      <c r="D877" t="e">
        <f t="shared" si="13"/>
        <v>#N/A</v>
      </c>
    </row>
    <row r="878" spans="1:4" x14ac:dyDescent="0.2">
      <c r="A878">
        <f>'Fichas clínicas'!A878</f>
        <v>880</v>
      </c>
      <c r="B878" t="str">
        <f>'Fichas clínicas'!B878</f>
        <v>17377968-2</v>
      </c>
      <c r="C878" t="e">
        <f>VLOOKUP(paciente_tutor!B878,clientes!A878:B2459,2,FALSE)</f>
        <v>#N/A</v>
      </c>
      <c r="D878" t="e">
        <f t="shared" si="13"/>
        <v>#N/A</v>
      </c>
    </row>
    <row r="879" spans="1:4" x14ac:dyDescent="0.2">
      <c r="A879">
        <f>'Fichas clínicas'!A879</f>
        <v>881</v>
      </c>
      <c r="B879" t="str">
        <f>'Fichas clínicas'!B879</f>
        <v>15530855-9</v>
      </c>
      <c r="C879" t="e">
        <f>VLOOKUP(paciente_tutor!B879,clientes!A879:B2460,2,FALSE)</f>
        <v>#N/A</v>
      </c>
      <c r="D879" t="e">
        <f t="shared" si="13"/>
        <v>#N/A</v>
      </c>
    </row>
    <row r="880" spans="1:4" x14ac:dyDescent="0.2">
      <c r="A880">
        <f>'Fichas clínicas'!A880</f>
        <v>882</v>
      </c>
      <c r="B880" t="str">
        <f>'Fichas clínicas'!B880</f>
        <v>21433854-8</v>
      </c>
      <c r="C880" t="str">
        <f>VLOOKUP(paciente_tutor!B880,clientes!A880:B2461,2,FALSE)</f>
        <v>Dominic</v>
      </c>
      <c r="D880" t="str">
        <f t="shared" si="13"/>
        <v>21433854-8</v>
      </c>
    </row>
    <row r="881" spans="1:4" x14ac:dyDescent="0.2">
      <c r="A881">
        <f>'Fichas clínicas'!A881</f>
        <v>883</v>
      </c>
      <c r="B881" t="str">
        <f>'Fichas clínicas'!B881</f>
        <v>9314504-6</v>
      </c>
      <c r="C881" t="str">
        <f>VLOOKUP(paciente_tutor!B881,clientes!A881:B2462,2,FALSE)</f>
        <v>María Inés</v>
      </c>
      <c r="D881" t="str">
        <f t="shared" si="13"/>
        <v>9314504-6</v>
      </c>
    </row>
    <row r="882" spans="1:4" x14ac:dyDescent="0.2">
      <c r="A882">
        <f>'Fichas clínicas'!A882</f>
        <v>884</v>
      </c>
      <c r="B882" t="str">
        <f>'Fichas clínicas'!B882</f>
        <v>16599032-3</v>
      </c>
      <c r="C882" t="e">
        <f>VLOOKUP(paciente_tutor!B882,clientes!A882:B2463,2,FALSE)</f>
        <v>#N/A</v>
      </c>
      <c r="D882" t="e">
        <f t="shared" si="13"/>
        <v>#N/A</v>
      </c>
    </row>
    <row r="883" spans="1:4" x14ac:dyDescent="0.2">
      <c r="A883">
        <f>'Fichas clínicas'!A883</f>
        <v>885</v>
      </c>
      <c r="B883" t="str">
        <f>'Fichas clínicas'!B883</f>
        <v>8722550-k</v>
      </c>
      <c r="C883" t="str">
        <f>VLOOKUP(paciente_tutor!B883,clientes!A883:B2464,2,FALSE)</f>
        <v>OMAR</v>
      </c>
      <c r="D883" t="str">
        <f t="shared" si="13"/>
        <v>8722550-k</v>
      </c>
    </row>
    <row r="884" spans="1:4" x14ac:dyDescent="0.2">
      <c r="A884">
        <f>'Fichas clínicas'!A884</f>
        <v>886</v>
      </c>
      <c r="B884" t="str">
        <f>'Fichas clínicas'!B884</f>
        <v>2235759-K</v>
      </c>
      <c r="C884" t="str">
        <f>VLOOKUP(paciente_tutor!B884,clientes!A884:B2465,2,FALSE)</f>
        <v>FERNANDA</v>
      </c>
      <c r="D884" t="str">
        <f t="shared" si="13"/>
        <v>2235759-K</v>
      </c>
    </row>
    <row r="885" spans="1:4" x14ac:dyDescent="0.2">
      <c r="A885">
        <f>'Fichas clínicas'!A885</f>
        <v>887</v>
      </c>
      <c r="B885" t="str">
        <f>'Fichas clínicas'!B885</f>
        <v>19406184-6</v>
      </c>
      <c r="C885" t="str">
        <f>VLOOKUP(paciente_tutor!B885,clientes!A885:B2466,2,FALSE)</f>
        <v>Alejandro</v>
      </c>
      <c r="D885" t="str">
        <f t="shared" si="13"/>
        <v>19406184-6</v>
      </c>
    </row>
    <row r="886" spans="1:4" x14ac:dyDescent="0.2">
      <c r="A886">
        <f>'Fichas clínicas'!A886</f>
        <v>888</v>
      </c>
      <c r="B886" t="str">
        <f>'Fichas clínicas'!B886</f>
        <v>12958214-6</v>
      </c>
      <c r="C886" t="e">
        <f>VLOOKUP(paciente_tutor!B886,clientes!A886:B2467,2,FALSE)</f>
        <v>#N/A</v>
      </c>
      <c r="D886" t="e">
        <f t="shared" si="13"/>
        <v>#N/A</v>
      </c>
    </row>
    <row r="887" spans="1:4" x14ac:dyDescent="0.2">
      <c r="A887">
        <f>'Fichas clínicas'!A887</f>
        <v>889</v>
      </c>
      <c r="B887" t="str">
        <f>'Fichas clínicas'!B887</f>
        <v>18283601-k</v>
      </c>
      <c r="C887" t="str">
        <f>VLOOKUP(paciente_tutor!B887,clientes!A887:B2468,2,FALSE)</f>
        <v>GUILLERMO</v>
      </c>
      <c r="D887" t="str">
        <f t="shared" si="13"/>
        <v>18283601-k</v>
      </c>
    </row>
    <row r="888" spans="1:4" x14ac:dyDescent="0.2">
      <c r="A888">
        <f>'Fichas clínicas'!A888</f>
        <v>890</v>
      </c>
      <c r="B888" t="str">
        <f>'Fichas clínicas'!B888</f>
        <v>18289599-7</v>
      </c>
      <c r="C888" t="str">
        <f>VLOOKUP(paciente_tutor!B888,clientes!A888:B2469,2,FALSE)</f>
        <v>Nataly</v>
      </c>
      <c r="D888" t="str">
        <f t="shared" si="13"/>
        <v>18289599-7</v>
      </c>
    </row>
    <row r="889" spans="1:4" x14ac:dyDescent="0.2">
      <c r="A889">
        <f>'Fichas clínicas'!A889</f>
        <v>891</v>
      </c>
      <c r="B889" t="str">
        <f>'Fichas clínicas'!B889</f>
        <v>15294037-8</v>
      </c>
      <c r="C889" t="e">
        <f>VLOOKUP(paciente_tutor!B889,clientes!A889:B2470,2,FALSE)</f>
        <v>#N/A</v>
      </c>
      <c r="D889" t="e">
        <f t="shared" si="13"/>
        <v>#N/A</v>
      </c>
    </row>
    <row r="890" spans="1:4" x14ac:dyDescent="0.2">
      <c r="A890">
        <f>'Fichas clínicas'!A890</f>
        <v>892</v>
      </c>
      <c r="B890" t="str">
        <f>'Fichas clínicas'!B890</f>
        <v>15547930-2</v>
      </c>
      <c r="C890" t="e">
        <f>VLOOKUP(paciente_tutor!B890,clientes!A890:B2471,2,FALSE)</f>
        <v>#N/A</v>
      </c>
      <c r="D890" t="e">
        <f t="shared" si="13"/>
        <v>#N/A</v>
      </c>
    </row>
    <row r="891" spans="1:4" x14ac:dyDescent="0.2">
      <c r="A891">
        <f>'Fichas clínicas'!A891</f>
        <v>893</v>
      </c>
      <c r="B891" t="str">
        <f>'Fichas clínicas'!B891</f>
        <v>17531384-2</v>
      </c>
      <c r="C891" t="e">
        <f>VLOOKUP(paciente_tutor!B891,clientes!A891:B2472,2,FALSE)</f>
        <v>#N/A</v>
      </c>
      <c r="D891" t="e">
        <f t="shared" si="13"/>
        <v>#N/A</v>
      </c>
    </row>
    <row r="892" spans="1:4" x14ac:dyDescent="0.2">
      <c r="A892">
        <f>'Fichas clínicas'!A892</f>
        <v>894</v>
      </c>
      <c r="B892" t="str">
        <f>'Fichas clínicas'!B892</f>
        <v>12993681-9</v>
      </c>
      <c r="C892" t="e">
        <f>VLOOKUP(paciente_tutor!B892,clientes!A892:B2473,2,FALSE)</f>
        <v>#N/A</v>
      </c>
      <c r="D892" t="e">
        <f t="shared" si="13"/>
        <v>#N/A</v>
      </c>
    </row>
    <row r="893" spans="1:4" x14ac:dyDescent="0.2">
      <c r="A893">
        <f>'Fichas clínicas'!A893</f>
        <v>895</v>
      </c>
      <c r="B893" t="str">
        <f>'Fichas clínicas'!B893</f>
        <v>21783353-1</v>
      </c>
      <c r="C893" t="str">
        <f>VLOOKUP(paciente_tutor!B893,clientes!A893:B2474,2,FALSE)</f>
        <v>CONSTANZA</v>
      </c>
      <c r="D893" t="str">
        <f t="shared" si="13"/>
        <v>21783353-1</v>
      </c>
    </row>
    <row r="894" spans="1:4" x14ac:dyDescent="0.2">
      <c r="A894">
        <f>'Fichas clínicas'!A894</f>
        <v>896</v>
      </c>
      <c r="B894" t="str">
        <f>'Fichas clínicas'!B894</f>
        <v>18369641-6</v>
      </c>
      <c r="C894" t="str">
        <f>VLOOKUP(paciente_tutor!B894,clientes!A894:B2475,2,FALSE)</f>
        <v>NICOLAS</v>
      </c>
      <c r="D894" t="str">
        <f t="shared" si="13"/>
        <v>18369641-6</v>
      </c>
    </row>
    <row r="895" spans="1:4" x14ac:dyDescent="0.2">
      <c r="A895">
        <f>'Fichas clínicas'!A895</f>
        <v>897</v>
      </c>
      <c r="B895" t="str">
        <f>'Fichas clínicas'!B895</f>
        <v>4911876-7</v>
      </c>
      <c r="C895" t="str">
        <f>VLOOKUP(paciente_tutor!B895,clientes!A895:B2476,2,FALSE)</f>
        <v>Antonio</v>
      </c>
      <c r="D895" t="str">
        <f t="shared" si="13"/>
        <v>4911876-7</v>
      </c>
    </row>
    <row r="896" spans="1:4" x14ac:dyDescent="0.2">
      <c r="A896">
        <f>'Fichas clínicas'!A896</f>
        <v>898</v>
      </c>
      <c r="B896" t="str">
        <f>'Fichas clínicas'!B896</f>
        <v>18888477-6</v>
      </c>
      <c r="C896" t="str">
        <f>VLOOKUP(paciente_tutor!B896,clientes!A896:B2477,2,FALSE)</f>
        <v>CAMILA</v>
      </c>
      <c r="D896" t="str">
        <f t="shared" si="13"/>
        <v>18888477-6</v>
      </c>
    </row>
    <row r="897" spans="1:4" x14ac:dyDescent="0.2">
      <c r="A897">
        <f>'Fichas clínicas'!A897</f>
        <v>899</v>
      </c>
      <c r="B897" t="str">
        <f>'Fichas clínicas'!B897</f>
        <v>14229934-8</v>
      </c>
      <c r="C897" t="e">
        <f>VLOOKUP(paciente_tutor!B897,clientes!A897:B2478,2,FALSE)</f>
        <v>#N/A</v>
      </c>
      <c r="D897" t="e">
        <f t="shared" si="13"/>
        <v>#N/A</v>
      </c>
    </row>
    <row r="898" spans="1:4" x14ac:dyDescent="0.2">
      <c r="A898">
        <f>'Fichas clínicas'!A898</f>
        <v>900</v>
      </c>
      <c r="B898" t="str">
        <f>'Fichas clínicas'!B898</f>
        <v>11923703-3</v>
      </c>
      <c r="C898" t="e">
        <f>VLOOKUP(paciente_tutor!B898,clientes!A898:B2479,2,FALSE)</f>
        <v>#N/A</v>
      </c>
      <c r="D898" t="e">
        <f t="shared" si="13"/>
        <v>#N/A</v>
      </c>
    </row>
    <row r="899" spans="1:4" x14ac:dyDescent="0.2">
      <c r="A899">
        <f>'Fichas clínicas'!A899</f>
        <v>901</v>
      </c>
      <c r="B899" t="str">
        <f>'Fichas clínicas'!B899</f>
        <v>15547847-0</v>
      </c>
      <c r="C899" t="e">
        <f>VLOOKUP(paciente_tutor!B899,clientes!A899:B2480,2,FALSE)</f>
        <v>#N/A</v>
      </c>
      <c r="D899" t="e">
        <f t="shared" ref="D899:D962" si="14">IF(C899="#N/A","",B899)</f>
        <v>#N/A</v>
      </c>
    </row>
    <row r="900" spans="1:4" x14ac:dyDescent="0.2">
      <c r="A900">
        <f>'Fichas clínicas'!A900</f>
        <v>902</v>
      </c>
      <c r="B900" t="str">
        <f>'Fichas clínicas'!B900</f>
        <v>19461316-4</v>
      </c>
      <c r="C900" t="str">
        <f>VLOOKUP(paciente_tutor!B900,clientes!A900:B2481,2,FALSE)</f>
        <v>Maximiliano Ignacio</v>
      </c>
      <c r="D900" t="str">
        <f t="shared" si="14"/>
        <v>19461316-4</v>
      </c>
    </row>
    <row r="901" spans="1:4" x14ac:dyDescent="0.2">
      <c r="A901">
        <f>'Fichas clínicas'!A901</f>
        <v>903</v>
      </c>
      <c r="B901" t="str">
        <f>'Fichas clínicas'!B901</f>
        <v>19461316-4</v>
      </c>
      <c r="C901" t="str">
        <f>VLOOKUP(paciente_tutor!B901,clientes!A901:B2482,2,FALSE)</f>
        <v>Maximiliano Ignacio</v>
      </c>
      <c r="D901" t="str">
        <f t="shared" si="14"/>
        <v>19461316-4</v>
      </c>
    </row>
    <row r="902" spans="1:4" x14ac:dyDescent="0.2">
      <c r="A902">
        <f>'Fichas clínicas'!A902</f>
        <v>904</v>
      </c>
      <c r="B902" t="str">
        <f>'Fichas clínicas'!B902</f>
        <v>15531062-6</v>
      </c>
      <c r="C902" t="e">
        <f>VLOOKUP(paciente_tutor!B902,clientes!A902:B2483,2,FALSE)</f>
        <v>#N/A</v>
      </c>
      <c r="D902" t="e">
        <f t="shared" si="14"/>
        <v>#N/A</v>
      </c>
    </row>
    <row r="903" spans="1:4" x14ac:dyDescent="0.2">
      <c r="A903">
        <f>'Fichas clínicas'!A903</f>
        <v>905</v>
      </c>
      <c r="B903" t="str">
        <f>'Fichas clínicas'!B903</f>
        <v>11325482-3</v>
      </c>
      <c r="C903" t="e">
        <f>VLOOKUP(paciente_tutor!B903,clientes!A903:B2484,2,FALSE)</f>
        <v>#N/A</v>
      </c>
      <c r="D903" t="e">
        <f t="shared" si="14"/>
        <v>#N/A</v>
      </c>
    </row>
    <row r="904" spans="1:4" x14ac:dyDescent="0.2">
      <c r="A904">
        <f>'Fichas clínicas'!A904</f>
        <v>906</v>
      </c>
      <c r="B904" t="str">
        <f>'Fichas clínicas'!B904</f>
        <v>22357159-k</v>
      </c>
      <c r="C904" t="str">
        <f>VLOOKUP(paciente_tutor!B904,clientes!A904:B2485,2,FALSE)</f>
        <v>Fernanda</v>
      </c>
      <c r="D904" t="str">
        <f t="shared" si="14"/>
        <v>22357159-k</v>
      </c>
    </row>
    <row r="905" spans="1:4" x14ac:dyDescent="0.2">
      <c r="A905">
        <f>'Fichas clínicas'!A905</f>
        <v>907</v>
      </c>
      <c r="B905" t="str">
        <f>'Fichas clínicas'!B905</f>
        <v>21317058-9</v>
      </c>
      <c r="C905" t="str">
        <f>VLOOKUP(paciente_tutor!B905,clientes!A905:B2486,2,FALSE)</f>
        <v>Pía</v>
      </c>
      <c r="D905" t="str">
        <f t="shared" si="14"/>
        <v>21317058-9</v>
      </c>
    </row>
    <row r="906" spans="1:4" x14ac:dyDescent="0.2">
      <c r="A906">
        <f>'Fichas clínicas'!A906</f>
        <v>908</v>
      </c>
      <c r="B906" t="str">
        <f>'Fichas clínicas'!B906</f>
        <v>15294153-6</v>
      </c>
      <c r="C906" t="e">
        <f>VLOOKUP(paciente_tutor!B906,clientes!A906:B2487,2,FALSE)</f>
        <v>#N/A</v>
      </c>
      <c r="D906" t="e">
        <f t="shared" si="14"/>
        <v>#N/A</v>
      </c>
    </row>
    <row r="907" spans="1:4" x14ac:dyDescent="0.2">
      <c r="A907">
        <f>'Fichas clínicas'!A907</f>
        <v>909</v>
      </c>
      <c r="B907" t="str">
        <f>'Fichas clínicas'!B907</f>
        <v>19001463-0</v>
      </c>
      <c r="C907" t="str">
        <f>VLOOKUP(paciente_tutor!B907,clientes!A907:B2488,2,FALSE)</f>
        <v>Juan Pablo</v>
      </c>
      <c r="D907" t="str">
        <f t="shared" si="14"/>
        <v>19001463-0</v>
      </c>
    </row>
    <row r="908" spans="1:4" x14ac:dyDescent="0.2">
      <c r="A908">
        <f>'Fichas clínicas'!A908</f>
        <v>910</v>
      </c>
      <c r="B908" t="str">
        <f>'Fichas clínicas'!B908</f>
        <v>21152879-6</v>
      </c>
      <c r="C908" t="str">
        <f>VLOOKUP(paciente_tutor!B908,clientes!A908:B2489,2,FALSE)</f>
        <v>Joaquin</v>
      </c>
      <c r="D908" t="str">
        <f t="shared" si="14"/>
        <v>21152879-6</v>
      </c>
    </row>
    <row r="909" spans="1:4" x14ac:dyDescent="0.2">
      <c r="A909">
        <f>'Fichas clínicas'!A909</f>
        <v>911</v>
      </c>
      <c r="B909" t="str">
        <f>'Fichas clínicas'!B909</f>
        <v>19249621-7</v>
      </c>
      <c r="C909" t="str">
        <f>VLOOKUP(paciente_tutor!B909,clientes!A909:B2490,2,FALSE)</f>
        <v>Jhonatan</v>
      </c>
      <c r="D909" t="str">
        <f t="shared" si="14"/>
        <v>19249621-7</v>
      </c>
    </row>
    <row r="910" spans="1:4" x14ac:dyDescent="0.2">
      <c r="A910">
        <f>'Fichas clínicas'!A910</f>
        <v>912</v>
      </c>
      <c r="B910" t="str">
        <f>'Fichas clínicas'!B910</f>
        <v>20315413-5</v>
      </c>
      <c r="C910" t="str">
        <f>VLOOKUP(paciente_tutor!B910,clientes!A910:B2491,2,FALSE)</f>
        <v>ESTEBAN</v>
      </c>
      <c r="D910" t="str">
        <f t="shared" si="14"/>
        <v>20315413-5</v>
      </c>
    </row>
    <row r="911" spans="1:4" x14ac:dyDescent="0.2">
      <c r="A911">
        <f>'Fichas clínicas'!A911</f>
        <v>913</v>
      </c>
      <c r="B911" t="str">
        <f>'Fichas clínicas'!B911</f>
        <v>15674696-7</v>
      </c>
      <c r="C911" t="e">
        <f>VLOOKUP(paciente_tutor!B911,clientes!A911:B2492,2,FALSE)</f>
        <v>#N/A</v>
      </c>
      <c r="D911" t="e">
        <f t="shared" si="14"/>
        <v>#N/A</v>
      </c>
    </row>
    <row r="912" spans="1:4" x14ac:dyDescent="0.2">
      <c r="A912">
        <f>'Fichas clínicas'!A912</f>
        <v>914</v>
      </c>
      <c r="B912" t="str">
        <f>'Fichas clínicas'!B912</f>
        <v>12993681-9</v>
      </c>
      <c r="C912" t="e">
        <f>VLOOKUP(paciente_tutor!B912,clientes!A912:B2493,2,FALSE)</f>
        <v>#N/A</v>
      </c>
      <c r="D912" t="e">
        <f t="shared" si="14"/>
        <v>#N/A</v>
      </c>
    </row>
    <row r="913" spans="1:4" x14ac:dyDescent="0.2">
      <c r="A913">
        <f>'Fichas clínicas'!A913</f>
        <v>915</v>
      </c>
      <c r="B913" t="str">
        <f>'Fichas clínicas'!B913</f>
        <v>17324202-6</v>
      </c>
      <c r="C913" t="e">
        <f>VLOOKUP(paciente_tutor!B913,clientes!A913:B2494,2,FALSE)</f>
        <v>#N/A</v>
      </c>
      <c r="D913" t="e">
        <f t="shared" si="14"/>
        <v>#N/A</v>
      </c>
    </row>
    <row r="914" spans="1:4" x14ac:dyDescent="0.2">
      <c r="A914">
        <f>'Fichas clínicas'!A914</f>
        <v>916</v>
      </c>
      <c r="B914" t="str">
        <f>'Fichas clínicas'!B914</f>
        <v>18174405-7</v>
      </c>
      <c r="C914" t="e">
        <f>VLOOKUP(paciente_tutor!B914,clientes!A914:B2495,2,FALSE)</f>
        <v>#N/A</v>
      </c>
      <c r="D914" t="e">
        <f t="shared" si="14"/>
        <v>#N/A</v>
      </c>
    </row>
    <row r="915" spans="1:4" x14ac:dyDescent="0.2">
      <c r="A915">
        <f>'Fichas clínicas'!A915</f>
        <v>917</v>
      </c>
      <c r="B915" t="str">
        <f>'Fichas clínicas'!B915</f>
        <v>22198242-8</v>
      </c>
      <c r="C915" t="str">
        <f>VLOOKUP(paciente_tutor!B915,clientes!A915:B2496,2,FALSE)</f>
        <v>Catalina</v>
      </c>
      <c r="D915" t="str">
        <f t="shared" si="14"/>
        <v>22198242-8</v>
      </c>
    </row>
    <row r="916" spans="1:4" x14ac:dyDescent="0.2">
      <c r="A916">
        <f>'Fichas clínicas'!A916</f>
        <v>918</v>
      </c>
      <c r="B916" t="str">
        <f>'Fichas clínicas'!B916</f>
        <v>20016436-9</v>
      </c>
      <c r="C916" t="str">
        <f>VLOOKUP(paciente_tutor!B916,clientes!A916:B2497,2,FALSE)</f>
        <v>Rafael</v>
      </c>
      <c r="D916" t="str">
        <f t="shared" si="14"/>
        <v>20016436-9</v>
      </c>
    </row>
    <row r="917" spans="1:4" x14ac:dyDescent="0.2">
      <c r="A917">
        <f>'Fichas clínicas'!A917</f>
        <v>919</v>
      </c>
      <c r="B917" t="str">
        <f>'Fichas clínicas'!B917</f>
        <v>20016436-9</v>
      </c>
      <c r="C917" t="str">
        <f>VLOOKUP(paciente_tutor!B917,clientes!A917:B2498,2,FALSE)</f>
        <v>Rafael</v>
      </c>
      <c r="D917" t="str">
        <f t="shared" si="14"/>
        <v>20016436-9</v>
      </c>
    </row>
    <row r="918" spans="1:4" x14ac:dyDescent="0.2">
      <c r="A918">
        <f>'Fichas clínicas'!A918</f>
        <v>920</v>
      </c>
      <c r="B918" t="str">
        <f>'Fichas clínicas'!B918</f>
        <v>20642038-3</v>
      </c>
      <c r="C918" t="str">
        <f>VLOOKUP(paciente_tutor!B918,clientes!A918:B2499,2,FALSE)</f>
        <v>Carolina</v>
      </c>
      <c r="D918" t="str">
        <f t="shared" si="14"/>
        <v>20642038-3</v>
      </c>
    </row>
    <row r="919" spans="1:4" x14ac:dyDescent="0.2">
      <c r="A919">
        <f>'Fichas clínicas'!A919</f>
        <v>921</v>
      </c>
      <c r="B919" t="str">
        <f>'Fichas clínicas'!B919</f>
        <v>14081129-7</v>
      </c>
      <c r="C919" t="e">
        <f>VLOOKUP(paciente_tutor!B919,clientes!A919:B2500,2,FALSE)</f>
        <v>#N/A</v>
      </c>
      <c r="D919" t="e">
        <f t="shared" si="14"/>
        <v>#N/A</v>
      </c>
    </row>
    <row r="920" spans="1:4" x14ac:dyDescent="0.2">
      <c r="A920">
        <f>'Fichas clínicas'!A920</f>
        <v>922</v>
      </c>
      <c r="B920" t="str">
        <f>'Fichas clínicas'!B920</f>
        <v>16319628-k</v>
      </c>
      <c r="C920" t="e">
        <f>VLOOKUP(paciente_tutor!B920,clientes!A920:B2501,2,FALSE)</f>
        <v>#N/A</v>
      </c>
      <c r="D920" t="e">
        <f t="shared" si="14"/>
        <v>#N/A</v>
      </c>
    </row>
    <row r="921" spans="1:4" x14ac:dyDescent="0.2">
      <c r="A921">
        <f>'Fichas clínicas'!A921</f>
        <v>923</v>
      </c>
      <c r="B921" t="str">
        <f>'Fichas clínicas'!B921</f>
        <v>16857345-6</v>
      </c>
      <c r="C921" t="e">
        <f>VLOOKUP(paciente_tutor!B921,clientes!A921:B2502,2,FALSE)</f>
        <v>#N/A</v>
      </c>
      <c r="D921" t="e">
        <f t="shared" si="14"/>
        <v>#N/A</v>
      </c>
    </row>
    <row r="922" spans="1:4" x14ac:dyDescent="0.2">
      <c r="A922">
        <f>'Fichas clínicas'!A922</f>
        <v>924</v>
      </c>
      <c r="B922" t="str">
        <f>'Fichas clínicas'!B922</f>
        <v>15360539-4</v>
      </c>
      <c r="C922" t="e">
        <f>VLOOKUP(paciente_tutor!B922,clientes!A922:B2503,2,FALSE)</f>
        <v>#N/A</v>
      </c>
      <c r="D922" t="e">
        <f t="shared" si="14"/>
        <v>#N/A</v>
      </c>
    </row>
    <row r="923" spans="1:4" x14ac:dyDescent="0.2">
      <c r="A923">
        <f>'Fichas clínicas'!A923</f>
        <v>925</v>
      </c>
      <c r="B923" t="str">
        <f>'Fichas clínicas'!B923</f>
        <v>18522315-9</v>
      </c>
      <c r="C923" t="str">
        <f>VLOOKUP(paciente_tutor!B923,clientes!A923:B2504,2,FALSE)</f>
        <v>Mauricio</v>
      </c>
      <c r="D923" t="str">
        <f t="shared" si="14"/>
        <v>18522315-9</v>
      </c>
    </row>
    <row r="924" spans="1:4" x14ac:dyDescent="0.2">
      <c r="A924">
        <f>'Fichas clínicas'!A924</f>
        <v>926</v>
      </c>
      <c r="B924" t="str">
        <f>'Fichas clínicas'!B924</f>
        <v>22360484-6</v>
      </c>
      <c r="C924" t="str">
        <f>VLOOKUP(paciente_tutor!B924,clientes!A924:B2505,2,FALSE)</f>
        <v>Tiare</v>
      </c>
      <c r="D924" t="str">
        <f t="shared" si="14"/>
        <v>22360484-6</v>
      </c>
    </row>
    <row r="925" spans="1:4" x14ac:dyDescent="0.2">
      <c r="A925">
        <f>'Fichas clínicas'!A925</f>
        <v>927</v>
      </c>
      <c r="B925" t="str">
        <f>'Fichas clínicas'!B925</f>
        <v>18174405-7</v>
      </c>
      <c r="C925" t="e">
        <f>VLOOKUP(paciente_tutor!B925,clientes!A925:B2506,2,FALSE)</f>
        <v>#N/A</v>
      </c>
      <c r="D925" t="e">
        <f t="shared" si="14"/>
        <v>#N/A</v>
      </c>
    </row>
    <row r="926" spans="1:4" x14ac:dyDescent="0.2">
      <c r="A926">
        <f>'Fichas clínicas'!A926</f>
        <v>928</v>
      </c>
      <c r="B926" t="str">
        <f>'Fichas clínicas'!B926</f>
        <v>15895753-1</v>
      </c>
      <c r="C926" t="e">
        <f>VLOOKUP(paciente_tutor!B926,clientes!A926:B2507,2,FALSE)</f>
        <v>#N/A</v>
      </c>
      <c r="D926" t="e">
        <f t="shared" si="14"/>
        <v>#N/A</v>
      </c>
    </row>
    <row r="927" spans="1:4" x14ac:dyDescent="0.2">
      <c r="A927">
        <f>'Fichas clínicas'!A927</f>
        <v>929</v>
      </c>
      <c r="B927" t="str">
        <f>'Fichas clínicas'!B927</f>
        <v>19555771-3</v>
      </c>
      <c r="C927" t="str">
        <f>VLOOKUP(paciente_tutor!B927,clientes!A927:B2508,2,FALSE)</f>
        <v>Miguel Angel</v>
      </c>
      <c r="D927" t="str">
        <f t="shared" si="14"/>
        <v>19555771-3</v>
      </c>
    </row>
    <row r="928" spans="1:4" x14ac:dyDescent="0.2">
      <c r="A928">
        <f>'Fichas clínicas'!A928</f>
        <v>930</v>
      </c>
      <c r="B928" t="str">
        <f>'Fichas clínicas'!B928</f>
        <v>18887113-5</v>
      </c>
      <c r="C928" t="str">
        <f>VLOOKUP(paciente_tutor!B928,clientes!A928:B2509,2,FALSE)</f>
        <v>Laura</v>
      </c>
      <c r="D928" t="str">
        <f t="shared" si="14"/>
        <v>18887113-5</v>
      </c>
    </row>
    <row r="929" spans="1:4" x14ac:dyDescent="0.2">
      <c r="A929">
        <f>'Fichas clínicas'!A929</f>
        <v>931</v>
      </c>
      <c r="B929" t="str">
        <f>'Fichas clínicas'!B929</f>
        <v>14343613-6</v>
      </c>
      <c r="C929" t="e">
        <f>VLOOKUP(paciente_tutor!B929,clientes!A929:B2510,2,FALSE)</f>
        <v>#N/A</v>
      </c>
      <c r="D929" t="e">
        <f t="shared" si="14"/>
        <v>#N/A</v>
      </c>
    </row>
    <row r="930" spans="1:4" x14ac:dyDescent="0.2">
      <c r="A930">
        <f>'Fichas clínicas'!A930</f>
        <v>932</v>
      </c>
      <c r="B930" t="str">
        <f>'Fichas clínicas'!B930</f>
        <v>13587428-0</v>
      </c>
      <c r="C930" t="e">
        <f>VLOOKUP(paciente_tutor!B930,clientes!A930:B2511,2,FALSE)</f>
        <v>#N/A</v>
      </c>
      <c r="D930" t="e">
        <f t="shared" si="14"/>
        <v>#N/A</v>
      </c>
    </row>
    <row r="931" spans="1:4" x14ac:dyDescent="0.2">
      <c r="A931">
        <f>'Fichas clínicas'!A931</f>
        <v>933</v>
      </c>
      <c r="B931" t="str">
        <f>'Fichas clínicas'!B931</f>
        <v>19350925-8</v>
      </c>
      <c r="C931" t="str">
        <f>VLOOKUP(paciente_tutor!B931,clientes!A931:B2512,2,FALSE)</f>
        <v>Camila</v>
      </c>
      <c r="D931" t="str">
        <f t="shared" si="14"/>
        <v>19350925-8</v>
      </c>
    </row>
    <row r="932" spans="1:4" x14ac:dyDescent="0.2">
      <c r="A932">
        <f>'Fichas clínicas'!A932</f>
        <v>934</v>
      </c>
      <c r="B932" t="str">
        <f>'Fichas clínicas'!B932</f>
        <v>16300121-7</v>
      </c>
      <c r="C932" t="e">
        <f>VLOOKUP(paciente_tutor!B932,clientes!A932:B2513,2,FALSE)</f>
        <v>#N/A</v>
      </c>
      <c r="D932" t="e">
        <f t="shared" si="14"/>
        <v>#N/A</v>
      </c>
    </row>
    <row r="933" spans="1:4" x14ac:dyDescent="0.2">
      <c r="A933">
        <f>'Fichas clínicas'!A933</f>
        <v>935</v>
      </c>
      <c r="B933" t="str">
        <f>'Fichas clínicas'!B933</f>
        <v>4111158-5</v>
      </c>
      <c r="C933" t="str">
        <f>VLOOKUP(paciente_tutor!B933,clientes!A933:B2514,2,FALSE)</f>
        <v>Guillermina</v>
      </c>
      <c r="D933" t="str">
        <f t="shared" si="14"/>
        <v>4111158-5</v>
      </c>
    </row>
    <row r="934" spans="1:4" x14ac:dyDescent="0.2">
      <c r="A934">
        <f>'Fichas clínicas'!A934</f>
        <v>936</v>
      </c>
      <c r="B934" t="str">
        <f>'Fichas clínicas'!B934</f>
        <v>16806099-8</v>
      </c>
      <c r="C934" t="e">
        <f>VLOOKUP(paciente_tutor!B934,clientes!A934:B2515,2,FALSE)</f>
        <v>#N/A</v>
      </c>
      <c r="D934" t="e">
        <f t="shared" si="14"/>
        <v>#N/A</v>
      </c>
    </row>
    <row r="935" spans="1:4" x14ac:dyDescent="0.2">
      <c r="A935">
        <f>'Fichas clínicas'!A935</f>
        <v>937</v>
      </c>
      <c r="B935" t="str">
        <f>'Fichas clínicas'!B935</f>
        <v>10672801-1</v>
      </c>
      <c r="C935" t="e">
        <f>VLOOKUP(paciente_tutor!B935,clientes!A935:B2516,2,FALSE)</f>
        <v>#N/A</v>
      </c>
      <c r="D935" t="e">
        <f t="shared" si="14"/>
        <v>#N/A</v>
      </c>
    </row>
    <row r="936" spans="1:4" x14ac:dyDescent="0.2">
      <c r="A936">
        <f>'Fichas clínicas'!A936</f>
        <v>938</v>
      </c>
      <c r="B936" t="str">
        <f>'Fichas clínicas'!B936</f>
        <v>15880508-1</v>
      </c>
      <c r="C936" t="e">
        <f>VLOOKUP(paciente_tutor!B936,clientes!A936:B2517,2,FALSE)</f>
        <v>#N/A</v>
      </c>
      <c r="D936" t="e">
        <f t="shared" si="14"/>
        <v>#N/A</v>
      </c>
    </row>
    <row r="937" spans="1:4" x14ac:dyDescent="0.2">
      <c r="A937">
        <f>'Fichas clínicas'!A937</f>
        <v>939</v>
      </c>
      <c r="B937" t="str">
        <f>'Fichas clínicas'!B937</f>
        <v>16160066-0</v>
      </c>
      <c r="C937" t="e">
        <f>VLOOKUP(paciente_tutor!B937,clientes!A937:B2518,2,FALSE)</f>
        <v>#N/A</v>
      </c>
      <c r="D937" t="e">
        <f t="shared" si="14"/>
        <v>#N/A</v>
      </c>
    </row>
    <row r="938" spans="1:4" x14ac:dyDescent="0.2">
      <c r="A938">
        <f>'Fichas clínicas'!A938</f>
        <v>940</v>
      </c>
      <c r="B938" t="str">
        <f>'Fichas clínicas'!B938</f>
        <v>11081804-1</v>
      </c>
      <c r="C938" t="e">
        <f>VLOOKUP(paciente_tutor!B938,clientes!A938:B2519,2,FALSE)</f>
        <v>#N/A</v>
      </c>
      <c r="D938" t="e">
        <f t="shared" si="14"/>
        <v>#N/A</v>
      </c>
    </row>
    <row r="939" spans="1:4" x14ac:dyDescent="0.2">
      <c r="A939">
        <f>'Fichas clínicas'!A939</f>
        <v>941</v>
      </c>
      <c r="B939" t="str">
        <f>'Fichas clínicas'!B939</f>
        <v>16246027-7</v>
      </c>
      <c r="C939" t="e">
        <f>VLOOKUP(paciente_tutor!B939,clientes!A939:B2520,2,FALSE)</f>
        <v>#N/A</v>
      </c>
      <c r="D939" t="e">
        <f t="shared" si="14"/>
        <v>#N/A</v>
      </c>
    </row>
    <row r="940" spans="1:4" x14ac:dyDescent="0.2">
      <c r="A940">
        <f>'Fichas clínicas'!A940</f>
        <v>942</v>
      </c>
      <c r="B940" t="str">
        <f>'Fichas clínicas'!B940</f>
        <v>13609453-k</v>
      </c>
      <c r="C940" t="e">
        <f>VLOOKUP(paciente_tutor!B940,clientes!A940:B2521,2,FALSE)</f>
        <v>#N/A</v>
      </c>
      <c r="D940" t="e">
        <f t="shared" si="14"/>
        <v>#N/A</v>
      </c>
    </row>
    <row r="941" spans="1:4" x14ac:dyDescent="0.2">
      <c r="A941">
        <f>'Fichas clínicas'!A941</f>
        <v>943</v>
      </c>
      <c r="B941" t="str">
        <f>'Fichas clínicas'!B941</f>
        <v>20922023-7</v>
      </c>
      <c r="C941" t="str">
        <f>VLOOKUP(paciente_tutor!B941,clientes!A941:B2522,2,FALSE)</f>
        <v>Josefina</v>
      </c>
      <c r="D941" t="str">
        <f t="shared" si="14"/>
        <v>20922023-7</v>
      </c>
    </row>
    <row r="942" spans="1:4" x14ac:dyDescent="0.2">
      <c r="A942">
        <f>'Fichas clínicas'!A942</f>
        <v>944</v>
      </c>
      <c r="B942" t="str">
        <f>'Fichas clínicas'!B942</f>
        <v>4988562-8</v>
      </c>
      <c r="C942" t="str">
        <f>VLOOKUP(paciente_tutor!B942,clientes!A942:B2523,2,FALSE)</f>
        <v>Ana Maria</v>
      </c>
      <c r="D942" t="str">
        <f t="shared" si="14"/>
        <v>4988562-8</v>
      </c>
    </row>
    <row r="943" spans="1:4" x14ac:dyDescent="0.2">
      <c r="A943">
        <f>'Fichas clínicas'!A943</f>
        <v>945</v>
      </c>
      <c r="B943" t="str">
        <f>'Fichas clínicas'!B943</f>
        <v>11325627-3</v>
      </c>
      <c r="C943" t="e">
        <f>VLOOKUP(paciente_tutor!B943,clientes!A943:B2524,2,FALSE)</f>
        <v>#N/A</v>
      </c>
      <c r="D943" t="e">
        <f t="shared" si="14"/>
        <v>#N/A</v>
      </c>
    </row>
    <row r="944" spans="1:4" x14ac:dyDescent="0.2">
      <c r="A944">
        <f>'Fichas clínicas'!A944</f>
        <v>946</v>
      </c>
      <c r="B944" t="str">
        <f>'Fichas clínicas'!B944</f>
        <v>20315277-9</v>
      </c>
      <c r="C944" t="str">
        <f>VLOOKUP(paciente_tutor!B944,clientes!A944:B2525,2,FALSE)</f>
        <v>Valentina</v>
      </c>
      <c r="D944" t="str">
        <f t="shared" si="14"/>
        <v>20315277-9</v>
      </c>
    </row>
    <row r="945" spans="1:4" x14ac:dyDescent="0.2">
      <c r="A945">
        <f>'Fichas clínicas'!A945</f>
        <v>947</v>
      </c>
      <c r="B945" t="str">
        <f>'Fichas clínicas'!B945</f>
        <v>7325000-5</v>
      </c>
      <c r="C945" t="str">
        <f>VLOOKUP(paciente_tutor!B945,clientes!A945:B2526,2,FALSE)</f>
        <v>Pedro</v>
      </c>
      <c r="D945" t="str">
        <f t="shared" si="14"/>
        <v>7325000-5</v>
      </c>
    </row>
    <row r="946" spans="1:4" x14ac:dyDescent="0.2">
      <c r="A946">
        <f>'Fichas clínicas'!A946</f>
        <v>948</v>
      </c>
      <c r="B946" t="str">
        <f>'Fichas clínicas'!B946</f>
        <v>12275446-4</v>
      </c>
      <c r="C946" t="e">
        <f>VLOOKUP(paciente_tutor!B946,clientes!A946:B2527,2,FALSE)</f>
        <v>#N/A</v>
      </c>
      <c r="D946" t="e">
        <f t="shared" si="14"/>
        <v>#N/A</v>
      </c>
    </row>
    <row r="947" spans="1:4" x14ac:dyDescent="0.2">
      <c r="A947">
        <f>'Fichas clínicas'!A947</f>
        <v>949</v>
      </c>
      <c r="B947" t="str">
        <f>'Fichas clínicas'!B947</f>
        <v>20556526-4</v>
      </c>
      <c r="C947" t="str">
        <f>VLOOKUP(paciente_tutor!B947,clientes!A947:B2528,2,FALSE)</f>
        <v>YAEL</v>
      </c>
      <c r="D947" t="str">
        <f t="shared" si="14"/>
        <v>20556526-4</v>
      </c>
    </row>
    <row r="948" spans="1:4" x14ac:dyDescent="0.2">
      <c r="A948">
        <f>'Fichas clínicas'!A948</f>
        <v>950</v>
      </c>
      <c r="B948" t="str">
        <f>'Fichas clínicas'!B948</f>
        <v>20214256-7</v>
      </c>
      <c r="C948" t="str">
        <f>VLOOKUP(paciente_tutor!B948,clientes!A948:B2529,2,FALSE)</f>
        <v>Victor Fernando</v>
      </c>
      <c r="D948" t="str">
        <f t="shared" si="14"/>
        <v>20214256-7</v>
      </c>
    </row>
    <row r="949" spans="1:4" x14ac:dyDescent="0.2">
      <c r="A949">
        <f>'Fichas clínicas'!A949</f>
        <v>951</v>
      </c>
      <c r="B949" t="str">
        <f>'Fichas clínicas'!B949</f>
        <v>19556541-4</v>
      </c>
      <c r="C949" t="str">
        <f>VLOOKUP(paciente_tutor!B949,clientes!A949:B2530,2,FALSE)</f>
        <v>Luciano Alejandro</v>
      </c>
      <c r="D949" t="str">
        <f t="shared" si="14"/>
        <v>19556541-4</v>
      </c>
    </row>
    <row r="950" spans="1:4" x14ac:dyDescent="0.2">
      <c r="A950">
        <f>'Fichas clínicas'!A950</f>
        <v>952</v>
      </c>
      <c r="B950" t="str">
        <f>'Fichas clínicas'!B950</f>
        <v>19350925-8</v>
      </c>
      <c r="C950" t="str">
        <f>VLOOKUP(paciente_tutor!B950,clientes!A950:B2531,2,FALSE)</f>
        <v>Camila</v>
      </c>
      <c r="D950" t="str">
        <f t="shared" si="14"/>
        <v>19350925-8</v>
      </c>
    </row>
    <row r="951" spans="1:4" x14ac:dyDescent="0.2">
      <c r="A951">
        <f>'Fichas clínicas'!A951</f>
        <v>953</v>
      </c>
      <c r="B951" t="str">
        <f>'Fichas clínicas'!B951</f>
        <v>16092487-k</v>
      </c>
      <c r="C951" t="e">
        <f>VLOOKUP(paciente_tutor!B951,clientes!A951:B2532,2,FALSE)</f>
        <v>#N/A</v>
      </c>
      <c r="D951" t="e">
        <f t="shared" si="14"/>
        <v>#N/A</v>
      </c>
    </row>
    <row r="952" spans="1:4" x14ac:dyDescent="0.2">
      <c r="A952">
        <f>'Fichas clínicas'!A952</f>
        <v>954</v>
      </c>
      <c r="B952" t="str">
        <f>'Fichas clínicas'!B952</f>
        <v>16092487-k</v>
      </c>
      <c r="C952" t="e">
        <f>VLOOKUP(paciente_tutor!B952,clientes!A952:B2533,2,FALSE)</f>
        <v>#N/A</v>
      </c>
      <c r="D952" t="e">
        <f t="shared" si="14"/>
        <v>#N/A</v>
      </c>
    </row>
    <row r="953" spans="1:4" x14ac:dyDescent="0.2">
      <c r="A953">
        <f>'Fichas clínicas'!A953</f>
        <v>955</v>
      </c>
      <c r="B953" t="str">
        <f>'Fichas clínicas'!B953</f>
        <v>10792120-6</v>
      </c>
      <c r="C953" t="e">
        <f>VLOOKUP(paciente_tutor!B953,clientes!A953:B2534,2,FALSE)</f>
        <v>#N/A</v>
      </c>
      <c r="D953" t="e">
        <f t="shared" si="14"/>
        <v>#N/A</v>
      </c>
    </row>
    <row r="954" spans="1:4" x14ac:dyDescent="0.2">
      <c r="A954">
        <f>'Fichas clínicas'!A954</f>
        <v>956</v>
      </c>
      <c r="B954" t="str">
        <f>'Fichas clínicas'!B954</f>
        <v>14369868-8</v>
      </c>
      <c r="C954" t="e">
        <f>VLOOKUP(paciente_tutor!B954,clientes!A954:B2535,2,FALSE)</f>
        <v>#N/A</v>
      </c>
      <c r="D954" t="e">
        <f t="shared" si="14"/>
        <v>#N/A</v>
      </c>
    </row>
    <row r="955" spans="1:4" x14ac:dyDescent="0.2">
      <c r="A955">
        <f>'Fichas clínicas'!A955</f>
        <v>957</v>
      </c>
      <c r="B955" t="str">
        <f>'Fichas clínicas'!B955</f>
        <v>13103465-2</v>
      </c>
      <c r="C955" t="e">
        <f>VLOOKUP(paciente_tutor!B955,clientes!A955:B2536,2,FALSE)</f>
        <v>#N/A</v>
      </c>
      <c r="D955" t="e">
        <f t="shared" si="14"/>
        <v>#N/A</v>
      </c>
    </row>
    <row r="956" spans="1:4" x14ac:dyDescent="0.2">
      <c r="A956">
        <f>'Fichas clínicas'!A956</f>
        <v>958</v>
      </c>
      <c r="B956" t="str">
        <f>'Fichas clínicas'!B956</f>
        <v>23917816-2</v>
      </c>
      <c r="C956" t="str">
        <f>VLOOKUP(paciente_tutor!B956,clientes!A956:B2537,2,FALSE)</f>
        <v>Hector Eleazar</v>
      </c>
      <c r="D956" t="str">
        <f t="shared" si="14"/>
        <v>23917816-2</v>
      </c>
    </row>
    <row r="957" spans="1:4" x14ac:dyDescent="0.2">
      <c r="A957">
        <f>'Fichas clínicas'!A957</f>
        <v>959</v>
      </c>
      <c r="B957" t="str">
        <f>'Fichas clínicas'!B957</f>
        <v>14485161-7</v>
      </c>
      <c r="C957" t="e">
        <f>VLOOKUP(paciente_tutor!B957,clientes!A957:B2538,2,FALSE)</f>
        <v>#N/A</v>
      </c>
      <c r="D957" t="e">
        <f t="shared" si="14"/>
        <v>#N/A</v>
      </c>
    </row>
    <row r="958" spans="1:4" x14ac:dyDescent="0.2">
      <c r="A958">
        <f>'Fichas clínicas'!A958</f>
        <v>960</v>
      </c>
      <c r="B958" t="str">
        <f>'Fichas clínicas'!B958</f>
        <v>23917816-2</v>
      </c>
      <c r="C958" t="str">
        <f>VLOOKUP(paciente_tutor!B958,clientes!A958:B2539,2,FALSE)</f>
        <v>Hector Eleazar</v>
      </c>
      <c r="D958" t="str">
        <f t="shared" si="14"/>
        <v>23917816-2</v>
      </c>
    </row>
    <row r="959" spans="1:4" x14ac:dyDescent="0.2">
      <c r="A959">
        <f>'Fichas clínicas'!A959</f>
        <v>961</v>
      </c>
      <c r="B959" t="str">
        <f>'Fichas clínicas'!B959</f>
        <v>14485161-7</v>
      </c>
      <c r="C959" t="e">
        <f>VLOOKUP(paciente_tutor!B959,clientes!A959:B2540,2,FALSE)</f>
        <v>#N/A</v>
      </c>
      <c r="D959" t="e">
        <f t="shared" si="14"/>
        <v>#N/A</v>
      </c>
    </row>
    <row r="960" spans="1:4" x14ac:dyDescent="0.2">
      <c r="A960">
        <f>'Fichas clínicas'!A960</f>
        <v>962</v>
      </c>
      <c r="B960" t="str">
        <f>'Fichas clínicas'!B960</f>
        <v>18888132-7</v>
      </c>
      <c r="C960" t="str">
        <f>VLOOKUP(paciente_tutor!B960,clientes!A960:B2541,2,FALSE)</f>
        <v>DANIELA</v>
      </c>
      <c r="D960" t="str">
        <f t="shared" si="14"/>
        <v>18888132-7</v>
      </c>
    </row>
    <row r="961" spans="1:4" x14ac:dyDescent="0.2">
      <c r="A961">
        <f>'Fichas clínicas'!A961</f>
        <v>963</v>
      </c>
      <c r="B961" t="str">
        <f>'Fichas clínicas'!B961</f>
        <v>19350925-8</v>
      </c>
      <c r="C961" t="str">
        <f>VLOOKUP(paciente_tutor!B961,clientes!A961:B2542,2,FALSE)</f>
        <v>Camila</v>
      </c>
      <c r="D961" t="str">
        <f t="shared" si="14"/>
        <v>19350925-8</v>
      </c>
    </row>
    <row r="962" spans="1:4" x14ac:dyDescent="0.2">
      <c r="A962">
        <f>'Fichas clínicas'!A962</f>
        <v>964</v>
      </c>
      <c r="B962" t="str">
        <f>'Fichas clínicas'!B962</f>
        <v>15547930-2</v>
      </c>
      <c r="C962" t="e">
        <f>VLOOKUP(paciente_tutor!B962,clientes!A962:B2543,2,FALSE)</f>
        <v>#N/A</v>
      </c>
      <c r="D962" t="e">
        <f t="shared" si="14"/>
        <v>#N/A</v>
      </c>
    </row>
    <row r="963" spans="1:4" x14ac:dyDescent="0.2">
      <c r="A963">
        <f>'Fichas clínicas'!A963</f>
        <v>965</v>
      </c>
      <c r="B963" t="str">
        <f>'Fichas clínicas'!B963</f>
        <v>12911545-9</v>
      </c>
      <c r="C963" t="e">
        <f>VLOOKUP(paciente_tutor!B963,clientes!A963:B2544,2,FALSE)</f>
        <v>#N/A</v>
      </c>
      <c r="D963" t="e">
        <f t="shared" ref="D963:D1026" si="15">IF(C963="#N/A","",B963)</f>
        <v>#N/A</v>
      </c>
    </row>
    <row r="964" spans="1:4" x14ac:dyDescent="0.2">
      <c r="A964">
        <f>'Fichas clínicas'!A964</f>
        <v>966</v>
      </c>
      <c r="B964" t="str">
        <f>'Fichas clínicas'!B964</f>
        <v>21608090-4</v>
      </c>
      <c r="C964" t="str">
        <f>VLOOKUP(paciente_tutor!B964,clientes!A964:B2545,2,FALSE)</f>
        <v>Bastian</v>
      </c>
      <c r="D964" t="str">
        <f t="shared" si="15"/>
        <v>21608090-4</v>
      </c>
    </row>
    <row r="965" spans="1:4" x14ac:dyDescent="0.2">
      <c r="A965">
        <f>'Fichas clínicas'!A965</f>
        <v>967</v>
      </c>
      <c r="B965" t="str">
        <f>'Fichas clínicas'!B965</f>
        <v>10628825-9</v>
      </c>
      <c r="C965" t="e">
        <f>VLOOKUP(paciente_tutor!B965,clientes!A965:B2546,2,FALSE)</f>
        <v>#N/A</v>
      </c>
      <c r="D965" t="e">
        <f t="shared" si="15"/>
        <v>#N/A</v>
      </c>
    </row>
    <row r="966" spans="1:4" x14ac:dyDescent="0.2">
      <c r="A966">
        <f>'Fichas clínicas'!A966</f>
        <v>968</v>
      </c>
      <c r="B966" t="str">
        <f>'Fichas clínicas'!B966</f>
        <v>18886260-8</v>
      </c>
      <c r="C966" t="str">
        <f>VLOOKUP(paciente_tutor!B966,clientes!A966:B2547,2,FALSE)</f>
        <v>AXEL</v>
      </c>
      <c r="D966" t="str">
        <f t="shared" si="15"/>
        <v>18886260-8</v>
      </c>
    </row>
    <row r="967" spans="1:4" x14ac:dyDescent="0.2">
      <c r="A967">
        <f>'Fichas clínicas'!A967</f>
        <v>969</v>
      </c>
      <c r="B967" t="str">
        <f>'Fichas clínicas'!B967</f>
        <v>24932467-1</v>
      </c>
      <c r="C967" t="str">
        <f>VLOOKUP(paciente_tutor!B967,clientes!A967:B2548,2,FALSE)</f>
        <v>RICHARD</v>
      </c>
      <c r="D967" t="str">
        <f t="shared" si="15"/>
        <v>24932467-1</v>
      </c>
    </row>
    <row r="968" spans="1:4" x14ac:dyDescent="0.2">
      <c r="A968">
        <f>'Fichas clínicas'!A968</f>
        <v>970</v>
      </c>
      <c r="B968" t="str">
        <f>'Fichas clínicas'!B968</f>
        <v>17359855-6</v>
      </c>
      <c r="C968" t="e">
        <f>VLOOKUP(paciente_tutor!B968,clientes!A968:B2549,2,FALSE)</f>
        <v>#N/A</v>
      </c>
      <c r="D968" t="e">
        <f t="shared" si="15"/>
        <v>#N/A</v>
      </c>
    </row>
    <row r="969" spans="1:4" x14ac:dyDescent="0.2">
      <c r="A969">
        <f>'Fichas clínicas'!A969</f>
        <v>971</v>
      </c>
      <c r="B969" t="str">
        <f>'Fichas clínicas'!B969</f>
        <v>19556223-7</v>
      </c>
      <c r="C969" t="str">
        <f>VLOOKUP(paciente_tutor!B969,clientes!A969:B2550,2,FALSE)</f>
        <v>Cristian Alejandro</v>
      </c>
      <c r="D969" t="str">
        <f t="shared" si="15"/>
        <v>19556223-7</v>
      </c>
    </row>
    <row r="970" spans="1:4" x14ac:dyDescent="0.2">
      <c r="A970">
        <f>'Fichas clínicas'!A970</f>
        <v>972</v>
      </c>
      <c r="B970" t="str">
        <f>'Fichas clínicas'!B970</f>
        <v>21139090-5</v>
      </c>
      <c r="C970" t="str">
        <f>VLOOKUP(paciente_tutor!B970,clientes!A970:B2551,2,FALSE)</f>
        <v>Yanett</v>
      </c>
      <c r="D970" t="str">
        <f t="shared" si="15"/>
        <v>21139090-5</v>
      </c>
    </row>
    <row r="971" spans="1:4" x14ac:dyDescent="0.2">
      <c r="A971">
        <f>'Fichas clínicas'!A971</f>
        <v>973</v>
      </c>
      <c r="B971" t="str">
        <f>'Fichas clínicas'!B971</f>
        <v>15351055-5</v>
      </c>
      <c r="C971" t="e">
        <f>VLOOKUP(paciente_tutor!B971,clientes!A971:B2552,2,FALSE)</f>
        <v>#N/A</v>
      </c>
      <c r="D971" t="e">
        <f t="shared" si="15"/>
        <v>#N/A</v>
      </c>
    </row>
    <row r="972" spans="1:4" x14ac:dyDescent="0.2">
      <c r="A972">
        <f>'Fichas clínicas'!A972</f>
        <v>974</v>
      </c>
      <c r="B972" t="str">
        <f>'Fichas clínicas'!B972</f>
        <v>18288499-5</v>
      </c>
      <c r="C972" t="e">
        <f>VLOOKUP(paciente_tutor!B972,clientes!A972:B2553,2,FALSE)</f>
        <v>#N/A</v>
      </c>
      <c r="D972" t="e">
        <f t="shared" si="15"/>
        <v>#N/A</v>
      </c>
    </row>
    <row r="973" spans="1:4" x14ac:dyDescent="0.2">
      <c r="A973">
        <f>'Fichas clínicas'!A973</f>
        <v>975</v>
      </c>
      <c r="B973" t="str">
        <f>'Fichas clínicas'!B973</f>
        <v>18287851-0</v>
      </c>
      <c r="C973" t="e">
        <f>VLOOKUP(paciente_tutor!B973,clientes!A973:B2554,2,FALSE)</f>
        <v>#N/A</v>
      </c>
      <c r="D973" t="e">
        <f t="shared" si="15"/>
        <v>#N/A</v>
      </c>
    </row>
    <row r="974" spans="1:4" x14ac:dyDescent="0.2">
      <c r="A974">
        <f>'Fichas clínicas'!A974</f>
        <v>976</v>
      </c>
      <c r="B974" t="str">
        <f>'Fichas clínicas'!B974</f>
        <v>18570124-7</v>
      </c>
      <c r="C974" t="e">
        <f>VLOOKUP(paciente_tutor!B974,clientes!A974:B2555,2,FALSE)</f>
        <v>#N/A</v>
      </c>
      <c r="D974" t="e">
        <f t="shared" si="15"/>
        <v>#N/A</v>
      </c>
    </row>
    <row r="975" spans="1:4" x14ac:dyDescent="0.2">
      <c r="A975">
        <f>'Fichas clínicas'!A975</f>
        <v>977</v>
      </c>
      <c r="B975" t="str">
        <f>'Fichas clínicas'!B975</f>
        <v>13919967-7</v>
      </c>
      <c r="C975" t="e">
        <f>VLOOKUP(paciente_tutor!B975,clientes!A975:B2556,2,FALSE)</f>
        <v>#N/A</v>
      </c>
      <c r="D975" t="e">
        <f t="shared" si="15"/>
        <v>#N/A</v>
      </c>
    </row>
    <row r="976" spans="1:4" x14ac:dyDescent="0.2">
      <c r="A976">
        <f>'Fichas clínicas'!A976</f>
        <v>978</v>
      </c>
      <c r="B976" t="str">
        <f>'Fichas clínicas'!B976</f>
        <v>18174491-k</v>
      </c>
      <c r="C976" t="e">
        <f>VLOOKUP(paciente_tutor!B976,clientes!A976:B2557,2,FALSE)</f>
        <v>#N/A</v>
      </c>
      <c r="D976" t="e">
        <f t="shared" si="15"/>
        <v>#N/A</v>
      </c>
    </row>
    <row r="977" spans="1:4" x14ac:dyDescent="0.2">
      <c r="A977">
        <f>'Fichas clínicas'!A977</f>
        <v>979</v>
      </c>
      <c r="B977" t="str">
        <f>'Fichas clínicas'!B977</f>
        <v>19554834-k</v>
      </c>
      <c r="C977" t="str">
        <f>VLOOKUP(paciente_tutor!B977,clientes!A977:B2558,2,FALSE)</f>
        <v>CATALINA</v>
      </c>
      <c r="D977" t="str">
        <f t="shared" si="15"/>
        <v>19554834-k</v>
      </c>
    </row>
    <row r="978" spans="1:4" x14ac:dyDescent="0.2">
      <c r="A978">
        <f>'Fichas clínicas'!A978</f>
        <v>980</v>
      </c>
      <c r="B978" t="str">
        <f>'Fichas clínicas'!B978</f>
        <v>17770766-k</v>
      </c>
      <c r="C978" t="e">
        <f>VLOOKUP(paciente_tutor!B978,clientes!A978:B2559,2,FALSE)</f>
        <v>#N/A</v>
      </c>
      <c r="D978" t="e">
        <f t="shared" si="15"/>
        <v>#N/A</v>
      </c>
    </row>
    <row r="979" spans="1:4" x14ac:dyDescent="0.2">
      <c r="A979">
        <f>'Fichas clínicas'!A979</f>
        <v>981</v>
      </c>
      <c r="B979" t="str">
        <f>'Fichas clínicas'!B979</f>
        <v>17770766-k</v>
      </c>
      <c r="C979" t="e">
        <f>VLOOKUP(paciente_tutor!B979,clientes!A979:B2560,2,FALSE)</f>
        <v>#N/A</v>
      </c>
      <c r="D979" t="e">
        <f t="shared" si="15"/>
        <v>#N/A</v>
      </c>
    </row>
    <row r="980" spans="1:4" x14ac:dyDescent="0.2">
      <c r="A980">
        <f>'Fichas clínicas'!A980</f>
        <v>982</v>
      </c>
      <c r="B980" t="str">
        <f>'Fichas clínicas'!B980</f>
        <v>20641946-6</v>
      </c>
      <c r="C980" t="str">
        <f>VLOOKUP(paciente_tutor!B980,clientes!A980:B2561,2,FALSE)</f>
        <v>FRANCISCO</v>
      </c>
      <c r="D980" t="str">
        <f t="shared" si="15"/>
        <v>20641946-6</v>
      </c>
    </row>
    <row r="981" spans="1:4" x14ac:dyDescent="0.2">
      <c r="A981">
        <f>'Fichas clínicas'!A981</f>
        <v>983</v>
      </c>
      <c r="B981" t="str">
        <f>'Fichas clínicas'!B981</f>
        <v>17693011-K</v>
      </c>
      <c r="C981" t="e">
        <f>VLOOKUP(paciente_tutor!B981,clientes!A981:B2562,2,FALSE)</f>
        <v>#N/A</v>
      </c>
      <c r="D981" t="e">
        <f t="shared" si="15"/>
        <v>#N/A</v>
      </c>
    </row>
    <row r="982" spans="1:4" x14ac:dyDescent="0.2">
      <c r="A982">
        <f>'Fichas clínicas'!A982</f>
        <v>984</v>
      </c>
      <c r="B982" t="str">
        <f>'Fichas clínicas'!B982</f>
        <v>20731683-0</v>
      </c>
      <c r="C982" t="str">
        <f>VLOOKUP(paciente_tutor!B982,clientes!A982:B2563,2,FALSE)</f>
        <v>Catalina</v>
      </c>
      <c r="D982" t="str">
        <f t="shared" si="15"/>
        <v>20731683-0</v>
      </c>
    </row>
    <row r="983" spans="1:4" x14ac:dyDescent="0.2">
      <c r="A983">
        <f>'Fichas clínicas'!A983</f>
        <v>985</v>
      </c>
      <c r="B983" t="str">
        <f>'Fichas clínicas'!B983</f>
        <v>7122875-4</v>
      </c>
      <c r="C983" t="str">
        <f>VLOOKUP(paciente_tutor!B983,clientes!A983:B2564,2,FALSE)</f>
        <v>Edith</v>
      </c>
      <c r="D983" t="str">
        <f t="shared" si="15"/>
        <v>7122875-4</v>
      </c>
    </row>
    <row r="984" spans="1:4" x14ac:dyDescent="0.2">
      <c r="A984">
        <f>'Fichas clínicas'!A984</f>
        <v>986</v>
      </c>
      <c r="B984" t="str">
        <f>'Fichas clínicas'!B984</f>
        <v>11703707-k</v>
      </c>
      <c r="C984" t="e">
        <f>VLOOKUP(paciente_tutor!B984,clientes!A984:B2565,2,FALSE)</f>
        <v>#N/A</v>
      </c>
      <c r="D984" t="e">
        <f t="shared" si="15"/>
        <v>#N/A</v>
      </c>
    </row>
    <row r="985" spans="1:4" x14ac:dyDescent="0.2">
      <c r="A985">
        <f>'Fichas clínicas'!A985</f>
        <v>987</v>
      </c>
      <c r="B985" t="str">
        <f>'Fichas clínicas'!B985</f>
        <v>17323112-1</v>
      </c>
      <c r="C985" t="e">
        <f>VLOOKUP(paciente_tutor!B985,clientes!A985:B2566,2,FALSE)</f>
        <v>#N/A</v>
      </c>
      <c r="D985" t="e">
        <f t="shared" si="15"/>
        <v>#N/A</v>
      </c>
    </row>
    <row r="986" spans="1:4" x14ac:dyDescent="0.2">
      <c r="A986">
        <f>'Fichas clínicas'!A986</f>
        <v>988</v>
      </c>
      <c r="B986" t="str">
        <f>'Fichas clínicas'!B986</f>
        <v>10741627-7</v>
      </c>
      <c r="C986" t="e">
        <f>VLOOKUP(paciente_tutor!B986,clientes!A986:B2567,2,FALSE)</f>
        <v>#N/A</v>
      </c>
      <c r="D986" t="e">
        <f t="shared" si="15"/>
        <v>#N/A</v>
      </c>
    </row>
    <row r="987" spans="1:4" x14ac:dyDescent="0.2">
      <c r="A987">
        <f>'Fichas clínicas'!A987</f>
        <v>989</v>
      </c>
      <c r="B987" t="str">
        <f>'Fichas clínicas'!B987</f>
        <v>16200881-1</v>
      </c>
      <c r="C987" t="e">
        <f>VLOOKUP(paciente_tutor!B987,clientes!A987:B2568,2,FALSE)</f>
        <v>#N/A</v>
      </c>
      <c r="D987" t="e">
        <f t="shared" si="15"/>
        <v>#N/A</v>
      </c>
    </row>
    <row r="988" spans="1:4" x14ac:dyDescent="0.2">
      <c r="A988">
        <f>'Fichas clínicas'!A988</f>
        <v>990</v>
      </c>
      <c r="B988" t="str">
        <f>'Fichas clínicas'!B988</f>
        <v>16200881-1</v>
      </c>
      <c r="C988" t="e">
        <f>VLOOKUP(paciente_tutor!B988,clientes!A988:B2569,2,FALSE)</f>
        <v>#N/A</v>
      </c>
      <c r="D988" t="e">
        <f t="shared" si="15"/>
        <v>#N/A</v>
      </c>
    </row>
    <row r="989" spans="1:4" x14ac:dyDescent="0.2">
      <c r="A989">
        <f>'Fichas clínicas'!A989</f>
        <v>991</v>
      </c>
      <c r="B989" t="str">
        <f>'Fichas clínicas'!B989</f>
        <v>18125968-k</v>
      </c>
      <c r="C989" t="e">
        <f>VLOOKUP(paciente_tutor!B989,clientes!A989:B2570,2,FALSE)</f>
        <v>#N/A</v>
      </c>
      <c r="D989" t="e">
        <f t="shared" si="15"/>
        <v>#N/A</v>
      </c>
    </row>
    <row r="990" spans="1:4" x14ac:dyDescent="0.2">
      <c r="A990">
        <f>'Fichas clínicas'!A990</f>
        <v>992</v>
      </c>
      <c r="B990" t="str">
        <f>'Fichas clínicas'!B990</f>
        <v>20102340-8</v>
      </c>
      <c r="C990" t="str">
        <f>VLOOKUP(paciente_tutor!B990,clientes!A990:B2571,2,FALSE)</f>
        <v>Francisco</v>
      </c>
      <c r="D990" t="str">
        <f t="shared" si="15"/>
        <v>20102340-8</v>
      </c>
    </row>
    <row r="991" spans="1:4" x14ac:dyDescent="0.2">
      <c r="A991">
        <f>'Fichas clínicas'!A991</f>
        <v>993</v>
      </c>
      <c r="B991" t="str">
        <f>'Fichas clínicas'!B991</f>
        <v>19954556-6</v>
      </c>
      <c r="C991" t="str">
        <f>VLOOKUP(paciente_tutor!B991,clientes!A991:B2572,2,FALSE)</f>
        <v>CAMILA</v>
      </c>
      <c r="D991" t="str">
        <f t="shared" si="15"/>
        <v>19954556-6</v>
      </c>
    </row>
    <row r="992" spans="1:4" x14ac:dyDescent="0.2">
      <c r="A992">
        <f>'Fichas clínicas'!A992</f>
        <v>994</v>
      </c>
      <c r="B992" t="str">
        <f>'Fichas clínicas'!B992</f>
        <v>20417295-1</v>
      </c>
      <c r="C992" t="str">
        <f>VLOOKUP(paciente_tutor!B992,clientes!A992:B2573,2,FALSE)</f>
        <v>Susana Francisca</v>
      </c>
      <c r="D992" t="str">
        <f t="shared" si="15"/>
        <v>20417295-1</v>
      </c>
    </row>
    <row r="993" spans="1:4" x14ac:dyDescent="0.2">
      <c r="A993">
        <f>'Fichas clínicas'!A993</f>
        <v>995</v>
      </c>
      <c r="B993" t="str">
        <f>'Fichas clínicas'!B993</f>
        <v>22246164-2</v>
      </c>
      <c r="C993" t="str">
        <f>VLOOKUP(paciente_tutor!B993,clientes!A993:B2574,2,FALSE)</f>
        <v>Bastian</v>
      </c>
      <c r="D993" t="str">
        <f t="shared" si="15"/>
        <v>22246164-2</v>
      </c>
    </row>
    <row r="994" spans="1:4" x14ac:dyDescent="0.2">
      <c r="A994">
        <f>'Fichas clínicas'!A994</f>
        <v>996</v>
      </c>
      <c r="B994" t="str">
        <f>'Fichas clínicas'!B994</f>
        <v>26477532-9</v>
      </c>
      <c r="C994" t="str">
        <f>VLOOKUP(paciente_tutor!B994,clientes!A994:B2575,2,FALSE)</f>
        <v>Sofía</v>
      </c>
      <c r="D994" t="str">
        <f t="shared" si="15"/>
        <v>26477532-9</v>
      </c>
    </row>
    <row r="995" spans="1:4" x14ac:dyDescent="0.2">
      <c r="A995">
        <f>'Fichas clínicas'!A995</f>
        <v>997</v>
      </c>
      <c r="B995" t="str">
        <f>'Fichas clínicas'!B995</f>
        <v>18592239-1</v>
      </c>
      <c r="C995" t="e">
        <f>VLOOKUP(paciente_tutor!B995,clientes!A995:B2576,2,FALSE)</f>
        <v>#N/A</v>
      </c>
      <c r="D995" t="e">
        <f t="shared" si="15"/>
        <v>#N/A</v>
      </c>
    </row>
    <row r="996" spans="1:4" x14ac:dyDescent="0.2">
      <c r="A996">
        <f>'Fichas clínicas'!A996</f>
        <v>998</v>
      </c>
      <c r="B996" t="str">
        <f>'Fichas clínicas'!B996</f>
        <v>18775966-8</v>
      </c>
      <c r="C996" t="e">
        <f>VLOOKUP(paciente_tutor!B996,clientes!A996:B2577,2,FALSE)</f>
        <v>#N/A</v>
      </c>
      <c r="D996" t="e">
        <f t="shared" si="15"/>
        <v>#N/A</v>
      </c>
    </row>
    <row r="997" spans="1:4" x14ac:dyDescent="0.2">
      <c r="A997">
        <f>'Fichas clínicas'!A997</f>
        <v>999</v>
      </c>
      <c r="B997" t="str">
        <f>'Fichas clínicas'!B997</f>
        <v>18304365-k</v>
      </c>
      <c r="C997" t="e">
        <f>VLOOKUP(paciente_tutor!B997,clientes!A997:B2578,2,FALSE)</f>
        <v>#N/A</v>
      </c>
      <c r="D997" t="e">
        <f t="shared" si="15"/>
        <v>#N/A</v>
      </c>
    </row>
    <row r="998" spans="1:4" x14ac:dyDescent="0.2">
      <c r="A998">
        <f>'Fichas clínicas'!A998</f>
        <v>1000</v>
      </c>
      <c r="B998" t="str">
        <f>'Fichas clínicas'!B998</f>
        <v>6658765-7</v>
      </c>
      <c r="C998" t="str">
        <f>VLOOKUP(paciente_tutor!B998,clientes!A998:B2579,2,FALSE)</f>
        <v>María Isabel</v>
      </c>
      <c r="D998" t="str">
        <f t="shared" si="15"/>
        <v>6658765-7</v>
      </c>
    </row>
    <row r="999" spans="1:4" x14ac:dyDescent="0.2">
      <c r="A999">
        <f>'Fichas clínicas'!A999</f>
        <v>1001</v>
      </c>
      <c r="B999" t="str">
        <f>'Fichas clínicas'!B999</f>
        <v>6658765-7</v>
      </c>
      <c r="C999" t="str">
        <f>VLOOKUP(paciente_tutor!B999,clientes!A999:B2580,2,FALSE)</f>
        <v>María Isabel</v>
      </c>
      <c r="D999" t="str">
        <f t="shared" si="15"/>
        <v>6658765-7</v>
      </c>
    </row>
    <row r="1000" spans="1:4" x14ac:dyDescent="0.2">
      <c r="A1000">
        <f>'Fichas clínicas'!A1000</f>
        <v>1002</v>
      </c>
      <c r="B1000" t="str">
        <f>'Fichas clínicas'!B1000</f>
        <v>6658765-7</v>
      </c>
      <c r="C1000" t="str">
        <f>VLOOKUP(paciente_tutor!B1000,clientes!A1000:B2581,2,FALSE)</f>
        <v>María Isabel</v>
      </c>
      <c r="D1000" t="str">
        <f t="shared" si="15"/>
        <v>6658765-7</v>
      </c>
    </row>
    <row r="1001" spans="1:4" x14ac:dyDescent="0.2">
      <c r="A1001">
        <f>'Fichas clínicas'!A1001</f>
        <v>1003</v>
      </c>
      <c r="B1001" t="str">
        <f>'Fichas clínicas'!B1001</f>
        <v>8191559-8</v>
      </c>
      <c r="C1001" t="str">
        <f>VLOOKUP(paciente_tutor!B1001,clientes!A1001:B2582,2,FALSE)</f>
        <v>Astrid</v>
      </c>
      <c r="D1001" t="str">
        <f t="shared" si="15"/>
        <v>8191559-8</v>
      </c>
    </row>
    <row r="1002" spans="1:4" x14ac:dyDescent="0.2">
      <c r="A1002">
        <f>'Fichas clínicas'!A1002</f>
        <v>1004</v>
      </c>
      <c r="B1002" t="str">
        <f>'Fichas clínicas'!B1002</f>
        <v>11081804-1</v>
      </c>
      <c r="C1002" t="e">
        <f>VLOOKUP(paciente_tutor!B1002,clientes!A1002:B2583,2,FALSE)</f>
        <v>#N/A</v>
      </c>
      <c r="D1002" t="e">
        <f t="shared" si="15"/>
        <v>#N/A</v>
      </c>
    </row>
    <row r="1003" spans="1:4" x14ac:dyDescent="0.2">
      <c r="A1003">
        <f>'Fichas clínicas'!A1003</f>
        <v>1005</v>
      </c>
      <c r="B1003" t="str">
        <f>'Fichas clínicas'!B1003</f>
        <v>17360612-5</v>
      </c>
      <c r="C1003" t="e">
        <f>VLOOKUP(paciente_tutor!B1003,clientes!A1003:B2584,2,FALSE)</f>
        <v>#N/A</v>
      </c>
      <c r="D1003" t="e">
        <f t="shared" si="15"/>
        <v>#N/A</v>
      </c>
    </row>
    <row r="1004" spans="1:4" x14ac:dyDescent="0.2">
      <c r="A1004">
        <f>'Fichas clínicas'!A1004</f>
        <v>1006</v>
      </c>
      <c r="B1004" t="str">
        <f>'Fichas clínicas'!B1004</f>
        <v>11589207-k</v>
      </c>
      <c r="C1004" t="e">
        <f>VLOOKUP(paciente_tutor!B1004,clientes!A1004:B2585,2,FALSE)</f>
        <v>#N/A</v>
      </c>
      <c r="D1004" t="e">
        <f t="shared" si="15"/>
        <v>#N/A</v>
      </c>
    </row>
    <row r="1005" spans="1:4" x14ac:dyDescent="0.2">
      <c r="A1005">
        <f>'Fichas clínicas'!A1005</f>
        <v>1007</v>
      </c>
      <c r="B1005" t="str">
        <f>'Fichas clínicas'!B1005</f>
        <v>16971009-0</v>
      </c>
      <c r="C1005" t="e">
        <f>VLOOKUP(paciente_tutor!B1005,clientes!A1005:B2586,2,FALSE)</f>
        <v>#N/A</v>
      </c>
      <c r="D1005" t="e">
        <f t="shared" si="15"/>
        <v>#N/A</v>
      </c>
    </row>
    <row r="1006" spans="1:4" x14ac:dyDescent="0.2">
      <c r="A1006">
        <f>'Fichas clínicas'!A1006</f>
        <v>1008</v>
      </c>
      <c r="B1006" t="str">
        <f>'Fichas clínicas'!B1006</f>
        <v>16971009-0</v>
      </c>
      <c r="C1006" t="e">
        <f>VLOOKUP(paciente_tutor!B1006,clientes!A1006:B2587,2,FALSE)</f>
        <v>#N/A</v>
      </c>
      <c r="D1006" t="e">
        <f t="shared" si="15"/>
        <v>#N/A</v>
      </c>
    </row>
    <row r="1007" spans="1:4" x14ac:dyDescent="0.2">
      <c r="A1007">
        <f>'Fichas clínicas'!A1007</f>
        <v>1009</v>
      </c>
      <c r="B1007" t="str">
        <f>'Fichas clínicas'!B1007</f>
        <v>26187713-9</v>
      </c>
      <c r="C1007" t="str">
        <f>VLOOKUP(paciente_tutor!B1007,clientes!A1007:B2588,2,FALSE)</f>
        <v>DANIELA</v>
      </c>
      <c r="D1007" t="str">
        <f t="shared" si="15"/>
        <v>26187713-9</v>
      </c>
    </row>
    <row r="1008" spans="1:4" x14ac:dyDescent="0.2">
      <c r="A1008">
        <f>'Fichas clínicas'!A1008</f>
        <v>1010</v>
      </c>
      <c r="B1008" t="str">
        <f>'Fichas clínicas'!B1008</f>
        <v>15548797-6</v>
      </c>
      <c r="C1008" t="e">
        <f>VLOOKUP(paciente_tutor!B1008,clientes!A1008:B2589,2,FALSE)</f>
        <v>#N/A</v>
      </c>
      <c r="D1008" t="e">
        <f t="shared" si="15"/>
        <v>#N/A</v>
      </c>
    </row>
    <row r="1009" spans="1:4" x14ac:dyDescent="0.2">
      <c r="A1009">
        <f>'Fichas clínicas'!A1009</f>
        <v>1011</v>
      </c>
      <c r="B1009" t="str">
        <f>'Fichas clínicas'!B1009</f>
        <v>14223003-8</v>
      </c>
      <c r="C1009" t="e">
        <f>VLOOKUP(paciente_tutor!B1009,clientes!A1009:B2590,2,FALSE)</f>
        <v>#N/A</v>
      </c>
      <c r="D1009" t="e">
        <f t="shared" si="15"/>
        <v>#N/A</v>
      </c>
    </row>
    <row r="1010" spans="1:4" x14ac:dyDescent="0.2">
      <c r="A1010">
        <f>'Fichas clínicas'!A1010</f>
        <v>1012</v>
      </c>
      <c r="B1010" t="str">
        <f>'Fichas clínicas'!B1010</f>
        <v>11425086-4</v>
      </c>
      <c r="C1010" t="e">
        <f>VLOOKUP(paciente_tutor!B1010,clientes!A1010:B2591,2,FALSE)</f>
        <v>#N/A</v>
      </c>
      <c r="D1010" t="e">
        <f t="shared" si="15"/>
        <v>#N/A</v>
      </c>
    </row>
    <row r="1011" spans="1:4" x14ac:dyDescent="0.2">
      <c r="A1011">
        <f>'Fichas clínicas'!A1011</f>
        <v>1013</v>
      </c>
      <c r="B1011" t="str">
        <f>'Fichas clínicas'!B1011</f>
        <v>17694156-1</v>
      </c>
      <c r="C1011" t="e">
        <f>VLOOKUP(paciente_tutor!B1011,clientes!A1011:B2592,2,FALSE)</f>
        <v>#N/A</v>
      </c>
      <c r="D1011" t="e">
        <f t="shared" si="15"/>
        <v>#N/A</v>
      </c>
    </row>
    <row r="1012" spans="1:4" x14ac:dyDescent="0.2">
      <c r="A1012">
        <f>'Fichas clínicas'!A1012</f>
        <v>1014</v>
      </c>
      <c r="B1012" t="str">
        <f>'Fichas clínicas'!B1012</f>
        <v>16587933-3</v>
      </c>
      <c r="C1012" t="e">
        <f>VLOOKUP(paciente_tutor!B1012,clientes!A1012:B2593,2,FALSE)</f>
        <v>#N/A</v>
      </c>
      <c r="D1012" t="e">
        <f t="shared" si="15"/>
        <v>#N/A</v>
      </c>
    </row>
    <row r="1013" spans="1:4" x14ac:dyDescent="0.2">
      <c r="A1013">
        <f>'Fichas clínicas'!A1013</f>
        <v>1015</v>
      </c>
      <c r="B1013" t="str">
        <f>'Fichas clínicas'!B1013</f>
        <v>13521418-3</v>
      </c>
      <c r="C1013" t="e">
        <f>VLOOKUP(paciente_tutor!B1013,clientes!A1013:B2594,2,FALSE)</f>
        <v>#N/A</v>
      </c>
      <c r="D1013" t="e">
        <f t="shared" si="15"/>
        <v>#N/A</v>
      </c>
    </row>
    <row r="1014" spans="1:4" x14ac:dyDescent="0.2">
      <c r="A1014">
        <f>'Fichas clínicas'!A1014</f>
        <v>1016</v>
      </c>
      <c r="B1014" t="str">
        <f>'Fichas clínicas'!B1014</f>
        <v>17043037-9</v>
      </c>
      <c r="C1014" t="e">
        <f>VLOOKUP(paciente_tutor!B1014,clientes!A1014:B2595,2,FALSE)</f>
        <v>#N/A</v>
      </c>
      <c r="D1014" t="e">
        <f t="shared" si="15"/>
        <v>#N/A</v>
      </c>
    </row>
    <row r="1015" spans="1:4" x14ac:dyDescent="0.2">
      <c r="A1015">
        <f>'Fichas clínicas'!A1015</f>
        <v>1017</v>
      </c>
      <c r="B1015" t="str">
        <f>'Fichas clínicas'!B1015</f>
        <v>15294037-8</v>
      </c>
      <c r="C1015" t="e">
        <f>VLOOKUP(paciente_tutor!B1015,clientes!A1015:B2596,2,FALSE)</f>
        <v>#N/A</v>
      </c>
      <c r="D1015" t="e">
        <f t="shared" si="15"/>
        <v>#N/A</v>
      </c>
    </row>
    <row r="1016" spans="1:4" x14ac:dyDescent="0.2">
      <c r="A1016">
        <f>'Fichas clínicas'!A1016</f>
        <v>1018</v>
      </c>
      <c r="B1016" t="str">
        <f>'Fichas clínicas'!B1016</f>
        <v>13432982-3</v>
      </c>
      <c r="C1016" t="e">
        <f>VLOOKUP(paciente_tutor!B1016,clientes!A1016:B2597,2,FALSE)</f>
        <v>#N/A</v>
      </c>
      <c r="D1016" t="e">
        <f t="shared" si="15"/>
        <v>#N/A</v>
      </c>
    </row>
    <row r="1017" spans="1:4" x14ac:dyDescent="0.2">
      <c r="A1017">
        <f>'Fichas clínicas'!A1017</f>
        <v>1019</v>
      </c>
      <c r="B1017" t="str">
        <f>'Fichas clínicas'!B1017</f>
        <v>17891609-2</v>
      </c>
      <c r="C1017" t="e">
        <f>VLOOKUP(paciente_tutor!B1017,clientes!A1017:B2598,2,FALSE)</f>
        <v>#N/A</v>
      </c>
      <c r="D1017" t="e">
        <f t="shared" si="15"/>
        <v>#N/A</v>
      </c>
    </row>
    <row r="1018" spans="1:4" x14ac:dyDescent="0.2">
      <c r="A1018">
        <f>'Fichas clínicas'!A1018</f>
        <v>1020</v>
      </c>
      <c r="B1018" t="str">
        <f>'Fichas clínicas'!B1018</f>
        <v>19466414-1</v>
      </c>
      <c r="C1018" t="str">
        <f>VLOOKUP(paciente_tutor!B1018,clientes!A1018:B2599,2,FALSE)</f>
        <v>JOSE IGNACIO</v>
      </c>
      <c r="D1018" t="str">
        <f t="shared" si="15"/>
        <v>19466414-1</v>
      </c>
    </row>
    <row r="1019" spans="1:4" x14ac:dyDescent="0.2">
      <c r="A1019">
        <f>'Fichas clínicas'!A1019</f>
        <v>1021</v>
      </c>
      <c r="B1019" t="str">
        <f>'Fichas clínicas'!B1019</f>
        <v>20973692-6</v>
      </c>
      <c r="C1019" t="str">
        <f>VLOOKUP(paciente_tutor!B1019,clientes!A1019:B2600,2,FALSE)</f>
        <v>Jennyfer</v>
      </c>
      <c r="D1019" t="str">
        <f t="shared" si="15"/>
        <v>20973692-6</v>
      </c>
    </row>
    <row r="1020" spans="1:4" x14ac:dyDescent="0.2">
      <c r="A1020">
        <f>'Fichas clínicas'!A1020</f>
        <v>1022</v>
      </c>
      <c r="B1020" t="str">
        <f>'Fichas clínicas'!B1020</f>
        <v>17964366-9</v>
      </c>
      <c r="C1020" t="e">
        <f>VLOOKUP(paciente_tutor!B1020,clientes!A1020:B2601,2,FALSE)</f>
        <v>#N/A</v>
      </c>
      <c r="D1020" t="e">
        <f t="shared" si="15"/>
        <v>#N/A</v>
      </c>
    </row>
    <row r="1021" spans="1:4" x14ac:dyDescent="0.2">
      <c r="A1021">
        <f>'Fichas clínicas'!A1021</f>
        <v>1023</v>
      </c>
      <c r="B1021" t="str">
        <f>'Fichas clínicas'!B1021</f>
        <v>19631204-8</v>
      </c>
      <c r="C1021" t="str">
        <f>VLOOKUP(paciente_tutor!B1021,clientes!A1021:B2602,2,FALSE)</f>
        <v>PABLO</v>
      </c>
      <c r="D1021" t="str">
        <f t="shared" si="15"/>
        <v>19631204-8</v>
      </c>
    </row>
    <row r="1022" spans="1:4" x14ac:dyDescent="0.2">
      <c r="A1022">
        <f>'Fichas clínicas'!A1022</f>
        <v>1024</v>
      </c>
      <c r="B1022" t="str">
        <f>'Fichas clínicas'!B1022</f>
        <v>18775610-3</v>
      </c>
      <c r="C1022" t="e">
        <f>VLOOKUP(paciente_tutor!B1022,clientes!A1022:B2603,2,FALSE)</f>
        <v>#N/A</v>
      </c>
      <c r="D1022" t="e">
        <f t="shared" si="15"/>
        <v>#N/A</v>
      </c>
    </row>
    <row r="1023" spans="1:4" x14ac:dyDescent="0.2">
      <c r="A1023">
        <f>'Fichas clínicas'!A1023</f>
        <v>1025</v>
      </c>
      <c r="B1023" t="str">
        <f>'Fichas clínicas'!B1023</f>
        <v>13116889-6</v>
      </c>
      <c r="C1023" t="e">
        <f>VLOOKUP(paciente_tutor!B1023,clientes!A1023:B2604,2,FALSE)</f>
        <v>#N/A</v>
      </c>
      <c r="D1023" t="e">
        <f t="shared" si="15"/>
        <v>#N/A</v>
      </c>
    </row>
    <row r="1024" spans="1:4" x14ac:dyDescent="0.2">
      <c r="A1024">
        <f>'Fichas clínicas'!A1024</f>
        <v>1026</v>
      </c>
      <c r="B1024" t="str">
        <f>'Fichas clínicas'!B1024</f>
        <v>15294412-8</v>
      </c>
      <c r="C1024" t="e">
        <f>VLOOKUP(paciente_tutor!B1024,clientes!A1024:B2605,2,FALSE)</f>
        <v>#N/A</v>
      </c>
      <c r="D1024" t="e">
        <f t="shared" si="15"/>
        <v>#N/A</v>
      </c>
    </row>
    <row r="1025" spans="1:4" x14ac:dyDescent="0.2">
      <c r="A1025">
        <f>'Fichas clínicas'!A1025</f>
        <v>1027</v>
      </c>
      <c r="B1025" t="str">
        <f>'Fichas clínicas'!B1025</f>
        <v>11920064-4</v>
      </c>
      <c r="C1025" t="e">
        <f>VLOOKUP(paciente_tutor!B1025,clientes!A1025:B2606,2,FALSE)</f>
        <v>#N/A</v>
      </c>
      <c r="D1025" t="e">
        <f t="shared" si="15"/>
        <v>#N/A</v>
      </c>
    </row>
    <row r="1026" spans="1:4" x14ac:dyDescent="0.2">
      <c r="A1026">
        <f>'Fichas clínicas'!A1026</f>
        <v>1028</v>
      </c>
      <c r="B1026" t="str">
        <f>'Fichas clínicas'!B1026</f>
        <v>7375376-7</v>
      </c>
      <c r="C1026" t="str">
        <f>VLOOKUP(paciente_tutor!B1026,clientes!A1026:B2607,2,FALSE)</f>
        <v>GRACIELA</v>
      </c>
      <c r="D1026" t="str">
        <f t="shared" si="15"/>
        <v>7375376-7</v>
      </c>
    </row>
    <row r="1027" spans="1:4" x14ac:dyDescent="0.2">
      <c r="A1027">
        <f>'Fichas clínicas'!A1027</f>
        <v>1029</v>
      </c>
      <c r="B1027" t="str">
        <f>'Fichas clínicas'!B1027</f>
        <v>16563101-3</v>
      </c>
      <c r="C1027" t="e">
        <f>VLOOKUP(paciente_tutor!B1027,clientes!A1027:B2608,2,FALSE)</f>
        <v>#N/A</v>
      </c>
      <c r="D1027" t="e">
        <f t="shared" ref="D1027:D1090" si="16">IF(C1027="#N/A","",B1027)</f>
        <v>#N/A</v>
      </c>
    </row>
    <row r="1028" spans="1:4" x14ac:dyDescent="0.2">
      <c r="A1028">
        <f>'Fichas clínicas'!A1028</f>
        <v>1030</v>
      </c>
      <c r="B1028" t="str">
        <f>'Fichas clínicas'!B1028</f>
        <v>13609372-K</v>
      </c>
      <c r="C1028" t="e">
        <f>VLOOKUP(paciente_tutor!B1028,clientes!A1028:B2609,2,FALSE)</f>
        <v>#N/A</v>
      </c>
      <c r="D1028" t="e">
        <f t="shared" si="16"/>
        <v>#N/A</v>
      </c>
    </row>
    <row r="1029" spans="1:4" x14ac:dyDescent="0.2">
      <c r="A1029">
        <f>'Fichas clínicas'!A1029</f>
        <v>1031</v>
      </c>
      <c r="B1029" t="str">
        <f>'Fichas clínicas'!B1029</f>
        <v>12275446-4</v>
      </c>
      <c r="C1029" t="e">
        <f>VLOOKUP(paciente_tutor!B1029,clientes!A1029:B2610,2,FALSE)</f>
        <v>#N/A</v>
      </c>
      <c r="D1029" t="e">
        <f t="shared" si="16"/>
        <v>#N/A</v>
      </c>
    </row>
    <row r="1030" spans="1:4" x14ac:dyDescent="0.2">
      <c r="A1030">
        <f>'Fichas clínicas'!A1030</f>
        <v>1032</v>
      </c>
      <c r="B1030" t="str">
        <f>'Fichas clínicas'!B1030</f>
        <v>16372666-1</v>
      </c>
      <c r="C1030" t="e">
        <f>VLOOKUP(paciente_tutor!B1030,clientes!A1030:B2611,2,FALSE)</f>
        <v>#N/A</v>
      </c>
      <c r="D1030" t="e">
        <f t="shared" si="16"/>
        <v>#N/A</v>
      </c>
    </row>
    <row r="1031" spans="1:4" x14ac:dyDescent="0.2">
      <c r="A1031">
        <f>'Fichas clínicas'!A1031</f>
        <v>1033</v>
      </c>
      <c r="B1031" t="str">
        <f>'Fichas clínicas'!B1031</f>
        <v>12275446-4</v>
      </c>
      <c r="C1031" t="e">
        <f>VLOOKUP(paciente_tutor!B1031,clientes!A1031:B2612,2,FALSE)</f>
        <v>#N/A</v>
      </c>
      <c r="D1031" t="e">
        <f t="shared" si="16"/>
        <v>#N/A</v>
      </c>
    </row>
    <row r="1032" spans="1:4" x14ac:dyDescent="0.2">
      <c r="A1032">
        <f>'Fichas clínicas'!A1032</f>
        <v>1034</v>
      </c>
      <c r="B1032" t="str">
        <f>'Fichas clínicas'!B1032</f>
        <v>13342227-7</v>
      </c>
      <c r="C1032" t="e">
        <f>VLOOKUP(paciente_tutor!B1032,clientes!A1032:B2613,2,FALSE)</f>
        <v>#N/A</v>
      </c>
      <c r="D1032" t="e">
        <f t="shared" si="16"/>
        <v>#N/A</v>
      </c>
    </row>
    <row r="1033" spans="1:4" x14ac:dyDescent="0.2">
      <c r="A1033">
        <f>'Fichas clínicas'!A1033</f>
        <v>1035</v>
      </c>
      <c r="B1033" t="str">
        <f>'Fichas clínicas'!B1033</f>
        <v>12432021-6</v>
      </c>
      <c r="C1033" t="e">
        <f>VLOOKUP(paciente_tutor!B1033,clientes!A1033:B2614,2,FALSE)</f>
        <v>#N/A</v>
      </c>
      <c r="D1033" t="e">
        <f t="shared" si="16"/>
        <v>#N/A</v>
      </c>
    </row>
    <row r="1034" spans="1:4" x14ac:dyDescent="0.2">
      <c r="A1034">
        <f>'Fichas clínicas'!A1034</f>
        <v>1036</v>
      </c>
      <c r="B1034" t="str">
        <f>'Fichas clínicas'!B1034</f>
        <v>16463941-K</v>
      </c>
      <c r="C1034" t="e">
        <f>VLOOKUP(paciente_tutor!B1034,clientes!A1034:B2615,2,FALSE)</f>
        <v>#N/A</v>
      </c>
      <c r="D1034" t="e">
        <f t="shared" si="16"/>
        <v>#N/A</v>
      </c>
    </row>
    <row r="1035" spans="1:4" x14ac:dyDescent="0.2">
      <c r="A1035">
        <f>'Fichas clínicas'!A1035</f>
        <v>1037</v>
      </c>
      <c r="B1035" t="str">
        <f>'Fichas clínicas'!B1035</f>
        <v>17511757-1</v>
      </c>
      <c r="C1035" t="e">
        <f>VLOOKUP(paciente_tutor!B1035,clientes!A1035:B2616,2,FALSE)</f>
        <v>#N/A</v>
      </c>
      <c r="D1035" t="e">
        <f t="shared" si="16"/>
        <v>#N/A</v>
      </c>
    </row>
    <row r="1036" spans="1:4" x14ac:dyDescent="0.2">
      <c r="A1036">
        <f>'Fichas clínicas'!A1036</f>
        <v>1038</v>
      </c>
      <c r="B1036" t="str">
        <f>'Fichas clínicas'!B1036</f>
        <v>20314094-0</v>
      </c>
      <c r="C1036" t="str">
        <f>VLOOKUP(paciente_tutor!B1036,clientes!A1036:B2617,2,FALSE)</f>
        <v>Silvia Raquel Macarena</v>
      </c>
      <c r="D1036" t="str">
        <f t="shared" si="16"/>
        <v>20314094-0</v>
      </c>
    </row>
    <row r="1037" spans="1:4" x14ac:dyDescent="0.2">
      <c r="A1037">
        <f>'Fichas clínicas'!A1037</f>
        <v>1039</v>
      </c>
      <c r="B1037" t="str">
        <f>'Fichas clínicas'!B1037</f>
        <v>10741627-7</v>
      </c>
      <c r="C1037" t="e">
        <f>VLOOKUP(paciente_tutor!B1037,clientes!A1037:B2618,2,FALSE)</f>
        <v>#N/A</v>
      </c>
      <c r="D1037" t="e">
        <f t="shared" si="16"/>
        <v>#N/A</v>
      </c>
    </row>
    <row r="1038" spans="1:4" x14ac:dyDescent="0.2">
      <c r="A1038">
        <f>'Fichas clínicas'!A1038</f>
        <v>1040</v>
      </c>
      <c r="B1038" t="str">
        <f>'Fichas clínicas'!B1038</f>
        <v>20533552-8</v>
      </c>
      <c r="C1038" t="str">
        <f>VLOOKUP(paciente_tutor!B1038,clientes!A1038:B2619,2,FALSE)</f>
        <v>ARACELY</v>
      </c>
      <c r="D1038" t="str">
        <f t="shared" si="16"/>
        <v>20533552-8</v>
      </c>
    </row>
    <row r="1039" spans="1:4" x14ac:dyDescent="0.2">
      <c r="A1039">
        <f>'Fichas clínicas'!A1039</f>
        <v>1041</v>
      </c>
      <c r="B1039" t="str">
        <f>'Fichas clínicas'!B1039</f>
        <v>21536548-4</v>
      </c>
      <c r="C1039" t="str">
        <f>VLOOKUP(paciente_tutor!B1039,clientes!A1039:B2620,2,FALSE)</f>
        <v>Sebastian Alejandro</v>
      </c>
      <c r="D1039" t="str">
        <f t="shared" si="16"/>
        <v>21536548-4</v>
      </c>
    </row>
    <row r="1040" spans="1:4" x14ac:dyDescent="0.2">
      <c r="A1040">
        <f>'Fichas clínicas'!A1040</f>
        <v>1042</v>
      </c>
      <c r="B1040" t="str">
        <f>'Fichas clínicas'!B1040</f>
        <v>9116737-9</v>
      </c>
      <c r="C1040" t="str">
        <f>VLOOKUP(paciente_tutor!B1040,clientes!A1040:B2621,2,FALSE)</f>
        <v>SONIA</v>
      </c>
      <c r="D1040" t="str">
        <f t="shared" si="16"/>
        <v>9116737-9</v>
      </c>
    </row>
    <row r="1041" spans="1:4" x14ac:dyDescent="0.2">
      <c r="A1041">
        <f>'Fichas clínicas'!A1041</f>
        <v>1043</v>
      </c>
      <c r="B1041" t="str">
        <f>'Fichas clínicas'!B1041</f>
        <v>17660095-0</v>
      </c>
      <c r="C1041" t="e">
        <f>VLOOKUP(paciente_tutor!B1041,clientes!A1041:B2622,2,FALSE)</f>
        <v>#N/A</v>
      </c>
      <c r="D1041" t="e">
        <f t="shared" si="16"/>
        <v>#N/A</v>
      </c>
    </row>
    <row r="1042" spans="1:4" x14ac:dyDescent="0.2">
      <c r="A1042">
        <f>'Fichas clínicas'!A1042</f>
        <v>1044</v>
      </c>
      <c r="B1042" t="str">
        <f>'Fichas clínicas'!B1042</f>
        <v>19563146-8</v>
      </c>
      <c r="C1042" t="str">
        <f>VLOOKUP(paciente_tutor!B1042,clientes!A1042:B2623,2,FALSE)</f>
        <v>ISAIAS</v>
      </c>
      <c r="D1042" t="str">
        <f t="shared" si="16"/>
        <v>19563146-8</v>
      </c>
    </row>
    <row r="1043" spans="1:4" x14ac:dyDescent="0.2">
      <c r="A1043">
        <f>'Fichas clínicas'!A1043</f>
        <v>1045</v>
      </c>
      <c r="B1043" t="str">
        <f>'Fichas clínicas'!B1043</f>
        <v>14083471-8</v>
      </c>
      <c r="C1043" t="e">
        <f>VLOOKUP(paciente_tutor!B1043,clientes!A1043:B2624,2,FALSE)</f>
        <v>#N/A</v>
      </c>
      <c r="D1043" t="e">
        <f t="shared" si="16"/>
        <v>#N/A</v>
      </c>
    </row>
    <row r="1044" spans="1:4" x14ac:dyDescent="0.2">
      <c r="A1044">
        <f>'Fichas clínicas'!A1044</f>
        <v>1046</v>
      </c>
      <c r="B1044" t="str">
        <f>'Fichas clínicas'!B1044</f>
        <v>20371693-1</v>
      </c>
      <c r="C1044" t="str">
        <f>VLOOKUP(paciente_tutor!B1044,clientes!A1044:B2625,2,FALSE)</f>
        <v>MOIRA</v>
      </c>
      <c r="D1044" t="str">
        <f t="shared" si="16"/>
        <v>20371693-1</v>
      </c>
    </row>
    <row r="1045" spans="1:4" x14ac:dyDescent="0.2">
      <c r="A1045">
        <f>'Fichas clínicas'!A1045</f>
        <v>1047</v>
      </c>
      <c r="B1045" t="str">
        <f>'Fichas clínicas'!B1045</f>
        <v>16161227-8</v>
      </c>
      <c r="C1045" t="e">
        <f>VLOOKUP(paciente_tutor!B1045,clientes!A1045:B2626,2,FALSE)</f>
        <v>#N/A</v>
      </c>
      <c r="D1045" t="e">
        <f t="shared" si="16"/>
        <v>#N/A</v>
      </c>
    </row>
    <row r="1046" spans="1:4" x14ac:dyDescent="0.2">
      <c r="A1046">
        <f>'Fichas clínicas'!A1046</f>
        <v>1048</v>
      </c>
      <c r="B1046" t="str">
        <f>'Fichas clínicas'!B1046</f>
        <v>21197616-0</v>
      </c>
      <c r="C1046" t="str">
        <f>VLOOKUP(paciente_tutor!B1046,clientes!A1046:B2627,2,FALSE)</f>
        <v>Pablo Ignacio</v>
      </c>
      <c r="D1046" t="str">
        <f t="shared" si="16"/>
        <v>21197616-0</v>
      </c>
    </row>
    <row r="1047" spans="1:4" x14ac:dyDescent="0.2">
      <c r="A1047">
        <f>'Fichas clínicas'!A1047</f>
        <v>1049</v>
      </c>
      <c r="B1047" t="str">
        <f>'Fichas clínicas'!B1047</f>
        <v>16238905-k</v>
      </c>
      <c r="C1047" t="e">
        <f>VLOOKUP(paciente_tutor!B1047,clientes!A1047:B2628,2,FALSE)</f>
        <v>#N/A</v>
      </c>
      <c r="D1047" t="e">
        <f t="shared" si="16"/>
        <v>#N/A</v>
      </c>
    </row>
    <row r="1048" spans="1:4" x14ac:dyDescent="0.2">
      <c r="A1048">
        <f>'Fichas clínicas'!A1048</f>
        <v>1050</v>
      </c>
      <c r="B1048" t="str">
        <f>'Fichas clínicas'!B1048</f>
        <v>18886337-k</v>
      </c>
      <c r="C1048" t="e">
        <f>VLOOKUP(paciente_tutor!B1048,clientes!A1048:B2629,2,FALSE)</f>
        <v>#N/A</v>
      </c>
      <c r="D1048" t="e">
        <f t="shared" si="16"/>
        <v>#N/A</v>
      </c>
    </row>
    <row r="1049" spans="1:4" x14ac:dyDescent="0.2">
      <c r="A1049">
        <f>'Fichas clínicas'!A1049</f>
        <v>1051</v>
      </c>
      <c r="B1049" t="str">
        <f>'Fichas clínicas'!B1049</f>
        <v>16160942-0</v>
      </c>
      <c r="C1049" t="e">
        <f>VLOOKUP(paciente_tutor!B1049,clientes!A1049:B2630,2,FALSE)</f>
        <v>#N/A</v>
      </c>
      <c r="D1049" t="e">
        <f t="shared" si="16"/>
        <v>#N/A</v>
      </c>
    </row>
    <row r="1050" spans="1:4" x14ac:dyDescent="0.2">
      <c r="A1050">
        <f>'Fichas clínicas'!A1050</f>
        <v>1052</v>
      </c>
      <c r="B1050" t="str">
        <f>'Fichas clínicas'!B1050</f>
        <v>15548844-1</v>
      </c>
      <c r="C1050" t="e">
        <f>VLOOKUP(paciente_tutor!B1050,clientes!A1050:B2631,2,FALSE)</f>
        <v>#N/A</v>
      </c>
      <c r="D1050" t="e">
        <f t="shared" si="16"/>
        <v>#N/A</v>
      </c>
    </row>
    <row r="1051" spans="1:4" x14ac:dyDescent="0.2">
      <c r="A1051">
        <f>'Fichas clínicas'!A1051</f>
        <v>1053</v>
      </c>
      <c r="B1051" t="str">
        <f>'Fichas clínicas'!B1051</f>
        <v>9965035-4</v>
      </c>
      <c r="C1051" t="str">
        <f>VLOOKUP(paciente_tutor!B1051,clientes!A1051:B2632,2,FALSE)</f>
        <v>MARISOL</v>
      </c>
      <c r="D1051" t="str">
        <f t="shared" si="16"/>
        <v>9965035-4</v>
      </c>
    </row>
    <row r="1052" spans="1:4" x14ac:dyDescent="0.2">
      <c r="A1052">
        <f>'Fichas clínicas'!A1052</f>
        <v>1054</v>
      </c>
      <c r="B1052" t="str">
        <f>'Fichas clínicas'!B1052</f>
        <v>18308898-K</v>
      </c>
      <c r="C1052" t="e">
        <f>VLOOKUP(paciente_tutor!B1052,clientes!A1052:B2633,2,FALSE)</f>
        <v>#N/A</v>
      </c>
      <c r="D1052" t="e">
        <f t="shared" si="16"/>
        <v>#N/A</v>
      </c>
    </row>
    <row r="1053" spans="1:4" x14ac:dyDescent="0.2">
      <c r="A1053">
        <f>'Fichas clínicas'!A1053</f>
        <v>1055</v>
      </c>
      <c r="B1053" t="str">
        <f>'Fichas clínicas'!B1053</f>
        <v>16765171-2</v>
      </c>
      <c r="C1053" t="e">
        <f>VLOOKUP(paciente_tutor!B1053,clientes!A1053:B2634,2,FALSE)</f>
        <v>#N/A</v>
      </c>
      <c r="D1053" t="e">
        <f t="shared" si="16"/>
        <v>#N/A</v>
      </c>
    </row>
    <row r="1054" spans="1:4" x14ac:dyDescent="0.2">
      <c r="A1054">
        <f>'Fichas clínicas'!A1054</f>
        <v>1056</v>
      </c>
      <c r="B1054" t="str">
        <f>'Fichas clínicas'!B1054</f>
        <v>16872544-2</v>
      </c>
      <c r="C1054" t="e">
        <f>VLOOKUP(paciente_tutor!B1054,clientes!A1054:B2635,2,FALSE)</f>
        <v>#N/A</v>
      </c>
      <c r="D1054" t="e">
        <f t="shared" si="16"/>
        <v>#N/A</v>
      </c>
    </row>
    <row r="1055" spans="1:4" x14ac:dyDescent="0.2">
      <c r="A1055">
        <f>'Fichas clínicas'!A1055</f>
        <v>1057</v>
      </c>
      <c r="B1055" t="str">
        <f>'Fichas clínicas'!B1055</f>
        <v>13587841-3</v>
      </c>
      <c r="C1055" t="e">
        <f>VLOOKUP(paciente_tutor!B1055,clientes!A1055:B2636,2,FALSE)</f>
        <v>#N/A</v>
      </c>
      <c r="D1055" t="e">
        <f t="shared" si="16"/>
        <v>#N/A</v>
      </c>
    </row>
    <row r="1056" spans="1:4" x14ac:dyDescent="0.2">
      <c r="A1056">
        <f>'Fichas clínicas'!A1056</f>
        <v>1058</v>
      </c>
      <c r="B1056" t="str">
        <f>'Fichas clínicas'!B1056</f>
        <v>13519793-9</v>
      </c>
      <c r="C1056" t="e">
        <f>VLOOKUP(paciente_tutor!B1056,clientes!A1056:B2637,2,FALSE)</f>
        <v>#N/A</v>
      </c>
      <c r="D1056" t="e">
        <f t="shared" si="16"/>
        <v>#N/A</v>
      </c>
    </row>
    <row r="1057" spans="1:4" x14ac:dyDescent="0.2">
      <c r="A1057">
        <f>'Fichas clínicas'!A1057</f>
        <v>1059</v>
      </c>
      <c r="B1057" t="str">
        <f>'Fichas clínicas'!B1057</f>
        <v>18289311-0</v>
      </c>
      <c r="C1057" t="e">
        <f>VLOOKUP(paciente_tutor!B1057,clientes!A1057:B2638,2,FALSE)</f>
        <v>#N/A</v>
      </c>
      <c r="D1057" t="e">
        <f t="shared" si="16"/>
        <v>#N/A</v>
      </c>
    </row>
    <row r="1058" spans="1:4" x14ac:dyDescent="0.2">
      <c r="A1058">
        <f>'Fichas clínicas'!A1058</f>
        <v>1060</v>
      </c>
      <c r="B1058" t="str">
        <f>'Fichas clínicas'!B1058</f>
        <v>20018166-2</v>
      </c>
      <c r="C1058" t="str">
        <f>VLOOKUP(paciente_tutor!B1058,clientes!A1058:B2639,2,FALSE)</f>
        <v>NICOL</v>
      </c>
      <c r="D1058" t="str">
        <f t="shared" si="16"/>
        <v>20018166-2</v>
      </c>
    </row>
    <row r="1059" spans="1:4" x14ac:dyDescent="0.2">
      <c r="A1059">
        <f>'Fichas clínicas'!A1059</f>
        <v>1061</v>
      </c>
      <c r="B1059" t="str">
        <f>'Fichas clínicas'!B1059</f>
        <v>9636219-6</v>
      </c>
      <c r="C1059" t="str">
        <f>VLOOKUP(paciente_tutor!B1059,clientes!A1059:B2640,2,FALSE)</f>
        <v>ADRIANA</v>
      </c>
      <c r="D1059" t="str">
        <f t="shared" si="16"/>
        <v>9636219-6</v>
      </c>
    </row>
    <row r="1060" spans="1:4" x14ac:dyDescent="0.2">
      <c r="A1060">
        <f>'Fichas clínicas'!A1060</f>
        <v>1062</v>
      </c>
      <c r="B1060" t="str">
        <f>'Fichas clínicas'!B1060</f>
        <v>15228527-2</v>
      </c>
      <c r="C1060" t="e">
        <f>VLOOKUP(paciente_tutor!B1060,clientes!A1060:B2641,2,FALSE)</f>
        <v>#N/A</v>
      </c>
      <c r="D1060" t="e">
        <f t="shared" si="16"/>
        <v>#N/A</v>
      </c>
    </row>
    <row r="1061" spans="1:4" x14ac:dyDescent="0.2">
      <c r="A1061">
        <f>'Fichas clínicas'!A1061</f>
        <v>1063</v>
      </c>
      <c r="B1061" t="str">
        <f>'Fichas clínicas'!B1061</f>
        <v>17963799-5</v>
      </c>
      <c r="C1061" t="e">
        <f>VLOOKUP(paciente_tutor!B1061,clientes!A1061:B2642,2,FALSE)</f>
        <v>#N/A</v>
      </c>
      <c r="D1061" t="e">
        <f t="shared" si="16"/>
        <v>#N/A</v>
      </c>
    </row>
    <row r="1062" spans="1:4" x14ac:dyDescent="0.2">
      <c r="A1062">
        <f>'Fichas clínicas'!A1062</f>
        <v>1064</v>
      </c>
      <c r="B1062" t="str">
        <f>'Fichas clínicas'!B1062</f>
        <v>17219168-1</v>
      </c>
      <c r="C1062" t="e">
        <f>VLOOKUP(paciente_tutor!B1062,clientes!A1062:B2643,2,FALSE)</f>
        <v>#N/A</v>
      </c>
      <c r="D1062" t="e">
        <f t="shared" si="16"/>
        <v>#N/A</v>
      </c>
    </row>
    <row r="1063" spans="1:4" x14ac:dyDescent="0.2">
      <c r="A1063">
        <f>'Fichas clínicas'!A1063</f>
        <v>1065</v>
      </c>
      <c r="B1063" t="str">
        <f>'Fichas clínicas'!B1063</f>
        <v>24970446-6</v>
      </c>
      <c r="C1063" t="str">
        <f>VLOOKUP(paciente_tutor!B1063,clientes!A1063:B2644,2,FALSE)</f>
        <v>PABLO</v>
      </c>
      <c r="D1063" t="str">
        <f t="shared" si="16"/>
        <v>24970446-6</v>
      </c>
    </row>
    <row r="1064" spans="1:4" x14ac:dyDescent="0.2">
      <c r="A1064">
        <f>'Fichas clínicas'!A1064</f>
        <v>1066</v>
      </c>
      <c r="B1064" t="str">
        <f>'Fichas clínicas'!B1064</f>
        <v>10209704-1</v>
      </c>
      <c r="C1064" t="e">
        <f>VLOOKUP(paciente_tutor!B1064,clientes!A1064:B2645,2,FALSE)</f>
        <v>#N/A</v>
      </c>
      <c r="D1064" t="e">
        <f t="shared" si="16"/>
        <v>#N/A</v>
      </c>
    </row>
    <row r="1065" spans="1:4" x14ac:dyDescent="0.2">
      <c r="A1065">
        <f>'Fichas clínicas'!A1065</f>
        <v>1067</v>
      </c>
      <c r="B1065" t="str">
        <f>'Fichas clínicas'!B1065</f>
        <v>18133139-9</v>
      </c>
      <c r="C1065" t="e">
        <f>VLOOKUP(paciente_tutor!B1065,clientes!A1065:B2646,2,FALSE)</f>
        <v>#N/A</v>
      </c>
      <c r="D1065" t="e">
        <f t="shared" si="16"/>
        <v>#N/A</v>
      </c>
    </row>
    <row r="1066" spans="1:4" x14ac:dyDescent="0.2">
      <c r="A1066">
        <f>'Fichas clínicas'!A1066</f>
        <v>1068</v>
      </c>
      <c r="B1066" t="str">
        <f>'Fichas clínicas'!B1066</f>
        <v>17200297-8</v>
      </c>
      <c r="C1066" t="e">
        <f>VLOOKUP(paciente_tutor!B1066,clientes!A1066:B2647,2,FALSE)</f>
        <v>#N/A</v>
      </c>
      <c r="D1066" t="e">
        <f t="shared" si="16"/>
        <v>#N/A</v>
      </c>
    </row>
    <row r="1067" spans="1:4" x14ac:dyDescent="0.2">
      <c r="A1067">
        <f>'Fichas clínicas'!A1067</f>
        <v>1069</v>
      </c>
      <c r="B1067" t="str">
        <f>'Fichas clínicas'!B1067</f>
        <v>18132074-5</v>
      </c>
      <c r="C1067" t="e">
        <f>VLOOKUP(paciente_tutor!B1067,clientes!A1067:B2648,2,FALSE)</f>
        <v>#N/A</v>
      </c>
      <c r="D1067" t="e">
        <f t="shared" si="16"/>
        <v>#N/A</v>
      </c>
    </row>
    <row r="1068" spans="1:4" x14ac:dyDescent="0.2">
      <c r="A1068">
        <f>'Fichas clínicas'!A1068</f>
        <v>1070</v>
      </c>
      <c r="B1068" t="str">
        <f>'Fichas clínicas'!B1068</f>
        <v>18289839-2</v>
      </c>
      <c r="C1068" t="e">
        <f>VLOOKUP(paciente_tutor!B1068,clientes!A1068:B2649,2,FALSE)</f>
        <v>#N/A</v>
      </c>
      <c r="D1068" t="e">
        <f t="shared" si="16"/>
        <v>#N/A</v>
      </c>
    </row>
    <row r="1069" spans="1:4" x14ac:dyDescent="0.2">
      <c r="A1069">
        <f>'Fichas clínicas'!A1069</f>
        <v>1071</v>
      </c>
      <c r="B1069" t="str">
        <f>'Fichas clínicas'!B1069</f>
        <v>19204368-9</v>
      </c>
      <c r="C1069" t="e">
        <f>VLOOKUP(paciente_tutor!B1069,clientes!A1069:B2650,2,FALSE)</f>
        <v>#N/A</v>
      </c>
      <c r="D1069" t="e">
        <f t="shared" si="16"/>
        <v>#N/A</v>
      </c>
    </row>
    <row r="1070" spans="1:4" x14ac:dyDescent="0.2">
      <c r="A1070">
        <f>'Fichas clínicas'!A1070</f>
        <v>1072</v>
      </c>
      <c r="B1070" t="str">
        <f>'Fichas clínicas'!B1070</f>
        <v>18721569-2</v>
      </c>
      <c r="C1070" t="e">
        <f>VLOOKUP(paciente_tutor!B1070,clientes!A1070:B2651,2,FALSE)</f>
        <v>#N/A</v>
      </c>
      <c r="D1070" t="e">
        <f t="shared" si="16"/>
        <v>#N/A</v>
      </c>
    </row>
    <row r="1071" spans="1:4" x14ac:dyDescent="0.2">
      <c r="A1071">
        <f>'Fichas clínicas'!A1071</f>
        <v>1073</v>
      </c>
      <c r="B1071" t="str">
        <f>'Fichas clínicas'!B1071</f>
        <v>14382959-6</v>
      </c>
      <c r="C1071" t="e">
        <f>VLOOKUP(paciente_tutor!B1071,clientes!A1071:B2652,2,FALSE)</f>
        <v>#N/A</v>
      </c>
      <c r="D1071" t="e">
        <f t="shared" si="16"/>
        <v>#N/A</v>
      </c>
    </row>
    <row r="1072" spans="1:4" x14ac:dyDescent="0.2">
      <c r="A1072">
        <f>'Fichas clínicas'!A1072</f>
        <v>1074</v>
      </c>
      <c r="B1072" t="str">
        <f>'Fichas clínicas'!B1072</f>
        <v>20968151-k</v>
      </c>
      <c r="C1072" t="str">
        <f>VLOOKUP(paciente_tutor!B1072,clientes!A1072:B2653,2,FALSE)</f>
        <v>Jesús Patricio</v>
      </c>
      <c r="D1072" t="str">
        <f t="shared" si="16"/>
        <v>20968151-k</v>
      </c>
    </row>
    <row r="1073" spans="1:4" x14ac:dyDescent="0.2">
      <c r="A1073">
        <f>'Fichas clínicas'!A1073</f>
        <v>1075</v>
      </c>
      <c r="B1073" t="str">
        <f>'Fichas clínicas'!B1073</f>
        <v>19248537-1</v>
      </c>
      <c r="C1073" t="e">
        <f>VLOOKUP(paciente_tutor!B1073,clientes!A1073:B2654,2,FALSE)</f>
        <v>#N/A</v>
      </c>
      <c r="D1073" t="e">
        <f t="shared" si="16"/>
        <v>#N/A</v>
      </c>
    </row>
    <row r="1074" spans="1:4" x14ac:dyDescent="0.2">
      <c r="A1074">
        <f>'Fichas clínicas'!A1074</f>
        <v>1076</v>
      </c>
      <c r="B1074" t="str">
        <f>'Fichas clínicas'!B1074</f>
        <v>18132425-2</v>
      </c>
      <c r="C1074" t="e">
        <f>VLOOKUP(paciente_tutor!B1074,clientes!A1074:B2655,2,FALSE)</f>
        <v>#N/A</v>
      </c>
      <c r="D1074" t="e">
        <f t="shared" si="16"/>
        <v>#N/A</v>
      </c>
    </row>
    <row r="1075" spans="1:4" x14ac:dyDescent="0.2">
      <c r="A1075">
        <f>'Fichas clínicas'!A1075</f>
        <v>1077</v>
      </c>
      <c r="B1075" t="str">
        <f>'Fichas clínicas'!B1075</f>
        <v>19556165-6</v>
      </c>
      <c r="C1075" t="str">
        <f>VLOOKUP(paciente_tutor!B1075,clientes!A1075:B2656,2,FALSE)</f>
        <v>BARBARA</v>
      </c>
      <c r="D1075" t="str">
        <f t="shared" si="16"/>
        <v>19556165-6</v>
      </c>
    </row>
    <row r="1076" spans="1:4" x14ac:dyDescent="0.2">
      <c r="A1076">
        <f>'Fichas clínicas'!A1076</f>
        <v>1078</v>
      </c>
      <c r="B1076" t="str">
        <f>'Fichas clínicas'!B1076</f>
        <v>19249676-4</v>
      </c>
      <c r="C1076" t="str">
        <f>VLOOKUP(paciente_tutor!B1076,clientes!A1076:B2657,2,FALSE)</f>
        <v>PAULA DEL PILAR</v>
      </c>
      <c r="D1076" t="str">
        <f t="shared" si="16"/>
        <v>19249676-4</v>
      </c>
    </row>
    <row r="1077" spans="1:4" x14ac:dyDescent="0.2">
      <c r="A1077">
        <f>'Fichas clínicas'!A1077</f>
        <v>1079</v>
      </c>
      <c r="B1077" t="str">
        <f>'Fichas clínicas'!B1077</f>
        <v>20732154-0</v>
      </c>
      <c r="C1077" t="str">
        <f>VLOOKUP(paciente_tutor!B1077,clientes!A1077:B2658,2,FALSE)</f>
        <v>KIARA</v>
      </c>
      <c r="D1077" t="str">
        <f t="shared" si="16"/>
        <v>20732154-0</v>
      </c>
    </row>
    <row r="1078" spans="1:4" x14ac:dyDescent="0.2">
      <c r="A1078">
        <f>'Fichas clínicas'!A1078</f>
        <v>1080</v>
      </c>
      <c r="B1078" t="str">
        <f>'Fichas clínicas'!B1078</f>
        <v>5877872-9</v>
      </c>
      <c r="C1078" t="str">
        <f>VLOOKUP(paciente_tutor!B1078,clientes!A1078:B2659,2,FALSE)</f>
        <v>FLORIANO</v>
      </c>
      <c r="D1078" t="str">
        <f t="shared" si="16"/>
        <v>5877872-9</v>
      </c>
    </row>
    <row r="1079" spans="1:4" x14ac:dyDescent="0.2">
      <c r="A1079">
        <f>'Fichas clínicas'!A1079</f>
        <v>1081</v>
      </c>
      <c r="B1079" t="str">
        <f>'Fichas clínicas'!B1079</f>
        <v>8928885-1</v>
      </c>
      <c r="C1079" t="str">
        <f>VLOOKUP(paciente_tutor!B1079,clientes!A1079:B2660,2,FALSE)</f>
        <v>LORENA</v>
      </c>
      <c r="D1079" t="str">
        <f t="shared" si="16"/>
        <v>8928885-1</v>
      </c>
    </row>
    <row r="1080" spans="1:4" x14ac:dyDescent="0.2">
      <c r="A1080">
        <f>'Fichas clínicas'!A1080</f>
        <v>1082</v>
      </c>
      <c r="B1080" t="str">
        <f>'Fichas clínicas'!B1080</f>
        <v>15294283-4</v>
      </c>
      <c r="C1080" t="e">
        <f>VLOOKUP(paciente_tutor!B1080,clientes!A1080:B2661,2,FALSE)</f>
        <v>#N/A</v>
      </c>
      <c r="D1080" t="e">
        <f t="shared" si="16"/>
        <v>#N/A</v>
      </c>
    </row>
    <row r="1081" spans="1:4" x14ac:dyDescent="0.2">
      <c r="A1081">
        <f>'Fichas clínicas'!A1081</f>
        <v>1083</v>
      </c>
      <c r="B1081" t="str">
        <f>'Fichas clínicas'!B1081</f>
        <v>19938213-6</v>
      </c>
      <c r="C1081" t="str">
        <f>VLOOKUP(paciente_tutor!B1081,clientes!A1081:B2662,2,FALSE)</f>
        <v>EUNICE</v>
      </c>
      <c r="D1081" t="str">
        <f t="shared" si="16"/>
        <v>19938213-6</v>
      </c>
    </row>
    <row r="1082" spans="1:4" x14ac:dyDescent="0.2">
      <c r="A1082">
        <f>'Fichas clínicas'!A1082</f>
        <v>1084</v>
      </c>
      <c r="B1082" t="str">
        <f>'Fichas clínicas'!B1082</f>
        <v>10048099-9</v>
      </c>
      <c r="C1082" t="e">
        <f>VLOOKUP(paciente_tutor!B1082,clientes!A1082:B2663,2,FALSE)</f>
        <v>#N/A</v>
      </c>
      <c r="D1082" t="e">
        <f t="shared" si="16"/>
        <v>#N/A</v>
      </c>
    </row>
    <row r="1083" spans="1:4" x14ac:dyDescent="0.2">
      <c r="A1083">
        <f>'Fichas clínicas'!A1083</f>
        <v>1085</v>
      </c>
      <c r="B1083" t="str">
        <f>'Fichas clínicas'!B1083</f>
        <v>17200721-k</v>
      </c>
      <c r="C1083" t="e">
        <f>VLOOKUP(paciente_tutor!B1083,clientes!A1083:B2664,2,FALSE)</f>
        <v>#N/A</v>
      </c>
      <c r="D1083" t="e">
        <f t="shared" si="16"/>
        <v>#N/A</v>
      </c>
    </row>
    <row r="1084" spans="1:4" x14ac:dyDescent="0.2">
      <c r="A1084">
        <f>'Fichas clínicas'!A1084</f>
        <v>1086</v>
      </c>
      <c r="B1084" t="str">
        <f>'Fichas clínicas'!B1084</f>
        <v>20641494-4</v>
      </c>
      <c r="C1084" t="str">
        <f>VLOOKUP(paciente_tutor!B1084,clientes!A1084:B2665,2,FALSE)</f>
        <v>RAYEN</v>
      </c>
      <c r="D1084" t="str">
        <f t="shared" si="16"/>
        <v>20641494-4</v>
      </c>
    </row>
    <row r="1085" spans="1:4" x14ac:dyDescent="0.2">
      <c r="A1085">
        <f>'Fichas clínicas'!A1085</f>
        <v>1087</v>
      </c>
      <c r="B1085" t="str">
        <f>'Fichas clínicas'!B1085</f>
        <v>18132002-8</v>
      </c>
      <c r="C1085" t="e">
        <f>VLOOKUP(paciente_tutor!B1085,clientes!A1085:B2666,2,FALSE)</f>
        <v>#N/A</v>
      </c>
      <c r="D1085" t="e">
        <f t="shared" si="16"/>
        <v>#N/A</v>
      </c>
    </row>
    <row r="1086" spans="1:4" x14ac:dyDescent="0.2">
      <c r="A1086">
        <f>'Fichas clínicas'!A1086</f>
        <v>1088</v>
      </c>
      <c r="B1086" t="str">
        <f>'Fichas clínicas'!B1086</f>
        <v>26187713-9</v>
      </c>
      <c r="C1086" t="str">
        <f>VLOOKUP(paciente_tutor!B1086,clientes!A1086:B2667,2,FALSE)</f>
        <v>DANIELA</v>
      </c>
      <c r="D1086" t="str">
        <f t="shared" si="16"/>
        <v>26187713-9</v>
      </c>
    </row>
    <row r="1087" spans="1:4" x14ac:dyDescent="0.2">
      <c r="A1087">
        <f>'Fichas clínicas'!A1087</f>
        <v>1089</v>
      </c>
      <c r="B1087" t="str">
        <f>'Fichas clínicas'!B1087</f>
        <v>21026033-1</v>
      </c>
      <c r="C1087" t="str">
        <f>VLOOKUP(paciente_tutor!B1087,clientes!A1087:B2668,2,FALSE)</f>
        <v>Camila</v>
      </c>
      <c r="D1087" t="str">
        <f t="shared" si="16"/>
        <v>21026033-1</v>
      </c>
    </row>
    <row r="1088" spans="1:4" x14ac:dyDescent="0.2">
      <c r="A1088">
        <f>'Fichas clínicas'!A1088</f>
        <v>1090</v>
      </c>
      <c r="B1088" t="str">
        <f>'Fichas clínicas'!B1088</f>
        <v>19249580-6</v>
      </c>
      <c r="C1088" t="e">
        <f>VLOOKUP(paciente_tutor!B1088,clientes!A1088:B2669,2,FALSE)</f>
        <v>#N/A</v>
      </c>
      <c r="D1088" t="e">
        <f t="shared" si="16"/>
        <v>#N/A</v>
      </c>
    </row>
    <row r="1089" spans="1:4" x14ac:dyDescent="0.2">
      <c r="A1089">
        <f>'Fichas clínicas'!A1089</f>
        <v>1091</v>
      </c>
      <c r="B1089" t="str">
        <f>'Fichas clínicas'!B1089</f>
        <v>17201335-K</v>
      </c>
      <c r="C1089" t="e">
        <f>VLOOKUP(paciente_tutor!B1089,clientes!A1089:B2670,2,FALSE)</f>
        <v>#N/A</v>
      </c>
      <c r="D1089" t="e">
        <f t="shared" si="16"/>
        <v>#N/A</v>
      </c>
    </row>
    <row r="1090" spans="1:4" x14ac:dyDescent="0.2">
      <c r="A1090">
        <f>'Fichas clínicas'!A1090</f>
        <v>1092</v>
      </c>
      <c r="B1090" t="str">
        <f>'Fichas clínicas'!B1090</f>
        <v>17066993-2</v>
      </c>
      <c r="C1090" t="e">
        <f>VLOOKUP(paciente_tutor!B1090,clientes!A1090:B2671,2,FALSE)</f>
        <v>#N/A</v>
      </c>
      <c r="D1090" t="e">
        <f t="shared" si="16"/>
        <v>#N/A</v>
      </c>
    </row>
    <row r="1091" spans="1:4" x14ac:dyDescent="0.2">
      <c r="A1091">
        <f>'Fichas clínicas'!A1091</f>
        <v>1093</v>
      </c>
      <c r="B1091" t="str">
        <f>'Fichas clínicas'!B1091</f>
        <v>16872391-1</v>
      </c>
      <c r="C1091" t="e">
        <f>VLOOKUP(paciente_tutor!B1091,clientes!A1091:B2672,2,FALSE)</f>
        <v>#N/A</v>
      </c>
      <c r="D1091" t="e">
        <f t="shared" ref="D1091:D1154" si="17">IF(C1091="#N/A","",B1091)</f>
        <v>#N/A</v>
      </c>
    </row>
    <row r="1092" spans="1:4" x14ac:dyDescent="0.2">
      <c r="A1092">
        <f>'Fichas clínicas'!A1092</f>
        <v>1094</v>
      </c>
      <c r="B1092" t="str">
        <f>'Fichas clínicas'!B1092</f>
        <v>16465239-4</v>
      </c>
      <c r="C1092" t="e">
        <f>VLOOKUP(paciente_tutor!B1092,clientes!A1092:B2673,2,FALSE)</f>
        <v>#N/A</v>
      </c>
      <c r="D1092" t="e">
        <f t="shared" si="17"/>
        <v>#N/A</v>
      </c>
    </row>
    <row r="1093" spans="1:4" x14ac:dyDescent="0.2">
      <c r="A1093">
        <f>'Fichas clínicas'!A1093</f>
        <v>1095</v>
      </c>
      <c r="B1093" t="str">
        <f>'Fichas clínicas'!B1093</f>
        <v>7056829-2</v>
      </c>
      <c r="C1093" t="str">
        <f>VLOOKUP(paciente_tutor!B1093,clientes!A1093:B2674,2,FALSE)</f>
        <v>Rosa</v>
      </c>
      <c r="D1093" t="str">
        <f t="shared" si="17"/>
        <v>7056829-2</v>
      </c>
    </row>
    <row r="1094" spans="1:4" x14ac:dyDescent="0.2">
      <c r="A1094">
        <f>'Fichas clínicas'!A1094</f>
        <v>1096</v>
      </c>
      <c r="B1094" t="str">
        <f>'Fichas clínicas'!B1094</f>
        <v>18895602-5</v>
      </c>
      <c r="C1094" t="e">
        <f>VLOOKUP(paciente_tutor!B1094,clientes!A1094:B2675,2,FALSE)</f>
        <v>#N/A</v>
      </c>
      <c r="D1094" t="e">
        <f t="shared" si="17"/>
        <v>#N/A</v>
      </c>
    </row>
    <row r="1095" spans="1:4" x14ac:dyDescent="0.2">
      <c r="A1095">
        <f>'Fichas clínicas'!A1095</f>
        <v>1097</v>
      </c>
      <c r="B1095" t="str">
        <f>'Fichas clínicas'!B1095</f>
        <v>8785807-3</v>
      </c>
      <c r="C1095" t="str">
        <f>VLOOKUP(paciente_tutor!B1095,clientes!A1095:B2676,2,FALSE)</f>
        <v>Mirta Eliana</v>
      </c>
      <c r="D1095" t="str">
        <f t="shared" si="17"/>
        <v>8785807-3</v>
      </c>
    </row>
    <row r="1096" spans="1:4" x14ac:dyDescent="0.2">
      <c r="A1096">
        <f>'Fichas clínicas'!A1096</f>
        <v>1098</v>
      </c>
      <c r="B1096" t="str">
        <f>'Fichas clínicas'!B1096</f>
        <v>17863237-k</v>
      </c>
      <c r="C1096" t="e">
        <f>VLOOKUP(paciente_tutor!B1096,clientes!A1096:B2677,2,FALSE)</f>
        <v>#N/A</v>
      </c>
      <c r="D1096" t="e">
        <f t="shared" si="17"/>
        <v>#N/A</v>
      </c>
    </row>
    <row r="1097" spans="1:4" x14ac:dyDescent="0.2">
      <c r="A1097">
        <f>'Fichas clínicas'!A1097</f>
        <v>1099</v>
      </c>
      <c r="B1097" t="str">
        <f>'Fichas clínicas'!B1097</f>
        <v>13116951-5</v>
      </c>
      <c r="C1097" t="e">
        <f>VLOOKUP(paciente_tutor!B1097,clientes!A1097:B2678,2,FALSE)</f>
        <v>#N/A</v>
      </c>
      <c r="D1097" t="e">
        <f t="shared" si="17"/>
        <v>#N/A</v>
      </c>
    </row>
    <row r="1098" spans="1:4" x14ac:dyDescent="0.2">
      <c r="A1098">
        <f>'Fichas clínicas'!A1098</f>
        <v>1100</v>
      </c>
      <c r="B1098" t="str">
        <f>'Fichas clínicas'!B1098</f>
        <v>13116951-5</v>
      </c>
      <c r="C1098" t="e">
        <f>VLOOKUP(paciente_tutor!B1098,clientes!A1098:B2679,2,FALSE)</f>
        <v>#N/A</v>
      </c>
      <c r="D1098" t="e">
        <f t="shared" si="17"/>
        <v>#N/A</v>
      </c>
    </row>
    <row r="1099" spans="1:4" x14ac:dyDescent="0.2">
      <c r="A1099">
        <f>'Fichas clínicas'!A1099</f>
        <v>1101</v>
      </c>
      <c r="B1099" t="str">
        <f>'Fichas clínicas'!B1099</f>
        <v>15902557-8</v>
      </c>
      <c r="C1099" t="e">
        <f>VLOOKUP(paciente_tutor!B1099,clientes!A1099:B2680,2,FALSE)</f>
        <v>#N/A</v>
      </c>
      <c r="D1099" t="e">
        <f t="shared" si="17"/>
        <v>#N/A</v>
      </c>
    </row>
    <row r="1100" spans="1:4" x14ac:dyDescent="0.2">
      <c r="A1100">
        <f>'Fichas clínicas'!A1100</f>
        <v>1102</v>
      </c>
      <c r="B1100" t="str">
        <f>'Fichas clínicas'!B1100</f>
        <v>17963636-0</v>
      </c>
      <c r="C1100" t="e">
        <f>VLOOKUP(paciente_tutor!B1100,clientes!A1100:B2681,2,FALSE)</f>
        <v>#N/A</v>
      </c>
      <c r="D1100" t="e">
        <f t="shared" si="17"/>
        <v>#N/A</v>
      </c>
    </row>
    <row r="1101" spans="1:4" x14ac:dyDescent="0.2">
      <c r="A1101">
        <f>'Fichas clínicas'!A1101</f>
        <v>1103</v>
      </c>
      <c r="B1101" t="str">
        <f>'Fichas clínicas'!B1101</f>
        <v>12749149-6</v>
      </c>
      <c r="C1101" t="e">
        <f>VLOOKUP(paciente_tutor!B1101,clientes!A1101:B2682,2,FALSE)</f>
        <v>#N/A</v>
      </c>
      <c r="D1101" t="e">
        <f t="shared" si="17"/>
        <v>#N/A</v>
      </c>
    </row>
    <row r="1102" spans="1:4" x14ac:dyDescent="0.2">
      <c r="A1102">
        <f>'Fichas clínicas'!A1102</f>
        <v>1104</v>
      </c>
      <c r="B1102" t="str">
        <f>'Fichas clínicas'!B1102</f>
        <v>8633600-6</v>
      </c>
      <c r="C1102" t="str">
        <f>VLOOKUP(paciente_tutor!B1102,clientes!A1102:B2683,2,FALSE)</f>
        <v>JOSE</v>
      </c>
      <c r="D1102" t="str">
        <f t="shared" si="17"/>
        <v>8633600-6</v>
      </c>
    </row>
    <row r="1103" spans="1:4" x14ac:dyDescent="0.2">
      <c r="A1103">
        <f>'Fichas clínicas'!A1103</f>
        <v>1105</v>
      </c>
      <c r="B1103" t="str">
        <f>'Fichas clínicas'!B1103</f>
        <v>15884468-0</v>
      </c>
      <c r="C1103" t="e">
        <f>VLOOKUP(paciente_tutor!B1103,clientes!A1103:B2684,2,FALSE)</f>
        <v>#N/A</v>
      </c>
      <c r="D1103" t="e">
        <f t="shared" si="17"/>
        <v>#N/A</v>
      </c>
    </row>
    <row r="1104" spans="1:4" x14ac:dyDescent="0.2">
      <c r="A1104">
        <f>'Fichas clínicas'!A1104</f>
        <v>1106</v>
      </c>
      <c r="B1104" t="str">
        <f>'Fichas clínicas'!B1104</f>
        <v>16465549-0</v>
      </c>
      <c r="C1104" t="e">
        <f>VLOOKUP(paciente_tutor!B1104,clientes!A1104:B2685,2,FALSE)</f>
        <v>#N/A</v>
      </c>
      <c r="D1104" t="e">
        <f t="shared" si="17"/>
        <v>#N/A</v>
      </c>
    </row>
    <row r="1105" spans="1:4" x14ac:dyDescent="0.2">
      <c r="A1105">
        <f>'Fichas clínicas'!A1105</f>
        <v>1107</v>
      </c>
      <c r="B1105" t="str">
        <f>'Fichas clínicas'!B1105</f>
        <v>6304484-9</v>
      </c>
      <c r="C1105" t="str">
        <f>VLOOKUP(paciente_tutor!B1105,clientes!A1105:B2686,2,FALSE)</f>
        <v>Sabino</v>
      </c>
      <c r="D1105" t="str">
        <f t="shared" si="17"/>
        <v>6304484-9</v>
      </c>
    </row>
    <row r="1106" spans="1:4" x14ac:dyDescent="0.2">
      <c r="A1106">
        <f>'Fichas clínicas'!A1106</f>
        <v>1108</v>
      </c>
      <c r="B1106" t="str">
        <f>'Fichas clínicas'!B1106</f>
        <v>15814427-1</v>
      </c>
      <c r="C1106" t="e">
        <f>VLOOKUP(paciente_tutor!B1106,clientes!A1106:B2687,2,FALSE)</f>
        <v>#N/A</v>
      </c>
      <c r="D1106" t="e">
        <f t="shared" si="17"/>
        <v>#N/A</v>
      </c>
    </row>
    <row r="1107" spans="1:4" x14ac:dyDescent="0.2">
      <c r="A1107">
        <f>'Fichas clínicas'!A1107</f>
        <v>1109</v>
      </c>
      <c r="B1107" t="str">
        <f>'Fichas clínicas'!B1107</f>
        <v>14281167-7</v>
      </c>
      <c r="C1107" t="e">
        <f>VLOOKUP(paciente_tutor!B1107,clientes!A1107:B2688,2,FALSE)</f>
        <v>#N/A</v>
      </c>
      <c r="D1107" t="e">
        <f t="shared" si="17"/>
        <v>#N/A</v>
      </c>
    </row>
    <row r="1108" spans="1:4" x14ac:dyDescent="0.2">
      <c r="A1108">
        <f>'Fichas clínicas'!A1108</f>
        <v>1110</v>
      </c>
      <c r="B1108" t="str">
        <f>'Fichas clínicas'!B1108</f>
        <v>10442417-1</v>
      </c>
      <c r="C1108" t="e">
        <f>VLOOKUP(paciente_tutor!B1108,clientes!A1108:B2689,2,FALSE)</f>
        <v>#N/A</v>
      </c>
      <c r="D1108" t="e">
        <f t="shared" si="17"/>
        <v>#N/A</v>
      </c>
    </row>
    <row r="1109" spans="1:4" x14ac:dyDescent="0.2">
      <c r="A1109">
        <f>'Fichas clínicas'!A1109</f>
        <v>1111</v>
      </c>
      <c r="B1109" t="str">
        <f>'Fichas clínicas'!B1109</f>
        <v>10150042-k</v>
      </c>
      <c r="C1109" t="e">
        <f>VLOOKUP(paciente_tutor!B1109,clientes!A1109:B2690,2,FALSE)</f>
        <v>#N/A</v>
      </c>
      <c r="D1109" t="e">
        <f t="shared" si="17"/>
        <v>#N/A</v>
      </c>
    </row>
    <row r="1110" spans="1:4" x14ac:dyDescent="0.2">
      <c r="A1110">
        <f>'Fichas clínicas'!A1110</f>
        <v>1112</v>
      </c>
      <c r="B1110" t="str">
        <f>'Fichas clínicas'!B1110</f>
        <v>19938797-9</v>
      </c>
      <c r="C1110" t="str">
        <f>VLOOKUP(paciente_tutor!B1110,clientes!A1110:B2691,2,FALSE)</f>
        <v>FRANCISCA</v>
      </c>
      <c r="D1110" t="str">
        <f t="shared" si="17"/>
        <v>19938797-9</v>
      </c>
    </row>
    <row r="1111" spans="1:4" x14ac:dyDescent="0.2">
      <c r="A1111">
        <f>'Fichas clínicas'!A1111</f>
        <v>1113</v>
      </c>
      <c r="B1111" t="str">
        <f>'Fichas clínicas'!B1111</f>
        <v>17200859-3</v>
      </c>
      <c r="C1111" t="e">
        <f>VLOOKUP(paciente_tutor!B1111,clientes!A1111:B2692,2,FALSE)</f>
        <v>#N/A</v>
      </c>
      <c r="D1111" t="e">
        <f t="shared" si="17"/>
        <v>#N/A</v>
      </c>
    </row>
    <row r="1112" spans="1:4" x14ac:dyDescent="0.2">
      <c r="A1112">
        <f>'Fichas clínicas'!A1112</f>
        <v>1114</v>
      </c>
      <c r="B1112" t="str">
        <f>'Fichas clínicas'!B1112</f>
        <v>20958583-9</v>
      </c>
      <c r="C1112" t="str">
        <f>VLOOKUP(paciente_tutor!B1112,clientes!A1112:B2693,2,FALSE)</f>
        <v>Leonardo</v>
      </c>
      <c r="D1112" t="str">
        <f t="shared" si="17"/>
        <v>20958583-9</v>
      </c>
    </row>
    <row r="1113" spans="1:4" x14ac:dyDescent="0.2">
      <c r="A1113">
        <f>'Fichas clínicas'!A1113</f>
        <v>1115</v>
      </c>
      <c r="B1113" t="str">
        <f>'Fichas clínicas'!B1113</f>
        <v>16586339-9</v>
      </c>
      <c r="C1113" t="e">
        <f>VLOOKUP(paciente_tutor!B1113,clientes!A1113:B2694,2,FALSE)</f>
        <v>#N/A</v>
      </c>
      <c r="D1113" t="e">
        <f t="shared" si="17"/>
        <v>#N/A</v>
      </c>
    </row>
    <row r="1114" spans="1:4" x14ac:dyDescent="0.2">
      <c r="A1114">
        <f>'Fichas clínicas'!A1114</f>
        <v>1116</v>
      </c>
      <c r="B1114" t="str">
        <f>'Fichas clínicas'!B1114</f>
        <v>15759950-k</v>
      </c>
      <c r="C1114" t="e">
        <f>VLOOKUP(paciente_tutor!B1114,clientes!A1114:B2695,2,FALSE)</f>
        <v>#N/A</v>
      </c>
      <c r="D1114" t="e">
        <f t="shared" si="17"/>
        <v>#N/A</v>
      </c>
    </row>
    <row r="1115" spans="1:4" x14ac:dyDescent="0.2">
      <c r="A1115">
        <f>'Fichas clínicas'!A1115</f>
        <v>1117</v>
      </c>
      <c r="B1115" t="str">
        <f>'Fichas clínicas'!B1115</f>
        <v>19248094-9</v>
      </c>
      <c r="C1115" t="e">
        <f>VLOOKUP(paciente_tutor!B1115,clientes!A1115:B2696,2,FALSE)</f>
        <v>#N/A</v>
      </c>
      <c r="D1115" t="e">
        <f t="shared" si="17"/>
        <v>#N/A</v>
      </c>
    </row>
    <row r="1116" spans="1:4" x14ac:dyDescent="0.2">
      <c r="A1116">
        <f>'Fichas clínicas'!A1116</f>
        <v>1118</v>
      </c>
      <c r="B1116" t="str">
        <f>'Fichas clínicas'!B1116</f>
        <v>12744430-7</v>
      </c>
      <c r="C1116" t="e">
        <f>VLOOKUP(paciente_tutor!B1116,clientes!A1116:B2697,2,FALSE)</f>
        <v>#N/A</v>
      </c>
      <c r="D1116" t="e">
        <f t="shared" si="17"/>
        <v>#N/A</v>
      </c>
    </row>
    <row r="1117" spans="1:4" x14ac:dyDescent="0.2">
      <c r="A1117">
        <f>'Fichas clínicas'!A1117</f>
        <v>1119</v>
      </c>
      <c r="B1117" t="str">
        <f>'Fichas clínicas'!B1117</f>
        <v>16963597-8</v>
      </c>
      <c r="C1117" t="e">
        <f>VLOOKUP(paciente_tutor!B1117,clientes!A1117:B2698,2,FALSE)</f>
        <v>#N/A</v>
      </c>
      <c r="D1117" t="e">
        <f t="shared" si="17"/>
        <v>#N/A</v>
      </c>
    </row>
    <row r="1118" spans="1:4" x14ac:dyDescent="0.2">
      <c r="A1118">
        <f>'Fichas clínicas'!A1118</f>
        <v>1120</v>
      </c>
      <c r="B1118" t="str">
        <f>'Fichas clínicas'!B1118</f>
        <v>21393686-7</v>
      </c>
      <c r="C1118" t="str">
        <f>VLOOKUP(paciente_tutor!B1118,clientes!A1118:B2699,2,FALSE)</f>
        <v>FELIPE</v>
      </c>
      <c r="D1118" t="str">
        <f t="shared" si="17"/>
        <v>21393686-7</v>
      </c>
    </row>
    <row r="1119" spans="1:4" x14ac:dyDescent="0.2">
      <c r="A1119">
        <f>'Fichas clínicas'!A1119</f>
        <v>1121</v>
      </c>
      <c r="B1119" t="str">
        <f>'Fichas clínicas'!B1119</f>
        <v>12431322-8</v>
      </c>
      <c r="C1119" t="e">
        <f>VLOOKUP(paciente_tutor!B1119,clientes!A1119:B2700,2,FALSE)</f>
        <v>#N/A</v>
      </c>
      <c r="D1119" t="e">
        <f t="shared" si="17"/>
        <v>#N/A</v>
      </c>
    </row>
    <row r="1120" spans="1:4" x14ac:dyDescent="0.2">
      <c r="A1120">
        <f>'Fichas clínicas'!A1120</f>
        <v>1122</v>
      </c>
      <c r="B1120" t="str">
        <f>'Fichas clínicas'!B1120</f>
        <v>18776035-6</v>
      </c>
      <c r="C1120" t="e">
        <f>VLOOKUP(paciente_tutor!B1120,clientes!A1120:B2701,2,FALSE)</f>
        <v>#N/A</v>
      </c>
      <c r="D1120" t="e">
        <f t="shared" si="17"/>
        <v>#N/A</v>
      </c>
    </row>
    <row r="1121" spans="1:4" x14ac:dyDescent="0.2">
      <c r="A1121">
        <f>'Fichas clínicas'!A1121</f>
        <v>1123</v>
      </c>
      <c r="B1121" t="str">
        <f>'Fichas clínicas'!B1121</f>
        <v>20536392-0</v>
      </c>
      <c r="C1121" t="str">
        <f>VLOOKUP(paciente_tutor!B1121,clientes!A1121:B2702,2,FALSE)</f>
        <v>Ignacio Edandi</v>
      </c>
      <c r="D1121" t="str">
        <f t="shared" si="17"/>
        <v>20536392-0</v>
      </c>
    </row>
    <row r="1122" spans="1:4" x14ac:dyDescent="0.2">
      <c r="A1122">
        <f>'Fichas clínicas'!A1122</f>
        <v>1124</v>
      </c>
      <c r="B1122" t="str">
        <f>'Fichas clínicas'!B1122</f>
        <v>21562472-2</v>
      </c>
      <c r="C1122" t="str">
        <f>VLOOKUP(paciente_tutor!B1122,clientes!A1122:B2703,2,FALSE)</f>
        <v>VALENTINA</v>
      </c>
      <c r="D1122" t="str">
        <f t="shared" si="17"/>
        <v>21562472-2</v>
      </c>
    </row>
    <row r="1123" spans="1:4" x14ac:dyDescent="0.2">
      <c r="A1123">
        <f>'Fichas clínicas'!A1123</f>
        <v>1125</v>
      </c>
      <c r="B1123" t="str">
        <f>'Fichas clínicas'!B1123</f>
        <v>18815199-k</v>
      </c>
      <c r="C1123" t="e">
        <f>VLOOKUP(paciente_tutor!B1123,clientes!A1123:B2704,2,FALSE)</f>
        <v>#N/A</v>
      </c>
      <c r="D1123" t="e">
        <f t="shared" si="17"/>
        <v>#N/A</v>
      </c>
    </row>
    <row r="1124" spans="1:4" x14ac:dyDescent="0.2">
      <c r="A1124">
        <f>'Fichas clínicas'!A1124</f>
        <v>1126</v>
      </c>
      <c r="B1124" t="str">
        <f>'Fichas clínicas'!B1124</f>
        <v>20315810-6</v>
      </c>
      <c r="C1124" t="str">
        <f>VLOOKUP(paciente_tutor!B1124,clientes!A1124:B2705,2,FALSE)</f>
        <v>THIARE</v>
      </c>
      <c r="D1124" t="str">
        <f t="shared" si="17"/>
        <v>20315810-6</v>
      </c>
    </row>
    <row r="1125" spans="1:4" x14ac:dyDescent="0.2">
      <c r="A1125">
        <f>'Fichas clínicas'!A1125</f>
        <v>1127</v>
      </c>
      <c r="B1125" t="str">
        <f>'Fichas clínicas'!B1125</f>
        <v>12200500-3</v>
      </c>
      <c r="C1125" t="e">
        <f>VLOOKUP(paciente_tutor!B1125,clientes!A1125:B2706,2,FALSE)</f>
        <v>#N/A</v>
      </c>
      <c r="D1125" t="e">
        <f t="shared" si="17"/>
        <v>#N/A</v>
      </c>
    </row>
    <row r="1126" spans="1:4" x14ac:dyDescent="0.2">
      <c r="A1126">
        <f>'Fichas clínicas'!A1126</f>
        <v>1128</v>
      </c>
      <c r="B1126" t="str">
        <f>'Fichas clínicas'!B1126</f>
        <v>19938824-k</v>
      </c>
      <c r="C1126" t="str">
        <f>VLOOKUP(paciente_tutor!B1126,clientes!A1126:B2707,2,FALSE)</f>
        <v>Siamara Aracely</v>
      </c>
      <c r="D1126" t="str">
        <f t="shared" si="17"/>
        <v>19938824-k</v>
      </c>
    </row>
    <row r="1127" spans="1:4" x14ac:dyDescent="0.2">
      <c r="A1127">
        <f>'Fichas clínicas'!A1127</f>
        <v>1129</v>
      </c>
      <c r="B1127" t="str">
        <f>'Fichas clínicas'!B1127</f>
        <v>19938824-k</v>
      </c>
      <c r="C1127" t="str">
        <f>VLOOKUP(paciente_tutor!B1127,clientes!A1127:B2708,2,FALSE)</f>
        <v>Siamara Aracely</v>
      </c>
      <c r="D1127" t="str">
        <f t="shared" si="17"/>
        <v>19938824-k</v>
      </c>
    </row>
    <row r="1128" spans="1:4" x14ac:dyDescent="0.2">
      <c r="A1128">
        <f>'Fichas clínicas'!A1128</f>
        <v>1130</v>
      </c>
      <c r="B1128" t="str">
        <f>'Fichas clínicas'!B1128</f>
        <v>9965035-4</v>
      </c>
      <c r="C1128" t="str">
        <f>VLOOKUP(paciente_tutor!B1128,clientes!A1128:B2709,2,FALSE)</f>
        <v>MARISOL</v>
      </c>
      <c r="D1128" t="str">
        <f t="shared" si="17"/>
        <v>9965035-4</v>
      </c>
    </row>
    <row r="1129" spans="1:4" x14ac:dyDescent="0.2">
      <c r="A1129">
        <f>'Fichas clínicas'!A1129</f>
        <v>1131</v>
      </c>
      <c r="B1129" t="str">
        <f>'Fichas clínicas'!B1129</f>
        <v>12747820-1</v>
      </c>
      <c r="C1129" t="e">
        <f>VLOOKUP(paciente_tutor!B1129,clientes!A1129:B2710,2,FALSE)</f>
        <v>#N/A</v>
      </c>
      <c r="D1129" t="e">
        <f t="shared" si="17"/>
        <v>#N/A</v>
      </c>
    </row>
    <row r="1130" spans="1:4" x14ac:dyDescent="0.2">
      <c r="A1130">
        <f>'Fichas clínicas'!A1130</f>
        <v>1132</v>
      </c>
      <c r="B1130" t="str">
        <f>'Fichas clínicas'!B1130</f>
        <v>18775738-k</v>
      </c>
      <c r="C1130" t="e">
        <f>VLOOKUP(paciente_tutor!B1130,clientes!A1130:B2711,2,FALSE)</f>
        <v>#N/A</v>
      </c>
      <c r="D1130" t="e">
        <f t="shared" si="17"/>
        <v>#N/A</v>
      </c>
    </row>
    <row r="1131" spans="1:4" x14ac:dyDescent="0.2">
      <c r="A1131">
        <f>'Fichas clínicas'!A1131</f>
        <v>1133</v>
      </c>
      <c r="B1131" t="str">
        <f>'Fichas clínicas'!B1131</f>
        <v>11920653-7</v>
      </c>
      <c r="C1131" t="e">
        <f>VLOOKUP(paciente_tutor!B1131,clientes!A1131:B2712,2,FALSE)</f>
        <v>#N/A</v>
      </c>
      <c r="D1131" t="e">
        <f t="shared" si="17"/>
        <v>#N/A</v>
      </c>
    </row>
    <row r="1132" spans="1:4" x14ac:dyDescent="0.2">
      <c r="A1132">
        <f>'Fichas clínicas'!A1132</f>
        <v>1134</v>
      </c>
      <c r="B1132" t="str">
        <f>'Fichas clínicas'!B1132</f>
        <v>15755580-4</v>
      </c>
      <c r="C1132" t="e">
        <f>VLOOKUP(paciente_tutor!B1132,clientes!A1132:B2713,2,FALSE)</f>
        <v>#N/A</v>
      </c>
      <c r="D1132" t="e">
        <f t="shared" si="17"/>
        <v>#N/A</v>
      </c>
    </row>
    <row r="1133" spans="1:4" x14ac:dyDescent="0.2">
      <c r="A1133">
        <f>'Fichas clínicas'!A1133</f>
        <v>1135</v>
      </c>
      <c r="B1133" t="str">
        <f>'Fichas clínicas'!B1133</f>
        <v>22122701-8</v>
      </c>
      <c r="C1133" t="str">
        <f>VLOOKUP(paciente_tutor!B1133,clientes!A1133:B2714,2,FALSE)</f>
        <v>Antonia</v>
      </c>
      <c r="D1133" t="str">
        <f t="shared" si="17"/>
        <v>22122701-8</v>
      </c>
    </row>
    <row r="1134" spans="1:4" x14ac:dyDescent="0.2">
      <c r="A1134">
        <f>'Fichas clínicas'!A1134</f>
        <v>1136</v>
      </c>
      <c r="B1134" t="str">
        <f>'Fichas clínicas'!B1134</f>
        <v>16805707-5</v>
      </c>
      <c r="C1134" t="e">
        <f>VLOOKUP(paciente_tutor!B1134,clientes!A1134:B2715,2,FALSE)</f>
        <v>#N/A</v>
      </c>
      <c r="D1134" t="e">
        <f t="shared" si="17"/>
        <v>#N/A</v>
      </c>
    </row>
    <row r="1135" spans="1:4" x14ac:dyDescent="0.2">
      <c r="A1135">
        <f>'Fichas clínicas'!A1135</f>
        <v>1137</v>
      </c>
      <c r="B1135" t="str">
        <f>'Fichas clínicas'!B1135</f>
        <v>15025021-8</v>
      </c>
      <c r="C1135" t="e">
        <f>VLOOKUP(paciente_tutor!B1135,clientes!A1135:B2716,2,FALSE)</f>
        <v>#N/A</v>
      </c>
      <c r="D1135" t="e">
        <f t="shared" si="17"/>
        <v>#N/A</v>
      </c>
    </row>
    <row r="1136" spans="1:4" x14ac:dyDescent="0.2">
      <c r="A1136">
        <f>'Fichas clínicas'!A1136</f>
        <v>1138</v>
      </c>
      <c r="B1136" t="str">
        <f>'Fichas clínicas'!B1136</f>
        <v>18097718-k</v>
      </c>
      <c r="C1136" t="e">
        <f>VLOOKUP(paciente_tutor!B1136,clientes!A1136:B2717,2,FALSE)</f>
        <v>#N/A</v>
      </c>
      <c r="D1136" t="e">
        <f t="shared" si="17"/>
        <v>#N/A</v>
      </c>
    </row>
    <row r="1137" spans="1:4" x14ac:dyDescent="0.2">
      <c r="A1137">
        <f>'Fichas clínicas'!A1137</f>
        <v>1139</v>
      </c>
      <c r="B1137" t="str">
        <f>'Fichas clínicas'!B1137</f>
        <v>14080833-4</v>
      </c>
      <c r="C1137" t="e">
        <f>VLOOKUP(paciente_tutor!B1137,clientes!A1137:B2718,2,FALSE)</f>
        <v>#N/A</v>
      </c>
      <c r="D1137" t="e">
        <f t="shared" si="17"/>
        <v>#N/A</v>
      </c>
    </row>
    <row r="1138" spans="1:4" x14ac:dyDescent="0.2">
      <c r="A1138">
        <f>'Fichas clínicas'!A1138</f>
        <v>1140</v>
      </c>
      <c r="B1138" t="str">
        <f>'Fichas clínicas'!B1138</f>
        <v>13971162-9</v>
      </c>
      <c r="C1138" t="e">
        <f>VLOOKUP(paciente_tutor!B1138,clientes!A1138:B2719,2,FALSE)</f>
        <v>#N/A</v>
      </c>
      <c r="D1138" t="e">
        <f t="shared" si="17"/>
        <v>#N/A</v>
      </c>
    </row>
    <row r="1139" spans="1:4" x14ac:dyDescent="0.2">
      <c r="A1139">
        <f>'Fichas clínicas'!A1139</f>
        <v>1141</v>
      </c>
      <c r="B1139" t="str">
        <f>'Fichas clínicas'!B1139</f>
        <v>21006363-3</v>
      </c>
      <c r="C1139" t="str">
        <f>VLOOKUP(paciente_tutor!B1139,clientes!A1139:B2720,2,FALSE)</f>
        <v>Mario Isaias</v>
      </c>
      <c r="D1139" t="str">
        <f t="shared" si="17"/>
        <v>21006363-3</v>
      </c>
    </row>
    <row r="1140" spans="1:4" x14ac:dyDescent="0.2">
      <c r="A1140">
        <f>'Fichas clínicas'!A1140</f>
        <v>1142</v>
      </c>
      <c r="B1140" t="str">
        <f>'Fichas clínicas'!B1140</f>
        <v>19248224-0</v>
      </c>
      <c r="C1140" t="e">
        <f>VLOOKUP(paciente_tutor!B1140,clientes!A1140:B2721,2,FALSE)</f>
        <v>#N/A</v>
      </c>
      <c r="D1140" t="e">
        <f t="shared" si="17"/>
        <v>#N/A</v>
      </c>
    </row>
    <row r="1141" spans="1:4" x14ac:dyDescent="0.2">
      <c r="A1141">
        <f>'Fichas clínicas'!A1141</f>
        <v>1143</v>
      </c>
      <c r="B1141" t="str">
        <f>'Fichas clínicas'!B1141</f>
        <v>9522525-K</v>
      </c>
      <c r="C1141" t="str">
        <f>VLOOKUP(paciente_tutor!B1141,clientes!A1141:B2722,2,FALSE)</f>
        <v>Rodrigo</v>
      </c>
      <c r="D1141" t="str">
        <f t="shared" si="17"/>
        <v>9522525-K</v>
      </c>
    </row>
    <row r="1142" spans="1:4" x14ac:dyDescent="0.2">
      <c r="A1142">
        <f>'Fichas clínicas'!A1142</f>
        <v>1144</v>
      </c>
      <c r="B1142" t="str">
        <f>'Fichas clínicas'!B1142</f>
        <v>9132336-2</v>
      </c>
      <c r="C1142" t="str">
        <f>VLOOKUP(paciente_tutor!B1142,clientes!A1142:B2723,2,FALSE)</f>
        <v>SAndra Olga</v>
      </c>
      <c r="D1142" t="str">
        <f t="shared" si="17"/>
        <v>9132336-2</v>
      </c>
    </row>
    <row r="1143" spans="1:4" x14ac:dyDescent="0.2">
      <c r="A1143">
        <f>'Fichas clínicas'!A1143</f>
        <v>1145</v>
      </c>
      <c r="B1143" t="str">
        <f>'Fichas clínicas'!B1143</f>
        <v>6172766-3</v>
      </c>
      <c r="C1143" t="str">
        <f>VLOOKUP(paciente_tutor!B1143,clientes!A1143:B2724,2,FALSE)</f>
        <v>Maria Del Carmen</v>
      </c>
      <c r="D1143" t="str">
        <f t="shared" si="17"/>
        <v>6172766-3</v>
      </c>
    </row>
    <row r="1144" spans="1:4" x14ac:dyDescent="0.2">
      <c r="A1144">
        <f>'Fichas clínicas'!A1144</f>
        <v>1146</v>
      </c>
      <c r="B1144" t="str">
        <f>'Fichas clínicas'!B1144</f>
        <v>13846650-7</v>
      </c>
      <c r="C1144" t="e">
        <f>VLOOKUP(paciente_tutor!B1144,clientes!A1144:B2725,2,FALSE)</f>
        <v>#N/A</v>
      </c>
      <c r="D1144" t="e">
        <f t="shared" si="17"/>
        <v>#N/A</v>
      </c>
    </row>
    <row r="1145" spans="1:4" x14ac:dyDescent="0.2">
      <c r="A1145">
        <f>'Fichas clínicas'!A1145</f>
        <v>1147</v>
      </c>
      <c r="B1145" t="str">
        <f>'Fichas clínicas'!B1145</f>
        <v>8097984-3</v>
      </c>
      <c r="C1145" t="str">
        <f>VLOOKUP(paciente_tutor!B1145,clientes!A1145:B2726,2,FALSE)</f>
        <v>Esmerita</v>
      </c>
      <c r="D1145" t="str">
        <f t="shared" si="17"/>
        <v>8097984-3</v>
      </c>
    </row>
    <row r="1146" spans="1:4" x14ac:dyDescent="0.2">
      <c r="A1146">
        <f>'Fichas clínicas'!A1146</f>
        <v>1148</v>
      </c>
      <c r="B1146" t="str">
        <f>'Fichas clínicas'!B1146</f>
        <v>15234311-6</v>
      </c>
      <c r="C1146" t="e">
        <f>VLOOKUP(paciente_tutor!B1146,clientes!A1146:B2727,2,FALSE)</f>
        <v>#N/A</v>
      </c>
      <c r="D1146" t="e">
        <f t="shared" si="17"/>
        <v>#N/A</v>
      </c>
    </row>
    <row r="1147" spans="1:4" x14ac:dyDescent="0.2">
      <c r="A1147">
        <f>'Fichas clínicas'!A1147</f>
        <v>1149</v>
      </c>
      <c r="B1147" t="str">
        <f>'Fichas clínicas'!B1147</f>
        <v>15294267-2</v>
      </c>
      <c r="C1147" t="e">
        <f>VLOOKUP(paciente_tutor!B1147,clientes!A1147:B2728,2,FALSE)</f>
        <v>#N/A</v>
      </c>
      <c r="D1147" t="e">
        <f t="shared" si="17"/>
        <v>#N/A</v>
      </c>
    </row>
    <row r="1148" spans="1:4" x14ac:dyDescent="0.2">
      <c r="A1148">
        <f>'Fichas clínicas'!A1148</f>
        <v>1150</v>
      </c>
      <c r="B1148" t="str">
        <f>'Fichas clínicas'!B1148</f>
        <v>18775610-3</v>
      </c>
      <c r="C1148" t="e">
        <f>VLOOKUP(paciente_tutor!B1148,clientes!A1148:B2729,2,FALSE)</f>
        <v>#N/A</v>
      </c>
      <c r="D1148" t="e">
        <f t="shared" si="17"/>
        <v>#N/A</v>
      </c>
    </row>
    <row r="1149" spans="1:4" x14ac:dyDescent="0.2">
      <c r="A1149">
        <f>'Fichas clínicas'!A1149</f>
        <v>1151</v>
      </c>
      <c r="B1149" t="str">
        <f>'Fichas clínicas'!B1149</f>
        <v>26187713-9</v>
      </c>
      <c r="C1149" t="str">
        <f>VLOOKUP(paciente_tutor!B1149,clientes!A1149:B2730,2,FALSE)</f>
        <v>DANIELA</v>
      </c>
      <c r="D1149" t="str">
        <f t="shared" si="17"/>
        <v>26187713-9</v>
      </c>
    </row>
    <row r="1150" spans="1:4" x14ac:dyDescent="0.2">
      <c r="A1150">
        <f>'Fichas clínicas'!A1150</f>
        <v>1152</v>
      </c>
      <c r="B1150" t="str">
        <f>'Fichas clínicas'!B1150</f>
        <v>15262088-8</v>
      </c>
      <c r="C1150" t="e">
        <f>VLOOKUP(paciente_tutor!B1150,clientes!A1150:B2731,2,FALSE)</f>
        <v>#N/A</v>
      </c>
      <c r="D1150" t="e">
        <f t="shared" si="17"/>
        <v>#N/A</v>
      </c>
    </row>
    <row r="1151" spans="1:4" x14ac:dyDescent="0.2">
      <c r="A1151">
        <f>'Fichas clínicas'!A1151</f>
        <v>1153</v>
      </c>
      <c r="B1151" t="str">
        <f>'Fichas clínicas'!B1151</f>
        <v>20016790-2</v>
      </c>
      <c r="C1151" t="str">
        <f>VLOOKUP(paciente_tutor!B1151,clientes!A1151:B2732,2,FALSE)</f>
        <v>Natassja Teresita</v>
      </c>
      <c r="D1151" t="str">
        <f t="shared" si="17"/>
        <v>20016790-2</v>
      </c>
    </row>
    <row r="1152" spans="1:4" x14ac:dyDescent="0.2">
      <c r="A1152">
        <f>'Fichas clínicas'!A1152</f>
        <v>1154</v>
      </c>
      <c r="B1152" t="str">
        <f>'Fichas clínicas'!B1152</f>
        <v>15502320-1</v>
      </c>
      <c r="C1152" t="e">
        <f>VLOOKUP(paciente_tutor!B1152,clientes!A1152:B2733,2,FALSE)</f>
        <v>#N/A</v>
      </c>
      <c r="D1152" t="e">
        <f t="shared" si="17"/>
        <v>#N/A</v>
      </c>
    </row>
    <row r="1153" spans="1:4" x14ac:dyDescent="0.2">
      <c r="A1153">
        <f>'Fichas clínicas'!A1153</f>
        <v>1155</v>
      </c>
      <c r="B1153" t="str">
        <f>'Fichas clínicas'!B1153</f>
        <v>18289599-7</v>
      </c>
      <c r="C1153" t="e">
        <f>VLOOKUP(paciente_tutor!B1153,clientes!A1153:B2734,2,FALSE)</f>
        <v>#N/A</v>
      </c>
      <c r="D1153" t="e">
        <f t="shared" si="17"/>
        <v>#N/A</v>
      </c>
    </row>
    <row r="1154" spans="1:4" x14ac:dyDescent="0.2">
      <c r="A1154">
        <f>'Fichas clínicas'!A1154</f>
        <v>1156</v>
      </c>
      <c r="B1154" t="str">
        <f>'Fichas clínicas'!B1154</f>
        <v>15384822-K</v>
      </c>
      <c r="C1154" t="e">
        <f>VLOOKUP(paciente_tutor!B1154,clientes!A1154:B2735,2,FALSE)</f>
        <v>#N/A</v>
      </c>
      <c r="D1154" t="e">
        <f t="shared" si="17"/>
        <v>#N/A</v>
      </c>
    </row>
    <row r="1155" spans="1:4" x14ac:dyDescent="0.2">
      <c r="A1155">
        <f>'Fichas clínicas'!A1155</f>
        <v>1157</v>
      </c>
      <c r="B1155" t="str">
        <f>'Fichas clínicas'!B1155</f>
        <v>18776454-8</v>
      </c>
      <c r="C1155" t="e">
        <f>VLOOKUP(paciente_tutor!B1155,clientes!A1155:B2736,2,FALSE)</f>
        <v>#N/A</v>
      </c>
      <c r="D1155" t="e">
        <f t="shared" ref="D1155:D1218" si="18">IF(C1155="#N/A","",B1155)</f>
        <v>#N/A</v>
      </c>
    </row>
    <row r="1156" spans="1:4" x14ac:dyDescent="0.2">
      <c r="A1156">
        <f>'Fichas clínicas'!A1156</f>
        <v>1158</v>
      </c>
      <c r="B1156" t="str">
        <f>'Fichas clínicas'!B1156</f>
        <v>16464492-8</v>
      </c>
      <c r="C1156" t="e">
        <f>VLOOKUP(paciente_tutor!B1156,clientes!A1156:B2737,2,FALSE)</f>
        <v>#N/A</v>
      </c>
      <c r="D1156" t="e">
        <f t="shared" si="18"/>
        <v>#N/A</v>
      </c>
    </row>
    <row r="1157" spans="1:4" x14ac:dyDescent="0.2">
      <c r="A1157">
        <f>'Fichas clínicas'!A1157</f>
        <v>1159</v>
      </c>
      <c r="B1157" t="str">
        <f>'Fichas clínicas'!B1157</f>
        <v>20135146-4</v>
      </c>
      <c r="C1157" t="str">
        <f>VLOOKUP(paciente_tutor!B1157,clientes!A1157:B2738,2,FALSE)</f>
        <v>JAVIERA</v>
      </c>
      <c r="D1157" t="str">
        <f t="shared" si="18"/>
        <v>20135146-4</v>
      </c>
    </row>
    <row r="1158" spans="1:4" x14ac:dyDescent="0.2">
      <c r="A1158">
        <f>'Fichas clínicas'!A1158</f>
        <v>1160</v>
      </c>
      <c r="B1158" t="str">
        <f>'Fichas clínicas'!B1158</f>
        <v>15548578-7</v>
      </c>
      <c r="C1158" t="e">
        <f>VLOOKUP(paciente_tutor!B1158,clientes!A1158:B2739,2,FALSE)</f>
        <v>#N/A</v>
      </c>
      <c r="D1158" t="e">
        <f t="shared" si="18"/>
        <v>#N/A</v>
      </c>
    </row>
    <row r="1159" spans="1:4" x14ac:dyDescent="0.2">
      <c r="A1159">
        <f>'Fichas clínicas'!A1159</f>
        <v>1161</v>
      </c>
      <c r="B1159" t="str">
        <f>'Fichas clínicas'!B1159</f>
        <v>12337268-9</v>
      </c>
      <c r="C1159" t="e">
        <f>VLOOKUP(paciente_tutor!B1159,clientes!A1159:B2740,2,FALSE)</f>
        <v>#N/A</v>
      </c>
      <c r="D1159" t="e">
        <f t="shared" si="18"/>
        <v>#N/A</v>
      </c>
    </row>
    <row r="1160" spans="1:4" x14ac:dyDescent="0.2">
      <c r="A1160">
        <f>'Fichas clínicas'!A1160</f>
        <v>1162</v>
      </c>
      <c r="B1160" t="str">
        <f>'Fichas clínicas'!B1160</f>
        <v>18424233-8</v>
      </c>
      <c r="C1160" t="e">
        <f>VLOOKUP(paciente_tutor!B1160,clientes!A1160:B2741,2,FALSE)</f>
        <v>#N/A</v>
      </c>
      <c r="D1160" t="e">
        <f t="shared" si="18"/>
        <v>#N/A</v>
      </c>
    </row>
    <row r="1161" spans="1:4" x14ac:dyDescent="0.2">
      <c r="A1161">
        <f>'Fichas clínicas'!A1161</f>
        <v>1163</v>
      </c>
      <c r="B1161" t="str">
        <f>'Fichas clínicas'!B1161</f>
        <v>12993628-2</v>
      </c>
      <c r="C1161" t="e">
        <f>VLOOKUP(paciente_tutor!B1161,clientes!A1161:B2742,2,FALSE)</f>
        <v>#N/A</v>
      </c>
      <c r="D1161" t="e">
        <f t="shared" si="18"/>
        <v>#N/A</v>
      </c>
    </row>
    <row r="1162" spans="1:4" x14ac:dyDescent="0.2">
      <c r="A1162">
        <f>'Fichas clínicas'!A1162</f>
        <v>1164</v>
      </c>
      <c r="B1162" t="str">
        <f>'Fichas clínicas'!B1162</f>
        <v>20773300-8</v>
      </c>
      <c r="C1162" t="str">
        <f>VLOOKUP(paciente_tutor!B1162,clientes!A1162:B2743,2,FALSE)</f>
        <v>Richard Alejandro</v>
      </c>
      <c r="D1162" t="str">
        <f t="shared" si="18"/>
        <v>20773300-8</v>
      </c>
    </row>
    <row r="1163" spans="1:4" x14ac:dyDescent="0.2">
      <c r="A1163">
        <f>'Fichas clínicas'!A1163</f>
        <v>1165</v>
      </c>
      <c r="B1163" t="str">
        <f>'Fichas clínicas'!B1163</f>
        <v>13521498-1</v>
      </c>
      <c r="C1163" t="e">
        <f>VLOOKUP(paciente_tutor!B1163,clientes!A1163:B2744,2,FALSE)</f>
        <v>#N/A</v>
      </c>
      <c r="D1163" t="e">
        <f t="shared" si="18"/>
        <v>#N/A</v>
      </c>
    </row>
    <row r="1164" spans="1:4" x14ac:dyDescent="0.2">
      <c r="A1164">
        <f>'Fichas clínicas'!A1164</f>
        <v>1166</v>
      </c>
      <c r="B1164" t="str">
        <f>'Fichas clínicas'!B1164</f>
        <v>19313501-3</v>
      </c>
      <c r="C1164" t="e">
        <f>VLOOKUP(paciente_tutor!B1164,clientes!A1164:B2745,2,FALSE)</f>
        <v>#N/A</v>
      </c>
      <c r="D1164" t="e">
        <f t="shared" si="18"/>
        <v>#N/A</v>
      </c>
    </row>
    <row r="1165" spans="1:4" x14ac:dyDescent="0.2">
      <c r="A1165">
        <f>'Fichas clínicas'!A1165</f>
        <v>1167</v>
      </c>
      <c r="B1165" t="str">
        <f>'Fichas clínicas'!B1165</f>
        <v>14598159-k</v>
      </c>
      <c r="C1165" t="e">
        <f>VLOOKUP(paciente_tutor!B1165,clientes!A1165:B2746,2,FALSE)</f>
        <v>#N/A</v>
      </c>
      <c r="D1165" t="e">
        <f t="shared" si="18"/>
        <v>#N/A</v>
      </c>
    </row>
    <row r="1166" spans="1:4" x14ac:dyDescent="0.2">
      <c r="A1166">
        <f>'Fichas clínicas'!A1166</f>
        <v>1168</v>
      </c>
      <c r="B1166" t="str">
        <f>'Fichas clínicas'!B1166</f>
        <v>15547930-2</v>
      </c>
      <c r="C1166" t="e">
        <f>VLOOKUP(paciente_tutor!B1166,clientes!A1166:B2747,2,FALSE)</f>
        <v>#N/A</v>
      </c>
      <c r="D1166" t="e">
        <f t="shared" si="18"/>
        <v>#N/A</v>
      </c>
    </row>
    <row r="1167" spans="1:4" x14ac:dyDescent="0.2">
      <c r="A1167">
        <f>'Fichas clínicas'!A1167</f>
        <v>1169</v>
      </c>
      <c r="B1167" t="str">
        <f>'Fichas clínicas'!B1167</f>
        <v>18590615-9</v>
      </c>
      <c r="C1167" t="e">
        <f>VLOOKUP(paciente_tutor!B1167,clientes!A1167:B2748,2,FALSE)</f>
        <v>#N/A</v>
      </c>
      <c r="D1167" t="e">
        <f t="shared" si="18"/>
        <v>#N/A</v>
      </c>
    </row>
    <row r="1168" spans="1:4" x14ac:dyDescent="0.2">
      <c r="A1168">
        <f>'Fichas clínicas'!A1168</f>
        <v>1170</v>
      </c>
      <c r="B1168" t="str">
        <f>'Fichas clínicas'!B1168</f>
        <v>13521498-1</v>
      </c>
      <c r="C1168" t="e">
        <f>VLOOKUP(paciente_tutor!B1168,clientes!A1168:B2749,2,FALSE)</f>
        <v>#N/A</v>
      </c>
      <c r="D1168" t="e">
        <f t="shared" si="18"/>
        <v>#N/A</v>
      </c>
    </row>
    <row r="1169" spans="1:4" x14ac:dyDescent="0.2">
      <c r="A1169">
        <f>'Fichas clínicas'!A1169</f>
        <v>1171</v>
      </c>
      <c r="B1169" t="str">
        <f>'Fichas clínicas'!B1169</f>
        <v>6688520-8</v>
      </c>
      <c r="C1169" t="str">
        <f>VLOOKUP(paciente_tutor!B1169,clientes!A1169:B2750,2,FALSE)</f>
        <v>Hugo Alejandro</v>
      </c>
      <c r="D1169" t="str">
        <f t="shared" si="18"/>
        <v>6688520-8</v>
      </c>
    </row>
    <row r="1170" spans="1:4" x14ac:dyDescent="0.2">
      <c r="A1170">
        <f>'Fichas clínicas'!A1170</f>
        <v>1172</v>
      </c>
      <c r="B1170" t="str">
        <f>'Fichas clínicas'!B1170</f>
        <v>18886545-3</v>
      </c>
      <c r="C1170" t="e">
        <f>VLOOKUP(paciente_tutor!B1170,clientes!A1170:B2751,2,FALSE)</f>
        <v>#N/A</v>
      </c>
      <c r="D1170" t="e">
        <f t="shared" si="18"/>
        <v>#N/A</v>
      </c>
    </row>
    <row r="1171" spans="1:4" x14ac:dyDescent="0.2">
      <c r="A1171">
        <f>'Fichas clínicas'!A1171</f>
        <v>1173</v>
      </c>
      <c r="B1171" t="str">
        <f>'Fichas clínicas'!B1171</f>
        <v>12994482-k</v>
      </c>
      <c r="C1171" t="e">
        <f>VLOOKUP(paciente_tutor!B1171,clientes!A1171:B2752,2,FALSE)</f>
        <v>#N/A</v>
      </c>
      <c r="D1171" t="e">
        <f t="shared" si="18"/>
        <v>#N/A</v>
      </c>
    </row>
    <row r="1172" spans="1:4" x14ac:dyDescent="0.2">
      <c r="A1172">
        <f>'Fichas clínicas'!A1172</f>
        <v>1174</v>
      </c>
      <c r="B1172" t="str">
        <f>'Fichas clínicas'!B1172</f>
        <v>16320350-2</v>
      </c>
      <c r="C1172" t="e">
        <f>VLOOKUP(paciente_tutor!B1172,clientes!A1172:B2753,2,FALSE)</f>
        <v>#N/A</v>
      </c>
      <c r="D1172" t="e">
        <f t="shared" si="18"/>
        <v>#N/A</v>
      </c>
    </row>
    <row r="1173" spans="1:4" x14ac:dyDescent="0.2">
      <c r="A1173">
        <f>'Fichas clínicas'!A1173</f>
        <v>1175</v>
      </c>
      <c r="B1173" t="str">
        <f>'Fichas clínicas'!B1173</f>
        <v>17693479-4</v>
      </c>
      <c r="C1173" t="e">
        <f>VLOOKUP(paciente_tutor!B1173,clientes!A1173:B2754,2,FALSE)</f>
        <v>#N/A</v>
      </c>
      <c r="D1173" t="e">
        <f t="shared" si="18"/>
        <v>#N/A</v>
      </c>
    </row>
    <row r="1174" spans="1:4" x14ac:dyDescent="0.2">
      <c r="A1174">
        <f>'Fichas clínicas'!A1174</f>
        <v>1176</v>
      </c>
      <c r="B1174" t="str">
        <f>'Fichas clínicas'!B1174</f>
        <v>20314670-1</v>
      </c>
      <c r="C1174" t="str">
        <f>VLOOKUP(paciente_tutor!B1174,clientes!A1174:B2755,2,FALSE)</f>
        <v>SCARLETH</v>
      </c>
      <c r="D1174" t="str">
        <f t="shared" si="18"/>
        <v>20314670-1</v>
      </c>
    </row>
    <row r="1175" spans="1:4" x14ac:dyDescent="0.2">
      <c r="A1175">
        <f>'Fichas clínicas'!A1175</f>
        <v>1177</v>
      </c>
      <c r="B1175" t="str">
        <f>'Fichas clínicas'!B1175</f>
        <v>19248945-8</v>
      </c>
      <c r="C1175" t="e">
        <f>VLOOKUP(paciente_tutor!B1175,clientes!A1175:B2756,2,FALSE)</f>
        <v>#N/A</v>
      </c>
      <c r="D1175" t="e">
        <f t="shared" si="18"/>
        <v>#N/A</v>
      </c>
    </row>
    <row r="1176" spans="1:4" x14ac:dyDescent="0.2">
      <c r="A1176">
        <f>'Fichas clínicas'!A1176</f>
        <v>1178</v>
      </c>
      <c r="B1176" t="str">
        <f>'Fichas clínicas'!B1176</f>
        <v>15261499-3</v>
      </c>
      <c r="C1176" t="e">
        <f>VLOOKUP(paciente_tutor!B1176,clientes!A1176:B2757,2,FALSE)</f>
        <v>#N/A</v>
      </c>
      <c r="D1176" t="e">
        <f t="shared" si="18"/>
        <v>#N/A</v>
      </c>
    </row>
    <row r="1177" spans="1:4" x14ac:dyDescent="0.2">
      <c r="A1177">
        <f>'Fichas clínicas'!A1177</f>
        <v>1179</v>
      </c>
      <c r="B1177" t="str">
        <f>'Fichas clínicas'!B1177</f>
        <v>16320350-2</v>
      </c>
      <c r="C1177" t="e">
        <f>VLOOKUP(paciente_tutor!B1177,clientes!A1177:B2758,2,FALSE)</f>
        <v>#N/A</v>
      </c>
      <c r="D1177" t="e">
        <f t="shared" si="18"/>
        <v>#N/A</v>
      </c>
    </row>
    <row r="1178" spans="1:4" x14ac:dyDescent="0.2">
      <c r="A1178">
        <f>'Fichas clínicas'!A1178</f>
        <v>1180</v>
      </c>
      <c r="B1178" t="str">
        <f>'Fichas clínicas'!B1178</f>
        <v>14082853-K</v>
      </c>
      <c r="C1178" t="e">
        <f>VLOOKUP(paciente_tutor!B1178,clientes!A1178:B2759,2,FALSE)</f>
        <v>#N/A</v>
      </c>
      <c r="D1178" t="e">
        <f t="shared" si="18"/>
        <v>#N/A</v>
      </c>
    </row>
    <row r="1179" spans="1:4" x14ac:dyDescent="0.2">
      <c r="A1179">
        <f>'Fichas clínicas'!A1179</f>
        <v>1181</v>
      </c>
      <c r="B1179" t="str">
        <f>'Fichas clínicas'!B1179</f>
        <v>19898657-7</v>
      </c>
      <c r="C1179" t="e">
        <f>VLOOKUP(paciente_tutor!B1179,clientes!A1179:B2760,2,FALSE)</f>
        <v>#N/A</v>
      </c>
      <c r="D1179" t="e">
        <f t="shared" si="18"/>
        <v>#N/A</v>
      </c>
    </row>
    <row r="1180" spans="1:4" x14ac:dyDescent="0.2">
      <c r="A1180">
        <f>'Fichas clínicas'!A1180</f>
        <v>1182</v>
      </c>
      <c r="B1180" t="str">
        <f>'Fichas clínicas'!B1180</f>
        <v>15548041-6</v>
      </c>
      <c r="C1180" t="e">
        <f>VLOOKUP(paciente_tutor!B1180,clientes!A1180:B2761,2,FALSE)</f>
        <v>#N/A</v>
      </c>
      <c r="D1180" t="e">
        <f t="shared" si="18"/>
        <v>#N/A</v>
      </c>
    </row>
    <row r="1181" spans="1:4" x14ac:dyDescent="0.2">
      <c r="A1181">
        <f>'Fichas clínicas'!A1181</f>
        <v>1183</v>
      </c>
      <c r="B1181" t="str">
        <f>'Fichas clínicas'!B1181</f>
        <v>20134881-1</v>
      </c>
      <c r="C1181" t="str">
        <f>VLOOKUP(paciente_tutor!B1181,clientes!A1181:B2762,2,FALSE)</f>
        <v>CONSTANZA</v>
      </c>
      <c r="D1181" t="str">
        <f t="shared" si="18"/>
        <v>20134881-1</v>
      </c>
    </row>
    <row r="1182" spans="1:4" x14ac:dyDescent="0.2">
      <c r="A1182">
        <f>'Fichas clínicas'!A1182</f>
        <v>1184</v>
      </c>
      <c r="B1182" t="str">
        <f>'Fichas clínicas'!B1182</f>
        <v>17924520-5</v>
      </c>
      <c r="C1182" t="e">
        <f>VLOOKUP(paciente_tutor!B1182,clientes!A1182:B2763,2,FALSE)</f>
        <v>#N/A</v>
      </c>
      <c r="D1182" t="e">
        <f t="shared" si="18"/>
        <v>#N/A</v>
      </c>
    </row>
    <row r="1183" spans="1:4" x14ac:dyDescent="0.2">
      <c r="A1183">
        <f>'Fichas clínicas'!A1183</f>
        <v>1185</v>
      </c>
      <c r="B1183" t="str">
        <f>'Fichas clínicas'!B1183</f>
        <v>21036251-7</v>
      </c>
      <c r="C1183" t="str">
        <f>VLOOKUP(paciente_tutor!B1183,clientes!A1183:B2764,2,FALSE)</f>
        <v>Michael</v>
      </c>
      <c r="D1183" t="str">
        <f t="shared" si="18"/>
        <v>21036251-7</v>
      </c>
    </row>
    <row r="1184" spans="1:4" x14ac:dyDescent="0.2">
      <c r="A1184">
        <f>'Fichas clínicas'!A1184</f>
        <v>1186</v>
      </c>
      <c r="B1184" t="str">
        <f>'Fichas clínicas'!B1184</f>
        <v>19249580-6</v>
      </c>
      <c r="C1184" t="e">
        <f>VLOOKUP(paciente_tutor!B1184,clientes!A1184:B2765,2,FALSE)</f>
        <v>#N/A</v>
      </c>
      <c r="D1184" t="e">
        <f t="shared" si="18"/>
        <v>#N/A</v>
      </c>
    </row>
    <row r="1185" spans="1:4" x14ac:dyDescent="0.2">
      <c r="A1185">
        <f>'Fichas clínicas'!A1185</f>
        <v>1187</v>
      </c>
      <c r="B1185" t="str">
        <f>'Fichas clínicas'!B1185</f>
        <v>9655291-2</v>
      </c>
      <c r="C1185" t="str">
        <f>VLOOKUP(paciente_tutor!B1185,clientes!A1185:B2766,2,FALSE)</f>
        <v>ANA MARÍA</v>
      </c>
      <c r="D1185" t="str">
        <f t="shared" si="18"/>
        <v>9655291-2</v>
      </c>
    </row>
    <row r="1186" spans="1:4" x14ac:dyDescent="0.2">
      <c r="A1186">
        <f>'Fichas clínicas'!A1186</f>
        <v>1188</v>
      </c>
      <c r="B1186" t="str">
        <f>'Fichas clínicas'!B1186</f>
        <v>17043037-9</v>
      </c>
      <c r="C1186" t="e">
        <f>VLOOKUP(paciente_tutor!B1186,clientes!A1186:B2767,2,FALSE)</f>
        <v>#N/A</v>
      </c>
      <c r="D1186" t="e">
        <f t="shared" si="18"/>
        <v>#N/A</v>
      </c>
    </row>
    <row r="1187" spans="1:4" x14ac:dyDescent="0.2">
      <c r="A1187">
        <f>'Fichas clínicas'!A1187</f>
        <v>1189</v>
      </c>
      <c r="B1187" t="str">
        <f>'Fichas clínicas'!B1187</f>
        <v>16842348-9</v>
      </c>
      <c r="C1187" t="e">
        <f>VLOOKUP(paciente_tutor!B1187,clientes!A1187:B2768,2,FALSE)</f>
        <v>#N/A</v>
      </c>
      <c r="D1187" t="e">
        <f t="shared" si="18"/>
        <v>#N/A</v>
      </c>
    </row>
    <row r="1188" spans="1:4" x14ac:dyDescent="0.2">
      <c r="A1188">
        <f>'Fichas clínicas'!A1188</f>
        <v>1190</v>
      </c>
      <c r="B1188" t="str">
        <f>'Fichas clínicas'!B1188</f>
        <v>16159493-8</v>
      </c>
      <c r="C1188" t="e">
        <f>VLOOKUP(paciente_tutor!B1188,clientes!A1188:B2769,2,FALSE)</f>
        <v>#N/A</v>
      </c>
      <c r="D1188" t="e">
        <f t="shared" si="18"/>
        <v>#N/A</v>
      </c>
    </row>
    <row r="1189" spans="1:4" x14ac:dyDescent="0.2">
      <c r="A1189">
        <f>'Fichas clínicas'!A1189</f>
        <v>1191</v>
      </c>
      <c r="B1189" t="str">
        <f>'Fichas clínicas'!B1189</f>
        <v>15884342-0</v>
      </c>
      <c r="C1189" t="e">
        <f>VLOOKUP(paciente_tutor!B1189,clientes!A1189:B2770,2,FALSE)</f>
        <v>#N/A</v>
      </c>
      <c r="D1189" t="e">
        <f t="shared" si="18"/>
        <v>#N/A</v>
      </c>
    </row>
    <row r="1190" spans="1:4" x14ac:dyDescent="0.2">
      <c r="A1190">
        <f>'Fichas clínicas'!A1190</f>
        <v>1192</v>
      </c>
      <c r="B1190" t="str">
        <f>'Fichas clínicas'!B1190</f>
        <v>16805018-6</v>
      </c>
      <c r="C1190" t="e">
        <f>VLOOKUP(paciente_tutor!B1190,clientes!A1190:B2771,2,FALSE)</f>
        <v>#N/A</v>
      </c>
      <c r="D1190" t="e">
        <f t="shared" si="18"/>
        <v>#N/A</v>
      </c>
    </row>
    <row r="1191" spans="1:4" x14ac:dyDescent="0.2">
      <c r="A1191">
        <f>'Fichas clínicas'!A1191</f>
        <v>1193</v>
      </c>
      <c r="B1191" t="str">
        <f>'Fichas clínicas'!B1191</f>
        <v>8240920-3</v>
      </c>
      <c r="C1191" t="str">
        <f>VLOOKUP(paciente_tutor!B1191,clientes!A1191:B2772,2,FALSE)</f>
        <v>MARIA TERESA</v>
      </c>
      <c r="D1191" t="str">
        <f t="shared" si="18"/>
        <v>8240920-3</v>
      </c>
    </row>
    <row r="1192" spans="1:4" x14ac:dyDescent="0.2">
      <c r="A1192">
        <f>'Fichas clínicas'!A1192</f>
        <v>1194</v>
      </c>
      <c r="B1192" t="str">
        <f>'Fichas clínicas'!B1192</f>
        <v>19553835-2</v>
      </c>
      <c r="C1192" t="e">
        <f>VLOOKUP(paciente_tutor!B1192,clientes!A1192:B2773,2,FALSE)</f>
        <v>#N/A</v>
      </c>
      <c r="D1192" t="e">
        <f t="shared" si="18"/>
        <v>#N/A</v>
      </c>
    </row>
    <row r="1193" spans="1:4" x14ac:dyDescent="0.2">
      <c r="A1193">
        <f>'Fichas clínicas'!A1193</f>
        <v>1195</v>
      </c>
      <c r="B1193" t="str">
        <f>'Fichas clínicas'!B1193</f>
        <v>11920150-0</v>
      </c>
      <c r="C1193" t="e">
        <f>VLOOKUP(paciente_tutor!B1193,clientes!A1193:B2774,2,FALSE)</f>
        <v>#N/A</v>
      </c>
      <c r="D1193" t="e">
        <f t="shared" si="18"/>
        <v>#N/A</v>
      </c>
    </row>
    <row r="1194" spans="1:4" x14ac:dyDescent="0.2">
      <c r="A1194">
        <f>'Fichas clínicas'!A1194</f>
        <v>1196</v>
      </c>
      <c r="B1194" t="str">
        <f>'Fichas clínicas'!B1194</f>
        <v>17100185-4</v>
      </c>
      <c r="C1194" t="e">
        <f>VLOOKUP(paciente_tutor!B1194,clientes!A1194:B2775,2,FALSE)</f>
        <v>#N/A</v>
      </c>
      <c r="D1194" t="e">
        <f t="shared" si="18"/>
        <v>#N/A</v>
      </c>
    </row>
    <row r="1195" spans="1:4" x14ac:dyDescent="0.2">
      <c r="A1195">
        <f>'Fichas clínicas'!A1195</f>
        <v>1197</v>
      </c>
      <c r="B1195" t="str">
        <f>'Fichas clínicas'!B1195</f>
        <v>18888059-2</v>
      </c>
      <c r="C1195" t="e">
        <f>VLOOKUP(paciente_tutor!B1195,clientes!A1195:B2776,2,FALSE)</f>
        <v>#N/A</v>
      </c>
      <c r="D1195" t="e">
        <f t="shared" si="18"/>
        <v>#N/A</v>
      </c>
    </row>
    <row r="1196" spans="1:4" x14ac:dyDescent="0.2">
      <c r="A1196">
        <f>'Fichas clínicas'!A1196</f>
        <v>1198</v>
      </c>
      <c r="B1196" t="str">
        <f>'Fichas clínicas'!B1196</f>
        <v>15902557-8</v>
      </c>
      <c r="C1196" t="e">
        <f>VLOOKUP(paciente_tutor!B1196,clientes!A1196:B2777,2,FALSE)</f>
        <v>#N/A</v>
      </c>
      <c r="D1196" t="e">
        <f t="shared" si="18"/>
        <v>#N/A</v>
      </c>
    </row>
    <row r="1197" spans="1:4" x14ac:dyDescent="0.2">
      <c r="A1197">
        <f>'Fichas clínicas'!A1197</f>
        <v>1199</v>
      </c>
      <c r="B1197" t="str">
        <f>'Fichas clínicas'!B1197</f>
        <v>17594613-6</v>
      </c>
      <c r="C1197" t="e">
        <f>VLOOKUP(paciente_tutor!B1197,clientes!A1197:B2778,2,FALSE)</f>
        <v>#N/A</v>
      </c>
      <c r="D1197" t="e">
        <f t="shared" si="18"/>
        <v>#N/A</v>
      </c>
    </row>
    <row r="1198" spans="1:4" x14ac:dyDescent="0.2">
      <c r="A1198">
        <f>'Fichas clínicas'!A1198</f>
        <v>1200</v>
      </c>
      <c r="B1198" t="str">
        <f>'Fichas clínicas'!B1198</f>
        <v>16358338-0</v>
      </c>
      <c r="C1198" t="e">
        <f>VLOOKUP(paciente_tutor!B1198,clientes!A1198:B2779,2,FALSE)</f>
        <v>#N/A</v>
      </c>
      <c r="D1198" t="e">
        <f t="shared" si="18"/>
        <v>#N/A</v>
      </c>
    </row>
    <row r="1199" spans="1:4" x14ac:dyDescent="0.2">
      <c r="A1199">
        <f>'Fichas clínicas'!A1199</f>
        <v>1201</v>
      </c>
      <c r="B1199" t="str">
        <f>'Fichas clínicas'!B1199</f>
        <v>13609431-9</v>
      </c>
      <c r="C1199" t="e">
        <f>VLOOKUP(paciente_tutor!B1199,clientes!A1199:B2780,2,FALSE)</f>
        <v>#N/A</v>
      </c>
      <c r="D1199" t="e">
        <f t="shared" si="18"/>
        <v>#N/A</v>
      </c>
    </row>
    <row r="1200" spans="1:4" x14ac:dyDescent="0.2">
      <c r="A1200">
        <f>'Fichas clínicas'!A1200</f>
        <v>1202</v>
      </c>
      <c r="B1200" t="str">
        <f>'Fichas clínicas'!B1200</f>
        <v>14280530-8</v>
      </c>
      <c r="C1200" t="e">
        <f>VLOOKUP(paciente_tutor!B1200,clientes!A1200:B2781,2,FALSE)</f>
        <v>#N/A</v>
      </c>
      <c r="D1200" t="e">
        <f t="shared" si="18"/>
        <v>#N/A</v>
      </c>
    </row>
    <row r="1201" spans="1:4" x14ac:dyDescent="0.2">
      <c r="A1201">
        <f>'Fichas clínicas'!A1201</f>
        <v>1203</v>
      </c>
      <c r="B1201" t="str">
        <f>'Fichas clínicas'!B1201</f>
        <v>18129568-6</v>
      </c>
      <c r="C1201" t="e">
        <f>VLOOKUP(paciente_tutor!B1201,clientes!A1201:B2782,2,FALSE)</f>
        <v>#N/A</v>
      </c>
      <c r="D1201" t="e">
        <f t="shared" si="18"/>
        <v>#N/A</v>
      </c>
    </row>
    <row r="1202" spans="1:4" x14ac:dyDescent="0.2">
      <c r="A1202">
        <f>'Fichas clínicas'!A1202</f>
        <v>1204</v>
      </c>
      <c r="B1202" t="str">
        <f>'Fichas clínicas'!B1202</f>
        <v>3463087-9</v>
      </c>
      <c r="C1202" t="str">
        <f>VLOOKUP(paciente_tutor!B1202,clientes!A1202:B2783,2,FALSE)</f>
        <v>Valentin</v>
      </c>
      <c r="D1202" t="str">
        <f t="shared" si="18"/>
        <v>3463087-9</v>
      </c>
    </row>
    <row r="1203" spans="1:4" x14ac:dyDescent="0.2">
      <c r="A1203">
        <f>'Fichas clínicas'!A1203</f>
        <v>1205</v>
      </c>
      <c r="B1203" t="str">
        <f>'Fichas clínicas'!B1203</f>
        <v>15384822-k</v>
      </c>
      <c r="C1203" t="e">
        <f>VLOOKUP(paciente_tutor!B1203,clientes!A1203:B2784,2,FALSE)</f>
        <v>#N/A</v>
      </c>
      <c r="D1203" t="e">
        <f t="shared" si="18"/>
        <v>#N/A</v>
      </c>
    </row>
    <row r="1204" spans="1:4" x14ac:dyDescent="0.2">
      <c r="A1204">
        <f>'Fichas clínicas'!A1204</f>
        <v>1206</v>
      </c>
      <c r="B1204" t="str">
        <f>'Fichas clínicas'!B1204</f>
        <v>18888140-8</v>
      </c>
      <c r="C1204" t="e">
        <f>VLOOKUP(paciente_tutor!B1204,clientes!A1204:B2785,2,FALSE)</f>
        <v>#N/A</v>
      </c>
      <c r="D1204" t="e">
        <f t="shared" si="18"/>
        <v>#N/A</v>
      </c>
    </row>
    <row r="1205" spans="1:4" x14ac:dyDescent="0.2">
      <c r="A1205">
        <f>'Fichas clínicas'!A1205</f>
        <v>1207</v>
      </c>
      <c r="B1205" t="str">
        <f>'Fichas clínicas'!B1205</f>
        <v>8309074-k</v>
      </c>
      <c r="C1205" t="str">
        <f>VLOOKUP(paciente_tutor!B1205,clientes!A1205:B2786,2,FALSE)</f>
        <v>Enrique Flavio</v>
      </c>
      <c r="D1205" t="str">
        <f t="shared" si="18"/>
        <v>8309074-k</v>
      </c>
    </row>
    <row r="1206" spans="1:4" x14ac:dyDescent="0.2">
      <c r="A1206">
        <f>'Fichas clínicas'!A1206</f>
        <v>1208</v>
      </c>
      <c r="B1206" t="str">
        <f>'Fichas clínicas'!B1206</f>
        <v>19248019-1</v>
      </c>
      <c r="C1206" t="e">
        <f>VLOOKUP(paciente_tutor!B1206,clientes!A1206:B2787,2,FALSE)</f>
        <v>#N/A</v>
      </c>
      <c r="D1206" t="e">
        <f t="shared" si="18"/>
        <v>#N/A</v>
      </c>
    </row>
    <row r="1207" spans="1:4" x14ac:dyDescent="0.2">
      <c r="A1207">
        <f>'Fichas clínicas'!A1207</f>
        <v>1209</v>
      </c>
      <c r="B1207" t="str">
        <f>'Fichas clínicas'!B1207</f>
        <v>22212660-6</v>
      </c>
      <c r="C1207" t="str">
        <f>VLOOKUP(paciente_tutor!B1207,clientes!A1207:B2788,2,FALSE)</f>
        <v>Fabiana</v>
      </c>
      <c r="D1207" t="str">
        <f t="shared" si="18"/>
        <v>22212660-6</v>
      </c>
    </row>
    <row r="1208" spans="1:4" x14ac:dyDescent="0.2">
      <c r="A1208">
        <f>'Fichas clínicas'!A1208</f>
        <v>1210</v>
      </c>
      <c r="B1208" t="str">
        <f>'Fichas clínicas'!B1208</f>
        <v>20314232-3</v>
      </c>
      <c r="C1208" t="str">
        <f>VLOOKUP(paciente_tutor!B1208,clientes!A1208:B2789,2,FALSE)</f>
        <v>Barbara Camila</v>
      </c>
      <c r="D1208" t="str">
        <f t="shared" si="18"/>
        <v>20314232-3</v>
      </c>
    </row>
    <row r="1209" spans="1:4" x14ac:dyDescent="0.2">
      <c r="A1209">
        <f>'Fichas clínicas'!A1209</f>
        <v>1211</v>
      </c>
      <c r="B1209" t="str">
        <f>'Fichas clínicas'!B1209</f>
        <v>12746226-7</v>
      </c>
      <c r="C1209" t="e">
        <f>VLOOKUP(paciente_tutor!B1209,clientes!A1209:B2790,2,FALSE)</f>
        <v>#N/A</v>
      </c>
      <c r="D1209" t="e">
        <f t="shared" si="18"/>
        <v>#N/A</v>
      </c>
    </row>
    <row r="1210" spans="1:4" x14ac:dyDescent="0.2">
      <c r="A1210">
        <f>'Fichas clínicas'!A1210</f>
        <v>1212</v>
      </c>
      <c r="B1210" t="str">
        <f>'Fichas clínicas'!B1210</f>
        <v>20601618-3</v>
      </c>
      <c r="C1210" t="str">
        <f>VLOOKUP(paciente_tutor!B1210,clientes!A1210:B2791,2,FALSE)</f>
        <v>Lissett</v>
      </c>
      <c r="D1210" t="str">
        <f t="shared" si="18"/>
        <v>20601618-3</v>
      </c>
    </row>
    <row r="1211" spans="1:4" x14ac:dyDescent="0.2">
      <c r="A1211">
        <f>'Fichas clínicas'!A1211</f>
        <v>1213</v>
      </c>
      <c r="B1211" t="str">
        <f>'Fichas clínicas'!B1211</f>
        <v>16806883-2</v>
      </c>
      <c r="C1211" t="e">
        <f>VLOOKUP(paciente_tutor!B1211,clientes!A1211:B2792,2,FALSE)</f>
        <v>#N/A</v>
      </c>
      <c r="D1211" t="e">
        <f t="shared" si="18"/>
        <v>#N/A</v>
      </c>
    </row>
    <row r="1212" spans="1:4" x14ac:dyDescent="0.2">
      <c r="A1212">
        <f>'Fichas clínicas'!A1212</f>
        <v>1214</v>
      </c>
      <c r="B1212" t="str">
        <f>'Fichas clínicas'!B1212</f>
        <v>19556027-7</v>
      </c>
      <c r="C1212" t="e">
        <f>VLOOKUP(paciente_tutor!B1212,clientes!A1212:B2793,2,FALSE)</f>
        <v>#N/A</v>
      </c>
      <c r="D1212" t="e">
        <f t="shared" si="18"/>
        <v>#N/A</v>
      </c>
    </row>
    <row r="1213" spans="1:4" x14ac:dyDescent="0.2">
      <c r="A1213">
        <f>'Fichas clínicas'!A1213</f>
        <v>1215</v>
      </c>
      <c r="B1213" t="str">
        <f>'Fichas clínicas'!B1213</f>
        <v>17694505-2</v>
      </c>
      <c r="C1213" t="e">
        <f>VLOOKUP(paciente_tutor!B1213,clientes!A1213:B2794,2,FALSE)</f>
        <v>#N/A</v>
      </c>
      <c r="D1213" t="e">
        <f t="shared" si="18"/>
        <v>#N/A</v>
      </c>
    </row>
    <row r="1214" spans="1:4" x14ac:dyDescent="0.2">
      <c r="A1214">
        <f>'Fichas clínicas'!A1214</f>
        <v>1216</v>
      </c>
      <c r="B1214" t="str">
        <f>'Fichas clínicas'!B1214</f>
        <v>13521267-9</v>
      </c>
      <c r="C1214" t="e">
        <f>VLOOKUP(paciente_tutor!B1214,clientes!A1214:B2795,2,FALSE)</f>
        <v>#N/A</v>
      </c>
      <c r="D1214" t="e">
        <f t="shared" si="18"/>
        <v>#N/A</v>
      </c>
    </row>
    <row r="1215" spans="1:4" x14ac:dyDescent="0.2">
      <c r="A1215">
        <f>'Fichas clínicas'!A1215</f>
        <v>1217</v>
      </c>
      <c r="B1215" t="str">
        <f>'Fichas clínicas'!B1215</f>
        <v>9346532-6</v>
      </c>
      <c r="C1215" t="str">
        <f>VLOOKUP(paciente_tutor!B1215,clientes!A1215:B2796,2,FALSE)</f>
        <v>Cecilia Paulina</v>
      </c>
      <c r="D1215" t="str">
        <f t="shared" si="18"/>
        <v>9346532-6</v>
      </c>
    </row>
    <row r="1216" spans="1:4" x14ac:dyDescent="0.2">
      <c r="A1216">
        <f>'Fichas clínicas'!A1216</f>
        <v>1218</v>
      </c>
      <c r="B1216" t="str">
        <f>'Fichas clínicas'!B1216</f>
        <v>12255814-2</v>
      </c>
      <c r="C1216" t="e">
        <f>VLOOKUP(paciente_tutor!B1216,clientes!A1216:B2797,2,FALSE)</f>
        <v>#N/A</v>
      </c>
      <c r="D1216" t="e">
        <f t="shared" si="18"/>
        <v>#N/A</v>
      </c>
    </row>
    <row r="1217" spans="1:4" x14ac:dyDescent="0.2">
      <c r="A1217">
        <f>'Fichas clínicas'!A1217</f>
        <v>1219</v>
      </c>
      <c r="B1217" t="str">
        <f>'Fichas clínicas'!B1217</f>
        <v>16160092-K</v>
      </c>
      <c r="C1217" t="e">
        <f>VLOOKUP(paciente_tutor!B1217,clientes!A1217:B2798,2,FALSE)</f>
        <v>#N/A</v>
      </c>
      <c r="D1217" t="e">
        <f t="shared" si="18"/>
        <v>#N/A</v>
      </c>
    </row>
    <row r="1218" spans="1:4" x14ac:dyDescent="0.2">
      <c r="A1218">
        <f>'Fichas clínicas'!A1218</f>
        <v>1220</v>
      </c>
      <c r="B1218" t="str">
        <f>'Fichas clínicas'!B1218</f>
        <v>16271203-9</v>
      </c>
      <c r="C1218" t="e">
        <f>VLOOKUP(paciente_tutor!B1218,clientes!A1218:B2799,2,FALSE)</f>
        <v>#N/A</v>
      </c>
      <c r="D1218" t="e">
        <f t="shared" si="18"/>
        <v>#N/A</v>
      </c>
    </row>
    <row r="1219" spans="1:4" x14ac:dyDescent="0.2">
      <c r="A1219">
        <f>'Fichas clínicas'!A1219</f>
        <v>1221</v>
      </c>
      <c r="B1219" t="str">
        <f>'Fichas clínicas'!B1219</f>
        <v>11081804-1</v>
      </c>
      <c r="C1219" t="e">
        <f>VLOOKUP(paciente_tutor!B1219,clientes!A1219:B2800,2,FALSE)</f>
        <v>#N/A</v>
      </c>
      <c r="D1219" t="e">
        <f t="shared" ref="D1219:D1282" si="19">IF(C1219="#N/A","",B1219)</f>
        <v>#N/A</v>
      </c>
    </row>
    <row r="1220" spans="1:4" x14ac:dyDescent="0.2">
      <c r="A1220">
        <f>'Fichas clínicas'!A1220</f>
        <v>1222</v>
      </c>
      <c r="B1220" t="str">
        <f>'Fichas clínicas'!B1220</f>
        <v>16804991-9</v>
      </c>
      <c r="C1220" t="e">
        <f>VLOOKUP(paciente_tutor!B1220,clientes!A1220:B2801,2,FALSE)</f>
        <v>#N/A</v>
      </c>
      <c r="D1220" t="e">
        <f t="shared" si="19"/>
        <v>#N/A</v>
      </c>
    </row>
    <row r="1221" spans="1:4" x14ac:dyDescent="0.2">
      <c r="A1221">
        <f>'Fichas clínicas'!A1221</f>
        <v>1223</v>
      </c>
      <c r="B1221" t="str">
        <f>'Fichas clínicas'!B1221</f>
        <v>10052627-1</v>
      </c>
      <c r="C1221" t="e">
        <f>VLOOKUP(paciente_tutor!B1221,clientes!A1221:B2802,2,FALSE)</f>
        <v>#N/A</v>
      </c>
      <c r="D1221" t="e">
        <f t="shared" si="19"/>
        <v>#N/A</v>
      </c>
    </row>
    <row r="1222" spans="1:4" x14ac:dyDescent="0.2">
      <c r="A1222">
        <f>'Fichas clínicas'!A1222</f>
        <v>1224</v>
      </c>
      <c r="B1222" t="str">
        <f>'Fichas clínicas'!B1222</f>
        <v>21349959-9</v>
      </c>
      <c r="C1222" t="str">
        <f>VLOOKUP(paciente_tutor!B1222,clientes!A1222:B2803,2,FALSE)</f>
        <v>NATALIA</v>
      </c>
      <c r="D1222" t="str">
        <f t="shared" si="19"/>
        <v>21349959-9</v>
      </c>
    </row>
    <row r="1223" spans="1:4" x14ac:dyDescent="0.2">
      <c r="A1223">
        <f>'Fichas clínicas'!A1223</f>
        <v>1225</v>
      </c>
      <c r="B1223" t="str">
        <f>'Fichas clínicas'!B1223</f>
        <v>13116889-6</v>
      </c>
      <c r="C1223" t="e">
        <f>VLOOKUP(paciente_tutor!B1223,clientes!A1223:B2804,2,FALSE)</f>
        <v>#N/A</v>
      </c>
      <c r="D1223" t="e">
        <f t="shared" si="19"/>
        <v>#N/A</v>
      </c>
    </row>
    <row r="1224" spans="1:4" x14ac:dyDescent="0.2">
      <c r="A1224">
        <f>'Fichas clínicas'!A1224</f>
        <v>1226</v>
      </c>
      <c r="B1224" t="str">
        <f>'Fichas clínicas'!B1224</f>
        <v>19625221-5</v>
      </c>
      <c r="C1224" t="e">
        <f>VLOOKUP(paciente_tutor!B1224,clientes!A1224:B2805,2,FALSE)</f>
        <v>#N/A</v>
      </c>
      <c r="D1224" t="e">
        <f t="shared" si="19"/>
        <v>#N/A</v>
      </c>
    </row>
    <row r="1225" spans="1:4" x14ac:dyDescent="0.2">
      <c r="A1225">
        <f>'Fichas clínicas'!A1225</f>
        <v>1227</v>
      </c>
      <c r="B1225" t="str">
        <f>'Fichas clínicas'!B1225</f>
        <v>18888240-4</v>
      </c>
      <c r="C1225" t="e">
        <f>VLOOKUP(paciente_tutor!B1225,clientes!A1225:B2806,2,FALSE)</f>
        <v>#N/A</v>
      </c>
      <c r="D1225" t="e">
        <f t="shared" si="19"/>
        <v>#N/A</v>
      </c>
    </row>
    <row r="1226" spans="1:4" x14ac:dyDescent="0.2">
      <c r="A1226">
        <f>'Fichas clínicas'!A1226</f>
        <v>1228</v>
      </c>
      <c r="B1226" t="str">
        <f>'Fichas clínicas'!B1226</f>
        <v>20345574-7</v>
      </c>
      <c r="C1226" t="str">
        <f>VLOOKUP(paciente_tutor!B1226,clientes!A1226:B2807,2,FALSE)</f>
        <v>Ana Luisa</v>
      </c>
      <c r="D1226" t="str">
        <f t="shared" si="19"/>
        <v>20345574-7</v>
      </c>
    </row>
    <row r="1227" spans="1:4" x14ac:dyDescent="0.2">
      <c r="A1227">
        <f>'Fichas clínicas'!A1227</f>
        <v>1229</v>
      </c>
      <c r="B1227" t="str">
        <f>'Fichas clínicas'!B1227</f>
        <v>19153410-7</v>
      </c>
      <c r="C1227" t="e">
        <f>VLOOKUP(paciente_tutor!B1227,clientes!A1227:B2808,2,FALSE)</f>
        <v>#N/A</v>
      </c>
      <c r="D1227" t="e">
        <f t="shared" si="19"/>
        <v>#N/A</v>
      </c>
    </row>
    <row r="1228" spans="1:4" x14ac:dyDescent="0.2">
      <c r="A1228">
        <f>'Fichas clínicas'!A1228</f>
        <v>1230</v>
      </c>
      <c r="B1228" t="str">
        <f>'Fichas clínicas'!B1228</f>
        <v>21294199-9</v>
      </c>
      <c r="C1228" t="str">
        <f>VLOOKUP(paciente_tutor!B1228,clientes!A1228:B2809,2,FALSE)</f>
        <v>GENESIS</v>
      </c>
      <c r="D1228" t="str">
        <f t="shared" si="19"/>
        <v>21294199-9</v>
      </c>
    </row>
    <row r="1229" spans="1:4" x14ac:dyDescent="0.2">
      <c r="A1229">
        <f>'Fichas clínicas'!A1229</f>
        <v>1231</v>
      </c>
      <c r="B1229" t="str">
        <f>'Fichas clínicas'!B1229</f>
        <v>9116737-9</v>
      </c>
      <c r="C1229" t="str">
        <f>VLOOKUP(paciente_tutor!B1229,clientes!A1229:B2810,2,FALSE)</f>
        <v>SONIA</v>
      </c>
      <c r="D1229" t="str">
        <f t="shared" si="19"/>
        <v>9116737-9</v>
      </c>
    </row>
    <row r="1230" spans="1:4" x14ac:dyDescent="0.2">
      <c r="A1230">
        <f>'Fichas clínicas'!A1230</f>
        <v>1232</v>
      </c>
      <c r="B1230" t="str">
        <f>'Fichas clínicas'!B1230</f>
        <v>11920064-4</v>
      </c>
      <c r="C1230" t="e">
        <f>VLOOKUP(paciente_tutor!B1230,clientes!A1230:B2811,2,FALSE)</f>
        <v>#N/A</v>
      </c>
      <c r="D1230" t="e">
        <f t="shared" si="19"/>
        <v>#N/A</v>
      </c>
    </row>
    <row r="1231" spans="1:4" x14ac:dyDescent="0.2">
      <c r="A1231">
        <f>'Fichas clínicas'!A1231</f>
        <v>1233</v>
      </c>
      <c r="B1231" t="str">
        <f>'Fichas clínicas'!B1231</f>
        <v>21432591-8</v>
      </c>
      <c r="C1231" t="str">
        <f>VLOOKUP(paciente_tutor!B1231,clientes!A1231:B2812,2,FALSE)</f>
        <v>FABIAN</v>
      </c>
      <c r="D1231" t="str">
        <f t="shared" si="19"/>
        <v>21432591-8</v>
      </c>
    </row>
    <row r="1232" spans="1:4" x14ac:dyDescent="0.2">
      <c r="A1232">
        <f>'Fichas clínicas'!A1232</f>
        <v>1234</v>
      </c>
      <c r="B1232" t="str">
        <f>'Fichas clínicas'!B1232</f>
        <v>16465635-7</v>
      </c>
      <c r="C1232" t="e">
        <f>VLOOKUP(paciente_tutor!B1232,clientes!A1232:B2813,2,FALSE)</f>
        <v>#N/A</v>
      </c>
      <c r="D1232" t="e">
        <f t="shared" si="19"/>
        <v>#N/A</v>
      </c>
    </row>
    <row r="1233" spans="1:4" x14ac:dyDescent="0.2">
      <c r="A1233">
        <f>'Fichas clínicas'!A1233</f>
        <v>1235</v>
      </c>
      <c r="B1233" t="str">
        <f>'Fichas clínicas'!B1233</f>
        <v>16465635-7</v>
      </c>
      <c r="C1233" t="e">
        <f>VLOOKUP(paciente_tutor!B1233,clientes!A1233:B2814,2,FALSE)</f>
        <v>#N/A</v>
      </c>
      <c r="D1233" t="e">
        <f t="shared" si="19"/>
        <v>#N/A</v>
      </c>
    </row>
    <row r="1234" spans="1:4" x14ac:dyDescent="0.2">
      <c r="A1234">
        <f>'Fichas clínicas'!A1234</f>
        <v>1236</v>
      </c>
      <c r="B1234" t="str">
        <f>'Fichas clínicas'!B1234</f>
        <v>15294717-8</v>
      </c>
      <c r="C1234" t="e">
        <f>VLOOKUP(paciente_tutor!B1234,clientes!A1234:B2815,2,FALSE)</f>
        <v>#N/A</v>
      </c>
      <c r="D1234" t="e">
        <f t="shared" si="19"/>
        <v>#N/A</v>
      </c>
    </row>
    <row r="1235" spans="1:4" x14ac:dyDescent="0.2">
      <c r="A1235">
        <f>'Fichas clínicas'!A1235</f>
        <v>1237</v>
      </c>
      <c r="B1235" t="str">
        <f>'Fichas clínicas'!B1235</f>
        <v>16464697-1</v>
      </c>
      <c r="C1235" t="e">
        <f>VLOOKUP(paciente_tutor!B1235,clientes!A1235:B2816,2,FALSE)</f>
        <v>#N/A</v>
      </c>
      <c r="D1235" t="e">
        <f t="shared" si="19"/>
        <v>#N/A</v>
      </c>
    </row>
    <row r="1236" spans="1:4" x14ac:dyDescent="0.2">
      <c r="A1236">
        <f>'Fichas clínicas'!A1236</f>
        <v>1238</v>
      </c>
      <c r="B1236" t="str">
        <f>'Fichas clínicas'!B1236</f>
        <v>14282212-1</v>
      </c>
      <c r="C1236" t="e">
        <f>VLOOKUP(paciente_tutor!B1236,clientes!A1236:B2817,2,FALSE)</f>
        <v>#N/A</v>
      </c>
      <c r="D1236" t="e">
        <f t="shared" si="19"/>
        <v>#N/A</v>
      </c>
    </row>
    <row r="1237" spans="1:4" x14ac:dyDescent="0.2">
      <c r="A1237">
        <f>'Fichas clínicas'!A1237</f>
        <v>1239</v>
      </c>
      <c r="B1237" t="str">
        <f>'Fichas clínicas'!B1237</f>
        <v>9314504-6</v>
      </c>
      <c r="C1237" t="str">
        <f>VLOOKUP(paciente_tutor!B1237,clientes!A1237:B2818,2,FALSE)</f>
        <v>María Inés</v>
      </c>
      <c r="D1237" t="str">
        <f t="shared" si="19"/>
        <v>9314504-6</v>
      </c>
    </row>
    <row r="1238" spans="1:4" x14ac:dyDescent="0.2">
      <c r="A1238">
        <f>'Fichas clínicas'!A1238</f>
        <v>1240</v>
      </c>
      <c r="B1238" t="str">
        <f>'Fichas clínicas'!B1238</f>
        <v>18887193-3</v>
      </c>
      <c r="C1238" t="e">
        <f>VLOOKUP(paciente_tutor!B1238,clientes!A1238:B2819,2,FALSE)</f>
        <v>#N/A</v>
      </c>
      <c r="D1238" t="e">
        <f t="shared" si="19"/>
        <v>#N/A</v>
      </c>
    </row>
    <row r="1239" spans="1:4" x14ac:dyDescent="0.2">
      <c r="A1239">
        <f>'Fichas clínicas'!A1239</f>
        <v>1241</v>
      </c>
      <c r="B1239" t="str">
        <f>'Fichas clínicas'!B1239</f>
        <v>11591450-2</v>
      </c>
      <c r="C1239" t="e">
        <f>VLOOKUP(paciente_tutor!B1239,clientes!A1239:B2820,2,FALSE)</f>
        <v>#N/A</v>
      </c>
      <c r="D1239" t="e">
        <f t="shared" si="19"/>
        <v>#N/A</v>
      </c>
    </row>
    <row r="1240" spans="1:4" x14ac:dyDescent="0.2">
      <c r="A1240">
        <f>'Fichas clínicas'!A1240</f>
        <v>1242</v>
      </c>
      <c r="B1240" t="str">
        <f>'Fichas clínicas'!B1240</f>
        <v>11591450-2</v>
      </c>
      <c r="C1240" t="e">
        <f>VLOOKUP(paciente_tutor!B1240,clientes!A1240:B2821,2,FALSE)</f>
        <v>#N/A</v>
      </c>
      <c r="D1240" t="e">
        <f t="shared" si="19"/>
        <v>#N/A</v>
      </c>
    </row>
    <row r="1241" spans="1:4" x14ac:dyDescent="0.2">
      <c r="A1241">
        <f>'Fichas clínicas'!A1241</f>
        <v>1243</v>
      </c>
      <c r="B1241" t="str">
        <f>'Fichas clínicas'!B1241</f>
        <v>18887408-8</v>
      </c>
      <c r="C1241" t="e">
        <f>VLOOKUP(paciente_tutor!B1241,clientes!A1241:B2822,2,FALSE)</f>
        <v>#N/A</v>
      </c>
      <c r="D1241" t="e">
        <f t="shared" si="19"/>
        <v>#N/A</v>
      </c>
    </row>
    <row r="1242" spans="1:4" x14ac:dyDescent="0.2">
      <c r="A1242">
        <f>'Fichas clínicas'!A1242</f>
        <v>1244</v>
      </c>
      <c r="B1242" t="str">
        <f>'Fichas clínicas'!B1242</f>
        <v>18591226-4</v>
      </c>
      <c r="C1242" t="e">
        <f>VLOOKUP(paciente_tutor!B1242,clientes!A1242:B2823,2,FALSE)</f>
        <v>#N/A</v>
      </c>
      <c r="D1242" t="e">
        <f t="shared" si="19"/>
        <v>#N/A</v>
      </c>
    </row>
    <row r="1243" spans="1:4" x14ac:dyDescent="0.2">
      <c r="A1243">
        <f>'Fichas clínicas'!A1243</f>
        <v>1245</v>
      </c>
      <c r="B1243" t="str">
        <f>'Fichas clínicas'!B1243</f>
        <v>17924520-5</v>
      </c>
      <c r="C1243" t="e">
        <f>VLOOKUP(paciente_tutor!B1243,clientes!A1243:B2824,2,FALSE)</f>
        <v>#N/A</v>
      </c>
      <c r="D1243" t="e">
        <f t="shared" si="19"/>
        <v>#N/A</v>
      </c>
    </row>
    <row r="1244" spans="1:4" x14ac:dyDescent="0.2">
      <c r="A1244">
        <f>'Fichas clínicas'!A1244</f>
        <v>1246</v>
      </c>
      <c r="B1244" t="str">
        <f>'Fichas clínicas'!B1244</f>
        <v>15547930-2</v>
      </c>
      <c r="C1244" t="e">
        <f>VLOOKUP(paciente_tutor!B1244,clientes!A1244:B2825,2,FALSE)</f>
        <v>#N/A</v>
      </c>
      <c r="D1244" t="e">
        <f t="shared" si="19"/>
        <v>#N/A</v>
      </c>
    </row>
    <row r="1245" spans="1:4" x14ac:dyDescent="0.2">
      <c r="A1245">
        <f>'Fichas clínicas'!A1245</f>
        <v>1247</v>
      </c>
      <c r="B1245" t="str">
        <f>'Fichas clínicas'!B1245</f>
        <v>15759411-7</v>
      </c>
      <c r="C1245" t="e">
        <f>VLOOKUP(paciente_tutor!B1245,clientes!A1245:B2826,2,FALSE)</f>
        <v>#N/A</v>
      </c>
      <c r="D1245" t="e">
        <f t="shared" si="19"/>
        <v>#N/A</v>
      </c>
    </row>
    <row r="1246" spans="1:4" x14ac:dyDescent="0.2">
      <c r="A1246">
        <f>'Fichas clínicas'!A1246</f>
        <v>1248</v>
      </c>
      <c r="B1246" t="str">
        <f>'Fichas clínicas'!B1246</f>
        <v>19624157-4</v>
      </c>
      <c r="C1246" t="e">
        <f>VLOOKUP(paciente_tutor!B1246,clientes!A1246:B2827,2,FALSE)</f>
        <v>#N/A</v>
      </c>
      <c r="D1246" t="e">
        <f t="shared" si="19"/>
        <v>#N/A</v>
      </c>
    </row>
    <row r="1247" spans="1:4" x14ac:dyDescent="0.2">
      <c r="A1247">
        <f>'Fichas clínicas'!A1247</f>
        <v>1249</v>
      </c>
      <c r="B1247" t="str">
        <f>'Fichas clínicas'!B1247</f>
        <v>11129803-3</v>
      </c>
      <c r="C1247" t="e">
        <f>VLOOKUP(paciente_tutor!B1247,clientes!A1247:B2828,2,FALSE)</f>
        <v>#N/A</v>
      </c>
      <c r="D1247" t="e">
        <f t="shared" si="19"/>
        <v>#N/A</v>
      </c>
    </row>
    <row r="1248" spans="1:4" x14ac:dyDescent="0.2">
      <c r="A1248">
        <f>'Fichas clínicas'!A1248</f>
        <v>1250</v>
      </c>
      <c r="B1248" t="str">
        <f>'Fichas clínicas'!B1248</f>
        <v>13818343-2</v>
      </c>
      <c r="C1248" t="e">
        <f>VLOOKUP(paciente_tutor!B1248,clientes!A1248:B2829,2,FALSE)</f>
        <v>#N/A</v>
      </c>
      <c r="D1248" t="e">
        <f t="shared" si="19"/>
        <v>#N/A</v>
      </c>
    </row>
    <row r="1249" spans="1:4" x14ac:dyDescent="0.2">
      <c r="A1249">
        <f>'Fichas clínicas'!A1249</f>
        <v>1251</v>
      </c>
      <c r="B1249" t="str">
        <f>'Fichas clínicas'!B1249</f>
        <v>19248537-1</v>
      </c>
      <c r="C1249" t="e">
        <f>VLOOKUP(paciente_tutor!B1249,clientes!A1249:B2830,2,FALSE)</f>
        <v>#N/A</v>
      </c>
      <c r="D1249" t="e">
        <f t="shared" si="19"/>
        <v>#N/A</v>
      </c>
    </row>
    <row r="1250" spans="1:4" x14ac:dyDescent="0.2">
      <c r="A1250">
        <f>'Fichas clínicas'!A1250</f>
        <v>1252</v>
      </c>
      <c r="B1250" t="str">
        <f>'Fichas clínicas'!B1250</f>
        <v>10583955-3</v>
      </c>
      <c r="C1250" t="e">
        <f>VLOOKUP(paciente_tutor!B1250,clientes!A1250:B2831,2,FALSE)</f>
        <v>#N/A</v>
      </c>
      <c r="D1250" t="e">
        <f t="shared" si="19"/>
        <v>#N/A</v>
      </c>
    </row>
    <row r="1251" spans="1:4" x14ac:dyDescent="0.2">
      <c r="A1251">
        <f>'Fichas clínicas'!A1251</f>
        <v>1253</v>
      </c>
      <c r="B1251" t="str">
        <f>'Fichas clínicas'!B1251</f>
        <v>18592132-8</v>
      </c>
      <c r="C1251" t="e">
        <f>VLOOKUP(paciente_tutor!B1251,clientes!A1251:B2832,2,FALSE)</f>
        <v>#N/A</v>
      </c>
      <c r="D1251" t="e">
        <f t="shared" si="19"/>
        <v>#N/A</v>
      </c>
    </row>
    <row r="1252" spans="1:4" x14ac:dyDescent="0.2">
      <c r="A1252">
        <f>'Fichas clínicas'!A1252</f>
        <v>1254</v>
      </c>
      <c r="B1252" t="str">
        <f>'Fichas clínicas'!B1252</f>
        <v>26187713-9</v>
      </c>
      <c r="C1252" t="str">
        <f>VLOOKUP(paciente_tutor!B1252,clientes!A1252:B2833,2,FALSE)</f>
        <v>DANIELA</v>
      </c>
      <c r="D1252" t="str">
        <f t="shared" si="19"/>
        <v>26187713-9</v>
      </c>
    </row>
    <row r="1253" spans="1:4" x14ac:dyDescent="0.2">
      <c r="A1253">
        <f>'Fichas clínicas'!A1253</f>
        <v>1255</v>
      </c>
      <c r="B1253" t="str">
        <f>'Fichas clínicas'!B1253</f>
        <v>19249871-6</v>
      </c>
      <c r="C1253" t="e">
        <f>VLOOKUP(paciente_tutor!B1253,clientes!A1253:B2834,2,FALSE)</f>
        <v>#N/A</v>
      </c>
      <c r="D1253" t="e">
        <f t="shared" si="19"/>
        <v>#N/A</v>
      </c>
    </row>
    <row r="1254" spans="1:4" x14ac:dyDescent="0.2">
      <c r="A1254">
        <f>'Fichas clínicas'!A1254</f>
        <v>1256</v>
      </c>
      <c r="B1254" t="str">
        <f>'Fichas clínicas'!B1254</f>
        <v>17067802-8</v>
      </c>
      <c r="C1254" t="e">
        <f>VLOOKUP(paciente_tutor!B1254,clientes!A1254:B2835,2,FALSE)</f>
        <v>#N/A</v>
      </c>
      <c r="D1254" t="e">
        <f t="shared" si="19"/>
        <v>#N/A</v>
      </c>
    </row>
    <row r="1255" spans="1:4" x14ac:dyDescent="0.2">
      <c r="A1255">
        <f>'Fichas clínicas'!A1255</f>
        <v>1257</v>
      </c>
      <c r="B1255" t="str">
        <f>'Fichas clínicas'!B1255</f>
        <v>16606114-8</v>
      </c>
      <c r="C1255" t="e">
        <f>VLOOKUP(paciente_tutor!B1255,clientes!A1255:B2836,2,FALSE)</f>
        <v>#N/A</v>
      </c>
      <c r="D1255" t="e">
        <f t="shared" si="19"/>
        <v>#N/A</v>
      </c>
    </row>
    <row r="1256" spans="1:4" x14ac:dyDescent="0.2">
      <c r="A1256">
        <f>'Fichas clínicas'!A1256</f>
        <v>1258</v>
      </c>
      <c r="B1256" t="str">
        <f>'Fichas clínicas'!B1256</f>
        <v>25690820-4</v>
      </c>
      <c r="C1256" t="str">
        <f>VLOOKUP(paciente_tutor!B1256,clientes!A1256:B2837,2,FALSE)</f>
        <v>FABIO</v>
      </c>
      <c r="D1256" t="str">
        <f t="shared" si="19"/>
        <v>25690820-4</v>
      </c>
    </row>
    <row r="1257" spans="1:4" x14ac:dyDescent="0.2">
      <c r="A1257">
        <f>'Fichas clínicas'!A1257</f>
        <v>1259</v>
      </c>
      <c r="B1257" t="str">
        <f>'Fichas clínicas'!B1257</f>
        <v>16606114-8</v>
      </c>
      <c r="C1257" t="e">
        <f>VLOOKUP(paciente_tutor!B1257,clientes!A1257:B2838,2,FALSE)</f>
        <v>#N/A</v>
      </c>
      <c r="D1257" t="e">
        <f t="shared" si="19"/>
        <v>#N/A</v>
      </c>
    </row>
    <row r="1258" spans="1:4" x14ac:dyDescent="0.2">
      <c r="A1258">
        <f>'Fichas clínicas'!A1258</f>
        <v>1260</v>
      </c>
      <c r="B1258" t="str">
        <f>'Fichas clínicas'!B1258</f>
        <v>17511530-7</v>
      </c>
      <c r="C1258" t="e">
        <f>VLOOKUP(paciente_tutor!B1258,clientes!A1258:B2839,2,FALSE)</f>
        <v>#N/A</v>
      </c>
      <c r="D1258" t="e">
        <f t="shared" si="19"/>
        <v>#N/A</v>
      </c>
    </row>
    <row r="1259" spans="1:4" x14ac:dyDescent="0.2">
      <c r="A1259">
        <f>'Fichas clínicas'!A1259</f>
        <v>1261</v>
      </c>
      <c r="B1259" t="str">
        <f>'Fichas clínicas'!B1259</f>
        <v>20135146-4</v>
      </c>
      <c r="C1259" t="e">
        <f>VLOOKUP(paciente_tutor!B1259,clientes!A1259:B2840,2,FALSE)</f>
        <v>#N/A</v>
      </c>
      <c r="D1259" t="e">
        <f t="shared" si="19"/>
        <v>#N/A</v>
      </c>
    </row>
    <row r="1260" spans="1:4" x14ac:dyDescent="0.2">
      <c r="A1260">
        <f>'Fichas clínicas'!A1260</f>
        <v>1262</v>
      </c>
      <c r="B1260" t="str">
        <f>'Fichas clínicas'!B1260</f>
        <v>16564676-2</v>
      </c>
      <c r="C1260" t="e">
        <f>VLOOKUP(paciente_tutor!B1260,clientes!A1260:B2841,2,FALSE)</f>
        <v>#N/A</v>
      </c>
      <c r="D1260" t="e">
        <f t="shared" si="19"/>
        <v>#N/A</v>
      </c>
    </row>
    <row r="1261" spans="1:4" x14ac:dyDescent="0.2">
      <c r="A1261">
        <f>'Fichas clínicas'!A1261</f>
        <v>1263</v>
      </c>
      <c r="B1261" t="str">
        <f>'Fichas clínicas'!B1261</f>
        <v>7559043-1</v>
      </c>
      <c r="C1261" t="str">
        <f>VLOOKUP(paciente_tutor!B1261,clientes!A1261:B2842,2,FALSE)</f>
        <v>IRENE</v>
      </c>
      <c r="D1261" t="str">
        <f t="shared" si="19"/>
        <v>7559043-1</v>
      </c>
    </row>
    <row r="1262" spans="1:4" x14ac:dyDescent="0.2">
      <c r="A1262">
        <f>'Fichas clínicas'!A1262</f>
        <v>1264</v>
      </c>
      <c r="B1262" t="str">
        <f>'Fichas clínicas'!B1262</f>
        <v>18888970-0</v>
      </c>
      <c r="C1262" t="e">
        <f>VLOOKUP(paciente_tutor!B1262,clientes!A1262:B2843,2,FALSE)</f>
        <v>#N/A</v>
      </c>
      <c r="D1262" t="e">
        <f t="shared" si="19"/>
        <v>#N/A</v>
      </c>
    </row>
    <row r="1263" spans="1:4" x14ac:dyDescent="0.2">
      <c r="A1263">
        <f>'Fichas clínicas'!A1263</f>
        <v>1265</v>
      </c>
      <c r="B1263" t="str">
        <f>'Fichas clínicas'!B1263</f>
        <v>13847706-1</v>
      </c>
      <c r="C1263" t="e">
        <f>VLOOKUP(paciente_tutor!B1263,clientes!A1263:B2844,2,FALSE)</f>
        <v>#N/A</v>
      </c>
      <c r="D1263" t="e">
        <f t="shared" si="19"/>
        <v>#N/A</v>
      </c>
    </row>
    <row r="1264" spans="1:4" x14ac:dyDescent="0.2">
      <c r="A1264">
        <f>'Fichas clínicas'!A1264</f>
        <v>1266</v>
      </c>
      <c r="B1264" t="str">
        <f>'Fichas clínicas'!B1264</f>
        <v>16871733-4</v>
      </c>
      <c r="C1264" t="e">
        <f>VLOOKUP(paciente_tutor!B1264,clientes!A1264:B2845,2,FALSE)</f>
        <v>#N/A</v>
      </c>
      <c r="D1264" t="e">
        <f t="shared" si="19"/>
        <v>#N/A</v>
      </c>
    </row>
    <row r="1265" spans="1:4" x14ac:dyDescent="0.2">
      <c r="A1265">
        <f>'Fichas clínicas'!A1265</f>
        <v>1267</v>
      </c>
      <c r="B1265" t="str">
        <f>'Fichas clínicas'!B1265</f>
        <v>26187713-9</v>
      </c>
      <c r="C1265" t="str">
        <f>VLOOKUP(paciente_tutor!B1265,clientes!A1265:B2846,2,FALSE)</f>
        <v>DANIELA</v>
      </c>
      <c r="D1265" t="str">
        <f t="shared" si="19"/>
        <v>26187713-9</v>
      </c>
    </row>
    <row r="1266" spans="1:4" x14ac:dyDescent="0.2">
      <c r="A1266">
        <f>'Fichas clínicas'!A1266</f>
        <v>1268</v>
      </c>
      <c r="B1266" t="str">
        <f>'Fichas clínicas'!B1266</f>
        <v>13447148-4</v>
      </c>
      <c r="C1266" t="e">
        <f>VLOOKUP(paciente_tutor!B1266,clientes!A1266:B2847,2,FALSE)</f>
        <v>#N/A</v>
      </c>
      <c r="D1266" t="e">
        <f t="shared" si="19"/>
        <v>#N/A</v>
      </c>
    </row>
    <row r="1267" spans="1:4" x14ac:dyDescent="0.2">
      <c r="A1267">
        <f>'Fichas clínicas'!A1267</f>
        <v>1269</v>
      </c>
      <c r="B1267" t="str">
        <f>'Fichas clínicas'!B1267</f>
        <v>20958583-9</v>
      </c>
      <c r="C1267" t="str">
        <f>VLOOKUP(paciente_tutor!B1267,clientes!A1267:B2848,2,FALSE)</f>
        <v>Leonardo</v>
      </c>
      <c r="D1267" t="str">
        <f t="shared" si="19"/>
        <v>20958583-9</v>
      </c>
    </row>
    <row r="1268" spans="1:4" x14ac:dyDescent="0.2">
      <c r="A1268">
        <f>'Fichas clínicas'!A1268</f>
        <v>1270</v>
      </c>
      <c r="B1268" t="str">
        <f>'Fichas clínicas'!B1268</f>
        <v>20958583-9</v>
      </c>
      <c r="C1268" t="str">
        <f>VLOOKUP(paciente_tutor!B1268,clientes!A1268:B2849,2,FALSE)</f>
        <v>Leonardo</v>
      </c>
      <c r="D1268" t="str">
        <f t="shared" si="19"/>
        <v>20958583-9</v>
      </c>
    </row>
    <row r="1269" spans="1:4" x14ac:dyDescent="0.2">
      <c r="A1269">
        <f>'Fichas clínicas'!A1269</f>
        <v>1271</v>
      </c>
      <c r="B1269" t="str">
        <f>'Fichas clínicas'!B1269</f>
        <v>11592590-3</v>
      </c>
      <c r="C1269" t="e">
        <f>VLOOKUP(paciente_tutor!B1269,clientes!A1269:B2850,2,FALSE)</f>
        <v>#N/A</v>
      </c>
      <c r="D1269" t="e">
        <f t="shared" si="19"/>
        <v>#N/A</v>
      </c>
    </row>
    <row r="1270" spans="1:4" x14ac:dyDescent="0.2">
      <c r="A1270">
        <f>'Fichas clínicas'!A1270</f>
        <v>1272</v>
      </c>
      <c r="B1270" t="str">
        <f>'Fichas clínicas'!B1270</f>
        <v>9165946-8</v>
      </c>
      <c r="C1270" t="str">
        <f>VLOOKUP(paciente_tutor!B1270,clientes!A1270:B2851,2,FALSE)</f>
        <v>Raul</v>
      </c>
      <c r="D1270" t="str">
        <f t="shared" si="19"/>
        <v>9165946-8</v>
      </c>
    </row>
    <row r="1271" spans="1:4" x14ac:dyDescent="0.2">
      <c r="A1271">
        <f>'Fichas clínicas'!A1271</f>
        <v>1273</v>
      </c>
      <c r="B1271" t="str">
        <f>'Fichas clínicas'!B1271</f>
        <v>19545858-8</v>
      </c>
      <c r="C1271" t="e">
        <f>VLOOKUP(paciente_tutor!B1271,clientes!A1271:B2852,2,FALSE)</f>
        <v>#N/A</v>
      </c>
      <c r="D1271" t="e">
        <f t="shared" si="19"/>
        <v>#N/A</v>
      </c>
    </row>
    <row r="1272" spans="1:4" x14ac:dyDescent="0.2">
      <c r="A1272">
        <f>'Fichas clínicas'!A1272</f>
        <v>1274</v>
      </c>
      <c r="B1272" t="str">
        <f>'Fichas clínicas'!B1272</f>
        <v>18503776-2</v>
      </c>
      <c r="C1272" t="e">
        <f>VLOOKUP(paciente_tutor!B1272,clientes!A1272:B2853,2,FALSE)</f>
        <v>#N/A</v>
      </c>
      <c r="D1272" t="e">
        <f t="shared" si="19"/>
        <v>#N/A</v>
      </c>
    </row>
    <row r="1273" spans="1:4" x14ac:dyDescent="0.2">
      <c r="A1273">
        <f>'Fichas clínicas'!A1273</f>
        <v>1275</v>
      </c>
      <c r="B1273" t="str">
        <f>'Fichas clínicas'!B1273</f>
        <v>15384822-k</v>
      </c>
      <c r="C1273" t="e">
        <f>VLOOKUP(paciente_tutor!B1273,clientes!A1273:B2854,2,FALSE)</f>
        <v>#N/A</v>
      </c>
      <c r="D1273" t="e">
        <f t="shared" si="19"/>
        <v>#N/A</v>
      </c>
    </row>
    <row r="1274" spans="1:4" x14ac:dyDescent="0.2">
      <c r="A1274">
        <f>'Fichas clínicas'!A1274</f>
        <v>1276</v>
      </c>
      <c r="B1274" t="str">
        <f>'Fichas clínicas'!B1274</f>
        <v>16805018-6</v>
      </c>
      <c r="C1274" t="e">
        <f>VLOOKUP(paciente_tutor!B1274,clientes!A1274:B2855,2,FALSE)</f>
        <v>#N/A</v>
      </c>
      <c r="D1274" t="e">
        <f t="shared" si="19"/>
        <v>#N/A</v>
      </c>
    </row>
    <row r="1275" spans="1:4" x14ac:dyDescent="0.2">
      <c r="A1275">
        <f>'Fichas clínicas'!A1275</f>
        <v>1277</v>
      </c>
      <c r="B1275" t="str">
        <f>'Fichas clínicas'!B1275</f>
        <v>21935195-k</v>
      </c>
      <c r="C1275" t="str">
        <f>VLOOKUP(paciente_tutor!B1275,clientes!A1275:B2856,2,FALSE)</f>
        <v>Alexis</v>
      </c>
      <c r="D1275" t="str">
        <f t="shared" si="19"/>
        <v>21935195-k</v>
      </c>
    </row>
    <row r="1276" spans="1:4" x14ac:dyDescent="0.2">
      <c r="A1276">
        <f>'Fichas clínicas'!A1276</f>
        <v>1278</v>
      </c>
      <c r="B1276" t="str">
        <f>'Fichas clínicas'!B1276</f>
        <v>17067802-8</v>
      </c>
      <c r="C1276" t="e">
        <f>VLOOKUP(paciente_tutor!B1276,clientes!A1276:B2857,2,FALSE)</f>
        <v>#N/A</v>
      </c>
      <c r="D1276" t="e">
        <f t="shared" si="19"/>
        <v>#N/A</v>
      </c>
    </row>
    <row r="1277" spans="1:4" x14ac:dyDescent="0.2">
      <c r="A1277">
        <f>'Fichas clínicas'!A1277</f>
        <v>1279</v>
      </c>
      <c r="B1277" t="str">
        <f>'Fichas clínicas'!B1277</f>
        <v>22681716-6</v>
      </c>
      <c r="C1277" t="str">
        <f>VLOOKUP(paciente_tutor!B1277,clientes!A1277:B2858,2,FALSE)</f>
        <v>Jose</v>
      </c>
      <c r="D1277" t="str">
        <f t="shared" si="19"/>
        <v>22681716-6</v>
      </c>
    </row>
    <row r="1278" spans="1:4" x14ac:dyDescent="0.2">
      <c r="A1278">
        <f>'Fichas clínicas'!A1278</f>
        <v>1280</v>
      </c>
      <c r="B1278" t="str">
        <f>'Fichas clínicas'!B1278</f>
        <v>16828567-1</v>
      </c>
      <c r="C1278" t="e">
        <f>VLOOKUP(paciente_tutor!B1278,clientes!A1278:B2859,2,FALSE)</f>
        <v>#N/A</v>
      </c>
      <c r="D1278" t="e">
        <f t="shared" si="19"/>
        <v>#N/A</v>
      </c>
    </row>
    <row r="1279" spans="1:4" x14ac:dyDescent="0.2">
      <c r="A1279">
        <f>'Fichas clínicas'!A1279</f>
        <v>1281</v>
      </c>
      <c r="B1279" t="str">
        <f>'Fichas clínicas'!B1279</f>
        <v>22199064-1</v>
      </c>
      <c r="C1279" t="str">
        <f>VLOOKUP(paciente_tutor!B1279,clientes!A1279:B2860,2,FALSE)</f>
        <v>Isidora</v>
      </c>
      <c r="D1279" t="str">
        <f t="shared" si="19"/>
        <v>22199064-1</v>
      </c>
    </row>
    <row r="1280" spans="1:4" x14ac:dyDescent="0.2">
      <c r="A1280">
        <f>'Fichas clínicas'!A1280</f>
        <v>1282</v>
      </c>
      <c r="B1280" t="str">
        <f>'Fichas clínicas'!B1280</f>
        <v>11704632-k</v>
      </c>
      <c r="C1280" t="e">
        <f>VLOOKUP(paciente_tutor!B1280,clientes!A1280:B2861,2,FALSE)</f>
        <v>#N/A</v>
      </c>
      <c r="D1280" t="e">
        <f t="shared" si="19"/>
        <v>#N/A</v>
      </c>
    </row>
    <row r="1281" spans="1:4" x14ac:dyDescent="0.2">
      <c r="A1281">
        <f>'Fichas clínicas'!A1281</f>
        <v>1283</v>
      </c>
      <c r="B1281" t="str">
        <f>'Fichas clínicas'!B1281</f>
        <v>9812138-2</v>
      </c>
      <c r="C1281" t="str">
        <f>VLOOKUP(paciente_tutor!B1281,clientes!A1281:B2862,2,FALSE)</f>
        <v>Sandra</v>
      </c>
      <c r="D1281" t="str">
        <f t="shared" si="19"/>
        <v>9812138-2</v>
      </c>
    </row>
    <row r="1282" spans="1:4" x14ac:dyDescent="0.2">
      <c r="A1282">
        <f>'Fichas clínicas'!A1282</f>
        <v>1284</v>
      </c>
      <c r="B1282" t="str">
        <f>'Fichas clínicas'!B1282</f>
        <v>16587611-3</v>
      </c>
      <c r="C1282" t="e">
        <f>VLOOKUP(paciente_tutor!B1282,clientes!A1282:B2863,2,FALSE)</f>
        <v>#N/A</v>
      </c>
      <c r="D1282" t="e">
        <f t="shared" si="19"/>
        <v>#N/A</v>
      </c>
    </row>
    <row r="1283" spans="1:4" x14ac:dyDescent="0.2">
      <c r="A1283">
        <f>'Fichas clínicas'!A1283</f>
        <v>1285</v>
      </c>
      <c r="B1283" t="str">
        <f>'Fichas clínicas'!B1283</f>
        <v>15265870-2</v>
      </c>
      <c r="C1283" t="e">
        <f>VLOOKUP(paciente_tutor!B1283,clientes!A1283:B2864,2,FALSE)</f>
        <v>#N/A</v>
      </c>
      <c r="D1283" t="e">
        <f t="shared" ref="D1283:D1346" si="20">IF(C1283="#N/A","",B1283)</f>
        <v>#N/A</v>
      </c>
    </row>
    <row r="1284" spans="1:4" x14ac:dyDescent="0.2">
      <c r="A1284">
        <f>'Fichas clínicas'!A1284</f>
        <v>1286</v>
      </c>
      <c r="B1284" t="str">
        <f>'Fichas clínicas'!B1284</f>
        <v>11704290-1</v>
      </c>
      <c r="C1284" t="e">
        <f>VLOOKUP(paciente_tutor!B1284,clientes!A1284:B2865,2,FALSE)</f>
        <v>#N/A</v>
      </c>
      <c r="D1284" t="e">
        <f t="shared" si="20"/>
        <v>#N/A</v>
      </c>
    </row>
    <row r="1285" spans="1:4" x14ac:dyDescent="0.2">
      <c r="A1285">
        <f>'Fichas clínicas'!A1285</f>
        <v>1287</v>
      </c>
      <c r="B1285" t="str">
        <f>'Fichas clínicas'!B1285</f>
        <v>20989762-8</v>
      </c>
      <c r="C1285" t="str">
        <f>VLOOKUP(paciente_tutor!B1285,clientes!A1285:B2866,2,FALSE)</f>
        <v>Rocío</v>
      </c>
      <c r="D1285" t="str">
        <f t="shared" si="20"/>
        <v>20989762-8</v>
      </c>
    </row>
    <row r="1286" spans="1:4" x14ac:dyDescent="0.2">
      <c r="A1286">
        <f>'Fichas clínicas'!A1286</f>
        <v>1288</v>
      </c>
      <c r="B1286" t="str">
        <f>'Fichas clínicas'!B1286</f>
        <v>21742568-9</v>
      </c>
      <c r="C1286" t="str">
        <f>VLOOKUP(paciente_tutor!B1286,clientes!A1286:B2867,2,FALSE)</f>
        <v>CAROLINA</v>
      </c>
      <c r="D1286" t="str">
        <f t="shared" si="20"/>
        <v>21742568-9</v>
      </c>
    </row>
    <row r="1287" spans="1:4" x14ac:dyDescent="0.2">
      <c r="A1287">
        <f>'Fichas clínicas'!A1287</f>
        <v>1289</v>
      </c>
      <c r="B1287" t="str">
        <f>'Fichas clínicas'!B1287</f>
        <v>19555456-0</v>
      </c>
      <c r="C1287" t="e">
        <f>VLOOKUP(paciente_tutor!B1287,clientes!A1287:B2868,2,FALSE)</f>
        <v>#N/A</v>
      </c>
      <c r="D1287" t="e">
        <f t="shared" si="20"/>
        <v>#N/A</v>
      </c>
    </row>
    <row r="1288" spans="1:4" x14ac:dyDescent="0.2">
      <c r="A1288">
        <f>'Fichas clínicas'!A1288</f>
        <v>1290</v>
      </c>
      <c r="B1288" t="str">
        <f>'Fichas clínicas'!B1288</f>
        <v>15339849-6</v>
      </c>
      <c r="C1288" t="e">
        <f>VLOOKUP(paciente_tutor!B1288,clientes!A1288:B2869,2,FALSE)</f>
        <v>#N/A</v>
      </c>
      <c r="D1288" t="e">
        <f t="shared" si="20"/>
        <v>#N/A</v>
      </c>
    </row>
    <row r="1289" spans="1:4" x14ac:dyDescent="0.2">
      <c r="A1289">
        <f>'Fichas clínicas'!A1289</f>
        <v>1291</v>
      </c>
      <c r="B1289" t="str">
        <f>'Fichas clínicas'!B1289</f>
        <v>15755580-4</v>
      </c>
      <c r="C1289" t="e">
        <f>VLOOKUP(paciente_tutor!B1289,clientes!A1289:B2870,2,FALSE)</f>
        <v>#N/A</v>
      </c>
      <c r="D1289" t="e">
        <f t="shared" si="20"/>
        <v>#N/A</v>
      </c>
    </row>
    <row r="1290" spans="1:4" x14ac:dyDescent="0.2">
      <c r="A1290">
        <f>'Fichas clínicas'!A1290</f>
        <v>1292</v>
      </c>
      <c r="B1290" t="str">
        <f>'Fichas clínicas'!B1290</f>
        <v>15271771-7</v>
      </c>
      <c r="C1290" t="e">
        <f>VLOOKUP(paciente_tutor!B1290,clientes!A1290:B2871,2,FALSE)</f>
        <v>#N/A</v>
      </c>
      <c r="D1290" t="e">
        <f t="shared" si="20"/>
        <v>#N/A</v>
      </c>
    </row>
    <row r="1291" spans="1:4" x14ac:dyDescent="0.2">
      <c r="A1291">
        <f>'Fichas clínicas'!A1291</f>
        <v>1293</v>
      </c>
      <c r="B1291" t="str">
        <f>'Fichas clínicas'!B1291</f>
        <v>16159494-6</v>
      </c>
      <c r="C1291" t="e">
        <f>VLOOKUP(paciente_tutor!B1291,clientes!A1291:B2872,2,FALSE)</f>
        <v>#N/A</v>
      </c>
      <c r="D1291" t="e">
        <f t="shared" si="20"/>
        <v>#N/A</v>
      </c>
    </row>
    <row r="1292" spans="1:4" x14ac:dyDescent="0.2">
      <c r="A1292">
        <f>'Fichas clínicas'!A1292</f>
        <v>1294</v>
      </c>
      <c r="B1292" t="str">
        <f>'Fichas clínicas'!B1292</f>
        <v>16159494-6</v>
      </c>
      <c r="C1292" t="e">
        <f>VLOOKUP(paciente_tutor!B1292,clientes!A1292:B2873,2,FALSE)</f>
        <v>#N/A</v>
      </c>
      <c r="D1292" t="e">
        <f t="shared" si="20"/>
        <v>#N/A</v>
      </c>
    </row>
    <row r="1293" spans="1:4" x14ac:dyDescent="0.2">
      <c r="A1293">
        <f>'Fichas clínicas'!A1293</f>
        <v>1295</v>
      </c>
      <c r="B1293" t="str">
        <f>'Fichas clínicas'!B1293</f>
        <v>16159494-6</v>
      </c>
      <c r="C1293" t="e">
        <f>VLOOKUP(paciente_tutor!B1293,clientes!A1293:B2874,2,FALSE)</f>
        <v>#N/A</v>
      </c>
      <c r="D1293" t="e">
        <f t="shared" si="20"/>
        <v>#N/A</v>
      </c>
    </row>
    <row r="1294" spans="1:4" x14ac:dyDescent="0.2">
      <c r="A1294">
        <f>'Fichas clínicas'!A1294</f>
        <v>1296</v>
      </c>
      <c r="B1294" t="str">
        <f>'Fichas clínicas'!B1294</f>
        <v>13400117-8</v>
      </c>
      <c r="C1294" t="e">
        <f>VLOOKUP(paciente_tutor!B1294,clientes!A1294:B2875,2,FALSE)</f>
        <v>#N/A</v>
      </c>
      <c r="D1294" t="e">
        <f t="shared" si="20"/>
        <v>#N/A</v>
      </c>
    </row>
    <row r="1295" spans="1:4" x14ac:dyDescent="0.2">
      <c r="A1295">
        <f>'Fichas clínicas'!A1295</f>
        <v>1297</v>
      </c>
      <c r="B1295" t="str">
        <f>'Fichas clínicas'!B1295</f>
        <v>13400117-8</v>
      </c>
      <c r="C1295" t="e">
        <f>VLOOKUP(paciente_tutor!B1295,clientes!A1295:B2876,2,FALSE)</f>
        <v>#N/A</v>
      </c>
      <c r="D1295" t="e">
        <f t="shared" si="20"/>
        <v>#N/A</v>
      </c>
    </row>
    <row r="1296" spans="1:4" x14ac:dyDescent="0.2">
      <c r="A1296">
        <f>'Fichas clínicas'!A1296</f>
        <v>1298</v>
      </c>
      <c r="B1296" t="str">
        <f>'Fichas clínicas'!B1296</f>
        <v>6308877-3</v>
      </c>
      <c r="C1296" t="str">
        <f>VLOOKUP(paciente_tutor!B1296,clientes!A1296:B2877,2,FALSE)</f>
        <v>EMILIO</v>
      </c>
      <c r="D1296" t="str">
        <f t="shared" si="20"/>
        <v>6308877-3</v>
      </c>
    </row>
    <row r="1297" spans="1:4" x14ac:dyDescent="0.2">
      <c r="A1297">
        <f>'Fichas clínicas'!A1297</f>
        <v>1299</v>
      </c>
      <c r="B1297" t="str">
        <f>'Fichas clínicas'!B1297</f>
        <v>16048739-9</v>
      </c>
      <c r="C1297" t="e">
        <f>VLOOKUP(paciente_tutor!B1297,clientes!A1297:B2878,2,FALSE)</f>
        <v>#N/A</v>
      </c>
      <c r="D1297" t="e">
        <f t="shared" si="20"/>
        <v>#N/A</v>
      </c>
    </row>
    <row r="1298" spans="1:4" x14ac:dyDescent="0.2">
      <c r="A1298">
        <f>'Fichas clínicas'!A1298</f>
        <v>1300</v>
      </c>
      <c r="B1298" t="str">
        <f>'Fichas clínicas'!B1298</f>
        <v>13819015-3</v>
      </c>
      <c r="C1298" t="e">
        <f>VLOOKUP(paciente_tutor!B1298,clientes!A1298:B2879,2,FALSE)</f>
        <v>#N/A</v>
      </c>
      <c r="D1298" t="e">
        <f t="shared" si="20"/>
        <v>#N/A</v>
      </c>
    </row>
    <row r="1299" spans="1:4" x14ac:dyDescent="0.2">
      <c r="A1299">
        <f>'Fichas clínicas'!A1299</f>
        <v>1301</v>
      </c>
      <c r="B1299" t="str">
        <f>'Fichas clínicas'!B1299</f>
        <v>12016187-3</v>
      </c>
      <c r="C1299" t="e">
        <f>VLOOKUP(paciente_tutor!B1299,clientes!A1299:B2880,2,FALSE)</f>
        <v>#N/A</v>
      </c>
      <c r="D1299" t="e">
        <f t="shared" si="20"/>
        <v>#N/A</v>
      </c>
    </row>
    <row r="1300" spans="1:4" x14ac:dyDescent="0.2">
      <c r="A1300">
        <f>'Fichas clínicas'!A1300</f>
        <v>1302</v>
      </c>
      <c r="B1300" t="str">
        <f>'Fichas clínicas'!B1300</f>
        <v>15293213-8</v>
      </c>
      <c r="C1300" t="e">
        <f>VLOOKUP(paciente_tutor!B1300,clientes!A1300:B2881,2,FALSE)</f>
        <v>#N/A</v>
      </c>
      <c r="D1300" t="e">
        <f t="shared" si="20"/>
        <v>#N/A</v>
      </c>
    </row>
    <row r="1301" spans="1:4" x14ac:dyDescent="0.2">
      <c r="A1301">
        <f>'Fichas clínicas'!A1301</f>
        <v>1303</v>
      </c>
      <c r="B1301" t="str">
        <f>'Fichas clínicas'!B1301</f>
        <v>19625387-4</v>
      </c>
      <c r="C1301" t="e">
        <f>VLOOKUP(paciente_tutor!B1301,clientes!A1301:B2882,2,FALSE)</f>
        <v>#N/A</v>
      </c>
      <c r="D1301" t="e">
        <f t="shared" si="20"/>
        <v>#N/A</v>
      </c>
    </row>
    <row r="1302" spans="1:4" x14ac:dyDescent="0.2">
      <c r="A1302">
        <f>'Fichas clínicas'!A1302</f>
        <v>1304</v>
      </c>
      <c r="B1302" t="str">
        <f>'Fichas clínicas'!B1302</f>
        <v>21649370-2</v>
      </c>
      <c r="C1302" t="str">
        <f>VLOOKUP(paciente_tutor!B1302,clientes!A1302:B2883,2,FALSE)</f>
        <v>Aymara</v>
      </c>
      <c r="D1302" t="str">
        <f t="shared" si="20"/>
        <v>21649370-2</v>
      </c>
    </row>
    <row r="1303" spans="1:4" x14ac:dyDescent="0.2">
      <c r="A1303">
        <f>'Fichas clínicas'!A1303</f>
        <v>1305</v>
      </c>
      <c r="B1303" t="str">
        <f>'Fichas clínicas'!B1303</f>
        <v>18211646-7</v>
      </c>
      <c r="C1303" t="e">
        <f>VLOOKUP(paciente_tutor!B1303,clientes!A1303:B2884,2,FALSE)</f>
        <v>#N/A</v>
      </c>
      <c r="D1303" t="e">
        <f t="shared" si="20"/>
        <v>#N/A</v>
      </c>
    </row>
    <row r="1304" spans="1:4" x14ac:dyDescent="0.2">
      <c r="A1304">
        <f>'Fichas clínicas'!A1304</f>
        <v>1306</v>
      </c>
      <c r="B1304" t="str">
        <f>'Fichas clínicas'!B1304</f>
        <v>17652561-4</v>
      </c>
      <c r="C1304" t="e">
        <f>VLOOKUP(paciente_tutor!B1304,clientes!A1304:B2885,2,FALSE)</f>
        <v>#N/A</v>
      </c>
      <c r="D1304" t="e">
        <f t="shared" si="20"/>
        <v>#N/A</v>
      </c>
    </row>
    <row r="1305" spans="1:4" x14ac:dyDescent="0.2">
      <c r="A1305">
        <f>'Fichas clínicas'!A1305</f>
        <v>1307</v>
      </c>
      <c r="B1305" t="str">
        <f>'Fichas clínicas'!B1305</f>
        <v>10713517-0</v>
      </c>
      <c r="C1305" t="e">
        <f>VLOOKUP(paciente_tutor!B1305,clientes!A1305:B2886,2,FALSE)</f>
        <v>#N/A</v>
      </c>
      <c r="D1305" t="e">
        <f t="shared" si="20"/>
        <v>#N/A</v>
      </c>
    </row>
    <row r="1306" spans="1:4" x14ac:dyDescent="0.2">
      <c r="A1306">
        <f>'Fichas clínicas'!A1306</f>
        <v>1308</v>
      </c>
      <c r="B1306" t="str">
        <f>'Fichas clínicas'!B1306</f>
        <v>15293915-9</v>
      </c>
      <c r="C1306" t="e">
        <f>VLOOKUP(paciente_tutor!B1306,clientes!A1306:B2887,2,FALSE)</f>
        <v>#N/A</v>
      </c>
      <c r="D1306" t="e">
        <f t="shared" si="20"/>
        <v>#N/A</v>
      </c>
    </row>
    <row r="1307" spans="1:4" x14ac:dyDescent="0.2">
      <c r="A1307">
        <f>'Fichas clínicas'!A1307</f>
        <v>1309</v>
      </c>
      <c r="B1307" t="str">
        <f>'Fichas clínicas'!B1307</f>
        <v>13320287-0</v>
      </c>
      <c r="C1307" t="e">
        <f>VLOOKUP(paciente_tutor!B1307,clientes!A1307:B2888,2,FALSE)</f>
        <v>#N/A</v>
      </c>
      <c r="D1307" t="e">
        <f t="shared" si="20"/>
        <v>#N/A</v>
      </c>
    </row>
    <row r="1308" spans="1:4" x14ac:dyDescent="0.2">
      <c r="A1308">
        <f>'Fichas clínicas'!A1308</f>
        <v>1310</v>
      </c>
      <c r="B1308" t="str">
        <f>'Fichas clínicas'!B1308</f>
        <v>20732154-0</v>
      </c>
      <c r="C1308" t="e">
        <f>VLOOKUP(paciente_tutor!B1308,clientes!A1308:B2889,2,FALSE)</f>
        <v>#N/A</v>
      </c>
      <c r="D1308" t="e">
        <f t="shared" si="20"/>
        <v>#N/A</v>
      </c>
    </row>
    <row r="1309" spans="1:4" x14ac:dyDescent="0.2">
      <c r="A1309">
        <f>'Fichas clínicas'!A1309</f>
        <v>1311</v>
      </c>
      <c r="B1309" t="str">
        <f>'Fichas clínicas'!B1309</f>
        <v>17068174-6</v>
      </c>
      <c r="C1309" t="e">
        <f>VLOOKUP(paciente_tutor!B1309,clientes!A1309:B2890,2,FALSE)</f>
        <v>#N/A</v>
      </c>
      <c r="D1309" t="e">
        <f t="shared" si="20"/>
        <v>#N/A</v>
      </c>
    </row>
    <row r="1310" spans="1:4" x14ac:dyDescent="0.2">
      <c r="A1310">
        <f>'Fichas clínicas'!A1310</f>
        <v>1312</v>
      </c>
      <c r="B1310" t="str">
        <f>'Fichas clínicas'!B1310</f>
        <v>19625023-9</v>
      </c>
      <c r="C1310" t="e">
        <f>VLOOKUP(paciente_tutor!B1310,clientes!A1310:B2891,2,FALSE)</f>
        <v>#N/A</v>
      </c>
      <c r="D1310" t="e">
        <f t="shared" si="20"/>
        <v>#N/A</v>
      </c>
    </row>
    <row r="1311" spans="1:4" x14ac:dyDescent="0.2">
      <c r="A1311">
        <f>'Fichas clínicas'!A1311</f>
        <v>1313</v>
      </c>
      <c r="B1311" t="str">
        <f>'Fichas clínicas'!B1311</f>
        <v>11592590-3</v>
      </c>
      <c r="C1311" t="e">
        <f>VLOOKUP(paciente_tutor!B1311,clientes!A1311:B2892,2,FALSE)</f>
        <v>#N/A</v>
      </c>
      <c r="D1311" t="e">
        <f t="shared" si="20"/>
        <v>#N/A</v>
      </c>
    </row>
    <row r="1312" spans="1:4" x14ac:dyDescent="0.2">
      <c r="A1312">
        <f>'Fichas clínicas'!A1312</f>
        <v>1314</v>
      </c>
      <c r="B1312" t="str">
        <f>'Fichas clínicas'!B1312</f>
        <v>17360424-6</v>
      </c>
      <c r="C1312" t="e">
        <f>VLOOKUP(paciente_tutor!B1312,clientes!A1312:B2893,2,FALSE)</f>
        <v>#N/A</v>
      </c>
      <c r="D1312" t="e">
        <f t="shared" si="20"/>
        <v>#N/A</v>
      </c>
    </row>
    <row r="1313" spans="1:4" x14ac:dyDescent="0.2">
      <c r="A1313">
        <f>'Fichas clínicas'!A1313</f>
        <v>1315</v>
      </c>
      <c r="B1313" t="str">
        <f>'Fichas clínicas'!B1313</f>
        <v>19248952-0</v>
      </c>
      <c r="C1313" t="e">
        <f>VLOOKUP(paciente_tutor!B1313,clientes!A1313:B2894,2,FALSE)</f>
        <v>#N/A</v>
      </c>
      <c r="D1313" t="e">
        <f t="shared" si="20"/>
        <v>#N/A</v>
      </c>
    </row>
    <row r="1314" spans="1:4" x14ac:dyDescent="0.2">
      <c r="A1314">
        <f>'Fichas clínicas'!A1314</f>
        <v>1316</v>
      </c>
      <c r="B1314" t="str">
        <f>'Fichas clínicas'!B1314</f>
        <v>13320991-3</v>
      </c>
      <c r="C1314" t="e">
        <f>VLOOKUP(paciente_tutor!B1314,clientes!A1314:B2895,2,FALSE)</f>
        <v>#N/A</v>
      </c>
      <c r="D1314" t="e">
        <f t="shared" si="20"/>
        <v>#N/A</v>
      </c>
    </row>
    <row r="1315" spans="1:4" x14ac:dyDescent="0.2">
      <c r="A1315">
        <f>'Fichas clínicas'!A1315</f>
        <v>1317</v>
      </c>
      <c r="B1315" t="str">
        <f>'Fichas clínicas'!B1315</f>
        <v>20135009-3</v>
      </c>
      <c r="C1315" t="e">
        <f>VLOOKUP(paciente_tutor!B1315,clientes!A1315:B2896,2,FALSE)</f>
        <v>#N/A</v>
      </c>
      <c r="D1315" t="e">
        <f t="shared" si="20"/>
        <v>#N/A</v>
      </c>
    </row>
    <row r="1316" spans="1:4" x14ac:dyDescent="0.2">
      <c r="A1316">
        <f>'Fichas clínicas'!A1316</f>
        <v>1318</v>
      </c>
      <c r="B1316" t="str">
        <f>'Fichas clínicas'!B1316</f>
        <v>12748128-8</v>
      </c>
      <c r="C1316" t="e">
        <f>VLOOKUP(paciente_tutor!B1316,clientes!A1316:B2897,2,FALSE)</f>
        <v>#N/A</v>
      </c>
      <c r="D1316" t="e">
        <f t="shared" si="20"/>
        <v>#N/A</v>
      </c>
    </row>
    <row r="1317" spans="1:4" x14ac:dyDescent="0.2">
      <c r="A1317">
        <f>'Fichas clínicas'!A1317</f>
        <v>1319</v>
      </c>
      <c r="B1317" t="str">
        <f>'Fichas clínicas'!B1317</f>
        <v>10283044-k</v>
      </c>
      <c r="C1317" t="e">
        <f>VLOOKUP(paciente_tutor!B1317,clientes!A1317:B2898,2,FALSE)</f>
        <v>#N/A</v>
      </c>
      <c r="D1317" t="e">
        <f t="shared" si="20"/>
        <v>#N/A</v>
      </c>
    </row>
    <row r="1318" spans="1:4" x14ac:dyDescent="0.2">
      <c r="A1318">
        <f>'Fichas clínicas'!A1318</f>
        <v>1320</v>
      </c>
      <c r="B1318" t="str">
        <f>'Fichas clínicas'!B1318</f>
        <v>19624439-5</v>
      </c>
      <c r="C1318" t="e">
        <f>VLOOKUP(paciente_tutor!B1318,clientes!A1318:B2899,2,FALSE)</f>
        <v>#N/A</v>
      </c>
      <c r="D1318" t="e">
        <f t="shared" si="20"/>
        <v>#N/A</v>
      </c>
    </row>
    <row r="1319" spans="1:4" x14ac:dyDescent="0.2">
      <c r="A1319">
        <f>'Fichas clínicas'!A1319</f>
        <v>1321</v>
      </c>
      <c r="B1319" t="str">
        <f>'Fichas clínicas'!B1319</f>
        <v>16048739-9</v>
      </c>
      <c r="C1319" t="e">
        <f>VLOOKUP(paciente_tutor!B1319,clientes!A1319:B2900,2,FALSE)</f>
        <v>#N/A</v>
      </c>
      <c r="D1319" t="e">
        <f t="shared" si="20"/>
        <v>#N/A</v>
      </c>
    </row>
    <row r="1320" spans="1:4" x14ac:dyDescent="0.2">
      <c r="A1320">
        <f>'Fichas clínicas'!A1320</f>
        <v>1322</v>
      </c>
      <c r="B1320" t="str">
        <f>'Fichas clínicas'!B1320</f>
        <v>16586339-9</v>
      </c>
      <c r="C1320" t="e">
        <f>VLOOKUP(paciente_tutor!B1320,clientes!A1320:B2901,2,FALSE)</f>
        <v>#N/A</v>
      </c>
      <c r="D1320" t="e">
        <f t="shared" si="20"/>
        <v>#N/A</v>
      </c>
    </row>
    <row r="1321" spans="1:4" x14ac:dyDescent="0.2">
      <c r="A1321">
        <f>'Fichas clínicas'!A1321</f>
        <v>1323</v>
      </c>
      <c r="B1321" t="str">
        <f>'Fichas clínicas'!B1321</f>
        <v>23057252-6</v>
      </c>
      <c r="C1321" t="str">
        <f>VLOOKUP(paciente_tutor!B1321,clientes!A1321:B2902,2,FALSE)</f>
        <v>GUILLERMO</v>
      </c>
      <c r="D1321" t="str">
        <f t="shared" si="20"/>
        <v>23057252-6</v>
      </c>
    </row>
    <row r="1322" spans="1:4" x14ac:dyDescent="0.2">
      <c r="A1322">
        <f>'Fichas clínicas'!A1322</f>
        <v>1324</v>
      </c>
      <c r="B1322" t="str">
        <f>'Fichas clínicas'!B1322</f>
        <v>18731263-9</v>
      </c>
      <c r="C1322" t="e">
        <f>VLOOKUP(paciente_tutor!B1322,clientes!A1322:B2903,2,FALSE)</f>
        <v>#N/A</v>
      </c>
      <c r="D1322" t="e">
        <f t="shared" si="20"/>
        <v>#N/A</v>
      </c>
    </row>
    <row r="1323" spans="1:4" x14ac:dyDescent="0.2">
      <c r="A1323">
        <f>'Fichas clínicas'!A1323</f>
        <v>1325</v>
      </c>
      <c r="B1323" t="str">
        <f>'Fichas clínicas'!B1323</f>
        <v>16806406-3</v>
      </c>
      <c r="C1323" t="e">
        <f>VLOOKUP(paciente_tutor!B1323,clientes!A1323:B2904,2,FALSE)</f>
        <v>#N/A</v>
      </c>
      <c r="D1323" t="e">
        <f t="shared" si="20"/>
        <v>#N/A</v>
      </c>
    </row>
    <row r="1324" spans="1:4" x14ac:dyDescent="0.2">
      <c r="A1324">
        <f>'Fichas clínicas'!A1324</f>
        <v>1326</v>
      </c>
      <c r="B1324" t="str">
        <f>'Fichas clínicas'!B1324</f>
        <v>16806406-3</v>
      </c>
      <c r="C1324" t="e">
        <f>VLOOKUP(paciente_tutor!B1324,clientes!A1324:B2905,2,FALSE)</f>
        <v>#N/A</v>
      </c>
      <c r="D1324" t="e">
        <f t="shared" si="20"/>
        <v>#N/A</v>
      </c>
    </row>
    <row r="1325" spans="1:4" x14ac:dyDescent="0.2">
      <c r="A1325">
        <f>'Fichas clínicas'!A1325</f>
        <v>1327</v>
      </c>
      <c r="B1325" t="str">
        <f>'Fichas clínicas'!B1325</f>
        <v>10016177-k</v>
      </c>
      <c r="C1325" t="e">
        <f>VLOOKUP(paciente_tutor!B1325,clientes!A1325:B2906,2,FALSE)</f>
        <v>#N/A</v>
      </c>
      <c r="D1325" t="e">
        <f t="shared" si="20"/>
        <v>#N/A</v>
      </c>
    </row>
    <row r="1326" spans="1:4" x14ac:dyDescent="0.2">
      <c r="A1326">
        <f>'Fichas clínicas'!A1326</f>
        <v>1328</v>
      </c>
      <c r="B1326" t="str">
        <f>'Fichas clínicas'!B1326</f>
        <v>10016177-k</v>
      </c>
      <c r="C1326" t="e">
        <f>VLOOKUP(paciente_tutor!B1326,clientes!A1326:B2907,2,FALSE)</f>
        <v>#N/A</v>
      </c>
      <c r="D1326" t="e">
        <f t="shared" si="20"/>
        <v>#N/A</v>
      </c>
    </row>
    <row r="1327" spans="1:4" x14ac:dyDescent="0.2">
      <c r="A1327">
        <f>'Fichas clínicas'!A1327</f>
        <v>1329</v>
      </c>
      <c r="B1327" t="str">
        <f>'Fichas clínicas'!B1327</f>
        <v>15884018-9</v>
      </c>
      <c r="C1327" t="e">
        <f>VLOOKUP(paciente_tutor!B1327,clientes!A1327:B2908,2,FALSE)</f>
        <v>#N/A</v>
      </c>
      <c r="D1327" t="e">
        <f t="shared" si="20"/>
        <v>#N/A</v>
      </c>
    </row>
    <row r="1328" spans="1:4" x14ac:dyDescent="0.2">
      <c r="A1328">
        <f>'Fichas clínicas'!A1328</f>
        <v>1330</v>
      </c>
      <c r="B1328" t="str">
        <f>'Fichas clínicas'!B1328</f>
        <v>21783626-3</v>
      </c>
      <c r="C1328" t="str">
        <f>VLOOKUP(paciente_tutor!B1328,clientes!A1328:B2909,2,FALSE)</f>
        <v>CAMILA</v>
      </c>
      <c r="D1328" t="str">
        <f t="shared" si="20"/>
        <v>21783626-3</v>
      </c>
    </row>
    <row r="1329" spans="1:4" x14ac:dyDescent="0.2">
      <c r="A1329">
        <f>'Fichas clínicas'!A1329</f>
        <v>1331</v>
      </c>
      <c r="B1329" t="str">
        <f>'Fichas clínicas'!B1329</f>
        <v>16636003-k</v>
      </c>
      <c r="C1329" t="e">
        <f>VLOOKUP(paciente_tutor!B1329,clientes!A1329:B2910,2,FALSE)</f>
        <v>#N/A</v>
      </c>
      <c r="D1329" t="e">
        <f t="shared" si="20"/>
        <v>#N/A</v>
      </c>
    </row>
    <row r="1330" spans="1:4" x14ac:dyDescent="0.2">
      <c r="A1330">
        <f>'Fichas clínicas'!A1330</f>
        <v>1332</v>
      </c>
      <c r="B1330" t="str">
        <f>'Fichas clínicas'!B1330</f>
        <v>6307071-8</v>
      </c>
      <c r="C1330" t="str">
        <f>VLOOKUP(paciente_tutor!B1330,clientes!A1330:B2911,2,FALSE)</f>
        <v>Nuri Angelica</v>
      </c>
      <c r="D1330" t="str">
        <f t="shared" si="20"/>
        <v>6307071-8</v>
      </c>
    </row>
    <row r="1331" spans="1:4" x14ac:dyDescent="0.2">
      <c r="A1331">
        <f>'Fichas clínicas'!A1331</f>
        <v>1333</v>
      </c>
      <c r="B1331" t="str">
        <f>'Fichas clínicas'!B1331</f>
        <v>17200859-3</v>
      </c>
      <c r="C1331" t="e">
        <f>VLOOKUP(paciente_tutor!B1331,clientes!A1331:B2912,2,FALSE)</f>
        <v>#N/A</v>
      </c>
      <c r="D1331" t="e">
        <f t="shared" si="20"/>
        <v>#N/A</v>
      </c>
    </row>
    <row r="1332" spans="1:4" x14ac:dyDescent="0.2">
      <c r="A1332">
        <f>'Fichas clínicas'!A1332</f>
        <v>1334</v>
      </c>
      <c r="B1332" t="str">
        <f>'Fichas clínicas'!B1332</f>
        <v>13444396-0</v>
      </c>
      <c r="C1332" t="e">
        <f>VLOOKUP(paciente_tutor!B1332,clientes!A1332:B2913,2,FALSE)</f>
        <v>#N/A</v>
      </c>
      <c r="D1332" t="e">
        <f t="shared" si="20"/>
        <v>#N/A</v>
      </c>
    </row>
    <row r="1333" spans="1:4" x14ac:dyDescent="0.2">
      <c r="A1333">
        <f>'Fichas clínicas'!A1333</f>
        <v>1335</v>
      </c>
      <c r="B1333" t="str">
        <f>'Fichas clínicas'!B1333</f>
        <v>20601822-4</v>
      </c>
      <c r="C1333" t="e">
        <f>VLOOKUP(paciente_tutor!B1333,clientes!A1333:B2914,2,FALSE)</f>
        <v>#N/A</v>
      </c>
      <c r="D1333" t="e">
        <f t="shared" si="20"/>
        <v>#N/A</v>
      </c>
    </row>
    <row r="1334" spans="1:4" x14ac:dyDescent="0.2">
      <c r="A1334">
        <f>'Fichas clínicas'!A1334</f>
        <v>1336</v>
      </c>
      <c r="B1334" t="str">
        <f>'Fichas clínicas'!B1334</f>
        <v>20083805-k</v>
      </c>
      <c r="C1334" t="e">
        <f>VLOOKUP(paciente_tutor!B1334,clientes!A1334:B2915,2,FALSE)</f>
        <v>#N/A</v>
      </c>
      <c r="D1334" t="e">
        <f t="shared" si="20"/>
        <v>#N/A</v>
      </c>
    </row>
    <row r="1335" spans="1:4" x14ac:dyDescent="0.2">
      <c r="A1335">
        <f>'Fichas clínicas'!A1335</f>
        <v>1337</v>
      </c>
      <c r="B1335" t="str">
        <f>'Fichas clínicas'!B1335</f>
        <v>16160043-1</v>
      </c>
      <c r="C1335" t="e">
        <f>VLOOKUP(paciente_tutor!B1335,clientes!A1335:B2916,2,FALSE)</f>
        <v>#N/A</v>
      </c>
      <c r="D1335" t="e">
        <f t="shared" si="20"/>
        <v>#N/A</v>
      </c>
    </row>
    <row r="1336" spans="1:4" x14ac:dyDescent="0.2">
      <c r="A1336">
        <f>'Fichas clínicas'!A1336</f>
        <v>1338</v>
      </c>
      <c r="B1336" t="str">
        <f>'Fichas clínicas'!B1336</f>
        <v>13943675-K</v>
      </c>
      <c r="C1336" t="e">
        <f>VLOOKUP(paciente_tutor!B1336,clientes!A1336:B2917,2,FALSE)</f>
        <v>#N/A</v>
      </c>
      <c r="D1336" t="e">
        <f t="shared" si="20"/>
        <v>#N/A</v>
      </c>
    </row>
    <row r="1337" spans="1:4" x14ac:dyDescent="0.2">
      <c r="A1337">
        <f>'Fichas clínicas'!A1337</f>
        <v>1339</v>
      </c>
      <c r="B1337" t="str">
        <f>'Fichas clínicas'!B1337</f>
        <v>6492985-2</v>
      </c>
      <c r="C1337" t="str">
        <f>VLOOKUP(paciente_tutor!B1337,clientes!A1337:B2918,2,FALSE)</f>
        <v>Herminia</v>
      </c>
      <c r="D1337" t="str">
        <f t="shared" si="20"/>
        <v>6492985-2</v>
      </c>
    </row>
    <row r="1338" spans="1:4" x14ac:dyDescent="0.2">
      <c r="A1338">
        <f>'Fichas clínicas'!A1338</f>
        <v>1340</v>
      </c>
      <c r="B1338" t="str">
        <f>'Fichas clínicas'!B1338</f>
        <v>11324774-6</v>
      </c>
      <c r="C1338" t="e">
        <f>VLOOKUP(paciente_tutor!B1338,clientes!A1338:B2919,2,FALSE)</f>
        <v>#N/A</v>
      </c>
      <c r="D1338" t="e">
        <f t="shared" si="20"/>
        <v>#N/A</v>
      </c>
    </row>
    <row r="1339" spans="1:4" x14ac:dyDescent="0.2">
      <c r="A1339">
        <f>'Fichas clínicas'!A1339</f>
        <v>1341</v>
      </c>
      <c r="B1339" t="str">
        <f>'Fichas clínicas'!B1339</f>
        <v>21208109-4</v>
      </c>
      <c r="C1339" t="str">
        <f>VLOOKUP(paciente_tutor!B1339,clientes!A1339:B2920,2,FALSE)</f>
        <v>TAMARA</v>
      </c>
      <c r="D1339" t="str">
        <f t="shared" si="20"/>
        <v>21208109-4</v>
      </c>
    </row>
    <row r="1340" spans="1:4" x14ac:dyDescent="0.2">
      <c r="A1340">
        <f>'Fichas clínicas'!A1340</f>
        <v>1342</v>
      </c>
      <c r="B1340" t="str">
        <f>'Fichas clínicas'!B1340</f>
        <v>21208109-4</v>
      </c>
      <c r="C1340" t="str">
        <f>VLOOKUP(paciente_tutor!B1340,clientes!A1340:B2921,2,FALSE)</f>
        <v>TAMARA</v>
      </c>
      <c r="D1340" t="str">
        <f t="shared" si="20"/>
        <v>21208109-4</v>
      </c>
    </row>
    <row r="1341" spans="1:4" x14ac:dyDescent="0.2">
      <c r="A1341">
        <f>'Fichas clínicas'!A1341</f>
        <v>1343</v>
      </c>
      <c r="B1341" t="str">
        <f>'Fichas clínicas'!B1341</f>
        <v>17693354-2</v>
      </c>
      <c r="C1341" t="e">
        <f>VLOOKUP(paciente_tutor!B1341,clientes!A1341:B2922,2,FALSE)</f>
        <v>#N/A</v>
      </c>
      <c r="D1341" t="e">
        <f t="shared" si="20"/>
        <v>#N/A</v>
      </c>
    </row>
    <row r="1342" spans="1:4" x14ac:dyDescent="0.2">
      <c r="A1342">
        <f>'Fichas clínicas'!A1342</f>
        <v>1344</v>
      </c>
      <c r="B1342" t="str">
        <f>'Fichas clínicas'!B1342</f>
        <v>15656573-3</v>
      </c>
      <c r="C1342" t="e">
        <f>VLOOKUP(paciente_tutor!B1342,clientes!A1342:B2923,2,FALSE)</f>
        <v>#N/A</v>
      </c>
      <c r="D1342" t="e">
        <f t="shared" si="20"/>
        <v>#N/A</v>
      </c>
    </row>
    <row r="1343" spans="1:4" x14ac:dyDescent="0.2">
      <c r="A1343">
        <f>'Fichas clínicas'!A1343</f>
        <v>1345</v>
      </c>
      <c r="B1343" t="str">
        <f>'Fichas clínicas'!B1343</f>
        <v>20601449-0</v>
      </c>
      <c r="C1343" t="e">
        <f>VLOOKUP(paciente_tutor!B1343,clientes!A1343:B2924,2,FALSE)</f>
        <v>#N/A</v>
      </c>
      <c r="D1343" t="e">
        <f t="shared" si="20"/>
        <v>#N/A</v>
      </c>
    </row>
    <row r="1344" spans="1:4" x14ac:dyDescent="0.2">
      <c r="A1344">
        <f>'Fichas clínicas'!A1344</f>
        <v>1346</v>
      </c>
      <c r="B1344" t="str">
        <f>'Fichas clínicas'!B1344</f>
        <v>20778431-1</v>
      </c>
      <c r="C1344" t="e">
        <f>VLOOKUP(paciente_tutor!B1344,clientes!A1344:B2925,2,FALSE)</f>
        <v>#N/A</v>
      </c>
      <c r="D1344" t="e">
        <f t="shared" si="20"/>
        <v>#N/A</v>
      </c>
    </row>
    <row r="1345" spans="1:4" x14ac:dyDescent="0.2">
      <c r="A1345">
        <f>'Fichas clínicas'!A1345</f>
        <v>1347</v>
      </c>
      <c r="B1345" t="str">
        <f>'Fichas clínicas'!B1345</f>
        <v>18100012-0</v>
      </c>
      <c r="C1345" t="e">
        <f>VLOOKUP(paciente_tutor!B1345,clientes!A1345:B2926,2,FALSE)</f>
        <v>#N/A</v>
      </c>
      <c r="D1345" t="e">
        <f t="shared" si="20"/>
        <v>#N/A</v>
      </c>
    </row>
    <row r="1346" spans="1:4" x14ac:dyDescent="0.2">
      <c r="A1346">
        <f>'Fichas clínicas'!A1346</f>
        <v>1348</v>
      </c>
      <c r="B1346" t="str">
        <f>'Fichas clínicas'!B1346</f>
        <v>18590183-1</v>
      </c>
      <c r="C1346" t="e">
        <f>VLOOKUP(paciente_tutor!B1346,clientes!A1346:B2927,2,FALSE)</f>
        <v>#N/A</v>
      </c>
      <c r="D1346" t="e">
        <f t="shared" si="20"/>
        <v>#N/A</v>
      </c>
    </row>
    <row r="1347" spans="1:4" x14ac:dyDescent="0.2">
      <c r="A1347">
        <f>'Fichas clínicas'!A1347</f>
        <v>1349</v>
      </c>
      <c r="B1347" t="str">
        <f>'Fichas clínicas'!B1347</f>
        <v>6337871-2</v>
      </c>
      <c r="C1347" t="str">
        <f>VLOOKUP(paciente_tutor!B1347,clientes!A1347:B2928,2,FALSE)</f>
        <v>Fidelina</v>
      </c>
      <c r="D1347" t="str">
        <f t="shared" ref="D1347:D1410" si="21">IF(C1347="#N/A","",B1347)</f>
        <v>6337871-2</v>
      </c>
    </row>
    <row r="1348" spans="1:4" x14ac:dyDescent="0.2">
      <c r="A1348">
        <f>'Fichas clínicas'!A1348</f>
        <v>1350</v>
      </c>
      <c r="B1348" t="str">
        <f>'Fichas clínicas'!B1348</f>
        <v>9756298-9</v>
      </c>
      <c r="C1348" t="str">
        <f>VLOOKUP(paciente_tutor!B1348,clientes!A1348:B2929,2,FALSE)</f>
        <v>GUILLERMO</v>
      </c>
      <c r="D1348" t="str">
        <f t="shared" si="21"/>
        <v>9756298-9</v>
      </c>
    </row>
    <row r="1349" spans="1:4" x14ac:dyDescent="0.2">
      <c r="A1349">
        <f>'Fichas clínicas'!A1349</f>
        <v>1351</v>
      </c>
      <c r="B1349" t="str">
        <f>'Fichas clínicas'!B1349</f>
        <v>17201795-9</v>
      </c>
      <c r="C1349" t="e">
        <f>VLOOKUP(paciente_tutor!B1349,clientes!A1349:B2930,2,FALSE)</f>
        <v>#N/A</v>
      </c>
      <c r="D1349" t="e">
        <f t="shared" si="21"/>
        <v>#N/A</v>
      </c>
    </row>
    <row r="1350" spans="1:4" x14ac:dyDescent="0.2">
      <c r="A1350">
        <f>'Fichas clínicas'!A1350</f>
        <v>1352</v>
      </c>
      <c r="B1350" t="str">
        <f>'Fichas clínicas'!B1350</f>
        <v>14471669-8</v>
      </c>
      <c r="C1350" t="e">
        <f>VLOOKUP(paciente_tutor!B1350,clientes!A1350:B2931,2,FALSE)</f>
        <v>#N/A</v>
      </c>
      <c r="D1350" t="e">
        <f t="shared" si="21"/>
        <v>#N/A</v>
      </c>
    </row>
    <row r="1351" spans="1:4" x14ac:dyDescent="0.2">
      <c r="A1351">
        <f>'Fichas clínicas'!A1351</f>
        <v>1353</v>
      </c>
      <c r="B1351" t="str">
        <f>'Fichas clínicas'!B1351</f>
        <v>18288728-5</v>
      </c>
      <c r="C1351" t="e">
        <f>VLOOKUP(paciente_tutor!B1351,clientes!A1351:B2932,2,FALSE)</f>
        <v>#N/A</v>
      </c>
      <c r="D1351" t="e">
        <f t="shared" si="21"/>
        <v>#N/A</v>
      </c>
    </row>
    <row r="1352" spans="1:4" x14ac:dyDescent="0.2">
      <c r="A1352">
        <f>'Fichas clínicas'!A1352</f>
        <v>1354</v>
      </c>
      <c r="B1352" t="str">
        <f>'Fichas clínicas'!B1352</f>
        <v>18288728-5</v>
      </c>
      <c r="C1352" t="e">
        <f>VLOOKUP(paciente_tutor!B1352,clientes!A1352:B2933,2,FALSE)</f>
        <v>#N/A</v>
      </c>
      <c r="D1352" t="e">
        <f t="shared" si="21"/>
        <v>#N/A</v>
      </c>
    </row>
    <row r="1353" spans="1:4" x14ac:dyDescent="0.2">
      <c r="A1353">
        <f>'Fichas clínicas'!A1353</f>
        <v>1355</v>
      </c>
      <c r="B1353" t="str">
        <f>'Fichas clínicas'!B1353</f>
        <v>16159829-1</v>
      </c>
      <c r="C1353" t="e">
        <f>VLOOKUP(paciente_tutor!B1353,clientes!A1353:B2934,2,FALSE)</f>
        <v>#N/A</v>
      </c>
      <c r="D1353" t="e">
        <f t="shared" si="21"/>
        <v>#N/A</v>
      </c>
    </row>
    <row r="1354" spans="1:4" x14ac:dyDescent="0.2">
      <c r="A1354">
        <f>'Fichas clínicas'!A1354</f>
        <v>1356</v>
      </c>
      <c r="B1354" t="str">
        <f>'Fichas clínicas'!B1354</f>
        <v>12747264-5</v>
      </c>
      <c r="C1354" t="e">
        <f>VLOOKUP(paciente_tutor!B1354,clientes!A1354:B2935,2,FALSE)</f>
        <v>#N/A</v>
      </c>
      <c r="D1354" t="e">
        <f t="shared" si="21"/>
        <v>#N/A</v>
      </c>
    </row>
    <row r="1355" spans="1:4" x14ac:dyDescent="0.2">
      <c r="A1355">
        <f>'Fichas clínicas'!A1355</f>
        <v>1357</v>
      </c>
      <c r="B1355" t="str">
        <f>'Fichas clínicas'!B1355</f>
        <v>8097984-3</v>
      </c>
      <c r="C1355" t="str">
        <f>VLOOKUP(paciente_tutor!B1355,clientes!A1355:B2936,2,FALSE)</f>
        <v>Esmerita</v>
      </c>
      <c r="D1355" t="str">
        <f t="shared" si="21"/>
        <v>8097984-3</v>
      </c>
    </row>
    <row r="1356" spans="1:4" x14ac:dyDescent="0.2">
      <c r="A1356">
        <f>'Fichas clínicas'!A1356</f>
        <v>1358</v>
      </c>
      <c r="B1356" t="str">
        <f>'Fichas clínicas'!B1356</f>
        <v>15548879-4</v>
      </c>
      <c r="C1356" t="e">
        <f>VLOOKUP(paciente_tutor!B1356,clientes!A1356:B2937,2,FALSE)</f>
        <v>#N/A</v>
      </c>
      <c r="D1356" t="e">
        <f t="shared" si="21"/>
        <v>#N/A</v>
      </c>
    </row>
    <row r="1357" spans="1:4" x14ac:dyDescent="0.2">
      <c r="A1357">
        <f>'Fichas clínicas'!A1357</f>
        <v>1359</v>
      </c>
      <c r="B1357" t="str">
        <f>'Fichas clínicas'!B1357</f>
        <v>17360069-0</v>
      </c>
      <c r="C1357" t="e">
        <f>VLOOKUP(paciente_tutor!B1357,clientes!A1357:B2938,2,FALSE)</f>
        <v>#N/A</v>
      </c>
      <c r="D1357" t="e">
        <f t="shared" si="21"/>
        <v>#N/A</v>
      </c>
    </row>
    <row r="1358" spans="1:4" x14ac:dyDescent="0.2">
      <c r="A1358">
        <f>'Fichas clínicas'!A1358</f>
        <v>1360</v>
      </c>
      <c r="B1358" t="str">
        <f>'Fichas clínicas'!B1358</f>
        <v>8989756-4</v>
      </c>
      <c r="C1358" t="str">
        <f>VLOOKUP(paciente_tutor!B1358,clientes!A1358:B2939,2,FALSE)</f>
        <v>MAGALY</v>
      </c>
      <c r="D1358" t="str">
        <f t="shared" si="21"/>
        <v>8989756-4</v>
      </c>
    </row>
    <row r="1359" spans="1:4" x14ac:dyDescent="0.2">
      <c r="A1359">
        <f>'Fichas clínicas'!A1359</f>
        <v>1361</v>
      </c>
      <c r="B1359" t="str">
        <f>'Fichas clínicas'!B1359</f>
        <v>15294106-4</v>
      </c>
      <c r="C1359" t="e">
        <f>VLOOKUP(paciente_tutor!B1359,clientes!A1359:B2940,2,FALSE)</f>
        <v>#N/A</v>
      </c>
      <c r="D1359" t="e">
        <f t="shared" si="21"/>
        <v>#N/A</v>
      </c>
    </row>
    <row r="1360" spans="1:4" x14ac:dyDescent="0.2">
      <c r="A1360">
        <f>'Fichas clínicas'!A1360</f>
        <v>1362</v>
      </c>
      <c r="B1360" t="str">
        <f>'Fichas clínicas'!B1360</f>
        <v>8989756-4</v>
      </c>
      <c r="C1360" t="str">
        <f>VLOOKUP(paciente_tutor!B1360,clientes!A1360:B2941,2,FALSE)</f>
        <v>MAGALY</v>
      </c>
      <c r="D1360" t="str">
        <f t="shared" si="21"/>
        <v>8989756-4</v>
      </c>
    </row>
    <row r="1361" spans="1:4" x14ac:dyDescent="0.2">
      <c r="A1361">
        <f>'Fichas clínicas'!A1361</f>
        <v>1363</v>
      </c>
      <c r="B1361" t="str">
        <f>'Fichas clínicas'!B1361</f>
        <v>8989756-4</v>
      </c>
      <c r="C1361" t="str">
        <f>VLOOKUP(paciente_tutor!B1361,clientes!A1361:B2942,2,FALSE)</f>
        <v>MAGALY</v>
      </c>
      <c r="D1361" t="str">
        <f t="shared" si="21"/>
        <v>8989756-4</v>
      </c>
    </row>
    <row r="1362" spans="1:4" x14ac:dyDescent="0.2">
      <c r="A1362">
        <f>'Fichas clínicas'!A1362</f>
        <v>1364</v>
      </c>
      <c r="B1362" t="str">
        <f>'Fichas clínicas'!B1362</f>
        <v>17360675-3</v>
      </c>
      <c r="C1362" t="e">
        <f>VLOOKUP(paciente_tutor!B1362,clientes!A1362:B2943,2,FALSE)</f>
        <v>#N/A</v>
      </c>
      <c r="D1362" t="e">
        <f t="shared" si="21"/>
        <v>#N/A</v>
      </c>
    </row>
    <row r="1363" spans="1:4" x14ac:dyDescent="0.2">
      <c r="A1363">
        <f>'Fichas clínicas'!A1363</f>
        <v>1365</v>
      </c>
      <c r="B1363" t="str">
        <f>'Fichas clínicas'!B1363</f>
        <v>13319676-5</v>
      </c>
      <c r="C1363" t="e">
        <f>VLOOKUP(paciente_tutor!B1363,clientes!A1363:B2944,2,FALSE)</f>
        <v>#N/A</v>
      </c>
      <c r="D1363" t="e">
        <f t="shared" si="21"/>
        <v>#N/A</v>
      </c>
    </row>
    <row r="1364" spans="1:4" x14ac:dyDescent="0.2">
      <c r="A1364">
        <f>'Fichas clínicas'!A1364</f>
        <v>1366</v>
      </c>
      <c r="B1364" t="str">
        <f>'Fichas clínicas'!B1364</f>
        <v>19753172-k</v>
      </c>
      <c r="C1364" t="e">
        <f>VLOOKUP(paciente_tutor!B1364,clientes!A1364:B2945,2,FALSE)</f>
        <v>#N/A</v>
      </c>
      <c r="D1364" t="e">
        <f t="shared" si="21"/>
        <v>#N/A</v>
      </c>
    </row>
    <row r="1365" spans="1:4" x14ac:dyDescent="0.2">
      <c r="A1365">
        <f>'Fichas clínicas'!A1365</f>
        <v>1367</v>
      </c>
      <c r="B1365" t="str">
        <f>'Fichas clínicas'!B1365</f>
        <v>20314323-0</v>
      </c>
      <c r="C1365" t="e">
        <f>VLOOKUP(paciente_tutor!B1365,clientes!A1365:B2946,2,FALSE)</f>
        <v>#N/A</v>
      </c>
      <c r="D1365" t="e">
        <f t="shared" si="21"/>
        <v>#N/A</v>
      </c>
    </row>
    <row r="1366" spans="1:4" x14ac:dyDescent="0.2">
      <c r="A1366">
        <f>'Fichas clínicas'!A1366</f>
        <v>1368</v>
      </c>
      <c r="B1366" t="str">
        <f>'Fichas clínicas'!B1366</f>
        <v>8144223-1</v>
      </c>
      <c r="C1366" t="str">
        <f>VLOOKUP(paciente_tutor!B1366,clientes!A1366:B2947,2,FALSE)</f>
        <v>JUANA</v>
      </c>
      <c r="D1366" t="str">
        <f t="shared" si="21"/>
        <v>8144223-1</v>
      </c>
    </row>
    <row r="1367" spans="1:4" x14ac:dyDescent="0.2">
      <c r="A1367">
        <f>'Fichas clínicas'!A1367</f>
        <v>1369</v>
      </c>
      <c r="B1367" t="str">
        <f>'Fichas clínicas'!B1367</f>
        <v>9630212-6</v>
      </c>
      <c r="C1367" t="str">
        <f>VLOOKUP(paciente_tutor!B1367,clientes!A1367:B2948,2,FALSE)</f>
        <v>RUTH</v>
      </c>
      <c r="D1367" t="str">
        <f t="shared" si="21"/>
        <v>9630212-6</v>
      </c>
    </row>
    <row r="1368" spans="1:4" x14ac:dyDescent="0.2">
      <c r="A1368">
        <f>'Fichas clínicas'!A1368</f>
        <v>1370</v>
      </c>
      <c r="B1368" t="str">
        <f>'Fichas clínicas'!B1368</f>
        <v>20016517-9</v>
      </c>
      <c r="C1368" t="e">
        <f>VLOOKUP(paciente_tutor!B1368,clientes!A1368:B2949,2,FALSE)</f>
        <v>#N/A</v>
      </c>
      <c r="D1368" t="e">
        <f t="shared" si="21"/>
        <v>#N/A</v>
      </c>
    </row>
    <row r="1369" spans="1:4" x14ac:dyDescent="0.2">
      <c r="A1369">
        <f>'Fichas clínicas'!A1369</f>
        <v>1371</v>
      </c>
      <c r="B1369" t="str">
        <f>'Fichas clínicas'!B1369</f>
        <v>20016517-9</v>
      </c>
      <c r="C1369" t="e">
        <f>VLOOKUP(paciente_tutor!B1369,clientes!A1369:B2950,2,FALSE)</f>
        <v>#N/A</v>
      </c>
      <c r="D1369" t="e">
        <f t="shared" si="21"/>
        <v>#N/A</v>
      </c>
    </row>
    <row r="1370" spans="1:4" x14ac:dyDescent="0.2">
      <c r="A1370">
        <f>'Fichas clínicas'!A1370</f>
        <v>1372</v>
      </c>
      <c r="B1370" t="str">
        <f>'Fichas clínicas'!B1370</f>
        <v>21136938-8</v>
      </c>
      <c r="C1370" t="e">
        <f>VLOOKUP(paciente_tutor!B1370,clientes!A1370:B2951,2,FALSE)</f>
        <v>#N/A</v>
      </c>
      <c r="D1370" t="e">
        <f t="shared" si="21"/>
        <v>#N/A</v>
      </c>
    </row>
    <row r="1371" spans="1:4" x14ac:dyDescent="0.2">
      <c r="A1371">
        <f>'Fichas clínicas'!A1371</f>
        <v>1373</v>
      </c>
      <c r="B1371" t="str">
        <f>'Fichas clínicas'!B1371</f>
        <v>17359055-5</v>
      </c>
      <c r="C1371" t="e">
        <f>VLOOKUP(paciente_tutor!B1371,clientes!A1371:B2952,2,FALSE)</f>
        <v>#N/A</v>
      </c>
      <c r="D1371" t="e">
        <f t="shared" si="21"/>
        <v>#N/A</v>
      </c>
    </row>
    <row r="1372" spans="1:4" x14ac:dyDescent="0.2">
      <c r="A1372">
        <f>'Fichas clínicas'!A1372</f>
        <v>1374</v>
      </c>
      <c r="B1372" t="str">
        <f>'Fichas clínicas'!B1372</f>
        <v>13058972-3</v>
      </c>
      <c r="C1372" t="e">
        <f>VLOOKUP(paciente_tutor!B1372,clientes!A1372:B2953,2,FALSE)</f>
        <v>#N/A</v>
      </c>
      <c r="D1372" t="e">
        <f t="shared" si="21"/>
        <v>#N/A</v>
      </c>
    </row>
    <row r="1373" spans="1:4" x14ac:dyDescent="0.2">
      <c r="A1373">
        <f>'Fichas clínicas'!A1373</f>
        <v>1375</v>
      </c>
      <c r="B1373" t="str">
        <f>'Fichas clínicas'!B1373</f>
        <v>7555021-9</v>
      </c>
      <c r="C1373" t="str">
        <f>VLOOKUP(paciente_tutor!B1373,clientes!A1373:B2954,2,FALSE)</f>
        <v>Jaime</v>
      </c>
      <c r="D1373" t="str">
        <f t="shared" si="21"/>
        <v>7555021-9</v>
      </c>
    </row>
    <row r="1374" spans="1:4" x14ac:dyDescent="0.2">
      <c r="A1374">
        <f>'Fichas clínicas'!A1374</f>
        <v>1376</v>
      </c>
      <c r="B1374" t="str">
        <f>'Fichas clínicas'!B1374</f>
        <v>20016187-4</v>
      </c>
      <c r="C1374" t="e">
        <f>VLOOKUP(paciente_tutor!B1374,clientes!A1374:B2955,2,FALSE)</f>
        <v>#N/A</v>
      </c>
      <c r="D1374" t="e">
        <f t="shared" si="21"/>
        <v>#N/A</v>
      </c>
    </row>
    <row r="1375" spans="1:4" x14ac:dyDescent="0.2">
      <c r="A1375">
        <f>'Fichas clínicas'!A1375</f>
        <v>1377</v>
      </c>
      <c r="B1375" t="str">
        <f>'Fichas clínicas'!B1375</f>
        <v>17360069-0</v>
      </c>
      <c r="C1375" t="e">
        <f>VLOOKUP(paciente_tutor!B1375,clientes!A1375:B2956,2,FALSE)</f>
        <v>#N/A</v>
      </c>
      <c r="D1375" t="e">
        <f t="shared" si="21"/>
        <v>#N/A</v>
      </c>
    </row>
    <row r="1376" spans="1:4" x14ac:dyDescent="0.2">
      <c r="A1376">
        <f>'Fichas clínicas'!A1376</f>
        <v>1378</v>
      </c>
      <c r="B1376" t="str">
        <f>'Fichas clínicas'!B1376</f>
        <v>17067303-4</v>
      </c>
      <c r="C1376" t="e">
        <f>VLOOKUP(paciente_tutor!B1376,clientes!A1376:B2957,2,FALSE)</f>
        <v>#N/A</v>
      </c>
      <c r="D1376" t="e">
        <f t="shared" si="21"/>
        <v>#N/A</v>
      </c>
    </row>
    <row r="1377" spans="1:4" x14ac:dyDescent="0.2">
      <c r="A1377">
        <f>'Fichas clínicas'!A1377</f>
        <v>1379</v>
      </c>
      <c r="B1377" t="str">
        <f>'Fichas clínicas'!B1377</f>
        <v>19554488-3</v>
      </c>
      <c r="C1377" t="e">
        <f>VLOOKUP(paciente_tutor!B1377,clientes!A1377:B2958,2,FALSE)</f>
        <v>#N/A</v>
      </c>
      <c r="D1377" t="e">
        <f t="shared" si="21"/>
        <v>#N/A</v>
      </c>
    </row>
    <row r="1378" spans="1:4" x14ac:dyDescent="0.2">
      <c r="A1378">
        <f>'Fichas clínicas'!A1378</f>
        <v>1380</v>
      </c>
      <c r="B1378" t="str">
        <f>'Fichas clínicas'!B1378</f>
        <v>13266301-7</v>
      </c>
      <c r="C1378" t="e">
        <f>VLOOKUP(paciente_tutor!B1378,clientes!A1378:B2959,2,FALSE)</f>
        <v>#N/A</v>
      </c>
      <c r="D1378" t="e">
        <f t="shared" si="21"/>
        <v>#N/A</v>
      </c>
    </row>
    <row r="1379" spans="1:4" x14ac:dyDescent="0.2">
      <c r="A1379">
        <f>'Fichas clínicas'!A1379</f>
        <v>1381</v>
      </c>
      <c r="B1379" t="str">
        <f>'Fichas clínicas'!B1379</f>
        <v>19181785-0</v>
      </c>
      <c r="C1379" t="e">
        <f>VLOOKUP(paciente_tutor!B1379,clientes!A1379:B2960,2,FALSE)</f>
        <v>#N/A</v>
      </c>
      <c r="D1379" t="e">
        <f t="shared" si="21"/>
        <v>#N/A</v>
      </c>
    </row>
    <row r="1380" spans="1:4" x14ac:dyDescent="0.2">
      <c r="A1380">
        <f>'Fichas clínicas'!A1380</f>
        <v>1382</v>
      </c>
      <c r="B1380" t="str">
        <f>'Fichas clínicas'!B1380</f>
        <v>15294243-5</v>
      </c>
      <c r="C1380" t="e">
        <f>VLOOKUP(paciente_tutor!B1380,clientes!A1380:B2961,2,FALSE)</f>
        <v>#N/A</v>
      </c>
      <c r="D1380" t="e">
        <f t="shared" si="21"/>
        <v>#N/A</v>
      </c>
    </row>
    <row r="1381" spans="1:4" x14ac:dyDescent="0.2">
      <c r="A1381">
        <f>'Fichas clínicas'!A1381</f>
        <v>1383</v>
      </c>
      <c r="B1381" t="str">
        <f>'Fichas clínicas'!B1381</f>
        <v>16439991-5</v>
      </c>
      <c r="C1381" t="e">
        <f>VLOOKUP(paciente_tutor!B1381,clientes!A1381:B2962,2,FALSE)</f>
        <v>#N/A</v>
      </c>
      <c r="D1381" t="e">
        <f t="shared" si="21"/>
        <v>#N/A</v>
      </c>
    </row>
    <row r="1382" spans="1:4" x14ac:dyDescent="0.2">
      <c r="A1382">
        <f>'Fichas clínicas'!A1382</f>
        <v>1384</v>
      </c>
      <c r="B1382" t="str">
        <f>'Fichas clínicas'!B1382</f>
        <v>10772313-7</v>
      </c>
      <c r="C1382" t="e">
        <f>VLOOKUP(paciente_tutor!B1382,clientes!A1382:B2963,2,FALSE)</f>
        <v>#N/A</v>
      </c>
      <c r="D1382" t="e">
        <f t="shared" si="21"/>
        <v>#N/A</v>
      </c>
    </row>
    <row r="1383" spans="1:4" x14ac:dyDescent="0.2">
      <c r="A1383">
        <f>'Fichas clínicas'!A1383</f>
        <v>1385</v>
      </c>
      <c r="B1383" t="str">
        <f>'Fichas clínicas'!B1383</f>
        <v>11542445-9</v>
      </c>
      <c r="C1383" t="e">
        <f>VLOOKUP(paciente_tutor!B1383,clientes!A1383:B2964,2,FALSE)</f>
        <v>#N/A</v>
      </c>
      <c r="D1383" t="e">
        <f t="shared" si="21"/>
        <v>#N/A</v>
      </c>
    </row>
    <row r="1384" spans="1:4" x14ac:dyDescent="0.2">
      <c r="A1384">
        <f>'Fichas clínicas'!A1384</f>
        <v>1386</v>
      </c>
      <c r="B1384" t="str">
        <f>'Fichas clínicas'!B1384</f>
        <v>16792120-5</v>
      </c>
      <c r="C1384" t="e">
        <f>VLOOKUP(paciente_tutor!B1384,clientes!A1384:B2965,2,FALSE)</f>
        <v>#N/A</v>
      </c>
      <c r="D1384" t="e">
        <f t="shared" si="21"/>
        <v>#N/A</v>
      </c>
    </row>
    <row r="1385" spans="1:4" x14ac:dyDescent="0.2">
      <c r="A1385">
        <f>'Fichas clínicas'!A1385</f>
        <v>1387</v>
      </c>
      <c r="B1385" t="str">
        <f>'Fichas clínicas'!B1385</f>
        <v>16792120-5</v>
      </c>
      <c r="C1385" t="e">
        <f>VLOOKUP(paciente_tutor!B1385,clientes!A1385:B2966,2,FALSE)</f>
        <v>#N/A</v>
      </c>
      <c r="D1385" t="e">
        <f t="shared" si="21"/>
        <v>#N/A</v>
      </c>
    </row>
    <row r="1386" spans="1:4" x14ac:dyDescent="0.2">
      <c r="A1386">
        <f>'Fichas clínicas'!A1386</f>
        <v>1388</v>
      </c>
      <c r="B1386" t="str">
        <f>'Fichas clínicas'!B1386</f>
        <v>14157244-K</v>
      </c>
      <c r="C1386" t="e">
        <f>VLOOKUP(paciente_tutor!B1386,clientes!A1386:B2967,2,FALSE)</f>
        <v>#N/A</v>
      </c>
      <c r="D1386" t="e">
        <f t="shared" si="21"/>
        <v>#N/A</v>
      </c>
    </row>
    <row r="1387" spans="1:4" x14ac:dyDescent="0.2">
      <c r="A1387">
        <f>'Fichas clínicas'!A1387</f>
        <v>1389</v>
      </c>
      <c r="B1387" t="str">
        <f>'Fichas clínicas'!B1387</f>
        <v>16870962-5</v>
      </c>
      <c r="C1387" t="e">
        <f>VLOOKUP(paciente_tutor!B1387,clientes!A1387:B2968,2,FALSE)</f>
        <v>#N/A</v>
      </c>
      <c r="D1387" t="e">
        <f t="shared" si="21"/>
        <v>#N/A</v>
      </c>
    </row>
    <row r="1388" spans="1:4" x14ac:dyDescent="0.2">
      <c r="A1388">
        <f>'Fichas clínicas'!A1388</f>
        <v>1390</v>
      </c>
      <c r="B1388" t="str">
        <f>'Fichas clínicas'!B1388</f>
        <v>10713517-0</v>
      </c>
      <c r="C1388" t="e">
        <f>VLOOKUP(paciente_tutor!B1388,clientes!A1388:B2969,2,FALSE)</f>
        <v>#N/A</v>
      </c>
      <c r="D1388" t="e">
        <f t="shared" si="21"/>
        <v>#N/A</v>
      </c>
    </row>
    <row r="1389" spans="1:4" x14ac:dyDescent="0.2">
      <c r="A1389">
        <f>'Fichas clínicas'!A1389</f>
        <v>1391</v>
      </c>
      <c r="B1389" t="str">
        <f>'Fichas clínicas'!B1389</f>
        <v>10146302-8</v>
      </c>
      <c r="C1389" t="e">
        <f>VLOOKUP(paciente_tutor!B1389,clientes!A1389:B2970,2,FALSE)</f>
        <v>#N/A</v>
      </c>
      <c r="D1389" t="e">
        <f t="shared" si="21"/>
        <v>#N/A</v>
      </c>
    </row>
    <row r="1390" spans="1:4" x14ac:dyDescent="0.2">
      <c r="A1390">
        <f>'Fichas clínicas'!A1390</f>
        <v>1392</v>
      </c>
      <c r="B1390" t="str">
        <f>'Fichas clínicas'!B1390</f>
        <v>11324483-6</v>
      </c>
      <c r="C1390" t="e">
        <f>VLOOKUP(paciente_tutor!B1390,clientes!A1390:B2971,2,FALSE)</f>
        <v>#N/A</v>
      </c>
      <c r="D1390" t="e">
        <f t="shared" si="21"/>
        <v>#N/A</v>
      </c>
    </row>
    <row r="1391" spans="1:4" x14ac:dyDescent="0.2">
      <c r="A1391">
        <f>'Fichas clínicas'!A1391</f>
        <v>1393</v>
      </c>
      <c r="B1391" t="str">
        <f>'Fichas clínicas'!B1391</f>
        <v>17693479-4</v>
      </c>
      <c r="C1391" t="e">
        <f>VLOOKUP(paciente_tutor!B1391,clientes!A1391:B2972,2,FALSE)</f>
        <v>#N/A</v>
      </c>
      <c r="D1391" t="e">
        <f t="shared" si="21"/>
        <v>#N/A</v>
      </c>
    </row>
    <row r="1392" spans="1:4" x14ac:dyDescent="0.2">
      <c r="A1392">
        <f>'Fichas clínicas'!A1392</f>
        <v>1394</v>
      </c>
      <c r="B1392" t="str">
        <f>'Fichas clínicas'!B1392</f>
        <v>15293590-0</v>
      </c>
      <c r="C1392" t="e">
        <f>VLOOKUP(paciente_tutor!B1392,clientes!A1392:B2973,2,FALSE)</f>
        <v>#N/A</v>
      </c>
      <c r="D1392" t="e">
        <f t="shared" si="21"/>
        <v>#N/A</v>
      </c>
    </row>
    <row r="1393" spans="1:4" x14ac:dyDescent="0.2">
      <c r="A1393">
        <f>'Fichas clínicas'!A1393</f>
        <v>1395</v>
      </c>
      <c r="B1393" t="str">
        <f>'Fichas clínicas'!B1393</f>
        <v>17693109-4</v>
      </c>
      <c r="C1393" t="e">
        <f>VLOOKUP(paciente_tutor!B1393,clientes!A1393:B2974,2,FALSE)</f>
        <v>#N/A</v>
      </c>
      <c r="D1393" t="e">
        <f t="shared" si="21"/>
        <v>#N/A</v>
      </c>
    </row>
    <row r="1394" spans="1:4" x14ac:dyDescent="0.2">
      <c r="A1394">
        <f>'Fichas clínicas'!A1394</f>
        <v>1396</v>
      </c>
      <c r="B1394" t="str">
        <f>'Fichas clínicas'!B1394</f>
        <v>16160942-0</v>
      </c>
      <c r="C1394" t="e">
        <f>VLOOKUP(paciente_tutor!B1394,clientes!A1394:B2975,2,FALSE)</f>
        <v>#N/A</v>
      </c>
      <c r="D1394" t="e">
        <f t="shared" si="21"/>
        <v>#N/A</v>
      </c>
    </row>
    <row r="1395" spans="1:4" x14ac:dyDescent="0.2">
      <c r="A1395">
        <f>'Fichas clínicas'!A1395</f>
        <v>1397</v>
      </c>
      <c r="B1395" t="str">
        <f>'Fichas clínicas'!B1395</f>
        <v>12747820-1</v>
      </c>
      <c r="C1395" t="e">
        <f>VLOOKUP(paciente_tutor!B1395,clientes!A1395:B2976,2,FALSE)</f>
        <v>#N/A</v>
      </c>
      <c r="D1395" t="e">
        <f t="shared" si="21"/>
        <v>#N/A</v>
      </c>
    </row>
    <row r="1396" spans="1:4" x14ac:dyDescent="0.2">
      <c r="A1396">
        <f>'Fichas clínicas'!A1396</f>
        <v>1398</v>
      </c>
      <c r="B1396" t="str">
        <f>'Fichas clínicas'!B1396</f>
        <v>15884215-7</v>
      </c>
      <c r="C1396" t="e">
        <f>VLOOKUP(paciente_tutor!B1396,clientes!A1396:B2977,2,FALSE)</f>
        <v>#N/A</v>
      </c>
      <c r="D1396" t="e">
        <f t="shared" si="21"/>
        <v>#N/A</v>
      </c>
    </row>
    <row r="1397" spans="1:4" x14ac:dyDescent="0.2">
      <c r="A1397">
        <f>'Fichas clínicas'!A1397</f>
        <v>1399</v>
      </c>
      <c r="B1397" t="str">
        <f>'Fichas clínicas'!B1397</f>
        <v>19249871-6</v>
      </c>
      <c r="C1397" t="e">
        <f>VLOOKUP(paciente_tutor!B1397,clientes!A1397:B2978,2,FALSE)</f>
        <v>#N/A</v>
      </c>
      <c r="D1397" t="e">
        <f t="shared" si="21"/>
        <v>#N/A</v>
      </c>
    </row>
    <row r="1398" spans="1:4" x14ac:dyDescent="0.2">
      <c r="A1398">
        <f>'Fichas clínicas'!A1398</f>
        <v>1400</v>
      </c>
      <c r="B1398" t="str">
        <f>'Fichas clínicas'!B1398</f>
        <v>15261499-3</v>
      </c>
      <c r="C1398" t="e">
        <f>VLOOKUP(paciente_tutor!B1398,clientes!A1398:B2979,2,FALSE)</f>
        <v>#N/A</v>
      </c>
      <c r="D1398" t="e">
        <f t="shared" si="21"/>
        <v>#N/A</v>
      </c>
    </row>
    <row r="1399" spans="1:4" x14ac:dyDescent="0.2">
      <c r="A1399">
        <f>'Fichas clínicas'!A1399</f>
        <v>1401</v>
      </c>
      <c r="B1399" t="str">
        <f>'Fichas clínicas'!B1399</f>
        <v>15781950-k</v>
      </c>
      <c r="C1399" t="e">
        <f>VLOOKUP(paciente_tutor!B1399,clientes!A1399:B2980,2,FALSE)</f>
        <v>#N/A</v>
      </c>
      <c r="D1399" t="e">
        <f t="shared" si="21"/>
        <v>#N/A</v>
      </c>
    </row>
    <row r="1400" spans="1:4" x14ac:dyDescent="0.2">
      <c r="A1400">
        <f>'Fichas clínicas'!A1400</f>
        <v>1402</v>
      </c>
      <c r="B1400" t="str">
        <f>'Fichas clínicas'!B1400</f>
        <v>17200859-3</v>
      </c>
      <c r="C1400" t="e">
        <f>VLOOKUP(paciente_tutor!B1400,clientes!A1400:B2981,2,FALSE)</f>
        <v>#N/A</v>
      </c>
      <c r="D1400" t="e">
        <f t="shared" si="21"/>
        <v>#N/A</v>
      </c>
    </row>
    <row r="1401" spans="1:4" x14ac:dyDescent="0.2">
      <c r="A1401">
        <f>'Fichas clínicas'!A1401</f>
        <v>1403</v>
      </c>
      <c r="B1401" t="str">
        <f>'Fichas clínicas'!B1401</f>
        <v>11325627-3</v>
      </c>
      <c r="C1401" t="e">
        <f>VLOOKUP(paciente_tutor!B1401,clientes!A1401:B2982,2,FALSE)</f>
        <v>#N/A</v>
      </c>
      <c r="D1401" t="e">
        <f t="shared" si="21"/>
        <v>#N/A</v>
      </c>
    </row>
    <row r="1402" spans="1:4" x14ac:dyDescent="0.2">
      <c r="A1402">
        <f>'Fichas clínicas'!A1402</f>
        <v>1404</v>
      </c>
      <c r="B1402" t="str">
        <f>'Fichas clínicas'!B1402</f>
        <v>4472956-3</v>
      </c>
      <c r="C1402" t="str">
        <f>VLOOKUP(paciente_tutor!B1402,clientes!A1402:B2983,2,FALSE)</f>
        <v>Luisa</v>
      </c>
      <c r="D1402" t="str">
        <f t="shared" si="21"/>
        <v>4472956-3</v>
      </c>
    </row>
    <row r="1403" spans="1:4" x14ac:dyDescent="0.2">
      <c r="A1403">
        <f>'Fichas clínicas'!A1403</f>
        <v>1405</v>
      </c>
      <c r="B1403" t="str">
        <f>'Fichas clínicas'!B1403</f>
        <v>15531062-6</v>
      </c>
      <c r="C1403" t="e">
        <f>VLOOKUP(paciente_tutor!B1403,clientes!A1403:B2984,2,FALSE)</f>
        <v>#N/A</v>
      </c>
      <c r="D1403" t="e">
        <f t="shared" si="21"/>
        <v>#N/A</v>
      </c>
    </row>
    <row r="1404" spans="1:4" x14ac:dyDescent="0.2">
      <c r="A1404">
        <f>'Fichas clínicas'!A1404</f>
        <v>1406</v>
      </c>
      <c r="B1404" t="str">
        <f>'Fichas clínicas'!B1404</f>
        <v>19954556-6</v>
      </c>
      <c r="C1404" t="e">
        <f>VLOOKUP(paciente_tutor!B1404,clientes!A1404:B2985,2,FALSE)</f>
        <v>#N/A</v>
      </c>
      <c r="D1404" t="e">
        <f t="shared" si="21"/>
        <v>#N/A</v>
      </c>
    </row>
    <row r="1405" spans="1:4" x14ac:dyDescent="0.2">
      <c r="A1405">
        <f>'Fichas clínicas'!A1405</f>
        <v>1407</v>
      </c>
      <c r="B1405" t="str">
        <f>'Fichas clínicas'!B1405</f>
        <v>19954556-6</v>
      </c>
      <c r="C1405" t="e">
        <f>VLOOKUP(paciente_tutor!B1405,clientes!A1405:B2986,2,FALSE)</f>
        <v>#N/A</v>
      </c>
      <c r="D1405" t="e">
        <f t="shared" si="21"/>
        <v>#N/A</v>
      </c>
    </row>
    <row r="1406" spans="1:4" x14ac:dyDescent="0.2">
      <c r="A1406">
        <f>'Fichas clínicas'!A1406</f>
        <v>1408</v>
      </c>
      <c r="B1406" t="str">
        <f>'Fichas clínicas'!B1406</f>
        <v>20641939-3</v>
      </c>
      <c r="C1406" t="e">
        <f>VLOOKUP(paciente_tutor!B1406,clientes!A1406:B2987,2,FALSE)</f>
        <v>#N/A</v>
      </c>
      <c r="D1406" t="e">
        <f t="shared" si="21"/>
        <v>#N/A</v>
      </c>
    </row>
    <row r="1407" spans="1:4" x14ac:dyDescent="0.2">
      <c r="A1407">
        <f>'Fichas clínicas'!A1407</f>
        <v>1409</v>
      </c>
      <c r="B1407" t="str">
        <f>'Fichas clínicas'!B1407</f>
        <v>13609605-2</v>
      </c>
      <c r="C1407" t="e">
        <f>VLOOKUP(paciente_tutor!B1407,clientes!A1407:B2988,2,FALSE)</f>
        <v>#N/A</v>
      </c>
      <c r="D1407" t="e">
        <f t="shared" si="21"/>
        <v>#N/A</v>
      </c>
    </row>
    <row r="1408" spans="1:4" x14ac:dyDescent="0.2">
      <c r="A1408">
        <f>'Fichas clínicas'!A1408</f>
        <v>1410</v>
      </c>
      <c r="B1408" t="str">
        <f>'Fichas clínicas'!B1408</f>
        <v>15293915-9</v>
      </c>
      <c r="C1408" t="e">
        <f>VLOOKUP(paciente_tutor!B1408,clientes!A1408:B2989,2,FALSE)</f>
        <v>#N/A</v>
      </c>
      <c r="D1408" t="e">
        <f t="shared" si="21"/>
        <v>#N/A</v>
      </c>
    </row>
    <row r="1409" spans="1:4" x14ac:dyDescent="0.2">
      <c r="A1409">
        <f>'Fichas clínicas'!A1409</f>
        <v>1411</v>
      </c>
      <c r="B1409" t="str">
        <f>'Fichas clínicas'!B1409</f>
        <v>14226841-8</v>
      </c>
      <c r="C1409" t="e">
        <f>VLOOKUP(paciente_tutor!B1409,clientes!A1409:B2990,2,FALSE)</f>
        <v>#N/A</v>
      </c>
      <c r="D1409" t="e">
        <f t="shared" si="21"/>
        <v>#N/A</v>
      </c>
    </row>
    <row r="1410" spans="1:4" x14ac:dyDescent="0.2">
      <c r="A1410">
        <f>'Fichas clínicas'!A1410</f>
        <v>1412</v>
      </c>
      <c r="B1410" t="str">
        <f>'Fichas clínicas'!B1410</f>
        <v>14226841-8</v>
      </c>
      <c r="C1410" t="e">
        <f>VLOOKUP(paciente_tutor!B1410,clientes!A1410:B2991,2,FALSE)</f>
        <v>#N/A</v>
      </c>
      <c r="D1410" t="e">
        <f t="shared" si="21"/>
        <v>#N/A</v>
      </c>
    </row>
    <row r="1411" spans="1:4" x14ac:dyDescent="0.2">
      <c r="A1411">
        <f>'Fichas clínicas'!A1411</f>
        <v>1413</v>
      </c>
      <c r="B1411" t="str">
        <f>'Fichas clínicas'!B1411</f>
        <v>13320319-2</v>
      </c>
      <c r="C1411" t="e">
        <f>VLOOKUP(paciente_tutor!B1411,clientes!A1411:B2992,2,FALSE)</f>
        <v>#N/A</v>
      </c>
      <c r="D1411" t="e">
        <f t="shared" ref="D1411:D1474" si="22">IF(C1411="#N/A","",B1411)</f>
        <v>#N/A</v>
      </c>
    </row>
    <row r="1412" spans="1:4" x14ac:dyDescent="0.2">
      <c r="A1412">
        <f>'Fichas clínicas'!A1412</f>
        <v>1414</v>
      </c>
      <c r="B1412" t="str">
        <f>'Fichas clínicas'!B1412</f>
        <v>21827103-0</v>
      </c>
      <c r="C1412" t="str">
        <f>VLOOKUP(paciente_tutor!B1412,clientes!A1412:B2993,2,FALSE)</f>
        <v>Angelica</v>
      </c>
      <c r="D1412" t="str">
        <f t="shared" si="22"/>
        <v>21827103-0</v>
      </c>
    </row>
    <row r="1413" spans="1:4" x14ac:dyDescent="0.2">
      <c r="A1413">
        <f>'Fichas clínicas'!A1413</f>
        <v>1415</v>
      </c>
      <c r="B1413" t="str">
        <f>'Fichas clínicas'!B1413</f>
        <v>17693354-2</v>
      </c>
      <c r="C1413" t="e">
        <f>VLOOKUP(paciente_tutor!B1413,clientes!A1413:B2994,2,FALSE)</f>
        <v>#N/A</v>
      </c>
      <c r="D1413" t="e">
        <f t="shared" si="22"/>
        <v>#N/A</v>
      </c>
    </row>
    <row r="1414" spans="1:4" x14ac:dyDescent="0.2">
      <c r="A1414">
        <f>'Fichas clínicas'!A1414</f>
        <v>1416</v>
      </c>
      <c r="B1414" t="str">
        <f>'Fichas clínicas'!B1414</f>
        <v>20345890-8</v>
      </c>
      <c r="C1414" t="e">
        <f>VLOOKUP(paciente_tutor!B1414,clientes!A1414:B2995,2,FALSE)</f>
        <v>#N/A</v>
      </c>
      <c r="D1414" t="e">
        <f t="shared" si="22"/>
        <v>#N/A</v>
      </c>
    </row>
    <row r="1415" spans="1:4" x14ac:dyDescent="0.2">
      <c r="A1415">
        <f>'Fichas clínicas'!A1415</f>
        <v>1417</v>
      </c>
      <c r="B1415" t="str">
        <f>'Fichas clínicas'!B1415</f>
        <v>20016517-9</v>
      </c>
      <c r="C1415" t="e">
        <f>VLOOKUP(paciente_tutor!B1415,clientes!A1415:B2996,2,FALSE)</f>
        <v>#N/A</v>
      </c>
      <c r="D1415" t="e">
        <f t="shared" si="22"/>
        <v>#N/A</v>
      </c>
    </row>
    <row r="1416" spans="1:4" x14ac:dyDescent="0.2">
      <c r="A1416">
        <f>'Fichas clínicas'!A1416</f>
        <v>1418</v>
      </c>
      <c r="B1416" t="str">
        <f>'Fichas clínicas'!B1416</f>
        <v>19555994-5</v>
      </c>
      <c r="C1416" t="e">
        <f>VLOOKUP(paciente_tutor!B1416,clientes!A1416:B2997,2,FALSE)</f>
        <v>#N/A</v>
      </c>
      <c r="D1416" t="e">
        <f t="shared" si="22"/>
        <v>#N/A</v>
      </c>
    </row>
    <row r="1417" spans="1:4" x14ac:dyDescent="0.2">
      <c r="A1417">
        <f>'Fichas clínicas'!A1417</f>
        <v>1419</v>
      </c>
      <c r="B1417" t="str">
        <f>'Fichas clínicas'!B1417</f>
        <v>21569906-4</v>
      </c>
      <c r="C1417" t="e">
        <f>VLOOKUP(paciente_tutor!B1417,clientes!A1417:B2998,2,FALSE)</f>
        <v>#N/A</v>
      </c>
      <c r="D1417" t="e">
        <f t="shared" si="22"/>
        <v>#N/A</v>
      </c>
    </row>
    <row r="1418" spans="1:4" x14ac:dyDescent="0.2">
      <c r="A1418">
        <f>'Fichas clínicas'!A1418</f>
        <v>1420</v>
      </c>
      <c r="B1418" t="str">
        <f>'Fichas clínicas'!B1418</f>
        <v>14082700-2</v>
      </c>
      <c r="C1418" t="e">
        <f>VLOOKUP(paciente_tutor!B1418,clientes!A1418:B2999,2,FALSE)</f>
        <v>#N/A</v>
      </c>
      <c r="D1418" t="e">
        <f t="shared" si="22"/>
        <v>#N/A</v>
      </c>
    </row>
    <row r="1419" spans="1:4" x14ac:dyDescent="0.2">
      <c r="A1419">
        <f>'Fichas clínicas'!A1419</f>
        <v>1421</v>
      </c>
      <c r="B1419" t="str">
        <f>'Fichas clínicas'!B1419</f>
        <v>15548504-3</v>
      </c>
      <c r="C1419" t="e">
        <f>VLOOKUP(paciente_tutor!B1419,clientes!A1419:B3000,2,FALSE)</f>
        <v>#N/A</v>
      </c>
      <c r="D1419" t="e">
        <f t="shared" si="22"/>
        <v>#N/A</v>
      </c>
    </row>
    <row r="1420" spans="1:4" x14ac:dyDescent="0.2">
      <c r="A1420">
        <f>'Fichas clínicas'!A1420</f>
        <v>1422</v>
      </c>
      <c r="B1420" t="str">
        <f>'Fichas clínicas'!B1420</f>
        <v>17963603-4</v>
      </c>
      <c r="C1420" t="e">
        <f>VLOOKUP(paciente_tutor!B1420,clientes!A1420:B3001,2,FALSE)</f>
        <v>#N/A</v>
      </c>
      <c r="D1420" t="e">
        <f t="shared" si="22"/>
        <v>#N/A</v>
      </c>
    </row>
    <row r="1421" spans="1:4" x14ac:dyDescent="0.2">
      <c r="A1421">
        <f>'Fichas clínicas'!A1421</f>
        <v>1423</v>
      </c>
      <c r="B1421" t="str">
        <f>'Fichas clínicas'!B1421</f>
        <v>21208109-4</v>
      </c>
      <c r="C1421" t="e">
        <f>VLOOKUP(paciente_tutor!B1421,clientes!A1421:B3002,2,FALSE)</f>
        <v>#N/A</v>
      </c>
      <c r="D1421" t="e">
        <f t="shared" si="22"/>
        <v>#N/A</v>
      </c>
    </row>
    <row r="1422" spans="1:4" x14ac:dyDescent="0.2">
      <c r="A1422">
        <f>'Fichas clínicas'!A1422</f>
        <v>1424</v>
      </c>
      <c r="B1422" t="str">
        <f>'Fichas clínicas'!B1422</f>
        <v>15292643-k</v>
      </c>
      <c r="C1422" t="e">
        <f>VLOOKUP(paciente_tutor!B1422,clientes!A1422:B3003,2,FALSE)</f>
        <v>#N/A</v>
      </c>
      <c r="D1422" t="e">
        <f t="shared" si="22"/>
        <v>#N/A</v>
      </c>
    </row>
    <row r="1423" spans="1:4" x14ac:dyDescent="0.2">
      <c r="A1423">
        <f>'Fichas clínicas'!A1423</f>
        <v>1425</v>
      </c>
      <c r="B1423" t="str">
        <f>'Fichas clínicas'!B1423</f>
        <v>12993681-9</v>
      </c>
      <c r="C1423" t="e">
        <f>VLOOKUP(paciente_tutor!B1423,clientes!A1423:B3004,2,FALSE)</f>
        <v>#N/A</v>
      </c>
      <c r="D1423" t="e">
        <f t="shared" si="22"/>
        <v>#N/A</v>
      </c>
    </row>
    <row r="1424" spans="1:4" x14ac:dyDescent="0.2">
      <c r="A1424">
        <f>'Fichas clínicas'!A1424</f>
        <v>1426</v>
      </c>
      <c r="B1424" t="str">
        <f>'Fichas clínicas'!B1424</f>
        <v>19938043-5</v>
      </c>
      <c r="C1424" t="e">
        <f>VLOOKUP(paciente_tutor!B1424,clientes!A1424:B3005,2,FALSE)</f>
        <v>#N/A</v>
      </c>
      <c r="D1424" t="e">
        <f t="shared" si="22"/>
        <v>#N/A</v>
      </c>
    </row>
    <row r="1425" spans="1:4" x14ac:dyDescent="0.2">
      <c r="A1425">
        <f>'Fichas clínicas'!A1425</f>
        <v>1427</v>
      </c>
      <c r="B1425" t="str">
        <f>'Fichas clínicas'!B1425</f>
        <v>17693109-4</v>
      </c>
      <c r="C1425" t="e">
        <f>VLOOKUP(paciente_tutor!B1425,clientes!A1425:B3006,2,FALSE)</f>
        <v>#N/A</v>
      </c>
      <c r="D1425" t="e">
        <f t="shared" si="22"/>
        <v>#N/A</v>
      </c>
    </row>
    <row r="1426" spans="1:4" x14ac:dyDescent="0.2">
      <c r="A1426">
        <f>'Fichas clínicas'!A1426</f>
        <v>1428</v>
      </c>
      <c r="B1426" t="str">
        <f>'Fichas clínicas'!B1426</f>
        <v>17863120-9</v>
      </c>
      <c r="C1426" t="e">
        <f>VLOOKUP(paciente_tutor!B1426,clientes!A1426:B3007,2,FALSE)</f>
        <v>#N/A</v>
      </c>
      <c r="D1426" t="e">
        <f t="shared" si="22"/>
        <v>#N/A</v>
      </c>
    </row>
    <row r="1427" spans="1:4" x14ac:dyDescent="0.2">
      <c r="A1427">
        <f>'Fichas clínicas'!A1427</f>
        <v>1429</v>
      </c>
      <c r="B1427" t="str">
        <f>'Fichas clínicas'!B1427</f>
        <v>11426375-3</v>
      </c>
      <c r="C1427" t="e">
        <f>VLOOKUP(paciente_tutor!B1427,clientes!A1427:B3008,2,FALSE)</f>
        <v>#N/A</v>
      </c>
      <c r="D1427" t="e">
        <f t="shared" si="22"/>
        <v>#N/A</v>
      </c>
    </row>
    <row r="1428" spans="1:4" x14ac:dyDescent="0.2">
      <c r="A1428">
        <f>'Fichas clínicas'!A1428</f>
        <v>1430</v>
      </c>
      <c r="B1428" t="str">
        <f>'Fichas clínicas'!B1428</f>
        <v>13519653-3</v>
      </c>
      <c r="C1428" t="e">
        <f>VLOOKUP(paciente_tutor!B1428,clientes!A1428:B3009,2,FALSE)</f>
        <v>#N/A</v>
      </c>
      <c r="D1428" t="e">
        <f t="shared" si="22"/>
        <v>#N/A</v>
      </c>
    </row>
    <row r="1429" spans="1:4" x14ac:dyDescent="0.2">
      <c r="A1429">
        <f>'Fichas clínicas'!A1429</f>
        <v>1431</v>
      </c>
      <c r="B1429" t="str">
        <f>'Fichas clínicas'!B1429</f>
        <v>16159458-k</v>
      </c>
      <c r="C1429" t="e">
        <f>VLOOKUP(paciente_tutor!B1429,clientes!A1429:B3010,2,FALSE)</f>
        <v>#N/A</v>
      </c>
      <c r="D1429" t="e">
        <f t="shared" si="22"/>
        <v>#N/A</v>
      </c>
    </row>
    <row r="1430" spans="1:4" x14ac:dyDescent="0.2">
      <c r="A1430">
        <f>'Fichas clínicas'!A1430</f>
        <v>1432</v>
      </c>
      <c r="B1430" t="str">
        <f>'Fichas clínicas'!B1430</f>
        <v>22081955-8</v>
      </c>
      <c r="C1430" t="str">
        <f>VLOOKUP(paciente_tutor!B1430,clientes!A1430:B3011,2,FALSE)</f>
        <v>ANASOL</v>
      </c>
      <c r="D1430" t="str">
        <f t="shared" si="22"/>
        <v>22081955-8</v>
      </c>
    </row>
    <row r="1431" spans="1:4" x14ac:dyDescent="0.2">
      <c r="A1431">
        <f>'Fichas clínicas'!A1431</f>
        <v>1433</v>
      </c>
      <c r="B1431" t="str">
        <f>'Fichas clínicas'!B1431</f>
        <v>11703844-0</v>
      </c>
      <c r="C1431" t="e">
        <f>VLOOKUP(paciente_tutor!B1431,clientes!A1431:B3012,2,FALSE)</f>
        <v>#N/A</v>
      </c>
      <c r="D1431" t="e">
        <f t="shared" si="22"/>
        <v>#N/A</v>
      </c>
    </row>
    <row r="1432" spans="1:4" x14ac:dyDescent="0.2">
      <c r="A1432">
        <f>'Fichas clínicas'!A1432</f>
        <v>1434</v>
      </c>
      <c r="B1432" t="str">
        <f>'Fichas clínicas'!B1432</f>
        <v>14037117-3</v>
      </c>
      <c r="C1432" t="e">
        <f>VLOOKUP(paciente_tutor!B1432,clientes!A1432:B3013,2,FALSE)</f>
        <v>#N/A</v>
      </c>
      <c r="D1432" t="e">
        <f t="shared" si="22"/>
        <v>#N/A</v>
      </c>
    </row>
    <row r="1433" spans="1:4" x14ac:dyDescent="0.2">
      <c r="A1433">
        <f>'Fichas clínicas'!A1433</f>
        <v>1435</v>
      </c>
      <c r="B1433" t="str">
        <f>'Fichas clínicas'!B1433</f>
        <v>15530433-2</v>
      </c>
      <c r="C1433" t="e">
        <f>VLOOKUP(paciente_tutor!B1433,clientes!A1433:B3014,2,FALSE)</f>
        <v>#N/A</v>
      </c>
      <c r="D1433" t="e">
        <f t="shared" si="22"/>
        <v>#N/A</v>
      </c>
    </row>
    <row r="1434" spans="1:4" x14ac:dyDescent="0.2">
      <c r="A1434">
        <f>'Fichas clínicas'!A1434</f>
        <v>1436</v>
      </c>
      <c r="B1434" t="str">
        <f>'Fichas clínicas'!B1434</f>
        <v>19877725-0</v>
      </c>
      <c r="C1434" t="e">
        <f>VLOOKUP(paciente_tutor!B1434,clientes!A1434:B3015,2,FALSE)</f>
        <v>#N/A</v>
      </c>
      <c r="D1434" t="e">
        <f t="shared" si="22"/>
        <v>#N/A</v>
      </c>
    </row>
    <row r="1435" spans="1:4" x14ac:dyDescent="0.2">
      <c r="A1435">
        <f>'Fichas clínicas'!A1435</f>
        <v>1437</v>
      </c>
      <c r="B1435" t="str">
        <f>'Fichas clínicas'!B1435</f>
        <v>19877725-0</v>
      </c>
      <c r="C1435" t="e">
        <f>VLOOKUP(paciente_tutor!B1435,clientes!A1435:B3016,2,FALSE)</f>
        <v>#N/A</v>
      </c>
      <c r="D1435" t="e">
        <f t="shared" si="22"/>
        <v>#N/A</v>
      </c>
    </row>
    <row r="1436" spans="1:4" x14ac:dyDescent="0.2">
      <c r="A1436">
        <f>'Fichas clínicas'!A1436</f>
        <v>1438</v>
      </c>
      <c r="B1436" t="str">
        <f>'Fichas clínicas'!B1436</f>
        <v>19554217-1</v>
      </c>
      <c r="C1436" t="e">
        <f>VLOOKUP(paciente_tutor!B1436,clientes!A1436:B3017,2,FALSE)</f>
        <v>#N/A</v>
      </c>
      <c r="D1436" t="e">
        <f t="shared" si="22"/>
        <v>#N/A</v>
      </c>
    </row>
    <row r="1437" spans="1:4" x14ac:dyDescent="0.2">
      <c r="A1437">
        <f>'Fichas clínicas'!A1437</f>
        <v>1439</v>
      </c>
      <c r="B1437" t="str">
        <f>'Fichas clínicas'!B1437</f>
        <v>12139619-k</v>
      </c>
      <c r="C1437" t="e">
        <f>VLOOKUP(paciente_tutor!B1437,clientes!A1437:B3018,2,FALSE)</f>
        <v>#N/A</v>
      </c>
      <c r="D1437" t="e">
        <f t="shared" si="22"/>
        <v>#N/A</v>
      </c>
    </row>
    <row r="1438" spans="1:4" x14ac:dyDescent="0.2">
      <c r="A1438">
        <f>'Fichas clínicas'!A1438</f>
        <v>1440</v>
      </c>
      <c r="B1438" t="str">
        <f>'Fichas clínicas'!B1438</f>
        <v>19223856-0</v>
      </c>
      <c r="C1438" t="e">
        <f>VLOOKUP(paciente_tutor!B1438,clientes!A1438:B3019,2,FALSE)</f>
        <v>#N/A</v>
      </c>
      <c r="D1438" t="e">
        <f t="shared" si="22"/>
        <v>#N/A</v>
      </c>
    </row>
    <row r="1439" spans="1:4" x14ac:dyDescent="0.2">
      <c r="A1439">
        <f>'Fichas clínicas'!A1439</f>
        <v>1441</v>
      </c>
      <c r="B1439" t="str">
        <f>'Fichas clínicas'!B1439</f>
        <v>18173761-1</v>
      </c>
      <c r="C1439" t="e">
        <f>VLOOKUP(paciente_tutor!B1439,clientes!A1439:B3020,2,FALSE)</f>
        <v>#N/A</v>
      </c>
      <c r="D1439" t="e">
        <f t="shared" si="22"/>
        <v>#N/A</v>
      </c>
    </row>
    <row r="1440" spans="1:4" x14ac:dyDescent="0.2">
      <c r="A1440">
        <f>'Fichas clínicas'!A1440</f>
        <v>1442</v>
      </c>
      <c r="B1440" t="str">
        <f>'Fichas clínicas'!B1440</f>
        <v>18173761-1</v>
      </c>
      <c r="C1440" t="e">
        <f>VLOOKUP(paciente_tutor!B1440,clientes!A1440:B3021,2,FALSE)</f>
        <v>#N/A</v>
      </c>
      <c r="D1440" t="e">
        <f t="shared" si="22"/>
        <v>#N/A</v>
      </c>
    </row>
    <row r="1441" spans="1:4" x14ac:dyDescent="0.2">
      <c r="A1441">
        <f>'Fichas clínicas'!A1441</f>
        <v>1443</v>
      </c>
      <c r="B1441" t="str">
        <f>'Fichas clínicas'!B1441</f>
        <v>13137720-7</v>
      </c>
      <c r="C1441" t="e">
        <f>VLOOKUP(paciente_tutor!B1441,clientes!A1441:B3022,2,FALSE)</f>
        <v>#N/A</v>
      </c>
      <c r="D1441" t="e">
        <f t="shared" si="22"/>
        <v>#N/A</v>
      </c>
    </row>
    <row r="1442" spans="1:4" x14ac:dyDescent="0.2">
      <c r="A1442">
        <f>'Fichas clínicas'!A1442</f>
        <v>1444</v>
      </c>
      <c r="B1442" t="str">
        <f>'Fichas clínicas'!B1442</f>
        <v>17329137-k</v>
      </c>
      <c r="C1442" t="e">
        <f>VLOOKUP(paciente_tutor!B1442,clientes!A1442:B3023,2,FALSE)</f>
        <v>#N/A</v>
      </c>
      <c r="D1442" t="e">
        <f t="shared" si="22"/>
        <v>#N/A</v>
      </c>
    </row>
    <row r="1443" spans="1:4" x14ac:dyDescent="0.2">
      <c r="A1443">
        <f>'Fichas clínicas'!A1443</f>
        <v>1445</v>
      </c>
      <c r="B1443" t="str">
        <f>'Fichas clínicas'!B1443</f>
        <v>10387154-9</v>
      </c>
      <c r="C1443" t="e">
        <f>VLOOKUP(paciente_tutor!B1443,clientes!A1443:B3024,2,FALSE)</f>
        <v>#N/A</v>
      </c>
      <c r="D1443" t="e">
        <f t="shared" si="22"/>
        <v>#N/A</v>
      </c>
    </row>
    <row r="1444" spans="1:4" x14ac:dyDescent="0.2">
      <c r="A1444">
        <f>'Fichas clínicas'!A1444</f>
        <v>1446</v>
      </c>
      <c r="B1444" t="str">
        <f>'Fichas clínicas'!B1444</f>
        <v>8785807-3</v>
      </c>
      <c r="C1444" t="str">
        <f>VLOOKUP(paciente_tutor!B1444,clientes!A1444:B3025,2,FALSE)</f>
        <v>Mirta Eliana</v>
      </c>
      <c r="D1444" t="str">
        <f t="shared" si="22"/>
        <v>8785807-3</v>
      </c>
    </row>
    <row r="1445" spans="1:4" x14ac:dyDescent="0.2">
      <c r="A1445">
        <f>'Fichas clínicas'!A1445</f>
        <v>1447</v>
      </c>
      <c r="B1445" t="str">
        <f>'Fichas clínicas'!B1445</f>
        <v>10052627-1</v>
      </c>
      <c r="C1445" t="e">
        <f>VLOOKUP(paciente_tutor!B1445,clientes!A1445:B3026,2,FALSE)</f>
        <v>#N/A</v>
      </c>
      <c r="D1445" t="e">
        <f t="shared" si="22"/>
        <v>#N/A</v>
      </c>
    </row>
    <row r="1446" spans="1:4" x14ac:dyDescent="0.2">
      <c r="A1446">
        <f>'Fichas clínicas'!A1446</f>
        <v>1448</v>
      </c>
      <c r="B1446" t="str">
        <f>'Fichas clínicas'!B1446</f>
        <v>14082396-1</v>
      </c>
      <c r="C1446" t="e">
        <f>VLOOKUP(paciente_tutor!B1446,clientes!A1446:B3027,2,FALSE)</f>
        <v>#N/A</v>
      </c>
      <c r="D1446" t="e">
        <f t="shared" si="22"/>
        <v>#N/A</v>
      </c>
    </row>
    <row r="1447" spans="1:4" x14ac:dyDescent="0.2">
      <c r="A1447">
        <f>'Fichas clínicas'!A1447</f>
        <v>1449</v>
      </c>
      <c r="B1447" t="str">
        <f>'Fichas clínicas'!B1447</f>
        <v>17358862-3</v>
      </c>
      <c r="C1447" t="e">
        <f>VLOOKUP(paciente_tutor!B1447,clientes!A1447:B3028,2,FALSE)</f>
        <v>#N/A</v>
      </c>
      <c r="D1447" t="e">
        <f t="shared" si="22"/>
        <v>#N/A</v>
      </c>
    </row>
    <row r="1448" spans="1:4" x14ac:dyDescent="0.2">
      <c r="A1448">
        <f>'Fichas clínicas'!A1448</f>
        <v>1450</v>
      </c>
      <c r="B1448" t="str">
        <f>'Fichas clínicas'!B1448</f>
        <v>12993378-k</v>
      </c>
      <c r="C1448" t="e">
        <f>VLOOKUP(paciente_tutor!B1448,clientes!A1448:B3029,2,FALSE)</f>
        <v>#N/A</v>
      </c>
      <c r="D1448" t="e">
        <f t="shared" si="22"/>
        <v>#N/A</v>
      </c>
    </row>
    <row r="1449" spans="1:4" x14ac:dyDescent="0.2">
      <c r="A1449">
        <f>'Fichas clínicas'!A1449</f>
        <v>1451</v>
      </c>
      <c r="B1449" t="str">
        <f>'Fichas clínicas'!B1449</f>
        <v>19249625-k</v>
      </c>
      <c r="C1449" t="e">
        <f>VLOOKUP(paciente_tutor!B1449,clientes!A1449:B3030,2,FALSE)</f>
        <v>#N/A</v>
      </c>
      <c r="D1449" t="e">
        <f t="shared" si="22"/>
        <v>#N/A</v>
      </c>
    </row>
    <row r="1450" spans="1:4" x14ac:dyDescent="0.2">
      <c r="A1450">
        <f>'Fichas clínicas'!A1450</f>
        <v>1452</v>
      </c>
      <c r="B1450" t="str">
        <f>'Fichas clínicas'!B1450</f>
        <v>19938644-1</v>
      </c>
      <c r="C1450" t="e">
        <f>VLOOKUP(paciente_tutor!B1450,clientes!A1450:B3031,2,FALSE)</f>
        <v>#N/A</v>
      </c>
      <c r="D1450" t="e">
        <f t="shared" si="22"/>
        <v>#N/A</v>
      </c>
    </row>
    <row r="1451" spans="1:4" x14ac:dyDescent="0.2">
      <c r="A1451">
        <f>'Fichas clínicas'!A1451</f>
        <v>1453</v>
      </c>
      <c r="B1451" t="str">
        <f>'Fichas clínicas'!B1451</f>
        <v>18289388-9</v>
      </c>
      <c r="C1451" t="e">
        <f>VLOOKUP(paciente_tutor!B1451,clientes!A1451:B3032,2,FALSE)</f>
        <v>#N/A</v>
      </c>
      <c r="D1451" t="e">
        <f t="shared" si="22"/>
        <v>#N/A</v>
      </c>
    </row>
    <row r="1452" spans="1:4" x14ac:dyDescent="0.2">
      <c r="A1452">
        <f>'Fichas clínicas'!A1452</f>
        <v>1454</v>
      </c>
      <c r="B1452" t="str">
        <f>'Fichas clínicas'!B1452</f>
        <v>16159494-6</v>
      </c>
      <c r="C1452" t="e">
        <f>VLOOKUP(paciente_tutor!B1452,clientes!A1452:B3033,2,FALSE)</f>
        <v>#N/A</v>
      </c>
      <c r="D1452" t="e">
        <f t="shared" si="22"/>
        <v>#N/A</v>
      </c>
    </row>
    <row r="1453" spans="1:4" x14ac:dyDescent="0.2">
      <c r="A1453">
        <f>'Fichas clínicas'!A1453</f>
        <v>1455</v>
      </c>
      <c r="B1453" t="str">
        <f>'Fichas clínicas'!B1453</f>
        <v>16159494-6</v>
      </c>
      <c r="C1453" t="e">
        <f>VLOOKUP(paciente_tutor!B1453,clientes!A1453:B3034,2,FALSE)</f>
        <v>#N/A</v>
      </c>
      <c r="D1453" t="e">
        <f t="shared" si="22"/>
        <v>#N/A</v>
      </c>
    </row>
    <row r="1454" spans="1:4" x14ac:dyDescent="0.2">
      <c r="A1454">
        <f>'Fichas clínicas'!A1454</f>
        <v>1456</v>
      </c>
      <c r="B1454" t="str">
        <f>'Fichas clínicas'!B1454</f>
        <v>16159494-6</v>
      </c>
      <c r="C1454" t="e">
        <f>VLOOKUP(paciente_tutor!B1454,clientes!A1454:B3035,2,FALSE)</f>
        <v>#N/A</v>
      </c>
      <c r="D1454" t="e">
        <f t="shared" si="22"/>
        <v>#N/A</v>
      </c>
    </row>
    <row r="1455" spans="1:4" x14ac:dyDescent="0.2">
      <c r="A1455">
        <f>'Fichas clínicas'!A1455</f>
        <v>1457</v>
      </c>
      <c r="B1455" t="str">
        <f>'Fichas clínicas'!B1455</f>
        <v>16564633-9</v>
      </c>
      <c r="C1455" t="e">
        <f>VLOOKUP(paciente_tutor!B1455,clientes!A1455:B3036,2,FALSE)</f>
        <v>#N/A</v>
      </c>
      <c r="D1455" t="e">
        <f t="shared" si="22"/>
        <v>#N/A</v>
      </c>
    </row>
    <row r="1456" spans="1:4" x14ac:dyDescent="0.2">
      <c r="A1456">
        <f>'Fichas clínicas'!A1456</f>
        <v>1458</v>
      </c>
      <c r="B1456" t="str">
        <f>'Fichas clínicas'!B1456</f>
        <v>20315338-4</v>
      </c>
      <c r="C1456" t="e">
        <f>VLOOKUP(paciente_tutor!B1456,clientes!A1456:B3037,2,FALSE)</f>
        <v>#N/A</v>
      </c>
      <c r="D1456" t="e">
        <f t="shared" si="22"/>
        <v>#N/A</v>
      </c>
    </row>
    <row r="1457" spans="1:4" x14ac:dyDescent="0.2">
      <c r="A1457">
        <f>'Fichas clínicas'!A1457</f>
        <v>1459</v>
      </c>
      <c r="B1457" t="str">
        <f>'Fichas clínicas'!B1457</f>
        <v>7122875-4</v>
      </c>
      <c r="C1457" t="str">
        <f>VLOOKUP(paciente_tutor!B1457,clientes!A1457:B3038,2,FALSE)</f>
        <v>Edith</v>
      </c>
      <c r="D1457" t="str">
        <f t="shared" si="22"/>
        <v>7122875-4</v>
      </c>
    </row>
    <row r="1458" spans="1:4" x14ac:dyDescent="0.2">
      <c r="A1458">
        <f>'Fichas clínicas'!A1458</f>
        <v>1460</v>
      </c>
      <c r="B1458" t="str">
        <f>'Fichas clínicas'!B1458</f>
        <v>7122875-4</v>
      </c>
      <c r="C1458" t="str">
        <f>VLOOKUP(paciente_tutor!B1458,clientes!A1458:B3039,2,FALSE)</f>
        <v>Edith</v>
      </c>
      <c r="D1458" t="str">
        <f t="shared" si="22"/>
        <v>7122875-4</v>
      </c>
    </row>
    <row r="1459" spans="1:4" x14ac:dyDescent="0.2">
      <c r="A1459">
        <f>'Fichas clínicas'!A1459</f>
        <v>1461</v>
      </c>
      <c r="B1459" t="str">
        <f>'Fichas clínicas'!B1459</f>
        <v>9545531-k</v>
      </c>
      <c r="C1459" t="str">
        <f>VLOOKUP(paciente_tutor!B1459,clientes!A1459:B3040,2,FALSE)</f>
        <v>Sergio</v>
      </c>
      <c r="D1459" t="str">
        <f t="shared" si="22"/>
        <v>9545531-k</v>
      </c>
    </row>
    <row r="1460" spans="1:4" x14ac:dyDescent="0.2">
      <c r="A1460">
        <f>'Fichas clínicas'!A1460</f>
        <v>1462</v>
      </c>
      <c r="B1460" t="str">
        <f>'Fichas clínicas'!B1460</f>
        <v>19386863-0</v>
      </c>
      <c r="C1460" t="e">
        <f>VLOOKUP(paciente_tutor!B1460,clientes!A1460:B3041,2,FALSE)</f>
        <v>#N/A</v>
      </c>
      <c r="D1460" t="e">
        <f t="shared" si="22"/>
        <v>#N/A</v>
      </c>
    </row>
    <row r="1461" spans="1:4" x14ac:dyDescent="0.2">
      <c r="A1461">
        <f>'Fichas clínicas'!A1461</f>
        <v>1463</v>
      </c>
      <c r="B1461" t="str">
        <f>'Fichas clínicas'!B1461</f>
        <v>15309184-6</v>
      </c>
      <c r="C1461" t="e">
        <f>VLOOKUP(paciente_tutor!B1461,clientes!A1461:B3042,2,FALSE)</f>
        <v>#N/A</v>
      </c>
      <c r="D1461" t="e">
        <f t="shared" si="22"/>
        <v>#N/A</v>
      </c>
    </row>
    <row r="1462" spans="1:4" x14ac:dyDescent="0.2">
      <c r="A1462">
        <f>'Fichas clínicas'!A1462</f>
        <v>1464</v>
      </c>
      <c r="B1462" t="str">
        <f>'Fichas clínicas'!B1462</f>
        <v>20508977-2</v>
      </c>
      <c r="C1462" t="e">
        <f>VLOOKUP(paciente_tutor!B1462,clientes!A1462:B3043,2,FALSE)</f>
        <v>#N/A</v>
      </c>
      <c r="D1462" t="e">
        <f t="shared" si="22"/>
        <v>#N/A</v>
      </c>
    </row>
    <row r="1463" spans="1:4" x14ac:dyDescent="0.2">
      <c r="A1463">
        <f>'Fichas clínicas'!A1463</f>
        <v>1465</v>
      </c>
      <c r="B1463" t="str">
        <f>'Fichas clínicas'!B1463</f>
        <v>15549028-4</v>
      </c>
      <c r="C1463" t="e">
        <f>VLOOKUP(paciente_tutor!B1463,clientes!A1463:B3044,2,FALSE)</f>
        <v>#N/A</v>
      </c>
      <c r="D1463" t="e">
        <f t="shared" si="22"/>
        <v>#N/A</v>
      </c>
    </row>
    <row r="1464" spans="1:4" x14ac:dyDescent="0.2">
      <c r="A1464">
        <f>'Fichas clínicas'!A1464</f>
        <v>1466</v>
      </c>
      <c r="B1464" t="str">
        <f>'Fichas clínicas'!B1464</f>
        <v>15262167-1</v>
      </c>
      <c r="C1464" t="e">
        <f>VLOOKUP(paciente_tutor!B1464,clientes!A1464:B3045,2,FALSE)</f>
        <v>#N/A</v>
      </c>
      <c r="D1464" t="e">
        <f t="shared" si="22"/>
        <v>#N/A</v>
      </c>
    </row>
    <row r="1465" spans="1:4" x14ac:dyDescent="0.2">
      <c r="A1465">
        <f>'Fichas clínicas'!A1465</f>
        <v>1467</v>
      </c>
      <c r="B1465" t="str">
        <f>'Fichas clínicas'!B1465</f>
        <v>18622905-3</v>
      </c>
      <c r="C1465" t="e">
        <f>VLOOKUP(paciente_tutor!B1465,clientes!A1465:B3046,2,FALSE)</f>
        <v>#N/A</v>
      </c>
      <c r="D1465" t="e">
        <f t="shared" si="22"/>
        <v>#N/A</v>
      </c>
    </row>
    <row r="1466" spans="1:4" x14ac:dyDescent="0.2">
      <c r="A1466">
        <f>'Fichas clínicas'!A1466</f>
        <v>1468</v>
      </c>
      <c r="B1466" t="str">
        <f>'Fichas clínicas'!B1466</f>
        <v>16160968-4</v>
      </c>
      <c r="C1466" t="e">
        <f>VLOOKUP(paciente_tutor!B1466,clientes!A1466:B3047,2,FALSE)</f>
        <v>#N/A</v>
      </c>
      <c r="D1466" t="e">
        <f t="shared" si="22"/>
        <v>#N/A</v>
      </c>
    </row>
    <row r="1467" spans="1:4" x14ac:dyDescent="0.2">
      <c r="A1467">
        <f>'Fichas clínicas'!A1467</f>
        <v>1469</v>
      </c>
      <c r="B1467" t="str">
        <f>'Fichas clínicas'!B1467</f>
        <v>15549028-4</v>
      </c>
      <c r="C1467" t="e">
        <f>VLOOKUP(paciente_tutor!B1467,clientes!A1467:B3048,2,FALSE)</f>
        <v>#N/A</v>
      </c>
      <c r="D1467" t="e">
        <f t="shared" si="22"/>
        <v>#N/A</v>
      </c>
    </row>
    <row r="1468" spans="1:4" x14ac:dyDescent="0.2">
      <c r="A1468">
        <f>'Fichas clínicas'!A1468</f>
        <v>1470</v>
      </c>
      <c r="B1468" t="str">
        <f>'Fichas clínicas'!B1468</f>
        <v>15549028-4</v>
      </c>
      <c r="C1468" t="e">
        <f>VLOOKUP(paciente_tutor!B1468,clientes!A1468:B3049,2,FALSE)</f>
        <v>#N/A</v>
      </c>
      <c r="D1468" t="e">
        <f t="shared" si="22"/>
        <v>#N/A</v>
      </c>
    </row>
    <row r="1469" spans="1:4" x14ac:dyDescent="0.2">
      <c r="A1469">
        <f>'Fichas clínicas'!A1469</f>
        <v>1471</v>
      </c>
      <c r="B1469" t="str">
        <f>'Fichas clínicas'!B1469</f>
        <v>20842489-0</v>
      </c>
      <c r="C1469" t="e">
        <f>VLOOKUP(paciente_tutor!B1469,clientes!A1469:B3050,2,FALSE)</f>
        <v>#N/A</v>
      </c>
      <c r="D1469" t="e">
        <f t="shared" si="22"/>
        <v>#N/A</v>
      </c>
    </row>
    <row r="1470" spans="1:4" x14ac:dyDescent="0.2">
      <c r="A1470">
        <f>'Fichas clínicas'!A1470</f>
        <v>1472</v>
      </c>
      <c r="B1470" t="str">
        <f>'Fichas clínicas'!B1470</f>
        <v>19555835-3</v>
      </c>
      <c r="C1470" t="e">
        <f>VLOOKUP(paciente_tutor!B1470,clientes!A1470:B3051,2,FALSE)</f>
        <v>#N/A</v>
      </c>
      <c r="D1470" t="e">
        <f t="shared" si="22"/>
        <v>#N/A</v>
      </c>
    </row>
    <row r="1471" spans="1:4" x14ac:dyDescent="0.2">
      <c r="A1471">
        <f>'Fichas clínicas'!A1471</f>
        <v>1473</v>
      </c>
      <c r="B1471" t="str">
        <f>'Fichas clínicas'!B1471</f>
        <v>24049818-9</v>
      </c>
      <c r="C1471" t="e">
        <f>VLOOKUP(paciente_tutor!B1471,clientes!A1471:B3052,2,FALSE)</f>
        <v>#N/A</v>
      </c>
      <c r="D1471" t="e">
        <f t="shared" si="22"/>
        <v>#N/A</v>
      </c>
    </row>
    <row r="1472" spans="1:4" x14ac:dyDescent="0.2">
      <c r="A1472">
        <f>'Fichas clínicas'!A1472</f>
        <v>1474</v>
      </c>
      <c r="B1472" t="str">
        <f>'Fichas clínicas'!B1472</f>
        <v>9649145-k</v>
      </c>
      <c r="C1472" t="str">
        <f>VLOOKUP(paciente_tutor!B1472,clientes!A1472:B3053,2,FALSE)</f>
        <v>Gilda Del Pilar</v>
      </c>
      <c r="D1472" t="str">
        <f t="shared" si="22"/>
        <v>9649145-k</v>
      </c>
    </row>
    <row r="1473" spans="1:4" x14ac:dyDescent="0.2">
      <c r="A1473">
        <f>'Fichas clínicas'!A1473</f>
        <v>1475</v>
      </c>
      <c r="B1473" t="str">
        <f>'Fichas clínicas'!B1473</f>
        <v>15546041-5</v>
      </c>
      <c r="C1473" t="e">
        <f>VLOOKUP(paciente_tutor!B1473,clientes!A1473:B3054,2,FALSE)</f>
        <v>#N/A</v>
      </c>
      <c r="D1473" t="e">
        <f t="shared" si="22"/>
        <v>#N/A</v>
      </c>
    </row>
    <row r="1474" spans="1:4" x14ac:dyDescent="0.2">
      <c r="A1474">
        <f>'Fichas clínicas'!A1474</f>
        <v>1476</v>
      </c>
      <c r="B1474" t="str">
        <f>'Fichas clínicas'!B1474</f>
        <v>18287896-0</v>
      </c>
      <c r="C1474" t="e">
        <f>VLOOKUP(paciente_tutor!B1474,clientes!A1474:B3055,2,FALSE)</f>
        <v>#N/A</v>
      </c>
      <c r="D1474" t="e">
        <f t="shared" si="22"/>
        <v>#N/A</v>
      </c>
    </row>
    <row r="1475" spans="1:4" x14ac:dyDescent="0.2">
      <c r="A1475">
        <f>'Fichas clínicas'!A1475</f>
        <v>1477</v>
      </c>
      <c r="B1475" t="str">
        <f>'Fichas clínicas'!B1475</f>
        <v>10548242-6</v>
      </c>
      <c r="C1475" t="e">
        <f>VLOOKUP(paciente_tutor!B1475,clientes!A1475:B3056,2,FALSE)</f>
        <v>#N/A</v>
      </c>
      <c r="D1475" t="e">
        <f t="shared" ref="D1475:D1538" si="23">IF(C1475="#N/A","",B1475)</f>
        <v>#N/A</v>
      </c>
    </row>
    <row r="1476" spans="1:4" x14ac:dyDescent="0.2">
      <c r="A1476">
        <f>'Fichas clínicas'!A1476</f>
        <v>1478</v>
      </c>
      <c r="B1476" t="str">
        <f>'Fichas clínicas'!B1476</f>
        <v>18786644-8</v>
      </c>
      <c r="C1476" t="e">
        <f>VLOOKUP(paciente_tutor!B1476,clientes!A1476:B3057,2,FALSE)</f>
        <v>#N/A</v>
      </c>
      <c r="D1476" t="e">
        <f t="shared" si="23"/>
        <v>#N/A</v>
      </c>
    </row>
    <row r="1477" spans="1:4" x14ac:dyDescent="0.2">
      <c r="A1477">
        <f>'Fichas clínicas'!A1477</f>
        <v>1479</v>
      </c>
      <c r="B1477" t="str">
        <f>'Fichas clínicas'!B1477</f>
        <v>20180372-1</v>
      </c>
      <c r="C1477" t="e">
        <f>VLOOKUP(paciente_tutor!B1477,clientes!A1477:B3058,2,FALSE)</f>
        <v>#N/A</v>
      </c>
      <c r="D1477" t="e">
        <f t="shared" si="23"/>
        <v>#N/A</v>
      </c>
    </row>
    <row r="1478" spans="1:4" x14ac:dyDescent="0.2">
      <c r="A1478">
        <f>'Fichas clínicas'!A1478</f>
        <v>1480</v>
      </c>
      <c r="B1478" t="str">
        <f>'Fichas clínicas'!B1478</f>
        <v>19633248-0</v>
      </c>
      <c r="C1478" t="e">
        <f>VLOOKUP(paciente_tutor!B1478,clientes!A1478:B3059,2,FALSE)</f>
        <v>#N/A</v>
      </c>
      <c r="D1478" t="e">
        <f t="shared" si="23"/>
        <v>#N/A</v>
      </c>
    </row>
    <row r="1479" spans="1:4" x14ac:dyDescent="0.2">
      <c r="A1479">
        <f>'Fichas clínicas'!A1479</f>
        <v>1481</v>
      </c>
      <c r="B1479" t="str">
        <f>'Fichas clínicas'!B1479</f>
        <v>20315266-3</v>
      </c>
      <c r="C1479" t="e">
        <f>VLOOKUP(paciente_tutor!B1479,clientes!A1479:B3060,2,FALSE)</f>
        <v>#N/A</v>
      </c>
      <c r="D1479" t="e">
        <f t="shared" si="23"/>
        <v>#N/A</v>
      </c>
    </row>
    <row r="1480" spans="1:4" x14ac:dyDescent="0.2">
      <c r="A1480">
        <f>'Fichas clínicas'!A1480</f>
        <v>1482</v>
      </c>
      <c r="B1480" t="str">
        <f>'Fichas clínicas'!B1480</f>
        <v>18885215-7</v>
      </c>
      <c r="C1480" t="e">
        <f>VLOOKUP(paciente_tutor!B1480,clientes!A1480:B3061,2,FALSE)</f>
        <v>#N/A</v>
      </c>
      <c r="D1480" t="e">
        <f t="shared" si="23"/>
        <v>#N/A</v>
      </c>
    </row>
    <row r="1481" spans="1:4" x14ac:dyDescent="0.2">
      <c r="A1481">
        <f>'Fichas clínicas'!A1481</f>
        <v>1483</v>
      </c>
      <c r="B1481" t="str">
        <f>'Fichas clínicas'!B1481</f>
        <v>19350555-4</v>
      </c>
      <c r="C1481" t="e">
        <f>VLOOKUP(paciente_tutor!B1481,clientes!A1481:B3062,2,FALSE)</f>
        <v>#N/A</v>
      </c>
      <c r="D1481" t="e">
        <f t="shared" si="23"/>
        <v>#N/A</v>
      </c>
    </row>
    <row r="1482" spans="1:4" x14ac:dyDescent="0.2">
      <c r="A1482">
        <f>'Fichas clínicas'!A1482</f>
        <v>1484</v>
      </c>
      <c r="B1482" t="str">
        <f>'Fichas clínicas'!B1482</f>
        <v>16320350-2</v>
      </c>
      <c r="C1482" t="e">
        <f>VLOOKUP(paciente_tutor!B1482,clientes!A1482:B3063,2,FALSE)</f>
        <v>#N/A</v>
      </c>
      <c r="D1482" t="e">
        <f t="shared" si="23"/>
        <v>#N/A</v>
      </c>
    </row>
    <row r="1483" spans="1:4" x14ac:dyDescent="0.2">
      <c r="A1483">
        <f>'Fichas clínicas'!A1483</f>
        <v>1485</v>
      </c>
      <c r="B1483" t="str">
        <f>'Fichas clínicas'!B1483</f>
        <v>14082520-4</v>
      </c>
      <c r="C1483" t="e">
        <f>VLOOKUP(paciente_tutor!B1483,clientes!A1483:B3064,2,FALSE)</f>
        <v>#N/A</v>
      </c>
      <c r="D1483" t="e">
        <f t="shared" si="23"/>
        <v>#N/A</v>
      </c>
    </row>
    <row r="1484" spans="1:4" x14ac:dyDescent="0.2">
      <c r="A1484">
        <f>'Fichas clínicas'!A1484</f>
        <v>1486</v>
      </c>
      <c r="B1484" t="str">
        <f>'Fichas clínicas'!B1484</f>
        <v>20346596-3</v>
      </c>
      <c r="C1484" t="e">
        <f>VLOOKUP(paciente_tutor!B1484,clientes!A1484:B3065,2,FALSE)</f>
        <v>#N/A</v>
      </c>
      <c r="D1484" t="e">
        <f t="shared" si="23"/>
        <v>#N/A</v>
      </c>
    </row>
    <row r="1485" spans="1:4" x14ac:dyDescent="0.2">
      <c r="A1485">
        <f>'Fichas clínicas'!A1485</f>
        <v>1487</v>
      </c>
      <c r="B1485" t="str">
        <f>'Fichas clínicas'!B1485</f>
        <v>18987383-2</v>
      </c>
      <c r="C1485" t="e">
        <f>VLOOKUP(paciente_tutor!B1485,clientes!A1485:B3066,2,FALSE)</f>
        <v>#N/A</v>
      </c>
      <c r="D1485" t="e">
        <f t="shared" si="23"/>
        <v>#N/A</v>
      </c>
    </row>
    <row r="1486" spans="1:4" x14ac:dyDescent="0.2">
      <c r="A1486">
        <f>'Fichas clínicas'!A1486</f>
        <v>1488</v>
      </c>
      <c r="B1486" t="str">
        <f>'Fichas clínicas'!B1486</f>
        <v>11426354-0</v>
      </c>
      <c r="C1486" t="e">
        <f>VLOOKUP(paciente_tutor!B1486,clientes!A1486:B3067,2,FALSE)</f>
        <v>#N/A</v>
      </c>
      <c r="D1486" t="e">
        <f t="shared" si="23"/>
        <v>#N/A</v>
      </c>
    </row>
    <row r="1487" spans="1:4" x14ac:dyDescent="0.2">
      <c r="A1487">
        <f>'Fichas clínicas'!A1487</f>
        <v>1489</v>
      </c>
      <c r="B1487" t="str">
        <f>'Fichas clínicas'!B1487</f>
        <v>9466670-8</v>
      </c>
      <c r="C1487" t="str">
        <f>VLOOKUP(paciente_tutor!B1487,clientes!A1487:B3068,2,FALSE)</f>
        <v>Jorge</v>
      </c>
      <c r="D1487" t="str">
        <f t="shared" si="23"/>
        <v>9466670-8</v>
      </c>
    </row>
    <row r="1488" spans="1:4" x14ac:dyDescent="0.2">
      <c r="A1488">
        <f>'Fichas clínicas'!A1488</f>
        <v>1490</v>
      </c>
      <c r="B1488" t="str">
        <f>'Fichas clínicas'!B1488</f>
        <v>16963597-8</v>
      </c>
      <c r="C1488" t="e">
        <f>VLOOKUP(paciente_tutor!B1488,clientes!A1488:B3069,2,FALSE)</f>
        <v>#N/A</v>
      </c>
      <c r="D1488" t="e">
        <f t="shared" si="23"/>
        <v>#N/A</v>
      </c>
    </row>
    <row r="1489" spans="1:4" x14ac:dyDescent="0.2">
      <c r="A1489">
        <f>'Fichas clínicas'!A1489</f>
        <v>1491</v>
      </c>
      <c r="B1489" t="str">
        <f>'Fichas clínicas'!B1489</f>
        <v>12310692-K</v>
      </c>
      <c r="C1489" t="e">
        <f>VLOOKUP(paciente_tutor!B1489,clientes!A1489:B3070,2,FALSE)</f>
        <v>#N/A</v>
      </c>
      <c r="D1489" t="e">
        <f t="shared" si="23"/>
        <v>#N/A</v>
      </c>
    </row>
    <row r="1490" spans="1:4" x14ac:dyDescent="0.2">
      <c r="A1490">
        <f>'Fichas clínicas'!A1490</f>
        <v>1492</v>
      </c>
      <c r="B1490" t="str">
        <f>'Fichas clínicas'!B1490</f>
        <v>9106031-0</v>
      </c>
      <c r="C1490" t="str">
        <f>VLOOKUP(paciente_tutor!B1490,clientes!A1490:B3071,2,FALSE)</f>
        <v>CLAUDIO</v>
      </c>
      <c r="D1490" t="str">
        <f t="shared" si="23"/>
        <v>9106031-0</v>
      </c>
    </row>
    <row r="1491" spans="1:4" x14ac:dyDescent="0.2">
      <c r="A1491">
        <f>'Fichas clínicas'!A1491</f>
        <v>1493</v>
      </c>
      <c r="B1491" t="str">
        <f>'Fichas clínicas'!B1491</f>
        <v>20536392-0</v>
      </c>
      <c r="C1491" t="e">
        <f>VLOOKUP(paciente_tutor!B1491,clientes!A1491:B3072,2,FALSE)</f>
        <v>#N/A</v>
      </c>
      <c r="D1491" t="e">
        <f t="shared" si="23"/>
        <v>#N/A</v>
      </c>
    </row>
    <row r="1492" spans="1:4" x14ac:dyDescent="0.2">
      <c r="A1492">
        <f>'Fichas clínicas'!A1492</f>
        <v>1494</v>
      </c>
      <c r="B1492" t="str">
        <f>'Fichas clínicas'!B1492</f>
        <v>10583955-3</v>
      </c>
      <c r="C1492" t="e">
        <f>VLOOKUP(paciente_tutor!B1492,clientes!A1492:B3073,2,FALSE)</f>
        <v>#N/A</v>
      </c>
      <c r="D1492" t="e">
        <f t="shared" si="23"/>
        <v>#N/A</v>
      </c>
    </row>
    <row r="1493" spans="1:4" x14ac:dyDescent="0.2">
      <c r="A1493">
        <f>'Fichas clínicas'!A1493</f>
        <v>1495</v>
      </c>
      <c r="B1493" t="str">
        <f>'Fichas clínicas'!B1493</f>
        <v>21197616-0</v>
      </c>
      <c r="C1493" t="e">
        <f>VLOOKUP(paciente_tutor!B1493,clientes!A1493:B3074,2,FALSE)</f>
        <v>#N/A</v>
      </c>
      <c r="D1493" t="e">
        <f t="shared" si="23"/>
        <v>#N/A</v>
      </c>
    </row>
    <row r="1494" spans="1:4" x14ac:dyDescent="0.2">
      <c r="A1494">
        <f>'Fichas clínicas'!A1494</f>
        <v>1496</v>
      </c>
      <c r="B1494" t="str">
        <f>'Fichas clínicas'!B1494</f>
        <v>19198292-4</v>
      </c>
      <c r="C1494" t="e">
        <f>VLOOKUP(paciente_tutor!B1494,clientes!A1494:B3075,2,FALSE)</f>
        <v>#N/A</v>
      </c>
      <c r="D1494" t="e">
        <f t="shared" si="23"/>
        <v>#N/A</v>
      </c>
    </row>
    <row r="1495" spans="1:4" x14ac:dyDescent="0.2">
      <c r="A1495">
        <f>'Fichas clínicas'!A1495</f>
        <v>1497</v>
      </c>
      <c r="B1495" t="str">
        <f>'Fichas clínicas'!B1495</f>
        <v>20705652-9</v>
      </c>
      <c r="C1495" t="e">
        <f>VLOOKUP(paciente_tutor!B1495,clientes!A1495:B3076,2,FALSE)</f>
        <v>#N/A</v>
      </c>
      <c r="D1495" t="e">
        <f t="shared" si="23"/>
        <v>#N/A</v>
      </c>
    </row>
    <row r="1496" spans="1:4" x14ac:dyDescent="0.2">
      <c r="A1496">
        <f>'Fichas clínicas'!A1496</f>
        <v>1498</v>
      </c>
      <c r="B1496" t="str">
        <f>'Fichas clínicas'!B1496</f>
        <v>12995087-0</v>
      </c>
      <c r="C1496" t="e">
        <f>VLOOKUP(paciente_tutor!B1496,clientes!A1496:B3077,2,FALSE)</f>
        <v>#N/A</v>
      </c>
      <c r="D1496" t="e">
        <f t="shared" si="23"/>
        <v>#N/A</v>
      </c>
    </row>
    <row r="1497" spans="1:4" x14ac:dyDescent="0.2">
      <c r="A1497">
        <f>'Fichas clínicas'!A1497</f>
        <v>1499</v>
      </c>
      <c r="B1497" t="str">
        <f>'Fichas clínicas'!B1497</f>
        <v>19624540-5</v>
      </c>
      <c r="C1497" t="e">
        <f>VLOOKUP(paciente_tutor!B1497,clientes!A1497:B3078,2,FALSE)</f>
        <v>#N/A</v>
      </c>
      <c r="D1497" t="e">
        <f t="shared" si="23"/>
        <v>#N/A</v>
      </c>
    </row>
    <row r="1498" spans="1:4" x14ac:dyDescent="0.2">
      <c r="A1498">
        <f>'Fichas clínicas'!A1498</f>
        <v>1500</v>
      </c>
      <c r="B1498" t="str">
        <f>'Fichas clínicas'!B1498</f>
        <v>6626153-0</v>
      </c>
      <c r="C1498" t="e">
        <f>VLOOKUP(paciente_tutor!B1498,clientes!A1498:B3079,2,FALSE)</f>
        <v>#N/A</v>
      </c>
      <c r="D1498" t="e">
        <f t="shared" si="23"/>
        <v>#N/A</v>
      </c>
    </row>
    <row r="1499" spans="1:4" x14ac:dyDescent="0.2">
      <c r="A1499">
        <f>'Fichas clínicas'!A1499</f>
        <v>1501</v>
      </c>
      <c r="B1499" t="str">
        <f>'Fichas clínicas'!B1499</f>
        <v>16357881-6</v>
      </c>
      <c r="C1499" t="e">
        <f>VLOOKUP(paciente_tutor!B1499,clientes!A1499:B3080,2,FALSE)</f>
        <v>#N/A</v>
      </c>
      <c r="D1499" t="e">
        <f t="shared" si="23"/>
        <v>#N/A</v>
      </c>
    </row>
    <row r="1500" spans="1:4" x14ac:dyDescent="0.2">
      <c r="A1500">
        <f>'Fichas clínicas'!A1500</f>
        <v>1502</v>
      </c>
      <c r="B1500" t="str">
        <f>'Fichas clínicas'!B1500</f>
        <v>16357881-6</v>
      </c>
      <c r="C1500" t="e">
        <f>VLOOKUP(paciente_tutor!B1500,clientes!A1500:B3081,2,FALSE)</f>
        <v>#N/A</v>
      </c>
      <c r="D1500" t="e">
        <f t="shared" si="23"/>
        <v>#N/A</v>
      </c>
    </row>
    <row r="1501" spans="1:4" x14ac:dyDescent="0.2">
      <c r="A1501">
        <f>'Fichas clínicas'!A1501</f>
        <v>1503</v>
      </c>
      <c r="B1501" t="str">
        <f>'Fichas clínicas'!B1501</f>
        <v>10016177-k</v>
      </c>
      <c r="C1501" t="e">
        <f>VLOOKUP(paciente_tutor!B1501,clientes!A1501:B3082,2,FALSE)</f>
        <v>#N/A</v>
      </c>
      <c r="D1501" t="e">
        <f t="shared" si="23"/>
        <v>#N/A</v>
      </c>
    </row>
    <row r="1502" spans="1:4" x14ac:dyDescent="0.2">
      <c r="A1502">
        <f>'Fichas clínicas'!A1502</f>
        <v>1504</v>
      </c>
      <c r="B1502" t="str">
        <f>'Fichas clínicas'!B1502</f>
        <v>10529851-k</v>
      </c>
      <c r="C1502" t="e">
        <f>VLOOKUP(paciente_tutor!B1502,clientes!A1502:B3083,2,FALSE)</f>
        <v>#N/A</v>
      </c>
      <c r="D1502" t="e">
        <f t="shared" si="23"/>
        <v>#N/A</v>
      </c>
    </row>
    <row r="1503" spans="1:4" x14ac:dyDescent="0.2">
      <c r="A1503">
        <f>'Fichas clínicas'!A1503</f>
        <v>1505</v>
      </c>
      <c r="B1503" t="str">
        <f>'Fichas clínicas'!B1503</f>
        <v>16359877-9</v>
      </c>
      <c r="C1503" t="e">
        <f>VLOOKUP(paciente_tutor!B1503,clientes!A1503:B3084,2,FALSE)</f>
        <v>#N/A</v>
      </c>
      <c r="D1503" t="e">
        <f t="shared" si="23"/>
        <v>#N/A</v>
      </c>
    </row>
    <row r="1504" spans="1:4" x14ac:dyDescent="0.2">
      <c r="A1504">
        <f>'Fichas clínicas'!A1504</f>
        <v>1506</v>
      </c>
      <c r="B1504" t="str">
        <f>'Fichas clínicas'!B1504</f>
        <v>15662692-9</v>
      </c>
      <c r="C1504" t="e">
        <f>VLOOKUP(paciente_tutor!B1504,clientes!A1504:B3085,2,FALSE)</f>
        <v>#N/A</v>
      </c>
      <c r="D1504" t="e">
        <f t="shared" si="23"/>
        <v>#N/A</v>
      </c>
    </row>
    <row r="1505" spans="1:4" x14ac:dyDescent="0.2">
      <c r="A1505">
        <f>'Fichas clínicas'!A1505</f>
        <v>1507</v>
      </c>
      <c r="B1505" t="str">
        <f>'Fichas clínicas'!B1505</f>
        <v>15513615-4</v>
      </c>
      <c r="C1505" t="e">
        <f>VLOOKUP(paciente_tutor!B1505,clientes!A1505:B3086,2,FALSE)</f>
        <v>#N/A</v>
      </c>
      <c r="D1505" t="e">
        <f t="shared" si="23"/>
        <v>#N/A</v>
      </c>
    </row>
    <row r="1506" spans="1:4" x14ac:dyDescent="0.2">
      <c r="A1506">
        <f>'Fichas clínicas'!A1506</f>
        <v>1508</v>
      </c>
      <c r="B1506" t="str">
        <f>'Fichas clínicas'!B1506</f>
        <v>15513615-4</v>
      </c>
      <c r="C1506" t="e">
        <f>VLOOKUP(paciente_tutor!B1506,clientes!A1506:B3087,2,FALSE)</f>
        <v>#N/A</v>
      </c>
      <c r="D1506" t="e">
        <f t="shared" si="23"/>
        <v>#N/A</v>
      </c>
    </row>
    <row r="1507" spans="1:4" x14ac:dyDescent="0.2">
      <c r="A1507">
        <f>'Fichas clínicas'!A1507</f>
        <v>1509</v>
      </c>
      <c r="B1507" t="str">
        <f>'Fichas clínicas'!B1507</f>
        <v>15513615-4</v>
      </c>
      <c r="C1507" t="e">
        <f>VLOOKUP(paciente_tutor!B1507,clientes!A1507:B3088,2,FALSE)</f>
        <v>#N/A</v>
      </c>
      <c r="D1507" t="e">
        <f t="shared" si="23"/>
        <v>#N/A</v>
      </c>
    </row>
    <row r="1508" spans="1:4" x14ac:dyDescent="0.2">
      <c r="A1508">
        <f>'Fichas clínicas'!A1508</f>
        <v>1510</v>
      </c>
      <c r="B1508" t="str">
        <f>'Fichas clínicas'!B1508</f>
        <v>11920064-4</v>
      </c>
      <c r="C1508" t="e">
        <f>VLOOKUP(paciente_tutor!B1508,clientes!A1508:B3089,2,FALSE)</f>
        <v>#N/A</v>
      </c>
      <c r="D1508" t="e">
        <f t="shared" si="23"/>
        <v>#N/A</v>
      </c>
    </row>
    <row r="1509" spans="1:4" x14ac:dyDescent="0.2">
      <c r="A1509">
        <f>'Fichas clínicas'!A1509</f>
        <v>1511</v>
      </c>
      <c r="B1509" t="str">
        <f>'Fichas clínicas'!B1509</f>
        <v>17359055-5</v>
      </c>
      <c r="C1509" t="e">
        <f>VLOOKUP(paciente_tutor!B1509,clientes!A1509:B3090,2,FALSE)</f>
        <v>#N/A</v>
      </c>
      <c r="D1509" t="e">
        <f t="shared" si="23"/>
        <v>#N/A</v>
      </c>
    </row>
    <row r="1510" spans="1:4" x14ac:dyDescent="0.2">
      <c r="A1510">
        <f>'Fichas clínicas'!A1510</f>
        <v>1512</v>
      </c>
      <c r="B1510" t="str">
        <f>'Fichas clínicas'!B1510</f>
        <v>17359055-5</v>
      </c>
      <c r="C1510" t="e">
        <f>VLOOKUP(paciente_tutor!B1510,clientes!A1510:B3091,2,FALSE)</f>
        <v>#N/A</v>
      </c>
      <c r="D1510" t="e">
        <f t="shared" si="23"/>
        <v>#N/A</v>
      </c>
    </row>
    <row r="1511" spans="1:4" x14ac:dyDescent="0.2">
      <c r="A1511">
        <f>'Fichas clínicas'!A1511</f>
        <v>1513</v>
      </c>
      <c r="B1511" t="str">
        <f>'Fichas clínicas'!B1511</f>
        <v>11323841-0</v>
      </c>
      <c r="C1511" t="e">
        <f>VLOOKUP(paciente_tutor!B1511,clientes!A1511:B3092,2,FALSE)</f>
        <v>#N/A</v>
      </c>
      <c r="D1511" t="e">
        <f t="shared" si="23"/>
        <v>#N/A</v>
      </c>
    </row>
    <row r="1512" spans="1:4" x14ac:dyDescent="0.2">
      <c r="A1512">
        <f>'Fichas clínicas'!A1512</f>
        <v>1514</v>
      </c>
      <c r="B1512" t="str">
        <f>'Fichas clínicas'!B1512</f>
        <v>18888970-0</v>
      </c>
      <c r="C1512" t="e">
        <f>VLOOKUP(paciente_tutor!B1512,clientes!A1512:B3093,2,FALSE)</f>
        <v>#N/A</v>
      </c>
      <c r="D1512" t="e">
        <f t="shared" si="23"/>
        <v>#N/A</v>
      </c>
    </row>
    <row r="1513" spans="1:4" x14ac:dyDescent="0.2">
      <c r="A1513">
        <f>'Fichas clínicas'!A1513</f>
        <v>1515</v>
      </c>
      <c r="B1513" t="str">
        <f>'Fichas clínicas'!B1513</f>
        <v>17863651-0</v>
      </c>
      <c r="C1513" t="e">
        <f>VLOOKUP(paciente_tutor!B1513,clientes!A1513:B3094,2,FALSE)</f>
        <v>#N/A</v>
      </c>
      <c r="D1513" t="e">
        <f t="shared" si="23"/>
        <v>#N/A</v>
      </c>
    </row>
    <row r="1514" spans="1:4" x14ac:dyDescent="0.2">
      <c r="A1514">
        <f>'Fichas clínicas'!A1514</f>
        <v>1516</v>
      </c>
      <c r="B1514" t="str">
        <f>'Fichas clínicas'!B1514</f>
        <v>13943675-k</v>
      </c>
      <c r="C1514" t="e">
        <f>VLOOKUP(paciente_tutor!B1514,clientes!A1514:B3095,2,FALSE)</f>
        <v>#N/A</v>
      </c>
      <c r="D1514" t="e">
        <f t="shared" si="23"/>
        <v>#N/A</v>
      </c>
    </row>
    <row r="1515" spans="1:4" x14ac:dyDescent="0.2">
      <c r="A1515">
        <f>'Fichas clínicas'!A1515</f>
        <v>1517</v>
      </c>
      <c r="B1515" t="str">
        <f>'Fichas clínicas'!B1515</f>
        <v>12748218-7</v>
      </c>
      <c r="C1515" t="e">
        <f>VLOOKUP(paciente_tutor!B1515,clientes!A1515:B3096,2,FALSE)</f>
        <v>#N/A</v>
      </c>
      <c r="D1515" t="e">
        <f t="shared" si="23"/>
        <v>#N/A</v>
      </c>
    </row>
    <row r="1516" spans="1:4" x14ac:dyDescent="0.2">
      <c r="A1516">
        <f>'Fichas clínicas'!A1516</f>
        <v>1518</v>
      </c>
      <c r="B1516" t="str">
        <f>'Fichas clínicas'!B1516</f>
        <v>18100012-0</v>
      </c>
      <c r="C1516" t="e">
        <f>VLOOKUP(paciente_tutor!B1516,clientes!A1516:B3097,2,FALSE)</f>
        <v>#N/A</v>
      </c>
      <c r="D1516" t="e">
        <f t="shared" si="23"/>
        <v>#N/A</v>
      </c>
    </row>
    <row r="1517" spans="1:4" x14ac:dyDescent="0.2">
      <c r="A1517">
        <f>'Fichas clínicas'!A1517</f>
        <v>1519</v>
      </c>
      <c r="B1517" t="str">
        <f>'Fichas clínicas'!B1517</f>
        <v>10502957-8</v>
      </c>
      <c r="C1517" t="e">
        <f>VLOOKUP(paciente_tutor!B1517,clientes!A1517:B3098,2,FALSE)</f>
        <v>#N/A</v>
      </c>
      <c r="D1517" t="e">
        <f t="shared" si="23"/>
        <v>#N/A</v>
      </c>
    </row>
    <row r="1518" spans="1:4" x14ac:dyDescent="0.2">
      <c r="A1518">
        <f>'Fichas clínicas'!A1518</f>
        <v>1520</v>
      </c>
      <c r="B1518" t="str">
        <f>'Fichas clínicas'!B1518</f>
        <v>12390742-6</v>
      </c>
      <c r="C1518" t="e">
        <f>VLOOKUP(paciente_tutor!B1518,clientes!A1518:B3099,2,FALSE)</f>
        <v>#N/A</v>
      </c>
      <c r="D1518" t="e">
        <f t="shared" si="23"/>
        <v>#N/A</v>
      </c>
    </row>
    <row r="1519" spans="1:4" x14ac:dyDescent="0.2">
      <c r="A1519">
        <f>'Fichas clínicas'!A1519</f>
        <v>1521</v>
      </c>
      <c r="B1519" t="str">
        <f>'Fichas clínicas'!B1519</f>
        <v>12390742-6</v>
      </c>
      <c r="C1519" t="e">
        <f>VLOOKUP(paciente_tutor!B1519,clientes!A1519:B3100,2,FALSE)</f>
        <v>#N/A</v>
      </c>
      <c r="D1519" t="e">
        <f t="shared" si="23"/>
        <v>#N/A</v>
      </c>
    </row>
    <row r="1520" spans="1:4" x14ac:dyDescent="0.2">
      <c r="A1520">
        <f>'Fichas clínicas'!A1520</f>
        <v>1522</v>
      </c>
      <c r="B1520" t="str">
        <f>'Fichas clínicas'!B1520</f>
        <v>9815682-8</v>
      </c>
      <c r="C1520" t="str">
        <f>VLOOKUP(paciente_tutor!B1520,clientes!A1520:B3101,2,FALSE)</f>
        <v>Balter Alonso</v>
      </c>
      <c r="D1520" t="str">
        <f t="shared" si="23"/>
        <v>9815682-8</v>
      </c>
    </row>
    <row r="1521" spans="1:4" x14ac:dyDescent="0.2">
      <c r="A1521">
        <f>'Fichas clínicas'!A1521</f>
        <v>1523</v>
      </c>
      <c r="B1521" t="str">
        <f>'Fichas clínicas'!B1521</f>
        <v>11325627-3</v>
      </c>
      <c r="C1521" t="e">
        <f>VLOOKUP(paciente_tutor!B1521,clientes!A1521:B3102,2,FALSE)</f>
        <v>#N/A</v>
      </c>
      <c r="D1521" t="e">
        <f t="shared" si="23"/>
        <v>#N/A</v>
      </c>
    </row>
    <row r="1522" spans="1:4" x14ac:dyDescent="0.2">
      <c r="A1522">
        <f>'Fichas clínicas'!A1522</f>
        <v>1524</v>
      </c>
      <c r="B1522" t="str">
        <f>'Fichas clínicas'!B1522</f>
        <v>21862121-k</v>
      </c>
      <c r="C1522" t="e">
        <f>VLOOKUP(paciente_tutor!B1522,clientes!A1522:B3103,2,FALSE)</f>
        <v>#N/A</v>
      </c>
      <c r="D1522" t="e">
        <f t="shared" si="23"/>
        <v>#N/A</v>
      </c>
    </row>
    <row r="1523" spans="1:4" x14ac:dyDescent="0.2">
      <c r="A1523">
        <f>'Fichas clínicas'!A1523</f>
        <v>1525</v>
      </c>
      <c r="B1523" t="str">
        <f>'Fichas clínicas'!B1523</f>
        <v>21294199-9</v>
      </c>
      <c r="C1523" t="e">
        <f>VLOOKUP(paciente_tutor!B1523,clientes!A1523:B3104,2,FALSE)</f>
        <v>#N/A</v>
      </c>
      <c r="D1523" t="e">
        <f t="shared" si="23"/>
        <v>#N/A</v>
      </c>
    </row>
    <row r="1524" spans="1:4" x14ac:dyDescent="0.2">
      <c r="A1524">
        <f>'Fichas clínicas'!A1524</f>
        <v>1526</v>
      </c>
      <c r="B1524" t="str">
        <f>'Fichas clínicas'!B1524</f>
        <v>17963230-6</v>
      </c>
      <c r="C1524" t="e">
        <f>VLOOKUP(paciente_tutor!B1524,clientes!A1524:B3105,2,FALSE)</f>
        <v>#N/A</v>
      </c>
      <c r="D1524" t="e">
        <f t="shared" si="23"/>
        <v>#N/A</v>
      </c>
    </row>
    <row r="1525" spans="1:4" x14ac:dyDescent="0.2">
      <c r="A1525">
        <f>'Fichas clínicas'!A1525</f>
        <v>1527</v>
      </c>
      <c r="B1525" t="str">
        <f>'Fichas clínicas'!B1525</f>
        <v>17963230-6</v>
      </c>
      <c r="C1525" t="e">
        <f>VLOOKUP(paciente_tutor!B1525,clientes!A1525:B3106,2,FALSE)</f>
        <v>#N/A</v>
      </c>
      <c r="D1525" t="e">
        <f t="shared" si="23"/>
        <v>#N/A</v>
      </c>
    </row>
    <row r="1526" spans="1:4" x14ac:dyDescent="0.2">
      <c r="A1526">
        <f>'Fichas clínicas'!A1526</f>
        <v>1528</v>
      </c>
      <c r="B1526" t="str">
        <f>'Fichas clínicas'!B1526</f>
        <v>17693160-4</v>
      </c>
      <c r="C1526" t="e">
        <f>VLOOKUP(paciente_tutor!B1526,clientes!A1526:B3107,2,FALSE)</f>
        <v>#N/A</v>
      </c>
      <c r="D1526" t="e">
        <f t="shared" si="23"/>
        <v>#N/A</v>
      </c>
    </row>
    <row r="1527" spans="1:4" x14ac:dyDescent="0.2">
      <c r="A1527">
        <f>'Fichas clínicas'!A1527</f>
        <v>1529</v>
      </c>
      <c r="B1527" t="str">
        <f>'Fichas clínicas'!B1527</f>
        <v>9116737-9</v>
      </c>
      <c r="C1527" t="str">
        <f>VLOOKUP(paciente_tutor!B1527,clientes!A1527:B3108,2,FALSE)</f>
        <v>SONIA</v>
      </c>
      <c r="D1527" t="str">
        <f t="shared" si="23"/>
        <v>9116737-9</v>
      </c>
    </row>
    <row r="1528" spans="1:4" x14ac:dyDescent="0.2">
      <c r="A1528">
        <f>'Fichas clínicas'!A1528</f>
        <v>1530</v>
      </c>
      <c r="B1528" t="str">
        <f>'Fichas clínicas'!B1528</f>
        <v>9116737-9</v>
      </c>
      <c r="C1528" t="str">
        <f>VLOOKUP(paciente_tutor!B1528,clientes!A1528:B3109,2,FALSE)</f>
        <v>SONIA</v>
      </c>
      <c r="D1528" t="str">
        <f t="shared" si="23"/>
        <v>9116737-9</v>
      </c>
    </row>
    <row r="1529" spans="1:4" x14ac:dyDescent="0.2">
      <c r="A1529">
        <f>'Fichas clínicas'!A1529</f>
        <v>1531</v>
      </c>
      <c r="B1529" t="str">
        <f>'Fichas clínicas'!B1529</f>
        <v>26513966-3</v>
      </c>
      <c r="C1529" t="e">
        <f>VLOOKUP(paciente_tutor!B1529,clientes!A1529:B3110,2,FALSE)</f>
        <v>#N/A</v>
      </c>
      <c r="D1529" t="e">
        <f t="shared" si="23"/>
        <v>#N/A</v>
      </c>
    </row>
    <row r="1530" spans="1:4" x14ac:dyDescent="0.2">
      <c r="A1530">
        <f>'Fichas clínicas'!A1530</f>
        <v>1532</v>
      </c>
      <c r="B1530" t="str">
        <f>'Fichas clínicas'!B1530</f>
        <v>17653651-9</v>
      </c>
      <c r="C1530" t="e">
        <f>VLOOKUP(paciente_tutor!B1530,clientes!A1530:B3111,2,FALSE)</f>
        <v>#N/A</v>
      </c>
      <c r="D1530" t="e">
        <f t="shared" si="23"/>
        <v>#N/A</v>
      </c>
    </row>
    <row r="1531" spans="1:4" x14ac:dyDescent="0.2">
      <c r="A1531">
        <f>'Fichas clínicas'!A1531</f>
        <v>1533</v>
      </c>
      <c r="B1531" t="str">
        <f>'Fichas clínicas'!B1531</f>
        <v>20052882-4</v>
      </c>
      <c r="C1531" t="e">
        <f>VLOOKUP(paciente_tutor!B1531,clientes!A1531:B3112,2,FALSE)</f>
        <v>#N/A</v>
      </c>
      <c r="D1531" t="e">
        <f t="shared" si="23"/>
        <v>#N/A</v>
      </c>
    </row>
    <row r="1532" spans="1:4" x14ac:dyDescent="0.2">
      <c r="A1532">
        <f>'Fichas clínicas'!A1532</f>
        <v>1534</v>
      </c>
      <c r="B1532" t="str">
        <f>'Fichas clínicas'!B1532</f>
        <v>13593575-1</v>
      </c>
      <c r="C1532" t="e">
        <f>VLOOKUP(paciente_tutor!B1532,clientes!A1532:B3113,2,FALSE)</f>
        <v>#N/A</v>
      </c>
      <c r="D1532" t="e">
        <f t="shared" si="23"/>
        <v>#N/A</v>
      </c>
    </row>
    <row r="1533" spans="1:4" x14ac:dyDescent="0.2">
      <c r="A1533">
        <f>'Fichas clínicas'!A1533</f>
        <v>1535</v>
      </c>
      <c r="B1533" t="str">
        <f>'Fichas clínicas'!B1533</f>
        <v>18591234-5</v>
      </c>
      <c r="C1533" t="e">
        <f>VLOOKUP(paciente_tutor!B1533,clientes!A1533:B3114,2,FALSE)</f>
        <v>#N/A</v>
      </c>
      <c r="D1533" t="e">
        <f t="shared" si="23"/>
        <v>#N/A</v>
      </c>
    </row>
    <row r="1534" spans="1:4" x14ac:dyDescent="0.2">
      <c r="A1534">
        <f>'Fichas clínicas'!A1534</f>
        <v>1536</v>
      </c>
      <c r="B1534" t="str">
        <f>'Fichas clínicas'!B1534</f>
        <v>21710368-1</v>
      </c>
      <c r="C1534" t="e">
        <f>VLOOKUP(paciente_tutor!B1534,clientes!A1534:B3115,2,FALSE)</f>
        <v>#N/A</v>
      </c>
      <c r="D1534" t="e">
        <f t="shared" si="23"/>
        <v>#N/A</v>
      </c>
    </row>
    <row r="1535" spans="1:4" x14ac:dyDescent="0.2">
      <c r="A1535">
        <f>'Fichas clínicas'!A1535</f>
        <v>1537</v>
      </c>
      <c r="B1535" t="str">
        <f>'Fichas clínicas'!B1535</f>
        <v>11324774-6</v>
      </c>
      <c r="C1535" t="e">
        <f>VLOOKUP(paciente_tutor!B1535,clientes!A1535:B3116,2,FALSE)</f>
        <v>#N/A</v>
      </c>
      <c r="D1535" t="e">
        <f t="shared" si="23"/>
        <v>#N/A</v>
      </c>
    </row>
    <row r="1536" spans="1:4" x14ac:dyDescent="0.2">
      <c r="A1536">
        <f>'Fichas clínicas'!A1536</f>
        <v>1538</v>
      </c>
      <c r="B1536" t="str">
        <f>'Fichas clínicas'!B1536</f>
        <v>15314437-0</v>
      </c>
      <c r="C1536" t="e">
        <f>VLOOKUP(paciente_tutor!B1536,clientes!A1536:B3117,2,FALSE)</f>
        <v>#N/A</v>
      </c>
      <c r="D1536" t="e">
        <f t="shared" si="23"/>
        <v>#N/A</v>
      </c>
    </row>
    <row r="1537" spans="1:4" x14ac:dyDescent="0.2">
      <c r="A1537">
        <f>'Fichas clínicas'!A1537</f>
        <v>1539</v>
      </c>
      <c r="B1537" t="str">
        <f>'Fichas clínicas'!B1537</f>
        <v>13117182-k</v>
      </c>
      <c r="C1537" t="e">
        <f>VLOOKUP(paciente_tutor!B1537,clientes!A1537:B3118,2,FALSE)</f>
        <v>#N/A</v>
      </c>
      <c r="D1537" t="e">
        <f t="shared" si="23"/>
        <v>#N/A</v>
      </c>
    </row>
    <row r="1538" spans="1:4" x14ac:dyDescent="0.2">
      <c r="A1538">
        <f>'Fichas clínicas'!A1538</f>
        <v>1540</v>
      </c>
      <c r="B1538" t="str">
        <f>'Fichas clínicas'!B1538</f>
        <v>16460496-9</v>
      </c>
      <c r="C1538" t="e">
        <f>VLOOKUP(paciente_tutor!B1538,clientes!A1538:B3119,2,FALSE)</f>
        <v>#N/A</v>
      </c>
      <c r="D1538" t="e">
        <f t="shared" si="23"/>
        <v>#N/A</v>
      </c>
    </row>
    <row r="1539" spans="1:4" x14ac:dyDescent="0.2">
      <c r="A1539">
        <f>'Fichas clínicas'!A1539</f>
        <v>1541</v>
      </c>
      <c r="B1539" t="str">
        <f>'Fichas clínicas'!B1539</f>
        <v>25585741-k</v>
      </c>
      <c r="C1539" t="e">
        <f>VLOOKUP(paciente_tutor!B1539,clientes!A1539:B3120,2,FALSE)</f>
        <v>#N/A</v>
      </c>
      <c r="D1539" t="e">
        <f t="shared" ref="D1539:D1602" si="24">IF(C1539="#N/A","",B1539)</f>
        <v>#N/A</v>
      </c>
    </row>
    <row r="1540" spans="1:4" x14ac:dyDescent="0.2">
      <c r="A1540">
        <f>'Fichas clínicas'!A1540</f>
        <v>1542</v>
      </c>
      <c r="B1540" t="str">
        <f>'Fichas clínicas'!B1540</f>
        <v>15294037-8</v>
      </c>
      <c r="C1540" t="e">
        <f>VLOOKUP(paciente_tutor!B1540,clientes!A1540:B3121,2,FALSE)</f>
        <v>#N/A</v>
      </c>
      <c r="D1540" t="e">
        <f t="shared" si="24"/>
        <v>#N/A</v>
      </c>
    </row>
    <row r="1541" spans="1:4" x14ac:dyDescent="0.2">
      <c r="A1541">
        <f>'Fichas clínicas'!A1541</f>
        <v>1543</v>
      </c>
      <c r="B1541" t="str">
        <f>'Fichas clínicas'!B1541</f>
        <v>9190685-6</v>
      </c>
      <c r="C1541" t="str">
        <f>VLOOKUP(paciente_tutor!B1541,clientes!A1541:B3122,2,FALSE)</f>
        <v>Gloria</v>
      </c>
      <c r="D1541" t="str">
        <f t="shared" si="24"/>
        <v>9190685-6</v>
      </c>
    </row>
    <row r="1542" spans="1:4" x14ac:dyDescent="0.2">
      <c r="A1542">
        <f>'Fichas clínicas'!A1542</f>
        <v>1544</v>
      </c>
      <c r="B1542" t="str">
        <f>'Fichas clínicas'!B1542</f>
        <v>17360331-2</v>
      </c>
      <c r="C1542" t="e">
        <f>VLOOKUP(paciente_tutor!B1542,clientes!A1542:B3123,2,FALSE)</f>
        <v>#N/A</v>
      </c>
      <c r="D1542" t="e">
        <f t="shared" si="24"/>
        <v>#N/A</v>
      </c>
    </row>
    <row r="1543" spans="1:4" x14ac:dyDescent="0.2">
      <c r="A1543">
        <f>'Fichas clínicas'!A1543</f>
        <v>1545</v>
      </c>
      <c r="B1543" t="str">
        <f>'Fichas clínicas'!B1543</f>
        <v>18744899-9</v>
      </c>
      <c r="C1543" t="e">
        <f>VLOOKUP(paciente_tutor!B1543,clientes!A1543:B3124,2,FALSE)</f>
        <v>#N/A</v>
      </c>
      <c r="D1543" t="e">
        <f t="shared" si="24"/>
        <v>#N/A</v>
      </c>
    </row>
    <row r="1544" spans="1:4" x14ac:dyDescent="0.2">
      <c r="A1544">
        <f>'Fichas clínicas'!A1544</f>
        <v>1546</v>
      </c>
      <c r="B1544" t="str">
        <f>'Fichas clínicas'!B1544</f>
        <v>19554094-2</v>
      </c>
      <c r="C1544" t="e">
        <f>VLOOKUP(paciente_tutor!B1544,clientes!A1544:B3125,2,FALSE)</f>
        <v>#N/A</v>
      </c>
      <c r="D1544" t="e">
        <f t="shared" si="24"/>
        <v>#N/A</v>
      </c>
    </row>
    <row r="1545" spans="1:4" x14ac:dyDescent="0.2">
      <c r="A1545">
        <f>'Fichas clínicas'!A1545</f>
        <v>1547</v>
      </c>
      <c r="B1545" t="str">
        <f>'Fichas clínicas'!B1545</f>
        <v>14082700-2</v>
      </c>
      <c r="C1545" t="e">
        <f>VLOOKUP(paciente_tutor!B1545,clientes!A1545:B3126,2,FALSE)</f>
        <v>#N/A</v>
      </c>
      <c r="D1545" t="e">
        <f t="shared" si="24"/>
        <v>#N/A</v>
      </c>
    </row>
    <row r="1546" spans="1:4" x14ac:dyDescent="0.2">
      <c r="A1546">
        <f>'Fichas clínicas'!A1546</f>
        <v>1548</v>
      </c>
      <c r="B1546" t="str">
        <f>'Fichas clínicas'!B1546</f>
        <v>20315235-3</v>
      </c>
      <c r="C1546" t="e">
        <f>VLOOKUP(paciente_tutor!B1546,clientes!A1546:B3127,2,FALSE)</f>
        <v>#N/A</v>
      </c>
      <c r="D1546" t="e">
        <f t="shared" si="24"/>
        <v>#N/A</v>
      </c>
    </row>
    <row r="1547" spans="1:4" x14ac:dyDescent="0.2">
      <c r="A1547">
        <f>'Fichas clínicas'!A1547</f>
        <v>1549</v>
      </c>
      <c r="B1547" t="str">
        <f>'Fichas clínicas'!B1547</f>
        <v>18555023-0</v>
      </c>
      <c r="C1547" t="e">
        <f>VLOOKUP(paciente_tutor!B1547,clientes!A1547:B3128,2,FALSE)</f>
        <v>#N/A</v>
      </c>
      <c r="D1547" t="e">
        <f t="shared" si="24"/>
        <v>#N/A</v>
      </c>
    </row>
    <row r="1548" spans="1:4" x14ac:dyDescent="0.2">
      <c r="A1548">
        <f>'Fichas clínicas'!A1548</f>
        <v>1550</v>
      </c>
      <c r="B1548" t="str">
        <f>'Fichas clínicas'!B1548</f>
        <v>18397552-8</v>
      </c>
      <c r="C1548" t="e">
        <f>VLOOKUP(paciente_tutor!B1548,clientes!A1548:B3129,2,FALSE)</f>
        <v>#N/A</v>
      </c>
      <c r="D1548" t="e">
        <f t="shared" si="24"/>
        <v>#N/A</v>
      </c>
    </row>
    <row r="1549" spans="1:4" x14ac:dyDescent="0.2">
      <c r="A1549">
        <f>'Fichas clínicas'!A1549</f>
        <v>1551</v>
      </c>
      <c r="B1549" t="str">
        <f>'Fichas clínicas'!B1549</f>
        <v>7422624-8</v>
      </c>
      <c r="C1549" t="e">
        <f>VLOOKUP(paciente_tutor!B1549,clientes!A1549:B3130,2,FALSE)</f>
        <v>#N/A</v>
      </c>
      <c r="D1549" t="e">
        <f t="shared" si="24"/>
        <v>#N/A</v>
      </c>
    </row>
    <row r="1550" spans="1:4" x14ac:dyDescent="0.2">
      <c r="A1550">
        <f>'Fichas clínicas'!A1550</f>
        <v>1552</v>
      </c>
      <c r="B1550" t="str">
        <f>'Fichas clínicas'!B1550</f>
        <v>10746708-4</v>
      </c>
      <c r="C1550" t="e">
        <f>VLOOKUP(paciente_tutor!B1550,clientes!A1550:B3131,2,FALSE)</f>
        <v>#N/A</v>
      </c>
      <c r="D1550" t="e">
        <f t="shared" si="24"/>
        <v>#N/A</v>
      </c>
    </row>
    <row r="1551" spans="1:4" x14ac:dyDescent="0.2">
      <c r="A1551">
        <f>'Fichas clínicas'!A1551</f>
        <v>1553</v>
      </c>
      <c r="B1551" t="str">
        <f>'Fichas clínicas'!B1551</f>
        <v>13730383-3</v>
      </c>
      <c r="C1551" t="e">
        <f>VLOOKUP(paciente_tutor!B1551,clientes!A1551:B3132,2,FALSE)</f>
        <v>#N/A</v>
      </c>
      <c r="D1551" t="e">
        <f t="shared" si="24"/>
        <v>#N/A</v>
      </c>
    </row>
    <row r="1552" spans="1:4" x14ac:dyDescent="0.2">
      <c r="A1552">
        <f>'Fichas clínicas'!A1552</f>
        <v>1554</v>
      </c>
      <c r="B1552" t="str">
        <f>'Fichas clínicas'!B1552</f>
        <v>19249533-4</v>
      </c>
      <c r="C1552" t="e">
        <f>VLOOKUP(paciente_tutor!B1552,clientes!A1552:B3133,2,FALSE)</f>
        <v>#N/A</v>
      </c>
      <c r="D1552" t="e">
        <f t="shared" si="24"/>
        <v>#N/A</v>
      </c>
    </row>
    <row r="1553" spans="1:4" x14ac:dyDescent="0.2">
      <c r="A1553">
        <f>'Fichas clínicas'!A1553</f>
        <v>1555</v>
      </c>
      <c r="B1553" t="str">
        <f>'Fichas clínicas'!B1553</f>
        <v>16170483-0</v>
      </c>
      <c r="C1553" t="e">
        <f>VLOOKUP(paciente_tutor!B1553,clientes!A1553:B3134,2,FALSE)</f>
        <v>#N/A</v>
      </c>
      <c r="D1553" t="e">
        <f t="shared" si="24"/>
        <v>#N/A</v>
      </c>
    </row>
    <row r="1554" spans="1:4" x14ac:dyDescent="0.2">
      <c r="A1554">
        <f>'Fichas clínicas'!A1554</f>
        <v>1556</v>
      </c>
      <c r="B1554" t="str">
        <f>'Fichas clínicas'!B1554</f>
        <v>5220118-7</v>
      </c>
      <c r="C1554" t="e">
        <f>VLOOKUP(paciente_tutor!B1554,clientes!A1554:B3135,2,FALSE)</f>
        <v>#N/A</v>
      </c>
      <c r="D1554" t="e">
        <f t="shared" si="24"/>
        <v>#N/A</v>
      </c>
    </row>
    <row r="1555" spans="1:4" x14ac:dyDescent="0.2">
      <c r="A1555">
        <f>'Fichas clínicas'!A1555</f>
        <v>1557</v>
      </c>
      <c r="B1555" t="str">
        <f>'Fichas clínicas'!B1555</f>
        <v>21386225-1</v>
      </c>
      <c r="C1555" t="e">
        <f>VLOOKUP(paciente_tutor!B1555,clientes!A1555:B3136,2,FALSE)</f>
        <v>#N/A</v>
      </c>
      <c r="D1555" t="e">
        <f t="shared" si="24"/>
        <v>#N/A</v>
      </c>
    </row>
    <row r="1556" spans="1:4" x14ac:dyDescent="0.2">
      <c r="A1556">
        <f>'Fichas clínicas'!A1556</f>
        <v>1558</v>
      </c>
      <c r="B1556" t="str">
        <f>'Fichas clínicas'!B1556</f>
        <v>16322232-9</v>
      </c>
      <c r="C1556" t="e">
        <f>VLOOKUP(paciente_tutor!B1556,clientes!A1556:B3137,2,FALSE)</f>
        <v>#N/A</v>
      </c>
      <c r="D1556" t="e">
        <f t="shared" si="24"/>
        <v>#N/A</v>
      </c>
    </row>
    <row r="1557" spans="1:4" x14ac:dyDescent="0.2">
      <c r="A1557">
        <f>'Fichas clínicas'!A1557</f>
        <v>1559</v>
      </c>
      <c r="B1557" t="str">
        <f>'Fichas clínicas'!B1557</f>
        <v>20052882-4</v>
      </c>
      <c r="C1557" t="e">
        <f>VLOOKUP(paciente_tutor!B1557,clientes!A1557:B3138,2,FALSE)</f>
        <v>#N/A</v>
      </c>
      <c r="D1557" t="e">
        <f t="shared" si="24"/>
        <v>#N/A</v>
      </c>
    </row>
    <row r="1558" spans="1:4" x14ac:dyDescent="0.2">
      <c r="A1558">
        <f>'Fichas clínicas'!A1558</f>
        <v>1560</v>
      </c>
      <c r="B1558" t="str">
        <f>'Fichas clínicas'!B1558</f>
        <v>20052882-4</v>
      </c>
      <c r="C1558" t="e">
        <f>VLOOKUP(paciente_tutor!B1558,clientes!A1558:B3139,2,FALSE)</f>
        <v>#N/A</v>
      </c>
      <c r="D1558" t="e">
        <f t="shared" si="24"/>
        <v>#N/A</v>
      </c>
    </row>
    <row r="1559" spans="1:4" x14ac:dyDescent="0.2">
      <c r="A1559">
        <f>'Fichas clínicas'!A1559</f>
        <v>1561</v>
      </c>
      <c r="B1559" t="str">
        <f>'Fichas clínicas'!B1559</f>
        <v>15261435-7</v>
      </c>
      <c r="C1559" t="e">
        <f>VLOOKUP(paciente_tutor!B1559,clientes!A1559:B3140,2,FALSE)</f>
        <v>#N/A</v>
      </c>
      <c r="D1559" t="e">
        <f t="shared" si="24"/>
        <v>#N/A</v>
      </c>
    </row>
    <row r="1560" spans="1:4" x14ac:dyDescent="0.2">
      <c r="A1560">
        <f>'Fichas clínicas'!A1560</f>
        <v>1562</v>
      </c>
      <c r="B1560" t="str">
        <f>'Fichas clínicas'!B1560</f>
        <v>22081955-8</v>
      </c>
      <c r="C1560" t="e">
        <f>VLOOKUP(paciente_tutor!B1560,clientes!A1560:B3141,2,FALSE)</f>
        <v>#N/A</v>
      </c>
      <c r="D1560" t="e">
        <f t="shared" si="24"/>
        <v>#N/A</v>
      </c>
    </row>
    <row r="1561" spans="1:4" x14ac:dyDescent="0.2">
      <c r="A1561">
        <f>'Fichas clínicas'!A1561</f>
        <v>1563</v>
      </c>
      <c r="B1561" t="str">
        <f>'Fichas clínicas'!B1561</f>
        <v>16805632-k</v>
      </c>
      <c r="C1561" t="e">
        <f>VLOOKUP(paciente_tutor!B1561,clientes!A1561:B3142,2,FALSE)</f>
        <v>#N/A</v>
      </c>
      <c r="D1561" t="e">
        <f t="shared" si="24"/>
        <v>#N/A</v>
      </c>
    </row>
    <row r="1562" spans="1:4" x14ac:dyDescent="0.2">
      <c r="A1562">
        <f>'Fichas clínicas'!A1562</f>
        <v>1564</v>
      </c>
      <c r="B1562" t="str">
        <f>'Fichas clínicas'!B1562</f>
        <v>8144223-1</v>
      </c>
      <c r="C1562" t="e">
        <f>VLOOKUP(paciente_tutor!B1562,clientes!A1562:B3143,2,FALSE)</f>
        <v>#N/A</v>
      </c>
      <c r="D1562" t="e">
        <f t="shared" si="24"/>
        <v>#N/A</v>
      </c>
    </row>
    <row r="1563" spans="1:4" x14ac:dyDescent="0.2">
      <c r="A1563">
        <f>'Fichas clínicas'!A1563</f>
        <v>1565</v>
      </c>
      <c r="B1563" t="str">
        <f>'Fichas clínicas'!B1563</f>
        <v>18796305-2</v>
      </c>
      <c r="C1563" t="e">
        <f>VLOOKUP(paciente_tutor!B1563,clientes!A1563:B3144,2,FALSE)</f>
        <v>#N/A</v>
      </c>
      <c r="D1563" t="e">
        <f t="shared" si="24"/>
        <v>#N/A</v>
      </c>
    </row>
    <row r="1564" spans="1:4" x14ac:dyDescent="0.2">
      <c r="A1564">
        <f>'Fichas clínicas'!A1564</f>
        <v>1566</v>
      </c>
      <c r="B1564" t="str">
        <f>'Fichas clínicas'!B1564</f>
        <v>20315512-3</v>
      </c>
      <c r="C1564" t="e">
        <f>VLOOKUP(paciente_tutor!B1564,clientes!A1564:B3145,2,FALSE)</f>
        <v>#N/A</v>
      </c>
      <c r="D1564" t="e">
        <f t="shared" si="24"/>
        <v>#N/A</v>
      </c>
    </row>
    <row r="1565" spans="1:4" x14ac:dyDescent="0.2">
      <c r="A1565">
        <f>'Fichas clínicas'!A1565</f>
        <v>1567</v>
      </c>
      <c r="B1565" t="str">
        <f>'Fichas clínicas'!B1565</f>
        <v>18592082-8</v>
      </c>
      <c r="C1565" t="e">
        <f>VLOOKUP(paciente_tutor!B1565,clientes!A1565:B3146,2,FALSE)</f>
        <v>#N/A</v>
      </c>
      <c r="D1565" t="e">
        <f t="shared" si="24"/>
        <v>#N/A</v>
      </c>
    </row>
    <row r="1566" spans="1:4" x14ac:dyDescent="0.2">
      <c r="A1566">
        <f>'Fichas clínicas'!A1566</f>
        <v>1568</v>
      </c>
      <c r="B1566" t="str">
        <f>'Fichas clínicas'!B1566</f>
        <v>13160227-8</v>
      </c>
      <c r="C1566" t="e">
        <f>VLOOKUP(paciente_tutor!B1566,clientes!A1566:B3147,2,FALSE)</f>
        <v>#N/A</v>
      </c>
      <c r="D1566" t="e">
        <f t="shared" si="24"/>
        <v>#N/A</v>
      </c>
    </row>
    <row r="1567" spans="1:4" x14ac:dyDescent="0.2">
      <c r="A1567">
        <f>'Fichas clínicas'!A1567</f>
        <v>1569</v>
      </c>
      <c r="B1567" t="str">
        <f>'Fichas clínicas'!B1567</f>
        <v>17739591-9</v>
      </c>
      <c r="C1567" t="e">
        <f>VLOOKUP(paciente_tutor!B1567,clientes!A1567:B3148,2,FALSE)</f>
        <v>#N/A</v>
      </c>
      <c r="D1567" t="e">
        <f t="shared" si="24"/>
        <v>#N/A</v>
      </c>
    </row>
    <row r="1568" spans="1:4" x14ac:dyDescent="0.2">
      <c r="A1568">
        <f>'Fichas clínicas'!A1568</f>
        <v>1570</v>
      </c>
      <c r="B1568" t="str">
        <f>'Fichas clínicas'!B1568</f>
        <v>16343954-9</v>
      </c>
      <c r="C1568" t="e">
        <f>VLOOKUP(paciente_tutor!B1568,clientes!A1568:B3149,2,FALSE)</f>
        <v>#N/A</v>
      </c>
      <c r="D1568" t="e">
        <f t="shared" si="24"/>
        <v>#N/A</v>
      </c>
    </row>
    <row r="1569" spans="1:4" x14ac:dyDescent="0.2">
      <c r="A1569">
        <f>'Fichas clínicas'!A1569</f>
        <v>1571</v>
      </c>
      <c r="B1569" t="str">
        <f>'Fichas clínicas'!B1569</f>
        <v>13321219-1</v>
      </c>
      <c r="C1569" t="e">
        <f>VLOOKUP(paciente_tutor!B1569,clientes!A1569:B3150,2,FALSE)</f>
        <v>#N/A</v>
      </c>
      <c r="D1569" t="e">
        <f t="shared" si="24"/>
        <v>#N/A</v>
      </c>
    </row>
    <row r="1570" spans="1:4" x14ac:dyDescent="0.2">
      <c r="A1570">
        <f>'Fichas clínicas'!A1570</f>
        <v>1572</v>
      </c>
      <c r="B1570" t="str">
        <f>'Fichas clínicas'!B1570</f>
        <v>19545858-8</v>
      </c>
      <c r="C1570" t="e">
        <f>VLOOKUP(paciente_tutor!B1570,clientes!A1570:B3151,2,FALSE)</f>
        <v>#N/A</v>
      </c>
      <c r="D1570" t="e">
        <f t="shared" si="24"/>
        <v>#N/A</v>
      </c>
    </row>
    <row r="1571" spans="1:4" x14ac:dyDescent="0.2">
      <c r="A1571">
        <f>'Fichas clínicas'!A1571</f>
        <v>1573</v>
      </c>
      <c r="B1571" t="str">
        <f>'Fichas clínicas'!B1571</f>
        <v>13609615-k</v>
      </c>
      <c r="C1571" t="e">
        <f>VLOOKUP(paciente_tutor!B1571,clientes!A1571:B3152,2,FALSE)</f>
        <v>#N/A</v>
      </c>
      <c r="D1571" t="e">
        <f t="shared" si="24"/>
        <v>#N/A</v>
      </c>
    </row>
    <row r="1572" spans="1:4" x14ac:dyDescent="0.2">
      <c r="A1572">
        <f>'Fichas clínicas'!A1572</f>
        <v>1574</v>
      </c>
      <c r="B1572" t="str">
        <f>'Fichas clínicas'!B1572</f>
        <v>19465232-1</v>
      </c>
      <c r="C1572" t="e">
        <f>VLOOKUP(paciente_tutor!B1572,clientes!A1572:B3153,2,FALSE)</f>
        <v>#N/A</v>
      </c>
      <c r="D1572" t="e">
        <f t="shared" si="24"/>
        <v>#N/A</v>
      </c>
    </row>
    <row r="1573" spans="1:4" x14ac:dyDescent="0.2">
      <c r="A1573">
        <f>'Fichas clínicas'!A1573</f>
        <v>1575</v>
      </c>
      <c r="B1573" t="str">
        <f>'Fichas clínicas'!B1573</f>
        <v>11324798-3</v>
      </c>
      <c r="C1573" t="e">
        <f>VLOOKUP(paciente_tutor!B1573,clientes!A1573:B3154,2,FALSE)</f>
        <v>#N/A</v>
      </c>
      <c r="D1573" t="e">
        <f t="shared" si="24"/>
        <v>#N/A</v>
      </c>
    </row>
    <row r="1574" spans="1:4" x14ac:dyDescent="0.2">
      <c r="A1574">
        <f>'Fichas clínicas'!A1574</f>
        <v>1576</v>
      </c>
      <c r="B1574" t="str">
        <f>'Fichas clínicas'!B1574</f>
        <v>18591757-6</v>
      </c>
      <c r="C1574" t="e">
        <f>VLOOKUP(paciente_tutor!B1574,clientes!A1574:B3155,2,FALSE)</f>
        <v>#N/A</v>
      </c>
      <c r="D1574" t="e">
        <f t="shared" si="24"/>
        <v>#N/A</v>
      </c>
    </row>
    <row r="1575" spans="1:4" x14ac:dyDescent="0.2">
      <c r="A1575">
        <f>'Fichas clínicas'!A1575</f>
        <v>1577</v>
      </c>
      <c r="B1575" t="str">
        <f>'Fichas clínicas'!B1575</f>
        <v>13519818-8</v>
      </c>
      <c r="C1575" t="e">
        <f>VLOOKUP(paciente_tutor!B1575,clientes!A1575:B3156,2,FALSE)</f>
        <v>#N/A</v>
      </c>
      <c r="D1575" t="e">
        <f t="shared" si="24"/>
        <v>#N/A</v>
      </c>
    </row>
    <row r="1576" spans="1:4" x14ac:dyDescent="0.2">
      <c r="A1576">
        <f>'Fichas clínicas'!A1576</f>
        <v>1578</v>
      </c>
      <c r="B1576" t="str">
        <f>'Fichas clínicas'!B1576</f>
        <v>13609615-k</v>
      </c>
      <c r="C1576" t="e">
        <f>VLOOKUP(paciente_tutor!B1576,clientes!A1576:B3157,2,FALSE)</f>
        <v>#N/A</v>
      </c>
      <c r="D1576" t="e">
        <f t="shared" si="24"/>
        <v>#N/A</v>
      </c>
    </row>
    <row r="1577" spans="1:4" x14ac:dyDescent="0.2">
      <c r="A1577">
        <f>'Fichas clínicas'!A1577</f>
        <v>1579</v>
      </c>
      <c r="B1577" t="str">
        <f>'Fichas clínicas'!B1577</f>
        <v>10653651-1</v>
      </c>
      <c r="C1577" t="e">
        <f>VLOOKUP(paciente_tutor!B1577,clientes!A1577:B3158,2,FALSE)</f>
        <v>#N/A</v>
      </c>
      <c r="D1577" t="e">
        <f t="shared" si="24"/>
        <v>#N/A</v>
      </c>
    </row>
    <row r="1578" spans="1:4" x14ac:dyDescent="0.2">
      <c r="A1578">
        <f>'Fichas clínicas'!A1578</f>
        <v>1580</v>
      </c>
      <c r="B1578" t="str">
        <f>'Fichas clínicas'!B1578</f>
        <v>20047081-8</v>
      </c>
      <c r="C1578" t="e">
        <f>VLOOKUP(paciente_tutor!B1578,clientes!A1578:B3159,2,FALSE)</f>
        <v>#N/A</v>
      </c>
      <c r="D1578" t="e">
        <f t="shared" si="24"/>
        <v>#N/A</v>
      </c>
    </row>
    <row r="1579" spans="1:4" x14ac:dyDescent="0.2">
      <c r="A1579">
        <f>'Fichas clínicas'!A1579</f>
        <v>1581</v>
      </c>
      <c r="B1579" t="str">
        <f>'Fichas clínicas'!B1579</f>
        <v>14081194-7</v>
      </c>
      <c r="C1579" t="e">
        <f>VLOOKUP(paciente_tutor!B1579,clientes!A1579:B3160,2,FALSE)</f>
        <v>#N/A</v>
      </c>
      <c r="D1579" t="e">
        <f t="shared" si="24"/>
        <v>#N/A</v>
      </c>
    </row>
    <row r="1580" spans="1:4" x14ac:dyDescent="0.2">
      <c r="A1580">
        <f>'Fichas clínicas'!A1580</f>
        <v>1582</v>
      </c>
      <c r="B1580" t="str">
        <f>'Fichas clínicas'!B1580</f>
        <v>14081194-7</v>
      </c>
      <c r="C1580" t="e">
        <f>VLOOKUP(paciente_tutor!B1580,clientes!A1580:B3161,2,FALSE)</f>
        <v>#N/A</v>
      </c>
      <c r="D1580" t="e">
        <f t="shared" si="24"/>
        <v>#N/A</v>
      </c>
    </row>
    <row r="1581" spans="1:4" x14ac:dyDescent="0.2">
      <c r="A1581">
        <f>'Fichas clínicas'!A1581</f>
        <v>1583</v>
      </c>
      <c r="B1581" t="str">
        <f>'Fichas clínicas'!B1581</f>
        <v>21513391-5</v>
      </c>
      <c r="C1581" t="e">
        <f>VLOOKUP(paciente_tutor!B1581,clientes!A1581:B3162,2,FALSE)</f>
        <v>#N/A</v>
      </c>
      <c r="D1581" t="e">
        <f t="shared" si="24"/>
        <v>#N/A</v>
      </c>
    </row>
    <row r="1582" spans="1:4" x14ac:dyDescent="0.2">
      <c r="A1582">
        <f>'Fichas clínicas'!A1582</f>
        <v>1584</v>
      </c>
      <c r="B1582" t="str">
        <f>'Fichas clínicas'!B1582</f>
        <v>18887377-4</v>
      </c>
      <c r="C1582" t="e">
        <f>VLOOKUP(paciente_tutor!B1582,clientes!A1582:B3163,2,FALSE)</f>
        <v>#N/A</v>
      </c>
      <c r="D1582" t="e">
        <f t="shared" si="24"/>
        <v>#N/A</v>
      </c>
    </row>
    <row r="1583" spans="1:4" x14ac:dyDescent="0.2">
      <c r="A1583">
        <f>'Fichas clínicas'!A1583</f>
        <v>1585</v>
      </c>
      <c r="B1583" t="str">
        <f>'Fichas clínicas'!B1583</f>
        <v>10293718-K</v>
      </c>
      <c r="C1583" t="e">
        <f>VLOOKUP(paciente_tutor!B1583,clientes!A1583:B3164,2,FALSE)</f>
        <v>#N/A</v>
      </c>
      <c r="D1583" t="e">
        <f t="shared" si="24"/>
        <v>#N/A</v>
      </c>
    </row>
    <row r="1584" spans="1:4" x14ac:dyDescent="0.2">
      <c r="A1584">
        <f>'Fichas clínicas'!A1584</f>
        <v>1586</v>
      </c>
      <c r="B1584" t="str">
        <f>'Fichas clínicas'!B1584</f>
        <v>20963419-8</v>
      </c>
      <c r="C1584" t="e">
        <f>VLOOKUP(paciente_tutor!B1584,clientes!A1584:B3165,2,FALSE)</f>
        <v>#N/A</v>
      </c>
      <c r="D1584" t="e">
        <f t="shared" si="24"/>
        <v>#N/A</v>
      </c>
    </row>
    <row r="1585" spans="1:4" x14ac:dyDescent="0.2">
      <c r="A1585">
        <f>'Fichas clínicas'!A1585</f>
        <v>1587</v>
      </c>
      <c r="B1585" t="str">
        <f>'Fichas clínicas'!B1585</f>
        <v>20963419-8</v>
      </c>
      <c r="C1585" t="e">
        <f>VLOOKUP(paciente_tutor!B1585,clientes!A1585:B3166,2,FALSE)</f>
        <v>#N/A</v>
      </c>
      <c r="D1585" t="e">
        <f t="shared" si="24"/>
        <v>#N/A</v>
      </c>
    </row>
    <row r="1586" spans="1:4" x14ac:dyDescent="0.2">
      <c r="A1586">
        <f>'Fichas clínicas'!A1586</f>
        <v>1588</v>
      </c>
      <c r="B1586" t="str">
        <f>'Fichas clínicas'!B1586</f>
        <v>20963419-8</v>
      </c>
      <c r="C1586" t="e">
        <f>VLOOKUP(paciente_tutor!B1586,clientes!A1586:B3167,2,FALSE)</f>
        <v>#N/A</v>
      </c>
      <c r="D1586" t="e">
        <f t="shared" si="24"/>
        <v>#N/A</v>
      </c>
    </row>
    <row r="1587" spans="1:4" x14ac:dyDescent="0.2">
      <c r="A1587">
        <f>'Fichas clínicas'!A1587</f>
        <v>1589</v>
      </c>
      <c r="B1587" t="str">
        <f>'Fichas clínicas'!B1587</f>
        <v>20963419-8</v>
      </c>
      <c r="C1587" t="e">
        <f>VLOOKUP(paciente_tutor!B1587,clientes!A1587:B3168,2,FALSE)</f>
        <v>#N/A</v>
      </c>
      <c r="D1587" t="e">
        <f t="shared" si="24"/>
        <v>#N/A</v>
      </c>
    </row>
    <row r="1588" spans="1:4" x14ac:dyDescent="0.2">
      <c r="A1588">
        <f>'Fichas clínicas'!A1588</f>
        <v>1590</v>
      </c>
      <c r="B1588" t="str">
        <f>'Fichas clínicas'!B1588</f>
        <v>20963419-8</v>
      </c>
      <c r="C1588" t="e">
        <f>VLOOKUP(paciente_tutor!B1588,clientes!A1588:B3169,2,FALSE)</f>
        <v>#N/A</v>
      </c>
      <c r="D1588" t="e">
        <f t="shared" si="24"/>
        <v>#N/A</v>
      </c>
    </row>
    <row r="1589" spans="1:4" x14ac:dyDescent="0.2">
      <c r="A1589">
        <f>'Fichas clínicas'!A1589</f>
        <v>1591</v>
      </c>
      <c r="B1589" t="str">
        <f>'Fichas clínicas'!B1589</f>
        <v>26416840-6</v>
      </c>
      <c r="C1589" t="e">
        <f>VLOOKUP(paciente_tutor!B1589,clientes!A1589:B3170,2,FALSE)</f>
        <v>#N/A</v>
      </c>
      <c r="D1589" t="e">
        <f t="shared" si="24"/>
        <v>#N/A</v>
      </c>
    </row>
    <row r="1590" spans="1:4" x14ac:dyDescent="0.2">
      <c r="A1590">
        <f>'Fichas clínicas'!A1590</f>
        <v>1592</v>
      </c>
      <c r="B1590" t="str">
        <f>'Fichas clínicas'!B1590</f>
        <v>18775562-k</v>
      </c>
      <c r="C1590" t="e">
        <f>VLOOKUP(paciente_tutor!B1590,clientes!A1590:B3171,2,FALSE)</f>
        <v>#N/A</v>
      </c>
      <c r="D1590" t="e">
        <f t="shared" si="24"/>
        <v>#N/A</v>
      </c>
    </row>
    <row r="1591" spans="1:4" x14ac:dyDescent="0.2">
      <c r="A1591">
        <f>'Fichas clínicas'!A1591</f>
        <v>1593</v>
      </c>
      <c r="B1591" t="str">
        <f>'Fichas clínicas'!B1591</f>
        <v>20345654-9</v>
      </c>
      <c r="C1591" t="e">
        <f>VLOOKUP(paciente_tutor!B1591,clientes!A1591:B3172,2,FALSE)</f>
        <v>#N/A</v>
      </c>
      <c r="D1591" t="e">
        <f t="shared" si="24"/>
        <v>#N/A</v>
      </c>
    </row>
    <row r="1592" spans="1:4" x14ac:dyDescent="0.2">
      <c r="A1592">
        <f>'Fichas clínicas'!A1592</f>
        <v>1594</v>
      </c>
      <c r="B1592" t="str">
        <f>'Fichas clínicas'!B1592</f>
        <v>15759122-3</v>
      </c>
      <c r="C1592" t="e">
        <f>VLOOKUP(paciente_tutor!B1592,clientes!A1592:B3173,2,FALSE)</f>
        <v>#N/A</v>
      </c>
      <c r="D1592" t="e">
        <f t="shared" si="24"/>
        <v>#N/A</v>
      </c>
    </row>
    <row r="1593" spans="1:4" x14ac:dyDescent="0.2">
      <c r="A1593">
        <f>'Fichas clínicas'!A1593</f>
        <v>1595</v>
      </c>
      <c r="B1593" t="str">
        <f>'Fichas clínicas'!B1593</f>
        <v>18828552-k</v>
      </c>
      <c r="C1593" t="e">
        <f>VLOOKUP(paciente_tutor!B1593,clientes!A1593:B3174,2,FALSE)</f>
        <v>#N/A</v>
      </c>
      <c r="D1593" t="e">
        <f t="shared" si="24"/>
        <v>#N/A</v>
      </c>
    </row>
    <row r="1594" spans="1:4" x14ac:dyDescent="0.2">
      <c r="A1594">
        <f>'Fichas clínicas'!A1594</f>
        <v>1596</v>
      </c>
      <c r="B1594" t="str">
        <f>'Fichas clínicas'!B1594</f>
        <v>15552394-8</v>
      </c>
      <c r="C1594" t="e">
        <f>VLOOKUP(paciente_tutor!B1594,clientes!A1594:B3175,2,FALSE)</f>
        <v>#N/A</v>
      </c>
      <c r="D1594" t="e">
        <f t="shared" si="24"/>
        <v>#N/A</v>
      </c>
    </row>
    <row r="1595" spans="1:4" x14ac:dyDescent="0.2">
      <c r="A1595">
        <f>'Fichas clínicas'!A1595</f>
        <v>1597</v>
      </c>
      <c r="B1595" t="str">
        <f>'Fichas clínicas'!B1595</f>
        <v>15552394-8</v>
      </c>
      <c r="C1595" t="e">
        <f>VLOOKUP(paciente_tutor!B1595,clientes!A1595:B3176,2,FALSE)</f>
        <v>#N/A</v>
      </c>
      <c r="D1595" t="e">
        <f t="shared" si="24"/>
        <v>#N/A</v>
      </c>
    </row>
    <row r="1596" spans="1:4" x14ac:dyDescent="0.2">
      <c r="A1596">
        <f>'Fichas clínicas'!A1596</f>
        <v>1598</v>
      </c>
      <c r="B1596" t="str">
        <f>'Fichas clínicas'!B1596</f>
        <v>15552394-8</v>
      </c>
      <c r="C1596" t="e">
        <f>VLOOKUP(paciente_tutor!B1596,clientes!A1596:B3177,2,FALSE)</f>
        <v>#N/A</v>
      </c>
      <c r="D1596" t="e">
        <f t="shared" si="24"/>
        <v>#N/A</v>
      </c>
    </row>
    <row r="1597" spans="1:4" x14ac:dyDescent="0.2">
      <c r="A1597">
        <f>'Fichas clínicas'!A1597</f>
        <v>1599</v>
      </c>
      <c r="B1597" t="str">
        <f>'Fichas clínicas'!B1597</f>
        <v>15552394-8</v>
      </c>
      <c r="C1597" t="e">
        <f>VLOOKUP(paciente_tutor!B1597,clientes!A1597:B3178,2,FALSE)</f>
        <v>#N/A</v>
      </c>
      <c r="D1597" t="e">
        <f t="shared" si="24"/>
        <v>#N/A</v>
      </c>
    </row>
    <row r="1598" spans="1:4" x14ac:dyDescent="0.2">
      <c r="A1598">
        <f>'Fichas clínicas'!A1598</f>
        <v>1600</v>
      </c>
      <c r="B1598" t="str">
        <f>'Fichas clínicas'!B1598</f>
        <v>15552394-8</v>
      </c>
      <c r="C1598" t="e">
        <f>VLOOKUP(paciente_tutor!B1598,clientes!A1598:B3179,2,FALSE)</f>
        <v>#N/A</v>
      </c>
      <c r="D1598" t="e">
        <f t="shared" si="24"/>
        <v>#N/A</v>
      </c>
    </row>
    <row r="1599" spans="1:4" x14ac:dyDescent="0.2">
      <c r="A1599">
        <f>'Fichas clínicas'!A1599</f>
        <v>1601</v>
      </c>
      <c r="B1599" t="str">
        <f>'Fichas clínicas'!B1599</f>
        <v>15552394-8</v>
      </c>
      <c r="C1599" t="e">
        <f>VLOOKUP(paciente_tutor!B1599,clientes!A1599:B3180,2,FALSE)</f>
        <v>#N/A</v>
      </c>
      <c r="D1599" t="e">
        <f t="shared" si="24"/>
        <v>#N/A</v>
      </c>
    </row>
    <row r="1600" spans="1:4" x14ac:dyDescent="0.2">
      <c r="A1600">
        <f>'Fichas clínicas'!A1600</f>
        <v>1602</v>
      </c>
      <c r="B1600" t="str">
        <f>'Fichas clínicas'!B1600</f>
        <v>15552394-8</v>
      </c>
      <c r="C1600" t="e">
        <f>VLOOKUP(paciente_tutor!B1600,clientes!A1600:B3181,2,FALSE)</f>
        <v>#N/A</v>
      </c>
      <c r="D1600" t="e">
        <f t="shared" si="24"/>
        <v>#N/A</v>
      </c>
    </row>
    <row r="1601" spans="1:4" x14ac:dyDescent="0.2">
      <c r="A1601">
        <f>'Fichas clínicas'!A1601</f>
        <v>1603</v>
      </c>
      <c r="B1601" t="str">
        <f>'Fichas clínicas'!B1601</f>
        <v>15552394-8</v>
      </c>
      <c r="C1601" t="e">
        <f>VLOOKUP(paciente_tutor!B1601,clientes!A1601:B3182,2,FALSE)</f>
        <v>#N/A</v>
      </c>
      <c r="D1601" t="e">
        <f t="shared" si="24"/>
        <v>#N/A</v>
      </c>
    </row>
    <row r="1602" spans="1:4" x14ac:dyDescent="0.2">
      <c r="A1602">
        <f>'Fichas clínicas'!A1602</f>
        <v>1604</v>
      </c>
      <c r="B1602" t="str">
        <f>'Fichas clínicas'!B1602</f>
        <v>15552394-8</v>
      </c>
      <c r="C1602" t="e">
        <f>VLOOKUP(paciente_tutor!B1602,clientes!A1602:B3183,2,FALSE)</f>
        <v>#N/A</v>
      </c>
      <c r="D1602" t="e">
        <f t="shared" si="24"/>
        <v>#N/A</v>
      </c>
    </row>
    <row r="1603" spans="1:4" x14ac:dyDescent="0.2">
      <c r="A1603">
        <f>'Fichas clínicas'!A1603</f>
        <v>1605</v>
      </c>
      <c r="B1603" t="str">
        <f>'Fichas clínicas'!B1603</f>
        <v>21293105-5</v>
      </c>
      <c r="C1603" t="e">
        <f>VLOOKUP(paciente_tutor!B1603,clientes!A1603:B3184,2,FALSE)</f>
        <v>#N/A</v>
      </c>
      <c r="D1603" t="e">
        <f t="shared" ref="D1603:D1666" si="25">IF(C1603="#N/A","",B1603)</f>
        <v>#N/A</v>
      </c>
    </row>
    <row r="1604" spans="1:4" x14ac:dyDescent="0.2">
      <c r="A1604">
        <f>'Fichas clínicas'!A1604</f>
        <v>1606</v>
      </c>
      <c r="B1604" t="str">
        <f>'Fichas clínicas'!B1604</f>
        <v>18886337-k</v>
      </c>
      <c r="C1604" t="e">
        <f>VLOOKUP(paciente_tutor!B1604,clientes!A1604:B3185,2,FALSE)</f>
        <v>#N/A</v>
      </c>
      <c r="D1604" t="e">
        <f t="shared" si="25"/>
        <v>#N/A</v>
      </c>
    </row>
    <row r="1605" spans="1:4" x14ac:dyDescent="0.2">
      <c r="A1605">
        <f>'Fichas clínicas'!A1605</f>
        <v>1607</v>
      </c>
      <c r="B1605" t="str">
        <f>'Fichas clínicas'!B1605</f>
        <v>19942060-7</v>
      </c>
      <c r="C1605" t="e">
        <f>VLOOKUP(paciente_tutor!B1605,clientes!A1605:B3186,2,FALSE)</f>
        <v>#N/A</v>
      </c>
      <c r="D1605" t="e">
        <f t="shared" si="25"/>
        <v>#N/A</v>
      </c>
    </row>
    <row r="1606" spans="1:4" x14ac:dyDescent="0.2">
      <c r="A1606">
        <f>'Fichas clínicas'!A1606</f>
        <v>1608</v>
      </c>
      <c r="B1606" t="str">
        <f>'Fichas clínicas'!B1606</f>
        <v>16564231-7</v>
      </c>
      <c r="C1606" t="e">
        <f>VLOOKUP(paciente_tutor!B1606,clientes!A1606:B3187,2,FALSE)</f>
        <v>#N/A</v>
      </c>
      <c r="D1606" t="e">
        <f t="shared" si="25"/>
        <v>#N/A</v>
      </c>
    </row>
    <row r="1607" spans="1:4" x14ac:dyDescent="0.2">
      <c r="A1607">
        <f>'Fichas clínicas'!A1607</f>
        <v>1609</v>
      </c>
      <c r="B1607" t="str">
        <f>'Fichas clínicas'!B1607</f>
        <v>2235759-K</v>
      </c>
      <c r="C1607" t="e">
        <f>VLOOKUP(paciente_tutor!B1607,clientes!A1607:B3188,2,FALSE)</f>
        <v>#N/A</v>
      </c>
      <c r="D1607" t="e">
        <f t="shared" si="25"/>
        <v>#N/A</v>
      </c>
    </row>
    <row r="1608" spans="1:4" x14ac:dyDescent="0.2">
      <c r="A1608">
        <f>'Fichas clínicas'!A1608</f>
        <v>1610</v>
      </c>
      <c r="B1608" t="str">
        <f>'Fichas clínicas'!B1608</f>
        <v>16137592-6</v>
      </c>
      <c r="C1608" t="e">
        <f>VLOOKUP(paciente_tutor!B1608,clientes!A1608:B3189,2,FALSE)</f>
        <v>#N/A</v>
      </c>
      <c r="D1608" t="e">
        <f t="shared" si="25"/>
        <v>#N/A</v>
      </c>
    </row>
    <row r="1609" spans="1:4" x14ac:dyDescent="0.2">
      <c r="A1609">
        <f>'Fichas clínicas'!A1609</f>
        <v>1611</v>
      </c>
      <c r="B1609" t="str">
        <f>'Fichas clínicas'!B1609</f>
        <v>22017875-7</v>
      </c>
      <c r="C1609" t="e">
        <f>VLOOKUP(paciente_tutor!B1609,clientes!A1609:B3190,2,FALSE)</f>
        <v>#N/A</v>
      </c>
      <c r="D1609" t="e">
        <f t="shared" si="25"/>
        <v>#N/A</v>
      </c>
    </row>
    <row r="1610" spans="1:4" x14ac:dyDescent="0.2">
      <c r="A1610">
        <f>'Fichas clínicas'!A1610</f>
        <v>1612</v>
      </c>
      <c r="B1610" t="str">
        <f>'Fichas clínicas'!B1610</f>
        <v>16464239-9</v>
      </c>
      <c r="C1610" t="e">
        <f>VLOOKUP(paciente_tutor!B1610,clientes!A1610:B3191,2,FALSE)</f>
        <v>#N/A</v>
      </c>
      <c r="D1610" t="e">
        <f t="shared" si="25"/>
        <v>#N/A</v>
      </c>
    </row>
    <row r="1611" spans="1:4" x14ac:dyDescent="0.2">
      <c r="A1611">
        <f>'Fichas clínicas'!A1611</f>
        <v>1613</v>
      </c>
      <c r="B1611" t="str">
        <f>'Fichas clínicas'!B1611</f>
        <v>18288728-5</v>
      </c>
      <c r="C1611" t="e">
        <f>VLOOKUP(paciente_tutor!B1611,clientes!A1611:B3192,2,FALSE)</f>
        <v>#N/A</v>
      </c>
      <c r="D1611" t="e">
        <f t="shared" si="25"/>
        <v>#N/A</v>
      </c>
    </row>
    <row r="1612" spans="1:4" x14ac:dyDescent="0.2">
      <c r="A1612">
        <f>'Fichas clínicas'!A1612</f>
        <v>1614</v>
      </c>
      <c r="B1612" t="str">
        <f>'Fichas clínicas'!B1612</f>
        <v>18776549-8</v>
      </c>
      <c r="C1612" t="e">
        <f>VLOOKUP(paciente_tutor!B1612,clientes!A1612:B3193,2,FALSE)</f>
        <v>#N/A</v>
      </c>
      <c r="D1612" t="e">
        <f t="shared" si="25"/>
        <v>#N/A</v>
      </c>
    </row>
    <row r="1613" spans="1:4" x14ac:dyDescent="0.2">
      <c r="A1613">
        <f>'Fichas clínicas'!A1613</f>
        <v>1615</v>
      </c>
      <c r="B1613" t="str">
        <f>'Fichas clínicas'!B1613</f>
        <v>18776549-8</v>
      </c>
      <c r="C1613" t="e">
        <f>VLOOKUP(paciente_tutor!B1613,clientes!A1613:B3194,2,FALSE)</f>
        <v>#N/A</v>
      </c>
      <c r="D1613" t="e">
        <f t="shared" si="25"/>
        <v>#N/A</v>
      </c>
    </row>
    <row r="1614" spans="1:4" x14ac:dyDescent="0.2">
      <c r="A1614">
        <f>'Fichas clínicas'!A1614</f>
        <v>1616</v>
      </c>
      <c r="B1614" t="str">
        <f>'Fichas clínicas'!B1614</f>
        <v>17694156-1</v>
      </c>
      <c r="C1614" t="e">
        <f>VLOOKUP(paciente_tutor!B1614,clientes!A1614:B3195,2,FALSE)</f>
        <v>#N/A</v>
      </c>
      <c r="D1614" t="e">
        <f t="shared" si="25"/>
        <v>#N/A</v>
      </c>
    </row>
    <row r="1615" spans="1:4" x14ac:dyDescent="0.2">
      <c r="A1615">
        <f>'Fichas clínicas'!A1615</f>
        <v>1617</v>
      </c>
      <c r="B1615" t="str">
        <f>'Fichas clínicas'!B1615</f>
        <v>18887408-8</v>
      </c>
      <c r="C1615" t="e">
        <f>VLOOKUP(paciente_tutor!B1615,clientes!A1615:B3196,2,FALSE)</f>
        <v>#N/A</v>
      </c>
      <c r="D1615" t="e">
        <f t="shared" si="25"/>
        <v>#N/A</v>
      </c>
    </row>
    <row r="1616" spans="1:4" x14ac:dyDescent="0.2">
      <c r="A1616">
        <f>'Fichas clínicas'!A1616</f>
        <v>1618</v>
      </c>
      <c r="B1616" t="str">
        <f>'Fichas clínicas'!B1616</f>
        <v>15883806-0</v>
      </c>
      <c r="C1616" t="e">
        <f>VLOOKUP(paciente_tutor!B1616,clientes!A1616:B3197,2,FALSE)</f>
        <v>#N/A</v>
      </c>
      <c r="D1616" t="e">
        <f t="shared" si="25"/>
        <v>#N/A</v>
      </c>
    </row>
    <row r="1617" spans="1:4" x14ac:dyDescent="0.2">
      <c r="A1617">
        <f>'Fichas clínicas'!A1617</f>
        <v>1619</v>
      </c>
      <c r="B1617" t="str">
        <f>'Fichas clínicas'!B1617</f>
        <v>20134631-2</v>
      </c>
      <c r="C1617" t="e">
        <f>VLOOKUP(paciente_tutor!B1617,clientes!A1617:B3198,2,FALSE)</f>
        <v>#N/A</v>
      </c>
      <c r="D1617" t="e">
        <f t="shared" si="25"/>
        <v>#N/A</v>
      </c>
    </row>
    <row r="1618" spans="1:4" x14ac:dyDescent="0.2">
      <c r="A1618">
        <f>'Fichas clínicas'!A1618</f>
        <v>1620</v>
      </c>
      <c r="B1618" t="str">
        <f>'Fichas clínicas'!B1618</f>
        <v>11063854-k</v>
      </c>
      <c r="C1618" t="e">
        <f>VLOOKUP(paciente_tutor!B1618,clientes!A1618:B3199,2,FALSE)</f>
        <v>#N/A</v>
      </c>
      <c r="D1618" t="e">
        <f t="shared" si="25"/>
        <v>#N/A</v>
      </c>
    </row>
    <row r="1619" spans="1:4" x14ac:dyDescent="0.2">
      <c r="A1619">
        <f>'Fichas clínicas'!A1619</f>
        <v>1621</v>
      </c>
      <c r="B1619" t="str">
        <f>'Fichas clínicas'!B1619</f>
        <v>11315566-3</v>
      </c>
      <c r="C1619" t="e">
        <f>VLOOKUP(paciente_tutor!B1619,clientes!A1619:B3200,2,FALSE)</f>
        <v>#N/A</v>
      </c>
      <c r="D1619" t="e">
        <f t="shared" si="25"/>
        <v>#N/A</v>
      </c>
    </row>
    <row r="1620" spans="1:4" x14ac:dyDescent="0.2">
      <c r="A1620">
        <f>'Fichas clínicas'!A1620</f>
        <v>1622</v>
      </c>
      <c r="B1620" t="str">
        <f>'Fichas clínicas'!B1620</f>
        <v>18590855-0</v>
      </c>
      <c r="C1620" t="e">
        <f>VLOOKUP(paciente_tutor!B1620,clientes!A1620:B3201,2,FALSE)</f>
        <v>#N/A</v>
      </c>
      <c r="D1620" t="e">
        <f t="shared" si="25"/>
        <v>#N/A</v>
      </c>
    </row>
    <row r="1621" spans="1:4" x14ac:dyDescent="0.2">
      <c r="A1621">
        <f>'Fichas clínicas'!A1621</f>
        <v>1623</v>
      </c>
      <c r="B1621" t="str">
        <f>'Fichas clínicas'!B1621</f>
        <v>13587806-5</v>
      </c>
      <c r="C1621" t="e">
        <f>VLOOKUP(paciente_tutor!B1621,clientes!A1621:B3202,2,FALSE)</f>
        <v>#N/A</v>
      </c>
      <c r="D1621" t="e">
        <f t="shared" si="25"/>
        <v>#N/A</v>
      </c>
    </row>
    <row r="1622" spans="1:4" x14ac:dyDescent="0.2">
      <c r="A1622">
        <f>'Fichas clínicas'!A1622</f>
        <v>1624</v>
      </c>
      <c r="B1622" t="str">
        <f>'Fichas clínicas'!B1622</f>
        <v>21218844-1</v>
      </c>
      <c r="C1622" t="e">
        <f>VLOOKUP(paciente_tutor!B1622,clientes!A1622:B3203,2,FALSE)</f>
        <v>#N/A</v>
      </c>
      <c r="D1622" t="e">
        <f t="shared" si="25"/>
        <v>#N/A</v>
      </c>
    </row>
    <row r="1623" spans="1:4" x14ac:dyDescent="0.2">
      <c r="A1623">
        <f>'Fichas clínicas'!A1623</f>
        <v>1625</v>
      </c>
      <c r="B1623" t="str">
        <f>'Fichas clínicas'!B1623</f>
        <v>19248526-6</v>
      </c>
      <c r="C1623" t="e">
        <f>VLOOKUP(paciente_tutor!B1623,clientes!A1623:B3204,2,FALSE)</f>
        <v>#N/A</v>
      </c>
      <c r="D1623" t="e">
        <f t="shared" si="25"/>
        <v>#N/A</v>
      </c>
    </row>
    <row r="1624" spans="1:4" x14ac:dyDescent="0.2">
      <c r="A1624">
        <f>'Fichas clínicas'!A1624</f>
        <v>1626</v>
      </c>
      <c r="B1624" t="str">
        <f>'Fichas clínicas'!B1624</f>
        <v>13609436-k</v>
      </c>
      <c r="C1624" t="e">
        <f>VLOOKUP(paciente_tutor!B1624,clientes!A1624:B3205,2,FALSE)</f>
        <v>#N/A</v>
      </c>
      <c r="D1624" t="e">
        <f t="shared" si="25"/>
        <v>#N/A</v>
      </c>
    </row>
    <row r="1625" spans="1:4" x14ac:dyDescent="0.2">
      <c r="A1625">
        <f>'Fichas clínicas'!A1625</f>
        <v>1627</v>
      </c>
      <c r="B1625" t="str">
        <f>'Fichas clínicas'!B1625</f>
        <v>21063884-9</v>
      </c>
      <c r="C1625" t="e">
        <f>VLOOKUP(paciente_tutor!B1625,clientes!A1625:B3206,2,FALSE)</f>
        <v>#N/A</v>
      </c>
      <c r="D1625" t="e">
        <f t="shared" si="25"/>
        <v>#N/A</v>
      </c>
    </row>
    <row r="1626" spans="1:4" x14ac:dyDescent="0.2">
      <c r="A1626">
        <f>'Fichas clínicas'!A1626</f>
        <v>1628</v>
      </c>
      <c r="B1626" t="str">
        <f>'Fichas clínicas'!B1626</f>
        <v>20314094-0</v>
      </c>
      <c r="C1626" t="e">
        <f>VLOOKUP(paciente_tutor!B1626,clientes!A1626:B3207,2,FALSE)</f>
        <v>#N/A</v>
      </c>
      <c r="D1626" t="e">
        <f t="shared" si="25"/>
        <v>#N/A</v>
      </c>
    </row>
    <row r="1627" spans="1:4" x14ac:dyDescent="0.2">
      <c r="A1627">
        <f>'Fichas clínicas'!A1627</f>
        <v>1629</v>
      </c>
      <c r="B1627" t="str">
        <f>'Fichas clínicas'!B1627</f>
        <v>16564420-4</v>
      </c>
      <c r="C1627" t="e">
        <f>VLOOKUP(paciente_tutor!B1627,clientes!A1627:B3208,2,FALSE)</f>
        <v>#N/A</v>
      </c>
      <c r="D1627" t="e">
        <f t="shared" si="25"/>
        <v>#N/A</v>
      </c>
    </row>
    <row r="1628" spans="1:4" x14ac:dyDescent="0.2">
      <c r="A1628">
        <f>'Fichas clínicas'!A1628</f>
        <v>1630</v>
      </c>
      <c r="B1628" t="str">
        <f>'Fichas clínicas'!B1628</f>
        <v>15299775-2</v>
      </c>
      <c r="C1628" t="e">
        <f>VLOOKUP(paciente_tutor!B1628,clientes!A1628:B3209,2,FALSE)</f>
        <v>#N/A</v>
      </c>
      <c r="D1628" t="e">
        <f t="shared" si="25"/>
        <v>#N/A</v>
      </c>
    </row>
    <row r="1629" spans="1:4" x14ac:dyDescent="0.2">
      <c r="A1629">
        <f>'Fichas clínicas'!A1629</f>
        <v>1631</v>
      </c>
      <c r="B1629" t="str">
        <f>'Fichas clínicas'!B1629</f>
        <v>21888021-5</v>
      </c>
      <c r="C1629" t="e">
        <f>VLOOKUP(paciente_tutor!B1629,clientes!A1629:B3210,2,FALSE)</f>
        <v>#N/A</v>
      </c>
      <c r="D1629" t="e">
        <f t="shared" si="25"/>
        <v>#N/A</v>
      </c>
    </row>
    <row r="1630" spans="1:4" x14ac:dyDescent="0.2">
      <c r="A1630">
        <f>'Fichas clínicas'!A1630</f>
        <v>1632</v>
      </c>
      <c r="B1630" t="str">
        <f>'Fichas clínicas'!B1630</f>
        <v>14518894-6</v>
      </c>
      <c r="C1630" t="e">
        <f>VLOOKUP(paciente_tutor!B1630,clientes!A1630:B3211,2,FALSE)</f>
        <v>#N/A</v>
      </c>
      <c r="D1630" t="e">
        <f t="shared" si="25"/>
        <v>#N/A</v>
      </c>
    </row>
    <row r="1631" spans="1:4" x14ac:dyDescent="0.2">
      <c r="A1631">
        <f>'Fichas clínicas'!A1631</f>
        <v>1633</v>
      </c>
      <c r="B1631" t="str">
        <f>'Fichas clínicas'!B1631</f>
        <v>18623778-1</v>
      </c>
      <c r="C1631" t="e">
        <f>VLOOKUP(paciente_tutor!B1631,clientes!A1631:B3212,2,FALSE)</f>
        <v>#N/A</v>
      </c>
      <c r="D1631" t="e">
        <f t="shared" si="25"/>
        <v>#N/A</v>
      </c>
    </row>
    <row r="1632" spans="1:4" x14ac:dyDescent="0.2">
      <c r="A1632">
        <f>'Fichas clínicas'!A1632</f>
        <v>1634</v>
      </c>
      <c r="B1632" t="str">
        <f>'Fichas clínicas'!B1632</f>
        <v>20047081-8</v>
      </c>
      <c r="C1632" t="e">
        <f>VLOOKUP(paciente_tutor!B1632,clientes!A1632:B3213,2,FALSE)</f>
        <v>#N/A</v>
      </c>
      <c r="D1632" t="e">
        <f t="shared" si="25"/>
        <v>#N/A</v>
      </c>
    </row>
    <row r="1633" spans="1:4" x14ac:dyDescent="0.2">
      <c r="A1633">
        <f>'Fichas clínicas'!A1633</f>
        <v>1635</v>
      </c>
      <c r="B1633" t="str">
        <f>'Fichas clínicas'!B1633</f>
        <v>9655291-2</v>
      </c>
      <c r="C1633" t="e">
        <f>VLOOKUP(paciente_tutor!B1633,clientes!A1633:B3214,2,FALSE)</f>
        <v>#N/A</v>
      </c>
      <c r="D1633" t="e">
        <f t="shared" si="25"/>
        <v>#N/A</v>
      </c>
    </row>
    <row r="1634" spans="1:4" x14ac:dyDescent="0.2">
      <c r="A1634">
        <f>'Fichas clínicas'!A1634</f>
        <v>1636</v>
      </c>
      <c r="B1634" t="str">
        <f>'Fichas clínicas'!B1634</f>
        <v>15261766-6</v>
      </c>
      <c r="C1634" t="e">
        <f>VLOOKUP(paciente_tutor!B1634,clientes!A1634:B3215,2,FALSE)</f>
        <v>#N/A</v>
      </c>
      <c r="D1634" t="e">
        <f t="shared" si="25"/>
        <v>#N/A</v>
      </c>
    </row>
    <row r="1635" spans="1:4" x14ac:dyDescent="0.2">
      <c r="A1635">
        <f>'Fichas clínicas'!A1635</f>
        <v>1637</v>
      </c>
      <c r="B1635" t="str">
        <f>'Fichas clínicas'!B1635</f>
        <v>19250027-3</v>
      </c>
      <c r="C1635" t="e">
        <f>VLOOKUP(paciente_tutor!B1635,clientes!A1635:B3216,2,FALSE)</f>
        <v>#N/A</v>
      </c>
      <c r="D1635" t="e">
        <f t="shared" si="25"/>
        <v>#N/A</v>
      </c>
    </row>
    <row r="1636" spans="1:4" x14ac:dyDescent="0.2">
      <c r="A1636">
        <f>'Fichas clínicas'!A1636</f>
        <v>1638</v>
      </c>
      <c r="B1636" t="str">
        <f>'Fichas clínicas'!B1636</f>
        <v>20556565-5</v>
      </c>
      <c r="C1636" t="e">
        <f>VLOOKUP(paciente_tutor!B1636,clientes!A1636:B3217,2,FALSE)</f>
        <v>#N/A</v>
      </c>
      <c r="D1636" t="e">
        <f t="shared" si="25"/>
        <v>#N/A</v>
      </c>
    </row>
    <row r="1637" spans="1:4" x14ac:dyDescent="0.2">
      <c r="A1637">
        <f>'Fichas clínicas'!A1637</f>
        <v>1639</v>
      </c>
      <c r="B1637" t="str">
        <f>'Fichas clínicas'!B1637</f>
        <v>13846904-2</v>
      </c>
      <c r="C1637" t="e">
        <f>VLOOKUP(paciente_tutor!B1637,clientes!A1637:B3218,2,FALSE)</f>
        <v>#N/A</v>
      </c>
      <c r="D1637" t="e">
        <f t="shared" si="25"/>
        <v>#N/A</v>
      </c>
    </row>
    <row r="1638" spans="1:4" x14ac:dyDescent="0.2">
      <c r="A1638">
        <f>'Fichas clínicas'!A1638</f>
        <v>1640</v>
      </c>
      <c r="B1638" t="str">
        <f>'Fichas clínicas'!B1638</f>
        <v>19545858-8</v>
      </c>
      <c r="C1638" t="e">
        <f>VLOOKUP(paciente_tutor!B1638,clientes!A1638:B3219,2,FALSE)</f>
        <v>#N/A</v>
      </c>
      <c r="D1638" t="e">
        <f t="shared" si="25"/>
        <v>#N/A</v>
      </c>
    </row>
    <row r="1639" spans="1:4" x14ac:dyDescent="0.2">
      <c r="A1639">
        <f>'Fichas clínicas'!A1639</f>
        <v>1641</v>
      </c>
      <c r="B1639" t="str">
        <f>'Fichas clínicas'!B1639</f>
        <v>19465232-1</v>
      </c>
      <c r="C1639" t="e">
        <f>VLOOKUP(paciente_tutor!B1639,clientes!A1639:B3220,2,FALSE)</f>
        <v>#N/A</v>
      </c>
      <c r="D1639" t="e">
        <f t="shared" si="25"/>
        <v>#N/A</v>
      </c>
    </row>
    <row r="1640" spans="1:4" x14ac:dyDescent="0.2">
      <c r="A1640">
        <f>'Fichas clínicas'!A1640</f>
        <v>1642</v>
      </c>
      <c r="B1640" t="str">
        <f>'Fichas clínicas'!B1640</f>
        <v>19465232-1</v>
      </c>
      <c r="C1640" t="e">
        <f>VLOOKUP(paciente_tutor!B1640,clientes!A1640:B3221,2,FALSE)</f>
        <v>#N/A</v>
      </c>
      <c r="D1640" t="e">
        <f t="shared" si="25"/>
        <v>#N/A</v>
      </c>
    </row>
    <row r="1641" spans="1:4" x14ac:dyDescent="0.2">
      <c r="A1641">
        <f>'Fichas clínicas'!A1641</f>
        <v>1643</v>
      </c>
      <c r="B1641" t="str">
        <f>'Fichas clínicas'!B1641</f>
        <v>12748158-k</v>
      </c>
      <c r="C1641" t="e">
        <f>VLOOKUP(paciente_tutor!B1641,clientes!A1641:B3222,2,FALSE)</f>
        <v>#N/A</v>
      </c>
      <c r="D1641" t="e">
        <f t="shared" si="25"/>
        <v>#N/A</v>
      </c>
    </row>
    <row r="1642" spans="1:4" x14ac:dyDescent="0.2">
      <c r="A1642">
        <f>'Fichas clínicas'!A1642</f>
        <v>1644</v>
      </c>
      <c r="B1642" t="str">
        <f>'Fichas clínicas'!B1642</f>
        <v>15262584-7</v>
      </c>
      <c r="C1642" t="e">
        <f>VLOOKUP(paciente_tutor!B1642,clientes!A1642:B3223,2,FALSE)</f>
        <v>#N/A</v>
      </c>
      <c r="D1642" t="e">
        <f t="shared" si="25"/>
        <v>#N/A</v>
      </c>
    </row>
    <row r="1643" spans="1:4" x14ac:dyDescent="0.2">
      <c r="A1643">
        <f>'Fichas clínicas'!A1643</f>
        <v>1645</v>
      </c>
      <c r="B1643" t="str">
        <f>'Fichas clínicas'!B1643</f>
        <v>18623778-1</v>
      </c>
      <c r="C1643" t="e">
        <f>VLOOKUP(paciente_tutor!B1643,clientes!A1643:B3224,2,FALSE)</f>
        <v>#N/A</v>
      </c>
      <c r="D1643" t="e">
        <f t="shared" si="25"/>
        <v>#N/A</v>
      </c>
    </row>
    <row r="1644" spans="1:4" x14ac:dyDescent="0.2">
      <c r="A1644">
        <f>'Fichas clínicas'!A1644</f>
        <v>1646</v>
      </c>
      <c r="B1644" t="str">
        <f>'Fichas clínicas'!B1644</f>
        <v>12749567-K</v>
      </c>
      <c r="C1644" t="e">
        <f>VLOOKUP(paciente_tutor!B1644,clientes!A1644:B3225,2,FALSE)</f>
        <v>#N/A</v>
      </c>
      <c r="D1644" t="e">
        <f t="shared" si="25"/>
        <v>#N/A</v>
      </c>
    </row>
    <row r="1645" spans="1:4" x14ac:dyDescent="0.2">
      <c r="A1645">
        <f>'Fichas clínicas'!A1645</f>
        <v>1647</v>
      </c>
      <c r="B1645" t="str">
        <f>'Fichas clínicas'!B1645</f>
        <v>6124191-4</v>
      </c>
      <c r="C1645" t="e">
        <f>VLOOKUP(paciente_tutor!B1645,clientes!A1645:B3226,2,FALSE)</f>
        <v>#N/A</v>
      </c>
      <c r="D1645" t="e">
        <f t="shared" si="25"/>
        <v>#N/A</v>
      </c>
    </row>
    <row r="1646" spans="1:4" x14ac:dyDescent="0.2">
      <c r="A1646">
        <f>'Fichas clínicas'!A1646</f>
        <v>1648</v>
      </c>
      <c r="B1646" t="str">
        <f>'Fichas clínicas'!B1646</f>
        <v>13816125-0</v>
      </c>
      <c r="C1646" t="e">
        <f>VLOOKUP(paciente_tutor!B1646,clientes!A1646:B3227,2,FALSE)</f>
        <v>#N/A</v>
      </c>
      <c r="D1646" t="e">
        <f t="shared" si="25"/>
        <v>#N/A</v>
      </c>
    </row>
    <row r="1647" spans="1:4" x14ac:dyDescent="0.2">
      <c r="A1647">
        <f>'Fichas clínicas'!A1647</f>
        <v>1649</v>
      </c>
      <c r="B1647" t="str">
        <f>'Fichas clínicas'!B1647</f>
        <v>12339440-2</v>
      </c>
      <c r="C1647" t="e">
        <f>VLOOKUP(paciente_tutor!B1647,clientes!A1647:B3228,2,FALSE)</f>
        <v>#N/A</v>
      </c>
      <c r="D1647" t="e">
        <f t="shared" si="25"/>
        <v>#N/A</v>
      </c>
    </row>
    <row r="1648" spans="1:4" x14ac:dyDescent="0.2">
      <c r="A1648">
        <f>'Fichas clínicas'!A1648</f>
        <v>1650</v>
      </c>
      <c r="B1648" t="str">
        <f>'Fichas clínicas'!B1648</f>
        <v>20160315-3</v>
      </c>
      <c r="C1648" t="e">
        <f>VLOOKUP(paciente_tutor!B1648,clientes!A1648:B3229,2,FALSE)</f>
        <v>#N/A</v>
      </c>
      <c r="D1648" t="e">
        <f t="shared" si="25"/>
        <v>#N/A</v>
      </c>
    </row>
    <row r="1649" spans="1:4" x14ac:dyDescent="0.2">
      <c r="A1649">
        <f>'Fichas clínicas'!A1649</f>
        <v>1651</v>
      </c>
      <c r="B1649" t="str">
        <f>'Fichas clínicas'!B1649</f>
        <v>16564515-4</v>
      </c>
      <c r="C1649" t="e">
        <f>VLOOKUP(paciente_tutor!B1649,clientes!A1649:B3230,2,FALSE)</f>
        <v>#N/A</v>
      </c>
      <c r="D1649" t="e">
        <f t="shared" si="25"/>
        <v>#N/A</v>
      </c>
    </row>
    <row r="1650" spans="1:4" x14ac:dyDescent="0.2">
      <c r="A1650">
        <f>'Fichas clínicas'!A1650</f>
        <v>1652</v>
      </c>
      <c r="B1650" t="str">
        <f>'Fichas clínicas'!B1650</f>
        <v>11425083-k</v>
      </c>
      <c r="C1650" t="e">
        <f>VLOOKUP(paciente_tutor!B1650,clientes!A1650:B3231,2,FALSE)</f>
        <v>#N/A</v>
      </c>
      <c r="D1650" t="e">
        <f t="shared" si="25"/>
        <v>#N/A</v>
      </c>
    </row>
    <row r="1651" spans="1:4" x14ac:dyDescent="0.2">
      <c r="A1651">
        <f>'Fichas clínicas'!A1651</f>
        <v>1653</v>
      </c>
      <c r="B1651" t="str">
        <f>'Fichas clínicas'!B1651</f>
        <v>19877725-0</v>
      </c>
      <c r="C1651" t="e">
        <f>VLOOKUP(paciente_tutor!B1651,clientes!A1651:B3232,2,FALSE)</f>
        <v>#N/A</v>
      </c>
      <c r="D1651" t="e">
        <f t="shared" si="25"/>
        <v>#N/A</v>
      </c>
    </row>
    <row r="1652" spans="1:4" x14ac:dyDescent="0.2">
      <c r="A1652">
        <f>'Fichas clínicas'!A1652</f>
        <v>1654</v>
      </c>
      <c r="B1652" t="str">
        <f>'Fichas clínicas'!B1652</f>
        <v>19877725-0</v>
      </c>
      <c r="C1652" t="e">
        <f>VLOOKUP(paciente_tutor!B1652,clientes!A1652:B3233,2,FALSE)</f>
        <v>#N/A</v>
      </c>
      <c r="D1652" t="e">
        <f t="shared" si="25"/>
        <v>#N/A</v>
      </c>
    </row>
    <row r="1653" spans="1:4" x14ac:dyDescent="0.2">
      <c r="A1653">
        <f>'Fichas clínicas'!A1653</f>
        <v>1655</v>
      </c>
      <c r="B1653" t="str">
        <f>'Fichas clínicas'!B1653</f>
        <v>20625554-4</v>
      </c>
      <c r="C1653" t="e">
        <f>VLOOKUP(paciente_tutor!B1653,clientes!A1653:B3234,2,FALSE)</f>
        <v>#N/A</v>
      </c>
      <c r="D1653" t="e">
        <f t="shared" si="25"/>
        <v>#N/A</v>
      </c>
    </row>
    <row r="1654" spans="1:4" x14ac:dyDescent="0.2">
      <c r="A1654">
        <f>'Fichas clínicas'!A1654</f>
        <v>1656</v>
      </c>
      <c r="B1654" t="str">
        <f>'Fichas clínicas'!B1654</f>
        <v>17653651-9</v>
      </c>
      <c r="C1654" t="e">
        <f>VLOOKUP(paciente_tutor!B1654,clientes!A1654:B3235,2,FALSE)</f>
        <v>#N/A</v>
      </c>
      <c r="D1654" t="e">
        <f t="shared" si="25"/>
        <v>#N/A</v>
      </c>
    </row>
    <row r="1655" spans="1:4" x14ac:dyDescent="0.2">
      <c r="A1655">
        <f>'Fichas clínicas'!A1655</f>
        <v>1657</v>
      </c>
      <c r="B1655" t="str">
        <f>'Fichas clínicas'!B1655</f>
        <v>12748739-1</v>
      </c>
      <c r="C1655" t="e">
        <f>VLOOKUP(paciente_tutor!B1655,clientes!A1655:B3236,2,FALSE)</f>
        <v>#N/A</v>
      </c>
      <c r="D1655" t="e">
        <f t="shared" si="25"/>
        <v>#N/A</v>
      </c>
    </row>
    <row r="1656" spans="1:4" x14ac:dyDescent="0.2">
      <c r="A1656">
        <f>'Fichas clínicas'!A1656</f>
        <v>1658</v>
      </c>
      <c r="B1656" t="str">
        <f>'Fichas clínicas'!B1656</f>
        <v>18623778-1</v>
      </c>
      <c r="C1656" t="e">
        <f>VLOOKUP(paciente_tutor!B1656,clientes!A1656:B3237,2,FALSE)</f>
        <v>#N/A</v>
      </c>
      <c r="D1656" t="e">
        <f t="shared" si="25"/>
        <v>#N/A</v>
      </c>
    </row>
    <row r="1657" spans="1:4" x14ac:dyDescent="0.2">
      <c r="A1657">
        <f>'Fichas clínicas'!A1657</f>
        <v>1659</v>
      </c>
      <c r="B1657" t="str">
        <f>'Fichas clínicas'!B1657</f>
        <v>15159293-7</v>
      </c>
      <c r="C1657" t="e">
        <f>VLOOKUP(paciente_tutor!B1657,clientes!A1657:B3238,2,FALSE)</f>
        <v>#N/A</v>
      </c>
      <c r="D1657" t="e">
        <f t="shared" si="25"/>
        <v>#N/A</v>
      </c>
    </row>
    <row r="1658" spans="1:4" x14ac:dyDescent="0.2">
      <c r="A1658">
        <f>'Fichas clínicas'!A1658</f>
        <v>1660</v>
      </c>
      <c r="B1658" t="str">
        <f>'Fichas clínicas'!B1658</f>
        <v>19555041-7</v>
      </c>
      <c r="C1658" t="e">
        <f>VLOOKUP(paciente_tutor!B1658,clientes!A1658:B3239,2,FALSE)</f>
        <v>#N/A</v>
      </c>
      <c r="D1658" t="e">
        <f t="shared" si="25"/>
        <v>#N/A</v>
      </c>
    </row>
    <row r="1659" spans="1:4" x14ac:dyDescent="0.2">
      <c r="A1659">
        <f>'Fichas clínicas'!A1659</f>
        <v>1661</v>
      </c>
      <c r="B1659" t="str">
        <f>'Fichas clínicas'!B1659</f>
        <v>20235269-3</v>
      </c>
      <c r="C1659" t="e">
        <f>VLOOKUP(paciente_tutor!B1659,clientes!A1659:B3240,2,FALSE)</f>
        <v>#N/A</v>
      </c>
      <c r="D1659" t="e">
        <f t="shared" si="25"/>
        <v>#N/A</v>
      </c>
    </row>
    <row r="1660" spans="1:4" x14ac:dyDescent="0.2">
      <c r="A1660">
        <f>'Fichas clínicas'!A1660</f>
        <v>1662</v>
      </c>
      <c r="B1660" t="str">
        <f>'Fichas clínicas'!B1660</f>
        <v>18173474-4</v>
      </c>
      <c r="C1660" t="e">
        <f>VLOOKUP(paciente_tutor!B1660,clientes!A1660:B3241,2,FALSE)</f>
        <v>#N/A</v>
      </c>
      <c r="D1660" t="e">
        <f t="shared" si="25"/>
        <v>#N/A</v>
      </c>
    </row>
    <row r="1661" spans="1:4" x14ac:dyDescent="0.2">
      <c r="A1661">
        <f>'Fichas clínicas'!A1661</f>
        <v>1663</v>
      </c>
      <c r="B1661" t="str">
        <f>'Fichas clínicas'!B1661</f>
        <v>21022486-6</v>
      </c>
      <c r="C1661" t="e">
        <f>VLOOKUP(paciente_tutor!B1661,clientes!A1661:B3242,2,FALSE)</f>
        <v>#N/A</v>
      </c>
      <c r="D1661" t="e">
        <f t="shared" si="25"/>
        <v>#N/A</v>
      </c>
    </row>
    <row r="1662" spans="1:4" x14ac:dyDescent="0.2">
      <c r="A1662">
        <f>'Fichas clínicas'!A1662</f>
        <v>1664</v>
      </c>
      <c r="B1662" t="str">
        <f>'Fichas clínicas'!B1662</f>
        <v>10779999-0</v>
      </c>
      <c r="C1662" t="e">
        <f>VLOOKUP(paciente_tutor!B1662,clientes!A1662:B3243,2,FALSE)</f>
        <v>#N/A</v>
      </c>
      <c r="D1662" t="e">
        <f t="shared" si="25"/>
        <v>#N/A</v>
      </c>
    </row>
    <row r="1663" spans="1:4" x14ac:dyDescent="0.2">
      <c r="A1663">
        <f>'Fichas clínicas'!A1663</f>
        <v>1665</v>
      </c>
      <c r="B1663" t="str">
        <f>'Fichas clínicas'!B1663</f>
        <v>17963690-5</v>
      </c>
      <c r="C1663" t="e">
        <f>VLOOKUP(paciente_tutor!B1663,clientes!A1663:B3244,2,FALSE)</f>
        <v>#N/A</v>
      </c>
      <c r="D1663" t="e">
        <f t="shared" si="25"/>
        <v>#N/A</v>
      </c>
    </row>
    <row r="1664" spans="1:4" x14ac:dyDescent="0.2">
      <c r="A1664">
        <f>'Fichas clínicas'!A1664</f>
        <v>1666</v>
      </c>
      <c r="B1664" t="str">
        <f>'Fichas clínicas'!B1664</f>
        <v>18887408-8</v>
      </c>
      <c r="C1664" t="e">
        <f>VLOOKUP(paciente_tutor!B1664,clientes!A1664:B3245,2,FALSE)</f>
        <v>#N/A</v>
      </c>
      <c r="D1664" t="e">
        <f t="shared" si="25"/>
        <v>#N/A</v>
      </c>
    </row>
    <row r="1665" spans="1:4" x14ac:dyDescent="0.2">
      <c r="A1665">
        <f>'Fichas clínicas'!A1665</f>
        <v>1667</v>
      </c>
      <c r="B1665" t="str">
        <f>'Fichas clínicas'!B1665</f>
        <v>19633248-0</v>
      </c>
      <c r="C1665" t="e">
        <f>VLOOKUP(paciente_tutor!B1665,clientes!A1665:B3246,2,FALSE)</f>
        <v>#N/A</v>
      </c>
      <c r="D1665" t="e">
        <f t="shared" si="25"/>
        <v>#N/A</v>
      </c>
    </row>
    <row r="1666" spans="1:4" x14ac:dyDescent="0.2">
      <c r="A1666">
        <f>'Fichas clínicas'!A1666</f>
        <v>1668</v>
      </c>
      <c r="B1666" t="str">
        <f>'Fichas clínicas'!B1666</f>
        <v>10020390-1</v>
      </c>
      <c r="C1666" t="e">
        <f>VLOOKUP(paciente_tutor!B1666,clientes!A1666:B3247,2,FALSE)</f>
        <v>#N/A</v>
      </c>
      <c r="D1666" t="e">
        <f t="shared" si="25"/>
        <v>#N/A</v>
      </c>
    </row>
    <row r="1667" spans="1:4" x14ac:dyDescent="0.2">
      <c r="A1667">
        <f>'Fichas clínicas'!A1667</f>
        <v>1669</v>
      </c>
      <c r="B1667" t="str">
        <f>'Fichas clínicas'!B1667</f>
        <v>10020390-1</v>
      </c>
      <c r="C1667" t="e">
        <f>VLOOKUP(paciente_tutor!B1667,clientes!A1667:B3248,2,FALSE)</f>
        <v>#N/A</v>
      </c>
      <c r="D1667" t="e">
        <f t="shared" ref="D1667:D1730" si="26">IF(C1667="#N/A","",B1667)</f>
        <v>#N/A</v>
      </c>
    </row>
    <row r="1668" spans="1:4" x14ac:dyDescent="0.2">
      <c r="A1668">
        <f>'Fichas clínicas'!A1668</f>
        <v>1670</v>
      </c>
      <c r="B1668" t="str">
        <f>'Fichas clínicas'!B1668</f>
        <v>13520091-3</v>
      </c>
      <c r="C1668" t="e">
        <f>VLOOKUP(paciente_tutor!B1668,clientes!A1668:B3249,2,FALSE)</f>
        <v>#N/A</v>
      </c>
      <c r="D1668" t="e">
        <f t="shared" si="26"/>
        <v>#N/A</v>
      </c>
    </row>
    <row r="1669" spans="1:4" x14ac:dyDescent="0.2">
      <c r="A1669">
        <f>'Fichas clínicas'!A1669</f>
        <v>1671</v>
      </c>
      <c r="B1669" t="str">
        <f>'Fichas clínicas'!B1669</f>
        <v>8620741-9</v>
      </c>
      <c r="C1669" t="e">
        <f>VLOOKUP(paciente_tutor!B1669,clientes!A1669:B3250,2,FALSE)</f>
        <v>#N/A</v>
      </c>
      <c r="D1669" t="e">
        <f t="shared" si="26"/>
        <v>#N/A</v>
      </c>
    </row>
    <row r="1670" spans="1:4" x14ac:dyDescent="0.2">
      <c r="A1670">
        <f>'Fichas clínicas'!A1670</f>
        <v>1672</v>
      </c>
      <c r="B1670" t="str">
        <f>'Fichas clínicas'!B1670</f>
        <v>13587841-3</v>
      </c>
      <c r="C1670" t="e">
        <f>VLOOKUP(paciente_tutor!B1670,clientes!A1670:B3251,2,FALSE)</f>
        <v>#N/A</v>
      </c>
      <c r="D1670" t="e">
        <f t="shared" si="26"/>
        <v>#N/A</v>
      </c>
    </row>
    <row r="1671" spans="1:4" x14ac:dyDescent="0.2">
      <c r="A1671">
        <f>'Fichas clínicas'!A1671</f>
        <v>1673</v>
      </c>
      <c r="B1671" t="str">
        <f>'Fichas clínicas'!B1671</f>
        <v>12310692-k</v>
      </c>
      <c r="C1671" t="e">
        <f>VLOOKUP(paciente_tutor!B1671,clientes!A1671:B3252,2,FALSE)</f>
        <v>#N/A</v>
      </c>
      <c r="D1671" t="e">
        <f t="shared" si="26"/>
        <v>#N/A</v>
      </c>
    </row>
    <row r="1672" spans="1:4" x14ac:dyDescent="0.2">
      <c r="A1672">
        <f>'Fichas clínicas'!A1672</f>
        <v>1674</v>
      </c>
      <c r="B1672" t="str">
        <f>'Fichas clínicas'!B1672</f>
        <v>11592590-3</v>
      </c>
      <c r="C1672" t="e">
        <f>VLOOKUP(paciente_tutor!B1672,clientes!A1672:B3253,2,FALSE)</f>
        <v>#N/A</v>
      </c>
      <c r="D1672" t="e">
        <f t="shared" si="26"/>
        <v>#N/A</v>
      </c>
    </row>
    <row r="1673" spans="1:4" x14ac:dyDescent="0.2">
      <c r="A1673">
        <f>'Fichas clínicas'!A1673</f>
        <v>1675</v>
      </c>
      <c r="B1673" t="str">
        <f>'Fichas clínicas'!B1673</f>
        <v>12974384-0</v>
      </c>
      <c r="C1673" t="e">
        <f>VLOOKUP(paciente_tutor!B1673,clientes!A1673:B3254,2,FALSE)</f>
        <v>#N/A</v>
      </c>
      <c r="D1673" t="e">
        <f t="shared" si="26"/>
        <v>#N/A</v>
      </c>
    </row>
    <row r="1674" spans="1:4" x14ac:dyDescent="0.2">
      <c r="A1674">
        <f>'Fichas clínicas'!A1674</f>
        <v>1676</v>
      </c>
      <c r="B1674" t="str">
        <f>'Fichas clínicas'!B1674</f>
        <v>18289856-2</v>
      </c>
      <c r="C1674" t="e">
        <f>VLOOKUP(paciente_tutor!B1674,clientes!A1674:B3255,2,FALSE)</f>
        <v>#N/A</v>
      </c>
      <c r="D1674" t="e">
        <f t="shared" si="26"/>
        <v>#N/A</v>
      </c>
    </row>
    <row r="1675" spans="1:4" x14ac:dyDescent="0.2">
      <c r="A1675">
        <f>'Fichas clínicas'!A1675</f>
        <v>1677</v>
      </c>
      <c r="B1675" t="str">
        <f>'Fichas clínicas'!B1675</f>
        <v>26187454-7</v>
      </c>
      <c r="C1675" t="e">
        <f>VLOOKUP(paciente_tutor!B1675,clientes!A1675:B3256,2,FALSE)</f>
        <v>#N/A</v>
      </c>
      <c r="D1675" t="e">
        <f t="shared" si="26"/>
        <v>#N/A</v>
      </c>
    </row>
    <row r="1676" spans="1:4" x14ac:dyDescent="0.2">
      <c r="A1676">
        <f>'Fichas clínicas'!A1676</f>
        <v>1678</v>
      </c>
      <c r="B1676" t="str">
        <f>'Fichas clínicas'!B1676</f>
        <v>16805915-9</v>
      </c>
      <c r="C1676" t="e">
        <f>VLOOKUP(paciente_tutor!B1676,clientes!A1676:B3257,2,FALSE)</f>
        <v>#N/A</v>
      </c>
      <c r="D1676" t="e">
        <f t="shared" si="26"/>
        <v>#N/A</v>
      </c>
    </row>
    <row r="1677" spans="1:4" x14ac:dyDescent="0.2">
      <c r="A1677">
        <f>'Fichas clínicas'!A1677</f>
        <v>1679</v>
      </c>
      <c r="B1677" t="str">
        <f>'Fichas clínicas'!B1677</f>
        <v>16464661-0</v>
      </c>
      <c r="C1677" t="e">
        <f>VLOOKUP(paciente_tutor!B1677,clientes!A1677:B3258,2,FALSE)</f>
        <v>#N/A</v>
      </c>
      <c r="D1677" t="e">
        <f t="shared" si="26"/>
        <v>#N/A</v>
      </c>
    </row>
    <row r="1678" spans="1:4" x14ac:dyDescent="0.2">
      <c r="A1678">
        <f>'Fichas clínicas'!A1678</f>
        <v>1680</v>
      </c>
      <c r="B1678" t="str">
        <f>'Fichas clínicas'!B1678</f>
        <v>18571869-7</v>
      </c>
      <c r="C1678" t="e">
        <f>VLOOKUP(paciente_tutor!B1678,clientes!A1678:B3259,2,FALSE)</f>
        <v>#N/A</v>
      </c>
      <c r="D1678" t="e">
        <f t="shared" si="26"/>
        <v>#N/A</v>
      </c>
    </row>
    <row r="1679" spans="1:4" x14ac:dyDescent="0.2">
      <c r="A1679">
        <f>'Fichas clínicas'!A1679</f>
        <v>1681</v>
      </c>
      <c r="B1679" t="str">
        <f>'Fichas clínicas'!B1679</f>
        <v>18571869-7</v>
      </c>
      <c r="C1679" t="e">
        <f>VLOOKUP(paciente_tutor!B1679,clientes!A1679:B3260,2,FALSE)</f>
        <v>#N/A</v>
      </c>
      <c r="D1679" t="e">
        <f t="shared" si="26"/>
        <v>#N/A</v>
      </c>
    </row>
    <row r="1680" spans="1:4" x14ac:dyDescent="0.2">
      <c r="A1680">
        <f>'Fichas clínicas'!A1680</f>
        <v>1682</v>
      </c>
      <c r="B1680" t="str">
        <f>'Fichas clínicas'!B1680</f>
        <v>18571869-7</v>
      </c>
      <c r="C1680" t="e">
        <f>VLOOKUP(paciente_tutor!B1680,clientes!A1680:B3261,2,FALSE)</f>
        <v>#N/A</v>
      </c>
      <c r="D1680" t="e">
        <f t="shared" si="26"/>
        <v>#N/A</v>
      </c>
    </row>
    <row r="1681" spans="1:4" x14ac:dyDescent="0.2">
      <c r="A1681">
        <f>'Fichas clínicas'!A1681</f>
        <v>1683</v>
      </c>
      <c r="B1681" t="str">
        <f>'Fichas clínicas'!B1681</f>
        <v>19351114-7</v>
      </c>
      <c r="C1681" t="e">
        <f>VLOOKUP(paciente_tutor!B1681,clientes!A1681:B3262,2,FALSE)</f>
        <v>#N/A</v>
      </c>
      <c r="D1681" t="e">
        <f t="shared" si="26"/>
        <v>#N/A</v>
      </c>
    </row>
    <row r="1682" spans="1:4" x14ac:dyDescent="0.2">
      <c r="A1682">
        <f>'Fichas clínicas'!A1682</f>
        <v>1684</v>
      </c>
      <c r="B1682" t="str">
        <f>'Fichas clínicas'!B1682</f>
        <v>8620741-9</v>
      </c>
      <c r="C1682" t="e">
        <f>VLOOKUP(paciente_tutor!B1682,clientes!A1682:B3263,2,FALSE)</f>
        <v>#N/A</v>
      </c>
      <c r="D1682" t="e">
        <f t="shared" si="26"/>
        <v>#N/A</v>
      </c>
    </row>
    <row r="1683" spans="1:4" x14ac:dyDescent="0.2">
      <c r="A1683">
        <f>'Fichas clínicas'!A1683</f>
        <v>1685</v>
      </c>
      <c r="B1683" t="str">
        <f>'Fichas clínicas'!B1683</f>
        <v>21513356-7</v>
      </c>
      <c r="C1683" t="e">
        <f>VLOOKUP(paciente_tutor!B1683,clientes!A1683:B3264,2,FALSE)</f>
        <v>#N/A</v>
      </c>
      <c r="D1683" t="e">
        <f t="shared" si="26"/>
        <v>#N/A</v>
      </c>
    </row>
    <row r="1684" spans="1:4" x14ac:dyDescent="0.2">
      <c r="A1684">
        <f>'Fichas clínicas'!A1684</f>
        <v>1686</v>
      </c>
      <c r="B1684" t="str">
        <f>'Fichas clínicas'!B1684</f>
        <v>15292813-0</v>
      </c>
      <c r="C1684" t="e">
        <f>VLOOKUP(paciente_tutor!B1684,clientes!A1684:B3265,2,FALSE)</f>
        <v>#N/A</v>
      </c>
      <c r="D1684" t="e">
        <f t="shared" si="26"/>
        <v>#N/A</v>
      </c>
    </row>
    <row r="1685" spans="1:4" x14ac:dyDescent="0.2">
      <c r="A1685">
        <f>'Fichas clínicas'!A1685</f>
        <v>1687</v>
      </c>
      <c r="B1685" t="str">
        <f>'Fichas clínicas'!B1685</f>
        <v>20207253-4</v>
      </c>
      <c r="C1685" t="e">
        <f>VLOOKUP(paciente_tutor!B1685,clientes!A1685:B3266,2,FALSE)</f>
        <v>#N/A</v>
      </c>
      <c r="D1685" t="e">
        <f t="shared" si="26"/>
        <v>#N/A</v>
      </c>
    </row>
    <row r="1686" spans="1:4" x14ac:dyDescent="0.2">
      <c r="A1686">
        <f>'Fichas clínicas'!A1686</f>
        <v>1688</v>
      </c>
      <c r="B1686" t="str">
        <f>'Fichas clínicas'!B1686</f>
        <v>21026255-5</v>
      </c>
      <c r="C1686" t="e">
        <f>VLOOKUP(paciente_tutor!B1686,clientes!A1686:B3267,2,FALSE)</f>
        <v>#N/A</v>
      </c>
      <c r="D1686" t="e">
        <f t="shared" si="26"/>
        <v>#N/A</v>
      </c>
    </row>
    <row r="1687" spans="1:4" x14ac:dyDescent="0.2">
      <c r="A1687">
        <f>'Fichas clínicas'!A1687</f>
        <v>1689</v>
      </c>
      <c r="B1687" t="str">
        <f>'Fichas clínicas'!B1687</f>
        <v>9248174-3</v>
      </c>
      <c r="C1687" t="e">
        <f>VLOOKUP(paciente_tutor!B1687,clientes!A1687:B3268,2,FALSE)</f>
        <v>#N/A</v>
      </c>
      <c r="D1687" t="e">
        <f t="shared" si="26"/>
        <v>#N/A</v>
      </c>
    </row>
    <row r="1688" spans="1:4" x14ac:dyDescent="0.2">
      <c r="A1688">
        <f>'Fichas clínicas'!A1688</f>
        <v>1690</v>
      </c>
      <c r="B1688" t="str">
        <f>'Fichas clínicas'!B1688</f>
        <v>16805205-7</v>
      </c>
      <c r="C1688" t="e">
        <f>VLOOKUP(paciente_tutor!B1688,clientes!A1688:B3269,2,FALSE)</f>
        <v>#N/A</v>
      </c>
      <c r="D1688" t="e">
        <f t="shared" si="26"/>
        <v>#N/A</v>
      </c>
    </row>
    <row r="1689" spans="1:4" x14ac:dyDescent="0.2">
      <c r="A1689">
        <f>'Fichas clínicas'!A1689</f>
        <v>1691</v>
      </c>
      <c r="B1689" t="str">
        <f>'Fichas clínicas'!B1689</f>
        <v>20314297-8</v>
      </c>
      <c r="C1689" t="e">
        <f>VLOOKUP(paciente_tutor!B1689,clientes!A1689:B3270,2,FALSE)</f>
        <v>#N/A</v>
      </c>
      <c r="D1689" t="e">
        <f t="shared" si="26"/>
        <v>#N/A</v>
      </c>
    </row>
    <row r="1690" spans="1:4" x14ac:dyDescent="0.2">
      <c r="A1690">
        <f>'Fichas clínicas'!A1690</f>
        <v>1692</v>
      </c>
      <c r="B1690" t="str">
        <f>'Fichas clínicas'!B1690</f>
        <v>17360331-2</v>
      </c>
      <c r="C1690" t="e">
        <f>VLOOKUP(paciente_tutor!B1690,clientes!A1690:B3271,2,FALSE)</f>
        <v>#N/A</v>
      </c>
      <c r="D1690" t="e">
        <f t="shared" si="26"/>
        <v>#N/A</v>
      </c>
    </row>
    <row r="1691" spans="1:4" x14ac:dyDescent="0.2">
      <c r="A1691">
        <f>'Fichas clínicas'!A1691</f>
        <v>1693</v>
      </c>
      <c r="B1691" t="str">
        <f>'Fichas clínicas'!B1691</f>
        <v>21036787-k</v>
      </c>
      <c r="C1691" t="e">
        <f>VLOOKUP(paciente_tutor!B1691,clientes!A1691:B3272,2,FALSE)</f>
        <v>#N/A</v>
      </c>
      <c r="D1691" t="e">
        <f t="shared" si="26"/>
        <v>#N/A</v>
      </c>
    </row>
    <row r="1692" spans="1:4" x14ac:dyDescent="0.2">
      <c r="A1692">
        <f>'Fichas clínicas'!A1692</f>
        <v>1694</v>
      </c>
      <c r="B1692" t="str">
        <f>'Fichas clínicas'!B1692</f>
        <v>15883845-1</v>
      </c>
      <c r="C1692" t="e">
        <f>VLOOKUP(paciente_tutor!B1692,clientes!A1692:B3273,2,FALSE)</f>
        <v>#N/A</v>
      </c>
      <c r="D1692" t="e">
        <f t="shared" si="26"/>
        <v>#N/A</v>
      </c>
    </row>
    <row r="1693" spans="1:4" x14ac:dyDescent="0.2">
      <c r="A1693">
        <f>'Fichas clínicas'!A1693</f>
        <v>1695</v>
      </c>
      <c r="B1693" t="str">
        <f>'Fichas clínicas'!B1693</f>
        <v>19624699-1</v>
      </c>
      <c r="C1693" t="e">
        <f>VLOOKUP(paciente_tutor!B1693,clientes!A1693:B3274,2,FALSE)</f>
        <v>#N/A</v>
      </c>
      <c r="D1693" t="e">
        <f t="shared" si="26"/>
        <v>#N/A</v>
      </c>
    </row>
    <row r="1694" spans="1:4" x14ac:dyDescent="0.2">
      <c r="A1694">
        <f>'Fichas clínicas'!A1694</f>
        <v>1696</v>
      </c>
      <c r="B1694" t="str">
        <f>'Fichas clínicas'!B1694</f>
        <v>17067706-4</v>
      </c>
      <c r="C1694" t="e">
        <f>VLOOKUP(paciente_tutor!B1694,clientes!A1694:B3275,2,FALSE)</f>
        <v>#N/A</v>
      </c>
      <c r="D1694" t="e">
        <f t="shared" si="26"/>
        <v>#N/A</v>
      </c>
    </row>
    <row r="1695" spans="1:4" x14ac:dyDescent="0.2">
      <c r="A1695">
        <f>'Fichas clínicas'!A1695</f>
        <v>1697</v>
      </c>
      <c r="B1695" t="str">
        <f>'Fichas clínicas'!B1695</f>
        <v>20151079-1</v>
      </c>
      <c r="C1695" t="e">
        <f>VLOOKUP(paciente_tutor!B1695,clientes!A1695:B3276,2,FALSE)</f>
        <v>#N/A</v>
      </c>
      <c r="D1695" t="e">
        <f t="shared" si="26"/>
        <v>#N/A</v>
      </c>
    </row>
    <row r="1696" spans="1:4" x14ac:dyDescent="0.2">
      <c r="A1696">
        <f>'Fichas clínicas'!A1696</f>
        <v>1698</v>
      </c>
      <c r="B1696" t="str">
        <f>'Fichas clínicas'!B1696</f>
        <v>20151079-1</v>
      </c>
      <c r="C1696" t="e">
        <f>VLOOKUP(paciente_tutor!B1696,clientes!A1696:B3277,2,FALSE)</f>
        <v>#N/A</v>
      </c>
      <c r="D1696" t="e">
        <f t="shared" si="26"/>
        <v>#N/A</v>
      </c>
    </row>
    <row r="1697" spans="1:4" x14ac:dyDescent="0.2">
      <c r="A1697">
        <f>'Fichas clínicas'!A1697</f>
        <v>1699</v>
      </c>
      <c r="B1697" t="str">
        <f>'Fichas clínicas'!B1697</f>
        <v>15261766-6</v>
      </c>
      <c r="C1697" t="e">
        <f>VLOOKUP(paciente_tutor!B1697,clientes!A1697:B3278,2,FALSE)</f>
        <v>#N/A</v>
      </c>
      <c r="D1697" t="e">
        <f t="shared" si="26"/>
        <v>#N/A</v>
      </c>
    </row>
    <row r="1698" spans="1:4" x14ac:dyDescent="0.2">
      <c r="A1698">
        <f>'Fichas clínicas'!A1698</f>
        <v>1700</v>
      </c>
      <c r="B1698" t="str">
        <f>'Fichas clínicas'!B1698</f>
        <v>21294199-9</v>
      </c>
      <c r="C1698" t="e">
        <f>VLOOKUP(paciente_tutor!B1698,clientes!A1698:B3279,2,FALSE)</f>
        <v>#N/A</v>
      </c>
      <c r="D1698" t="e">
        <f t="shared" si="26"/>
        <v>#N/A</v>
      </c>
    </row>
    <row r="1699" spans="1:4" x14ac:dyDescent="0.2">
      <c r="A1699">
        <f>'Fichas clínicas'!A1699</f>
        <v>1701</v>
      </c>
      <c r="B1699" t="str">
        <f>'Fichas clínicas'!B1699</f>
        <v>18591713-4</v>
      </c>
      <c r="C1699" t="e">
        <f>VLOOKUP(paciente_tutor!B1699,clientes!A1699:B3280,2,FALSE)</f>
        <v>#N/A</v>
      </c>
      <c r="D1699" t="e">
        <f t="shared" si="26"/>
        <v>#N/A</v>
      </c>
    </row>
    <row r="1700" spans="1:4" x14ac:dyDescent="0.2">
      <c r="A1700">
        <f>'Fichas clínicas'!A1700</f>
        <v>1702</v>
      </c>
      <c r="B1700" t="str">
        <f>'Fichas clínicas'!B1700</f>
        <v>14083340-1</v>
      </c>
      <c r="C1700" t="e">
        <f>VLOOKUP(paciente_tutor!B1700,clientes!A1700:B3281,2,FALSE)</f>
        <v>#N/A</v>
      </c>
      <c r="D1700" t="e">
        <f t="shared" si="26"/>
        <v>#N/A</v>
      </c>
    </row>
    <row r="1701" spans="1:4" x14ac:dyDescent="0.2">
      <c r="A1701">
        <f>'Fichas clínicas'!A1701</f>
        <v>1703</v>
      </c>
      <c r="B1701" t="str">
        <f>'Fichas clínicas'!B1701</f>
        <v>15723451-k</v>
      </c>
      <c r="C1701" t="e">
        <f>VLOOKUP(paciente_tutor!B1701,clientes!A1701:B3282,2,FALSE)</f>
        <v>#N/A</v>
      </c>
      <c r="D1701" t="e">
        <f t="shared" si="26"/>
        <v>#N/A</v>
      </c>
    </row>
    <row r="1702" spans="1:4" x14ac:dyDescent="0.2">
      <c r="A1702">
        <f>'Fichas clínicas'!A1702</f>
        <v>1704</v>
      </c>
      <c r="B1702" t="str">
        <f>'Fichas clínicas'!B1702</f>
        <v>20314409-1</v>
      </c>
      <c r="C1702" t="e">
        <f>VLOOKUP(paciente_tutor!B1702,clientes!A1702:B3283,2,FALSE)</f>
        <v>#N/A</v>
      </c>
      <c r="D1702" t="e">
        <f t="shared" si="26"/>
        <v>#N/A</v>
      </c>
    </row>
    <row r="1703" spans="1:4" x14ac:dyDescent="0.2">
      <c r="A1703">
        <f>'Fichas clínicas'!A1703</f>
        <v>1705</v>
      </c>
      <c r="B1703" t="str">
        <f>'Fichas clínicas'!B1703</f>
        <v>16320208-5</v>
      </c>
      <c r="C1703" t="e">
        <f>VLOOKUP(paciente_tutor!B1703,clientes!A1703:B3284,2,FALSE)</f>
        <v>#N/A</v>
      </c>
      <c r="D1703" t="e">
        <f t="shared" si="26"/>
        <v>#N/A</v>
      </c>
    </row>
    <row r="1704" spans="1:4" x14ac:dyDescent="0.2">
      <c r="A1704">
        <f>'Fichas clínicas'!A1704</f>
        <v>1706</v>
      </c>
      <c r="B1704" t="str">
        <f>'Fichas clínicas'!B1704</f>
        <v>21831390-6</v>
      </c>
      <c r="C1704" t="e">
        <f>VLOOKUP(paciente_tutor!B1704,clientes!A1704:B3285,2,FALSE)</f>
        <v>#N/A</v>
      </c>
      <c r="D1704" t="e">
        <f t="shared" si="26"/>
        <v>#N/A</v>
      </c>
    </row>
    <row r="1705" spans="1:4" x14ac:dyDescent="0.2">
      <c r="A1705">
        <f>'Fichas clínicas'!A1705</f>
        <v>1707</v>
      </c>
      <c r="B1705" t="str">
        <f>'Fichas clínicas'!B1705</f>
        <v>19386863-0</v>
      </c>
      <c r="C1705" t="e">
        <f>VLOOKUP(paciente_tutor!B1705,clientes!A1705:B3286,2,FALSE)</f>
        <v>#N/A</v>
      </c>
      <c r="D1705" t="e">
        <f t="shared" si="26"/>
        <v>#N/A</v>
      </c>
    </row>
    <row r="1706" spans="1:4" x14ac:dyDescent="0.2">
      <c r="A1706">
        <f>'Fichas clínicas'!A1706</f>
        <v>1708</v>
      </c>
      <c r="B1706" t="str">
        <f>'Fichas clínicas'!B1706</f>
        <v>21003681-4</v>
      </c>
      <c r="C1706" t="e">
        <f>VLOOKUP(paciente_tutor!B1706,clientes!A1706:B3287,2,FALSE)</f>
        <v>#N/A</v>
      </c>
      <c r="D1706" t="e">
        <f t="shared" si="26"/>
        <v>#N/A</v>
      </c>
    </row>
    <row r="1707" spans="1:4" x14ac:dyDescent="0.2">
      <c r="A1707">
        <f>'Fichas clínicas'!A1707</f>
        <v>1709</v>
      </c>
      <c r="B1707" t="str">
        <f>'Fichas clínicas'!B1707</f>
        <v>14284854-6</v>
      </c>
      <c r="C1707" t="e">
        <f>VLOOKUP(paciente_tutor!B1707,clientes!A1707:B3288,2,FALSE)</f>
        <v>#N/A</v>
      </c>
      <c r="D1707" t="e">
        <f t="shared" si="26"/>
        <v>#N/A</v>
      </c>
    </row>
    <row r="1708" spans="1:4" x14ac:dyDescent="0.2">
      <c r="A1708">
        <f>'Fichas clínicas'!A1708</f>
        <v>1710</v>
      </c>
      <c r="B1708" t="str">
        <f>'Fichas clínicas'!B1708</f>
        <v>14284854-6</v>
      </c>
      <c r="C1708" t="e">
        <f>VLOOKUP(paciente_tutor!B1708,clientes!A1708:B3289,2,FALSE)</f>
        <v>#N/A</v>
      </c>
      <c r="D1708" t="e">
        <f t="shared" si="26"/>
        <v>#N/A</v>
      </c>
    </row>
    <row r="1709" spans="1:4" x14ac:dyDescent="0.2">
      <c r="A1709">
        <f>'Fichas clínicas'!A1709</f>
        <v>1711</v>
      </c>
      <c r="B1709" t="str">
        <f>'Fichas clínicas'!B1709</f>
        <v>13549234-5</v>
      </c>
      <c r="C1709" t="e">
        <f>VLOOKUP(paciente_tutor!B1709,clientes!A1709:B3290,2,FALSE)</f>
        <v>#N/A</v>
      </c>
      <c r="D1709" t="e">
        <f t="shared" si="26"/>
        <v>#N/A</v>
      </c>
    </row>
    <row r="1710" spans="1:4" x14ac:dyDescent="0.2">
      <c r="A1710">
        <f>'Fichas clínicas'!A1710</f>
        <v>1712</v>
      </c>
      <c r="B1710" t="str">
        <f>'Fichas clínicas'!B1710</f>
        <v>12430706-6</v>
      </c>
      <c r="C1710" t="e">
        <f>VLOOKUP(paciente_tutor!B1710,clientes!A1710:B3291,2,FALSE)</f>
        <v>#N/A</v>
      </c>
      <c r="D1710" t="e">
        <f t="shared" si="26"/>
        <v>#N/A</v>
      </c>
    </row>
    <row r="1711" spans="1:4" x14ac:dyDescent="0.2">
      <c r="A1711">
        <f>'Fichas clínicas'!A1711</f>
        <v>1713</v>
      </c>
      <c r="B1711" t="str">
        <f>'Fichas clínicas'!B1711</f>
        <v>11483779-2</v>
      </c>
      <c r="C1711" t="e">
        <f>VLOOKUP(paciente_tutor!B1711,clientes!A1711:B3292,2,FALSE)</f>
        <v>#N/A</v>
      </c>
      <c r="D1711" t="e">
        <f t="shared" si="26"/>
        <v>#N/A</v>
      </c>
    </row>
    <row r="1712" spans="1:4" x14ac:dyDescent="0.2">
      <c r="A1712">
        <f>'Fichas clínicas'!A1712</f>
        <v>1714</v>
      </c>
      <c r="B1712" t="str">
        <f>'Fichas clínicas'!B1712</f>
        <v>19624157-4</v>
      </c>
      <c r="C1712" t="e">
        <f>VLOOKUP(paciente_tutor!B1712,clientes!A1712:B3293,2,FALSE)</f>
        <v>#N/A</v>
      </c>
      <c r="D1712" t="e">
        <f t="shared" si="26"/>
        <v>#N/A</v>
      </c>
    </row>
    <row r="1713" spans="1:4" x14ac:dyDescent="0.2">
      <c r="A1713">
        <f>'Fichas clínicas'!A1713</f>
        <v>1715</v>
      </c>
      <c r="B1713" t="str">
        <f>'Fichas clínicas'!B1713</f>
        <v>18623778-1</v>
      </c>
      <c r="C1713" t="e">
        <f>VLOOKUP(paciente_tutor!B1713,clientes!A1713:B3294,2,FALSE)</f>
        <v>#N/A</v>
      </c>
      <c r="D1713" t="e">
        <f t="shared" si="26"/>
        <v>#N/A</v>
      </c>
    </row>
    <row r="1714" spans="1:4" x14ac:dyDescent="0.2">
      <c r="A1714">
        <f>'Fichas clínicas'!A1714</f>
        <v>1716</v>
      </c>
      <c r="B1714" t="str">
        <f>'Fichas clínicas'!B1714</f>
        <v>19938656-5</v>
      </c>
      <c r="C1714" t="e">
        <f>VLOOKUP(paciente_tutor!B1714,clientes!A1714:B3295,2,FALSE)</f>
        <v>#N/A</v>
      </c>
      <c r="D1714" t="e">
        <f t="shared" si="26"/>
        <v>#N/A</v>
      </c>
    </row>
    <row r="1715" spans="1:4" x14ac:dyDescent="0.2">
      <c r="A1715">
        <f>'Fichas clínicas'!A1715</f>
        <v>1717</v>
      </c>
      <c r="B1715" t="str">
        <f>'Fichas clínicas'!B1715</f>
        <v>15531223-8</v>
      </c>
      <c r="C1715" t="e">
        <f>VLOOKUP(paciente_tutor!B1715,clientes!A1715:B3296,2,FALSE)</f>
        <v>#N/A</v>
      </c>
      <c r="D1715" t="e">
        <f t="shared" si="26"/>
        <v>#N/A</v>
      </c>
    </row>
    <row r="1716" spans="1:4" x14ac:dyDescent="0.2">
      <c r="A1716">
        <f>'Fichas clínicas'!A1716</f>
        <v>1718</v>
      </c>
      <c r="B1716" t="str">
        <f>'Fichas clínicas'!B1716</f>
        <v>22577656-3</v>
      </c>
      <c r="C1716" t="e">
        <f>VLOOKUP(paciente_tutor!B1716,clientes!A1716:B3297,2,FALSE)</f>
        <v>#N/A</v>
      </c>
      <c r="D1716" t="e">
        <f t="shared" si="26"/>
        <v>#N/A</v>
      </c>
    </row>
    <row r="1717" spans="1:4" x14ac:dyDescent="0.2">
      <c r="A1717">
        <f>'Fichas clínicas'!A1717</f>
        <v>1719</v>
      </c>
      <c r="B1717" t="str">
        <f>'Fichas clínicas'!B1717</f>
        <v>19016675-9</v>
      </c>
      <c r="C1717" t="e">
        <f>VLOOKUP(paciente_tutor!B1717,clientes!A1717:B3298,2,FALSE)</f>
        <v>#N/A</v>
      </c>
      <c r="D1717" t="e">
        <f t="shared" si="26"/>
        <v>#N/A</v>
      </c>
    </row>
    <row r="1718" spans="1:4" x14ac:dyDescent="0.2">
      <c r="A1718">
        <f>'Fichas clínicas'!A1718</f>
        <v>1720</v>
      </c>
      <c r="B1718" t="str">
        <f>'Fichas clínicas'!B1718</f>
        <v>14237102-2</v>
      </c>
      <c r="C1718" t="e">
        <f>VLOOKUP(paciente_tutor!B1718,clientes!A1718:B3299,2,FALSE)</f>
        <v>#N/A</v>
      </c>
      <c r="D1718" t="e">
        <f t="shared" si="26"/>
        <v>#N/A</v>
      </c>
    </row>
    <row r="1719" spans="1:4" x14ac:dyDescent="0.2">
      <c r="A1719">
        <f>'Fichas clínicas'!A1719</f>
        <v>1721</v>
      </c>
      <c r="B1719" t="str">
        <f>'Fichas clínicas'!B1719</f>
        <v>20949818-9</v>
      </c>
      <c r="C1719" t="e">
        <f>VLOOKUP(paciente_tutor!B1719,clientes!A1719:B3300,2,FALSE)</f>
        <v>#N/A</v>
      </c>
      <c r="D1719" t="e">
        <f t="shared" si="26"/>
        <v>#N/A</v>
      </c>
    </row>
    <row r="1720" spans="1:4" x14ac:dyDescent="0.2">
      <c r="A1720">
        <f>'Fichas clínicas'!A1720</f>
        <v>1722</v>
      </c>
      <c r="B1720" t="str">
        <f>'Fichas clínicas'!B1720</f>
        <v>20601443-1</v>
      </c>
      <c r="C1720" t="e">
        <f>VLOOKUP(paciente_tutor!B1720,clientes!A1720:B3301,2,FALSE)</f>
        <v>#N/A</v>
      </c>
      <c r="D1720" t="e">
        <f t="shared" si="26"/>
        <v>#N/A</v>
      </c>
    </row>
    <row r="1721" spans="1:4" x14ac:dyDescent="0.2">
      <c r="A1721">
        <f>'Fichas clínicas'!A1721</f>
        <v>1723</v>
      </c>
      <c r="B1721" t="str">
        <f>'Fichas clínicas'!B1721</f>
        <v>20601443-1</v>
      </c>
      <c r="C1721" t="e">
        <f>VLOOKUP(paciente_tutor!B1721,clientes!A1721:B3302,2,FALSE)</f>
        <v>#N/A</v>
      </c>
      <c r="D1721" t="e">
        <f t="shared" si="26"/>
        <v>#N/A</v>
      </c>
    </row>
    <row r="1722" spans="1:4" x14ac:dyDescent="0.2">
      <c r="A1722">
        <f>'Fichas clínicas'!A1722</f>
        <v>1724</v>
      </c>
      <c r="B1722" t="str">
        <f>'Fichas clínicas'!B1722</f>
        <v>20601443-1</v>
      </c>
      <c r="C1722" t="e">
        <f>VLOOKUP(paciente_tutor!B1722,clientes!A1722:B3303,2,FALSE)</f>
        <v>#N/A</v>
      </c>
      <c r="D1722" t="e">
        <f t="shared" si="26"/>
        <v>#N/A</v>
      </c>
    </row>
    <row r="1723" spans="1:4" x14ac:dyDescent="0.2">
      <c r="A1723">
        <f>'Fichas clínicas'!A1723</f>
        <v>1725</v>
      </c>
      <c r="B1723" t="str">
        <f>'Fichas clínicas'!B1723</f>
        <v>15281856-4</v>
      </c>
      <c r="C1723" t="e">
        <f>VLOOKUP(paciente_tutor!B1723,clientes!A1723:B3304,2,FALSE)</f>
        <v>#N/A</v>
      </c>
      <c r="D1723" t="e">
        <f t="shared" si="26"/>
        <v>#N/A</v>
      </c>
    </row>
    <row r="1724" spans="1:4" x14ac:dyDescent="0.2">
      <c r="A1724">
        <f>'Fichas clínicas'!A1724</f>
        <v>1726</v>
      </c>
      <c r="B1724" t="str">
        <f>'Fichas clínicas'!B1724</f>
        <v>15478478-0</v>
      </c>
      <c r="C1724" t="e">
        <f>VLOOKUP(paciente_tutor!B1724,clientes!A1724:B3305,2,FALSE)</f>
        <v>#N/A</v>
      </c>
      <c r="D1724" t="e">
        <f t="shared" si="26"/>
        <v>#N/A</v>
      </c>
    </row>
    <row r="1725" spans="1:4" x14ac:dyDescent="0.2">
      <c r="A1725">
        <f>'Fichas clínicas'!A1725</f>
        <v>1727</v>
      </c>
      <c r="B1725" t="str">
        <f>'Fichas clínicas'!B1725</f>
        <v>18287766-2</v>
      </c>
      <c r="C1725" t="e">
        <f>VLOOKUP(paciente_tutor!B1725,clientes!A1725:B3306,2,FALSE)</f>
        <v>#N/A</v>
      </c>
      <c r="D1725" t="e">
        <f t="shared" si="26"/>
        <v>#N/A</v>
      </c>
    </row>
    <row r="1726" spans="1:4" x14ac:dyDescent="0.2">
      <c r="A1726">
        <f>'Fichas clínicas'!A1726</f>
        <v>1728</v>
      </c>
      <c r="B1726" t="str">
        <f>'Fichas clínicas'!B1726</f>
        <v>12993681-9</v>
      </c>
      <c r="C1726" t="e">
        <f>VLOOKUP(paciente_tutor!B1726,clientes!A1726:B3307,2,FALSE)</f>
        <v>#N/A</v>
      </c>
      <c r="D1726" t="e">
        <f t="shared" si="26"/>
        <v>#N/A</v>
      </c>
    </row>
    <row r="1727" spans="1:4" x14ac:dyDescent="0.2">
      <c r="A1727">
        <f>'Fichas clínicas'!A1727</f>
        <v>1729</v>
      </c>
      <c r="B1727" t="str">
        <f>'Fichas clínicas'!B1727</f>
        <v>18132829-0</v>
      </c>
      <c r="C1727" t="e">
        <f>VLOOKUP(paciente_tutor!B1727,clientes!A1727:B3308,2,FALSE)</f>
        <v>#N/A</v>
      </c>
      <c r="D1727" t="e">
        <f t="shared" si="26"/>
        <v>#N/A</v>
      </c>
    </row>
    <row r="1728" spans="1:4" x14ac:dyDescent="0.2">
      <c r="A1728">
        <f>'Fichas clínicas'!A1728</f>
        <v>1730</v>
      </c>
      <c r="B1728" t="str">
        <f>'Fichas clínicas'!B1728</f>
        <v>13160527-7</v>
      </c>
      <c r="C1728" t="e">
        <f>VLOOKUP(paciente_tutor!B1728,clientes!A1728:B3309,2,FALSE)</f>
        <v>#N/A</v>
      </c>
      <c r="D1728" t="e">
        <f t="shared" si="26"/>
        <v>#N/A</v>
      </c>
    </row>
    <row r="1729" spans="1:4" x14ac:dyDescent="0.2">
      <c r="A1729">
        <f>'Fichas clínicas'!A1729</f>
        <v>1731</v>
      </c>
      <c r="B1729" t="str">
        <f>'Fichas clínicas'!B1729</f>
        <v>19554284-8</v>
      </c>
      <c r="C1729" t="e">
        <f>VLOOKUP(paciente_tutor!B1729,clientes!A1729:B3310,2,FALSE)</f>
        <v>#N/A</v>
      </c>
      <c r="D1729" t="e">
        <f t="shared" si="26"/>
        <v>#N/A</v>
      </c>
    </row>
    <row r="1730" spans="1:4" x14ac:dyDescent="0.2">
      <c r="A1730">
        <f>'Fichas clínicas'!A1730</f>
        <v>1732</v>
      </c>
      <c r="B1730" t="str">
        <f>'Fichas clínicas'!B1730</f>
        <v>19554284-8</v>
      </c>
      <c r="C1730" t="e">
        <f>VLOOKUP(paciente_tutor!B1730,clientes!A1730:B3311,2,FALSE)</f>
        <v>#N/A</v>
      </c>
      <c r="D1730" t="e">
        <f t="shared" si="26"/>
        <v>#N/A</v>
      </c>
    </row>
    <row r="1731" spans="1:4" x14ac:dyDescent="0.2">
      <c r="A1731">
        <f>'Fichas clínicas'!A1731</f>
        <v>1733</v>
      </c>
      <c r="B1731" t="str">
        <f>'Fichas clínicas'!B1731</f>
        <v>16831008-0</v>
      </c>
      <c r="C1731" t="e">
        <f>VLOOKUP(paciente_tutor!B1731,clientes!A1731:B3312,2,FALSE)</f>
        <v>#N/A</v>
      </c>
      <c r="D1731" t="e">
        <f t="shared" ref="D1731:D1794" si="27">IF(C1731="#N/A","",B1731)</f>
        <v>#N/A</v>
      </c>
    </row>
    <row r="1732" spans="1:4" x14ac:dyDescent="0.2">
      <c r="A1732">
        <f>'Fichas clínicas'!A1732</f>
        <v>1734</v>
      </c>
      <c r="B1732" t="str">
        <f>'Fichas clínicas'!B1732</f>
        <v>15884468-0</v>
      </c>
      <c r="C1732" t="e">
        <f>VLOOKUP(paciente_tutor!B1732,clientes!A1732:B3313,2,FALSE)</f>
        <v>#N/A</v>
      </c>
      <c r="D1732" t="e">
        <f t="shared" si="27"/>
        <v>#N/A</v>
      </c>
    </row>
    <row r="1733" spans="1:4" x14ac:dyDescent="0.2">
      <c r="A1733">
        <f>'Fichas clínicas'!A1733</f>
        <v>1735</v>
      </c>
      <c r="B1733" t="str">
        <f>'Fichas clínicas'!B1733</f>
        <v>15759684-5</v>
      </c>
      <c r="C1733" t="e">
        <f>VLOOKUP(paciente_tutor!B1733,clientes!A1733:B3314,2,FALSE)</f>
        <v>#N/A</v>
      </c>
      <c r="D1733" t="e">
        <f t="shared" si="27"/>
        <v>#N/A</v>
      </c>
    </row>
    <row r="1734" spans="1:4" x14ac:dyDescent="0.2">
      <c r="A1734">
        <f>'Fichas clínicas'!A1734</f>
        <v>1736</v>
      </c>
      <c r="B1734" t="str">
        <f>'Fichas clínicas'!B1734</f>
        <v>15759684-5</v>
      </c>
      <c r="C1734" t="e">
        <f>VLOOKUP(paciente_tutor!B1734,clientes!A1734:B3315,2,FALSE)</f>
        <v>#N/A</v>
      </c>
      <c r="D1734" t="e">
        <f t="shared" si="27"/>
        <v>#N/A</v>
      </c>
    </row>
    <row r="1735" spans="1:4" x14ac:dyDescent="0.2">
      <c r="A1735">
        <f>'Fichas clínicas'!A1735</f>
        <v>1737</v>
      </c>
      <c r="B1735" t="str">
        <f>'Fichas clínicas'!B1735</f>
        <v>20135261-4</v>
      </c>
      <c r="C1735" t="e">
        <f>VLOOKUP(paciente_tutor!B1735,clientes!A1735:B3316,2,FALSE)</f>
        <v>#N/A</v>
      </c>
      <c r="D1735" t="e">
        <f t="shared" si="27"/>
        <v>#N/A</v>
      </c>
    </row>
    <row r="1736" spans="1:4" x14ac:dyDescent="0.2">
      <c r="A1736">
        <f>'Fichas clínicas'!A1736</f>
        <v>1738</v>
      </c>
      <c r="B1736" t="str">
        <f>'Fichas clínicas'!B1736</f>
        <v>20313991-8</v>
      </c>
      <c r="C1736" t="e">
        <f>VLOOKUP(paciente_tutor!B1736,clientes!A1736:B3317,2,FALSE)</f>
        <v>#N/A</v>
      </c>
      <c r="D1736" t="e">
        <f t="shared" si="27"/>
        <v>#N/A</v>
      </c>
    </row>
    <row r="1737" spans="1:4" x14ac:dyDescent="0.2">
      <c r="A1737">
        <f>'Fichas clínicas'!A1737</f>
        <v>1739</v>
      </c>
      <c r="B1737" t="str">
        <f>'Fichas clínicas'!B1737</f>
        <v>15548684-8</v>
      </c>
      <c r="C1737" t="e">
        <f>VLOOKUP(paciente_tutor!B1737,clientes!A1737:B3318,2,FALSE)</f>
        <v>#N/A</v>
      </c>
      <c r="D1737" t="e">
        <f t="shared" si="27"/>
        <v>#N/A</v>
      </c>
    </row>
    <row r="1738" spans="1:4" x14ac:dyDescent="0.2">
      <c r="A1738">
        <f>'Fichas clínicas'!A1738</f>
        <v>1740</v>
      </c>
      <c r="B1738" t="str">
        <f>'Fichas clínicas'!B1738</f>
        <v>19181785-0</v>
      </c>
      <c r="C1738" t="e">
        <f>VLOOKUP(paciente_tutor!B1738,clientes!A1738:B3319,2,FALSE)</f>
        <v>#N/A</v>
      </c>
      <c r="D1738" t="e">
        <f t="shared" si="27"/>
        <v>#N/A</v>
      </c>
    </row>
    <row r="1739" spans="1:4" x14ac:dyDescent="0.2">
      <c r="A1739">
        <f>'Fichas clínicas'!A1739</f>
        <v>1741</v>
      </c>
      <c r="B1739" t="str">
        <f>'Fichas clínicas'!B1739</f>
        <v>11325407-6</v>
      </c>
      <c r="C1739" t="e">
        <f>VLOOKUP(paciente_tutor!B1739,clientes!A1739:B3320,2,FALSE)</f>
        <v>#N/A</v>
      </c>
      <c r="D1739" t="e">
        <f t="shared" si="27"/>
        <v>#N/A</v>
      </c>
    </row>
    <row r="1740" spans="1:4" x14ac:dyDescent="0.2">
      <c r="A1740">
        <f>'Fichas clínicas'!A1740</f>
        <v>1742</v>
      </c>
      <c r="B1740" t="str">
        <f>'Fichas clínicas'!B1740</f>
        <v>22343288-3</v>
      </c>
      <c r="C1740" t="e">
        <f>VLOOKUP(paciente_tutor!B1740,clientes!A1740:B3321,2,FALSE)</f>
        <v>#N/A</v>
      </c>
      <c r="D1740" t="e">
        <f t="shared" si="27"/>
        <v>#N/A</v>
      </c>
    </row>
    <row r="1741" spans="1:4" x14ac:dyDescent="0.2">
      <c r="A1741">
        <f>'Fichas clínicas'!A1741</f>
        <v>1743</v>
      </c>
      <c r="B1741" t="str">
        <f>'Fichas clínicas'!B1741</f>
        <v>21957517-3</v>
      </c>
      <c r="C1741" t="e">
        <f>VLOOKUP(paciente_tutor!B1741,clientes!A1741:B3322,2,FALSE)</f>
        <v>#N/A</v>
      </c>
      <c r="D1741" t="e">
        <f t="shared" si="27"/>
        <v>#N/A</v>
      </c>
    </row>
    <row r="1742" spans="1:4" x14ac:dyDescent="0.2">
      <c r="A1742">
        <f>'Fichas clínicas'!A1742</f>
        <v>1744</v>
      </c>
      <c r="B1742" t="str">
        <f>'Fichas clínicas'!B1742</f>
        <v>11114795-7</v>
      </c>
      <c r="C1742" t="e">
        <f>VLOOKUP(paciente_tutor!B1742,clientes!A1742:B3323,2,FALSE)</f>
        <v>#N/A</v>
      </c>
      <c r="D1742" t="e">
        <f t="shared" si="27"/>
        <v>#N/A</v>
      </c>
    </row>
    <row r="1743" spans="1:4" x14ac:dyDescent="0.2">
      <c r="A1743">
        <f>'Fichas clínicas'!A1743</f>
        <v>1745</v>
      </c>
      <c r="B1743" t="str">
        <f>'Fichas clínicas'!B1743</f>
        <v>21862121-k</v>
      </c>
      <c r="C1743" t="e">
        <f>VLOOKUP(paciente_tutor!B1743,clientes!A1743:B3324,2,FALSE)</f>
        <v>#N/A</v>
      </c>
      <c r="D1743" t="e">
        <f t="shared" si="27"/>
        <v>#N/A</v>
      </c>
    </row>
    <row r="1744" spans="1:4" x14ac:dyDescent="0.2">
      <c r="A1744">
        <f>'Fichas clínicas'!A1744</f>
        <v>1746</v>
      </c>
      <c r="B1744" t="str">
        <f>'Fichas clínicas'!B1744</f>
        <v>16048618-k</v>
      </c>
      <c r="C1744" t="e">
        <f>VLOOKUP(paciente_tutor!B1744,clientes!A1744:B3325,2,FALSE)</f>
        <v>#N/A</v>
      </c>
      <c r="D1744" t="e">
        <f t="shared" si="27"/>
        <v>#N/A</v>
      </c>
    </row>
    <row r="1745" spans="1:4" x14ac:dyDescent="0.2">
      <c r="A1745">
        <f>'Fichas clínicas'!A1745</f>
        <v>1747</v>
      </c>
      <c r="B1745" t="str">
        <f>'Fichas clínicas'!B1745</f>
        <v>15530225-9</v>
      </c>
      <c r="C1745" t="e">
        <f>VLOOKUP(paciente_tutor!B1745,clientes!A1745:B3326,2,FALSE)</f>
        <v>#N/A</v>
      </c>
      <c r="D1745" t="e">
        <f t="shared" si="27"/>
        <v>#N/A</v>
      </c>
    </row>
    <row r="1746" spans="1:4" x14ac:dyDescent="0.2">
      <c r="A1746">
        <f>'Fichas clínicas'!A1746</f>
        <v>1748</v>
      </c>
      <c r="B1746" t="str">
        <f>'Fichas clínicas'!B1746</f>
        <v>17692898-0</v>
      </c>
      <c r="C1746" t="e">
        <f>VLOOKUP(paciente_tutor!B1746,clientes!A1746:B3327,2,FALSE)</f>
        <v>#N/A</v>
      </c>
      <c r="D1746" t="e">
        <f t="shared" si="27"/>
        <v>#N/A</v>
      </c>
    </row>
    <row r="1747" spans="1:4" x14ac:dyDescent="0.2">
      <c r="A1747">
        <f>'Fichas clínicas'!A1747</f>
        <v>1749</v>
      </c>
      <c r="B1747" t="str">
        <f>'Fichas clínicas'!B1747</f>
        <v>26513966-3</v>
      </c>
      <c r="C1747" t="e">
        <f>VLOOKUP(paciente_tutor!B1747,clientes!A1747:B3328,2,FALSE)</f>
        <v>#N/A</v>
      </c>
      <c r="D1747" t="e">
        <f t="shared" si="27"/>
        <v>#N/A</v>
      </c>
    </row>
    <row r="1748" spans="1:4" x14ac:dyDescent="0.2">
      <c r="A1748">
        <f>'Fichas clínicas'!A1748</f>
        <v>1750</v>
      </c>
      <c r="B1748" t="str">
        <f>'Fichas clínicas'!B1748</f>
        <v>15547152-2</v>
      </c>
      <c r="C1748" t="e">
        <f>VLOOKUP(paciente_tutor!B1748,clientes!A1748:B3329,2,FALSE)</f>
        <v>#N/A</v>
      </c>
      <c r="D1748" t="e">
        <f t="shared" si="27"/>
        <v>#N/A</v>
      </c>
    </row>
    <row r="1749" spans="1:4" x14ac:dyDescent="0.2">
      <c r="A1749">
        <f>'Fichas clínicas'!A1749</f>
        <v>1751</v>
      </c>
      <c r="B1749" t="str">
        <f>'Fichas clínicas'!B1749</f>
        <v>18591011-3</v>
      </c>
      <c r="C1749" t="e">
        <f>VLOOKUP(paciente_tutor!B1749,clientes!A1749:B3330,2,FALSE)</f>
        <v>#N/A</v>
      </c>
      <c r="D1749" t="e">
        <f t="shared" si="27"/>
        <v>#N/A</v>
      </c>
    </row>
    <row r="1750" spans="1:4" x14ac:dyDescent="0.2">
      <c r="A1750">
        <f>'Fichas clínicas'!A1750</f>
        <v>1752</v>
      </c>
      <c r="B1750" t="str">
        <f>'Fichas clínicas'!B1750</f>
        <v>2235759-K</v>
      </c>
      <c r="C1750" t="e">
        <f>VLOOKUP(paciente_tutor!B1750,clientes!A1750:B3331,2,FALSE)</f>
        <v>#N/A</v>
      </c>
      <c r="D1750" t="e">
        <f t="shared" si="27"/>
        <v>#N/A</v>
      </c>
    </row>
    <row r="1751" spans="1:4" x14ac:dyDescent="0.2">
      <c r="A1751">
        <f>'Fichas clínicas'!A1751</f>
        <v>1753</v>
      </c>
      <c r="B1751" t="str">
        <f>'Fichas clínicas'!B1751</f>
        <v>18887948-9</v>
      </c>
      <c r="C1751" t="e">
        <f>VLOOKUP(paciente_tutor!B1751,clientes!A1751:B3332,2,FALSE)</f>
        <v>#N/A</v>
      </c>
      <c r="D1751" t="e">
        <f t="shared" si="27"/>
        <v>#N/A</v>
      </c>
    </row>
    <row r="1752" spans="1:4" x14ac:dyDescent="0.2">
      <c r="A1752">
        <f>'Fichas clínicas'!A1752</f>
        <v>1754</v>
      </c>
      <c r="B1752" t="str">
        <f>'Fichas clínicas'!B1752</f>
        <v>16263340-6</v>
      </c>
      <c r="C1752" t="e">
        <f>VLOOKUP(paciente_tutor!B1752,clientes!A1752:B3333,2,FALSE)</f>
        <v>#N/A</v>
      </c>
      <c r="D1752" t="e">
        <f t="shared" si="27"/>
        <v>#N/A</v>
      </c>
    </row>
    <row r="1753" spans="1:4" x14ac:dyDescent="0.2">
      <c r="A1753">
        <f>'Fichas clínicas'!A1753</f>
        <v>1755</v>
      </c>
      <c r="B1753" t="str">
        <f>'Fichas clínicas'!B1753</f>
        <v>14083450-5</v>
      </c>
      <c r="C1753" t="e">
        <f>VLOOKUP(paciente_tutor!B1753,clientes!A1753:B3334,2,FALSE)</f>
        <v>#N/A</v>
      </c>
      <c r="D1753" t="e">
        <f t="shared" si="27"/>
        <v>#N/A</v>
      </c>
    </row>
    <row r="1754" spans="1:4" x14ac:dyDescent="0.2">
      <c r="A1754">
        <f>'Fichas clínicas'!A1754</f>
        <v>1756</v>
      </c>
      <c r="B1754" t="str">
        <f>'Fichas clínicas'!B1754</f>
        <v>13817443-3</v>
      </c>
      <c r="C1754" t="e">
        <f>VLOOKUP(paciente_tutor!B1754,clientes!A1754:B3335,2,FALSE)</f>
        <v>#N/A</v>
      </c>
      <c r="D1754" t="e">
        <f t="shared" si="27"/>
        <v>#N/A</v>
      </c>
    </row>
    <row r="1755" spans="1:4" x14ac:dyDescent="0.2">
      <c r="A1755">
        <f>'Fichas clínicas'!A1755</f>
        <v>1757</v>
      </c>
      <c r="B1755" t="str">
        <f>'Fichas clínicas'!B1755</f>
        <v>7453831-2</v>
      </c>
      <c r="C1755" t="e">
        <f>VLOOKUP(paciente_tutor!B1755,clientes!A1755:B3336,2,FALSE)</f>
        <v>#N/A</v>
      </c>
      <c r="D1755" t="e">
        <f t="shared" si="27"/>
        <v>#N/A</v>
      </c>
    </row>
    <row r="1756" spans="1:4" x14ac:dyDescent="0.2">
      <c r="A1756">
        <f>'Fichas clínicas'!A1756</f>
        <v>1758</v>
      </c>
      <c r="B1756" t="str">
        <f>'Fichas clínicas'!B1756</f>
        <v>19248997-0</v>
      </c>
      <c r="C1756" t="e">
        <f>VLOOKUP(paciente_tutor!B1756,clientes!A1756:B3337,2,FALSE)</f>
        <v>#N/A</v>
      </c>
      <c r="D1756" t="e">
        <f t="shared" si="27"/>
        <v>#N/A</v>
      </c>
    </row>
    <row r="1757" spans="1:4" x14ac:dyDescent="0.2">
      <c r="A1757">
        <f>'Fichas clínicas'!A1757</f>
        <v>1759</v>
      </c>
      <c r="B1757" t="str">
        <f>'Fichas clínicas'!B1757</f>
        <v>11411223-2</v>
      </c>
      <c r="C1757" t="e">
        <f>VLOOKUP(paciente_tutor!B1757,clientes!A1757:B3338,2,FALSE)</f>
        <v>#N/A</v>
      </c>
      <c r="D1757" t="e">
        <f t="shared" si="27"/>
        <v>#N/A</v>
      </c>
    </row>
    <row r="1758" spans="1:4" x14ac:dyDescent="0.2">
      <c r="A1758">
        <f>'Fichas clínicas'!A1758</f>
        <v>1760</v>
      </c>
      <c r="B1758" t="str">
        <f>'Fichas clínicas'!B1758</f>
        <v>15265368-9</v>
      </c>
      <c r="C1758" t="e">
        <f>VLOOKUP(paciente_tutor!B1758,clientes!A1758:B3339,2,FALSE)</f>
        <v>#N/A</v>
      </c>
      <c r="D1758" t="e">
        <f t="shared" si="27"/>
        <v>#N/A</v>
      </c>
    </row>
    <row r="1759" spans="1:4" x14ac:dyDescent="0.2">
      <c r="A1759">
        <f>'Fichas clínicas'!A1759</f>
        <v>1761</v>
      </c>
      <c r="B1759" t="str">
        <f>'Fichas clínicas'!B1759</f>
        <v>17436362-5</v>
      </c>
      <c r="C1759" t="e">
        <f>VLOOKUP(paciente_tutor!B1759,clientes!A1759:B3340,2,FALSE)</f>
        <v>#N/A</v>
      </c>
      <c r="D1759" t="e">
        <f t="shared" si="27"/>
        <v>#N/A</v>
      </c>
    </row>
    <row r="1760" spans="1:4" x14ac:dyDescent="0.2">
      <c r="A1760">
        <f>'Fichas clínicas'!A1760</f>
        <v>1762</v>
      </c>
      <c r="B1760" t="str">
        <f>'Fichas clínicas'!B1760</f>
        <v>18775904-8</v>
      </c>
      <c r="C1760" t="e">
        <f>VLOOKUP(paciente_tutor!B1760,clientes!A1760:B3341,2,FALSE)</f>
        <v>#N/A</v>
      </c>
      <c r="D1760" t="e">
        <f t="shared" si="27"/>
        <v>#N/A</v>
      </c>
    </row>
    <row r="1761" spans="1:4" x14ac:dyDescent="0.2">
      <c r="A1761">
        <f>'Fichas clínicas'!A1761</f>
        <v>1763</v>
      </c>
      <c r="B1761" t="str">
        <f>'Fichas clínicas'!B1761</f>
        <v>13191883-6</v>
      </c>
      <c r="C1761" t="e">
        <f>VLOOKUP(paciente_tutor!B1761,clientes!A1761:B3342,2,FALSE)</f>
        <v>#N/A</v>
      </c>
      <c r="D1761" t="e">
        <f t="shared" si="27"/>
        <v>#N/A</v>
      </c>
    </row>
    <row r="1762" spans="1:4" x14ac:dyDescent="0.2">
      <c r="A1762">
        <f>'Fichas clínicas'!A1762</f>
        <v>1764</v>
      </c>
      <c r="B1762" t="str">
        <f>'Fichas clínicas'!B1762</f>
        <v>7326058-2</v>
      </c>
      <c r="C1762" t="e">
        <f>VLOOKUP(paciente_tutor!B1762,clientes!A1762:B3343,2,FALSE)</f>
        <v>#N/A</v>
      </c>
      <c r="D1762" t="e">
        <f t="shared" si="27"/>
        <v>#N/A</v>
      </c>
    </row>
    <row r="1763" spans="1:4" x14ac:dyDescent="0.2">
      <c r="A1763">
        <f>'Fichas clínicas'!A1763</f>
        <v>1765</v>
      </c>
      <c r="B1763" t="str">
        <f>'Fichas clínicas'!B1763</f>
        <v>11703231-0</v>
      </c>
      <c r="C1763" t="e">
        <f>VLOOKUP(paciente_tutor!B1763,clientes!A1763:B3344,2,FALSE)</f>
        <v>#N/A</v>
      </c>
      <c r="D1763" t="e">
        <f t="shared" si="27"/>
        <v>#N/A</v>
      </c>
    </row>
    <row r="1764" spans="1:4" x14ac:dyDescent="0.2">
      <c r="A1764">
        <f>'Fichas clínicas'!A1764</f>
        <v>1766</v>
      </c>
      <c r="B1764" t="str">
        <f>'Fichas clínicas'!B1764</f>
        <v>17832297-4</v>
      </c>
      <c r="C1764" t="e">
        <f>VLOOKUP(paciente_tutor!B1764,clientes!A1764:B3345,2,FALSE)</f>
        <v>#N/A</v>
      </c>
      <c r="D1764" t="e">
        <f t="shared" si="27"/>
        <v>#N/A</v>
      </c>
    </row>
    <row r="1765" spans="1:4" x14ac:dyDescent="0.2">
      <c r="A1765">
        <f>'Fichas clínicas'!A1765</f>
        <v>1767</v>
      </c>
      <c r="B1765" t="str">
        <f>'Fichas clínicas'!B1765</f>
        <v>13609176-k</v>
      </c>
      <c r="C1765" t="e">
        <f>VLOOKUP(paciente_tutor!B1765,clientes!A1765:B3346,2,FALSE)</f>
        <v>#N/A</v>
      </c>
      <c r="D1765" t="e">
        <f t="shared" si="27"/>
        <v>#N/A</v>
      </c>
    </row>
    <row r="1766" spans="1:4" x14ac:dyDescent="0.2">
      <c r="A1766">
        <f>'Fichas clínicas'!A1766</f>
        <v>1768</v>
      </c>
      <c r="B1766" t="str">
        <f>'Fichas clínicas'!B1766</f>
        <v>13609176-k</v>
      </c>
      <c r="C1766" t="e">
        <f>VLOOKUP(paciente_tutor!B1766,clientes!A1766:B3347,2,FALSE)</f>
        <v>#N/A</v>
      </c>
      <c r="D1766" t="e">
        <f t="shared" si="27"/>
        <v>#N/A</v>
      </c>
    </row>
    <row r="1767" spans="1:4" x14ac:dyDescent="0.2">
      <c r="A1767">
        <f>'Fichas clínicas'!A1767</f>
        <v>1769</v>
      </c>
      <c r="B1767" t="str">
        <f>'Fichas clínicas'!B1767</f>
        <v>13609176-k</v>
      </c>
      <c r="C1767" t="e">
        <f>VLOOKUP(paciente_tutor!B1767,clientes!A1767:B3348,2,FALSE)</f>
        <v>#N/A</v>
      </c>
      <c r="D1767" t="e">
        <f t="shared" si="27"/>
        <v>#N/A</v>
      </c>
    </row>
    <row r="1768" spans="1:4" x14ac:dyDescent="0.2">
      <c r="A1768">
        <f>'Fichas clínicas'!A1768</f>
        <v>1770</v>
      </c>
      <c r="B1768" t="str">
        <f>'Fichas clínicas'!B1768</f>
        <v>15548439-k</v>
      </c>
      <c r="C1768" t="e">
        <f>VLOOKUP(paciente_tutor!B1768,clientes!A1768:B3349,2,FALSE)</f>
        <v>#N/A</v>
      </c>
      <c r="D1768" t="e">
        <f t="shared" si="27"/>
        <v>#N/A</v>
      </c>
    </row>
    <row r="1769" spans="1:4" x14ac:dyDescent="0.2">
      <c r="A1769">
        <f>'Fichas clínicas'!A1769</f>
        <v>1771</v>
      </c>
      <c r="B1769" t="str">
        <f>'Fichas clínicas'!B1769</f>
        <v>15261603-1</v>
      </c>
      <c r="C1769" t="e">
        <f>VLOOKUP(paciente_tutor!B1769,clientes!A1769:B3350,2,FALSE)</f>
        <v>#N/A</v>
      </c>
      <c r="D1769" t="e">
        <f t="shared" si="27"/>
        <v>#N/A</v>
      </c>
    </row>
    <row r="1770" spans="1:4" x14ac:dyDescent="0.2">
      <c r="A1770">
        <f>'Fichas clínicas'!A1770</f>
        <v>1772</v>
      </c>
      <c r="B1770" t="str">
        <f>'Fichas clínicas'!B1770</f>
        <v>19249246-7</v>
      </c>
      <c r="C1770" t="e">
        <f>VLOOKUP(paciente_tutor!B1770,clientes!A1770:B3351,2,FALSE)</f>
        <v>#N/A</v>
      </c>
      <c r="D1770" t="e">
        <f t="shared" si="27"/>
        <v>#N/A</v>
      </c>
    </row>
    <row r="1771" spans="1:4" x14ac:dyDescent="0.2">
      <c r="A1771">
        <f>'Fichas clínicas'!A1771</f>
        <v>1773</v>
      </c>
      <c r="B1771" t="str">
        <f>'Fichas clínicas'!B1771</f>
        <v>15547738-5</v>
      </c>
      <c r="C1771" t="e">
        <f>VLOOKUP(paciente_tutor!B1771,clientes!A1771:B3352,2,FALSE)</f>
        <v>#N/A</v>
      </c>
      <c r="D1771" t="e">
        <f t="shared" si="27"/>
        <v>#N/A</v>
      </c>
    </row>
    <row r="1772" spans="1:4" x14ac:dyDescent="0.2">
      <c r="A1772">
        <f>'Fichas clínicas'!A1772</f>
        <v>1774</v>
      </c>
      <c r="B1772" t="str">
        <f>'Fichas clínicas'!B1772</f>
        <v>12748128-8</v>
      </c>
      <c r="C1772" t="e">
        <f>VLOOKUP(paciente_tutor!B1772,clientes!A1772:B3353,2,FALSE)</f>
        <v>#N/A</v>
      </c>
      <c r="D1772" t="e">
        <f t="shared" si="27"/>
        <v>#N/A</v>
      </c>
    </row>
    <row r="1773" spans="1:4" x14ac:dyDescent="0.2">
      <c r="A1773">
        <f>'Fichas clínicas'!A1773</f>
        <v>1775</v>
      </c>
      <c r="B1773" t="str">
        <f>'Fichas clínicas'!B1773</f>
        <v>11705245-1</v>
      </c>
      <c r="C1773" t="e">
        <f>VLOOKUP(paciente_tutor!B1773,clientes!A1773:B3354,2,FALSE)</f>
        <v>#N/A</v>
      </c>
      <c r="D1773" t="e">
        <f t="shared" si="27"/>
        <v>#N/A</v>
      </c>
    </row>
    <row r="1774" spans="1:4" x14ac:dyDescent="0.2">
      <c r="A1774">
        <f>'Fichas clínicas'!A1774</f>
        <v>1776</v>
      </c>
      <c r="B1774" t="str">
        <f>'Fichas clínicas'!B1774</f>
        <v>11705245-1</v>
      </c>
      <c r="C1774" t="e">
        <f>VLOOKUP(paciente_tutor!B1774,clientes!A1774:B3355,2,FALSE)</f>
        <v>#N/A</v>
      </c>
      <c r="D1774" t="e">
        <f t="shared" si="27"/>
        <v>#N/A</v>
      </c>
    </row>
    <row r="1775" spans="1:4" x14ac:dyDescent="0.2">
      <c r="A1775">
        <f>'Fichas clínicas'!A1775</f>
        <v>1777</v>
      </c>
      <c r="B1775" t="str">
        <f>'Fichas clínicas'!B1775</f>
        <v>11705245-1</v>
      </c>
      <c r="C1775" t="e">
        <f>VLOOKUP(paciente_tutor!B1775,clientes!A1775:B3356,2,FALSE)</f>
        <v>#N/A</v>
      </c>
      <c r="D1775" t="e">
        <f t="shared" si="27"/>
        <v>#N/A</v>
      </c>
    </row>
    <row r="1776" spans="1:4" x14ac:dyDescent="0.2">
      <c r="A1776">
        <f>'Fichas clínicas'!A1776</f>
        <v>1778</v>
      </c>
      <c r="B1776" t="str">
        <f>'Fichas clínicas'!B1776</f>
        <v>17324201-8</v>
      </c>
      <c r="C1776" t="e">
        <f>VLOOKUP(paciente_tutor!B1776,clientes!A1776:B3357,2,FALSE)</f>
        <v>#N/A</v>
      </c>
      <c r="D1776" t="e">
        <f t="shared" si="27"/>
        <v>#N/A</v>
      </c>
    </row>
    <row r="1777" spans="1:4" x14ac:dyDescent="0.2">
      <c r="A1777">
        <f>'Fichas clínicas'!A1777</f>
        <v>1779</v>
      </c>
      <c r="B1777" t="str">
        <f>'Fichas clínicas'!B1777</f>
        <v>20278332-5</v>
      </c>
      <c r="C1777" t="e">
        <f>VLOOKUP(paciente_tutor!B1777,clientes!A1777:B3358,2,FALSE)</f>
        <v>#N/A</v>
      </c>
      <c r="D1777" t="e">
        <f t="shared" si="27"/>
        <v>#N/A</v>
      </c>
    </row>
    <row r="1778" spans="1:4" x14ac:dyDescent="0.2">
      <c r="A1778">
        <f>'Fichas clínicas'!A1778</f>
        <v>1780</v>
      </c>
      <c r="B1778" t="str">
        <f>'Fichas clínicas'!B1778</f>
        <v>16805570-6</v>
      </c>
      <c r="C1778" t="e">
        <f>VLOOKUP(paciente_tutor!B1778,clientes!A1778:B3359,2,FALSE)</f>
        <v>#N/A</v>
      </c>
      <c r="D1778" t="e">
        <f t="shared" si="27"/>
        <v>#N/A</v>
      </c>
    </row>
    <row r="1779" spans="1:4" x14ac:dyDescent="0.2">
      <c r="A1779">
        <f>'Fichas clínicas'!A1779</f>
        <v>1781</v>
      </c>
      <c r="B1779" t="str">
        <f>'Fichas clínicas'!B1779</f>
        <v>16806024-6</v>
      </c>
      <c r="C1779" t="e">
        <f>VLOOKUP(paciente_tutor!B1779,clientes!A1779:B3360,2,FALSE)</f>
        <v>#N/A</v>
      </c>
      <c r="D1779" t="e">
        <f t="shared" si="27"/>
        <v>#N/A</v>
      </c>
    </row>
    <row r="1780" spans="1:4" x14ac:dyDescent="0.2">
      <c r="A1780">
        <f>'Fichas clínicas'!A1780</f>
        <v>1782</v>
      </c>
      <c r="B1780" t="str">
        <f>'Fichas clínicas'!B1780</f>
        <v>16160515-8</v>
      </c>
      <c r="C1780" t="e">
        <f>VLOOKUP(paciente_tutor!B1780,clientes!A1780:B3361,2,FALSE)</f>
        <v>#N/A</v>
      </c>
      <c r="D1780" t="e">
        <f t="shared" si="27"/>
        <v>#N/A</v>
      </c>
    </row>
    <row r="1781" spans="1:4" x14ac:dyDescent="0.2">
      <c r="A1781">
        <f>'Fichas clínicas'!A1781</f>
        <v>1783</v>
      </c>
      <c r="B1781" t="str">
        <f>'Fichas clínicas'!B1781</f>
        <v>20135261-4</v>
      </c>
      <c r="C1781" t="e">
        <f>VLOOKUP(paciente_tutor!B1781,clientes!A1781:B3362,2,FALSE)</f>
        <v>#N/A</v>
      </c>
      <c r="D1781" t="e">
        <f t="shared" si="27"/>
        <v>#N/A</v>
      </c>
    </row>
    <row r="1782" spans="1:4" x14ac:dyDescent="0.2">
      <c r="A1782">
        <f>'Fichas clínicas'!A1782</f>
        <v>1784</v>
      </c>
      <c r="B1782" t="str">
        <f>'Fichas clínicas'!B1782</f>
        <v>10357103-0</v>
      </c>
      <c r="C1782" t="e">
        <f>VLOOKUP(paciente_tutor!B1782,clientes!A1782:B3363,2,FALSE)</f>
        <v>#N/A</v>
      </c>
      <c r="D1782" t="e">
        <f t="shared" si="27"/>
        <v>#N/A</v>
      </c>
    </row>
    <row r="1783" spans="1:4" x14ac:dyDescent="0.2">
      <c r="A1783">
        <f>'Fichas clínicas'!A1783</f>
        <v>1785</v>
      </c>
      <c r="B1783" t="str">
        <f>'Fichas clínicas'!B1783</f>
        <v>12200103-2</v>
      </c>
      <c r="C1783" t="e">
        <f>VLOOKUP(paciente_tutor!B1783,clientes!A1783:B3364,2,FALSE)</f>
        <v>#N/A</v>
      </c>
      <c r="D1783" t="e">
        <f t="shared" si="27"/>
        <v>#N/A</v>
      </c>
    </row>
    <row r="1784" spans="1:4" x14ac:dyDescent="0.2">
      <c r="A1784">
        <f>'Fichas clínicas'!A1784</f>
        <v>1786</v>
      </c>
      <c r="B1784" t="str">
        <f>'Fichas clínicas'!B1784</f>
        <v>15547620-6</v>
      </c>
      <c r="C1784" t="e">
        <f>VLOOKUP(paciente_tutor!B1784,clientes!A1784:B3365,2,FALSE)</f>
        <v>#N/A</v>
      </c>
      <c r="D1784" t="e">
        <f t="shared" si="27"/>
        <v>#N/A</v>
      </c>
    </row>
    <row r="1785" spans="1:4" x14ac:dyDescent="0.2">
      <c r="A1785">
        <f>'Fichas clínicas'!A1785</f>
        <v>1787</v>
      </c>
      <c r="B1785" t="str">
        <f>'Fichas clínicas'!B1785</f>
        <v>17280229-k</v>
      </c>
      <c r="C1785" t="e">
        <f>VLOOKUP(paciente_tutor!B1785,clientes!A1785:B3366,2,FALSE)</f>
        <v>#N/A</v>
      </c>
      <c r="D1785" t="e">
        <f t="shared" si="27"/>
        <v>#N/A</v>
      </c>
    </row>
    <row r="1786" spans="1:4" x14ac:dyDescent="0.2">
      <c r="A1786">
        <f>'Fichas clínicas'!A1786</f>
        <v>1788</v>
      </c>
      <c r="B1786" t="str">
        <f>'Fichas clínicas'!B1786</f>
        <v>14281857-4</v>
      </c>
      <c r="C1786" t="e">
        <f>VLOOKUP(paciente_tutor!B1786,clientes!A1786:B3367,2,FALSE)</f>
        <v>#N/A</v>
      </c>
      <c r="D1786" t="e">
        <f t="shared" si="27"/>
        <v>#N/A</v>
      </c>
    </row>
    <row r="1787" spans="1:4" x14ac:dyDescent="0.2">
      <c r="A1787">
        <f>'Fichas clínicas'!A1787</f>
        <v>1789</v>
      </c>
      <c r="B1787" t="str">
        <f>'Fichas clínicas'!B1787</f>
        <v>16397560-2</v>
      </c>
      <c r="C1787" t="e">
        <f>VLOOKUP(paciente_tutor!B1787,clientes!A1787:B3368,2,FALSE)</f>
        <v>#N/A</v>
      </c>
      <c r="D1787" t="e">
        <f t="shared" si="27"/>
        <v>#N/A</v>
      </c>
    </row>
    <row r="1788" spans="1:4" x14ac:dyDescent="0.2">
      <c r="A1788">
        <f>'Fichas clínicas'!A1788</f>
        <v>1790</v>
      </c>
      <c r="B1788" t="str">
        <f>'Fichas clínicas'!B1788</f>
        <v>5336761-5</v>
      </c>
      <c r="C1788" t="e">
        <f>VLOOKUP(paciente_tutor!B1788,clientes!A1788:B3369,2,FALSE)</f>
        <v>#N/A</v>
      </c>
      <c r="D1788" t="e">
        <f t="shared" si="27"/>
        <v>#N/A</v>
      </c>
    </row>
    <row r="1789" spans="1:4" x14ac:dyDescent="0.2">
      <c r="A1789">
        <f>'Fichas clínicas'!A1789</f>
        <v>1791</v>
      </c>
      <c r="B1789" t="str">
        <f>'Fichas clínicas'!B1789</f>
        <v>18134406-7</v>
      </c>
      <c r="C1789" t="e">
        <f>VLOOKUP(paciente_tutor!B1789,clientes!A1789:B3370,2,FALSE)</f>
        <v>#N/A</v>
      </c>
      <c r="D1789" t="e">
        <f t="shared" si="27"/>
        <v>#N/A</v>
      </c>
    </row>
    <row r="1790" spans="1:4" x14ac:dyDescent="0.2">
      <c r="A1790">
        <f>'Fichas clínicas'!A1790</f>
        <v>1792</v>
      </c>
      <c r="B1790" t="str">
        <f>'Fichas clínicas'!B1790</f>
        <v>19168265-3</v>
      </c>
      <c r="C1790" t="e">
        <f>VLOOKUP(paciente_tutor!B1790,clientes!A1790:B3371,2,FALSE)</f>
        <v>#N/A</v>
      </c>
      <c r="D1790" t="e">
        <f t="shared" si="27"/>
        <v>#N/A</v>
      </c>
    </row>
    <row r="1791" spans="1:4" x14ac:dyDescent="0.2">
      <c r="A1791">
        <f>'Fichas clínicas'!A1791</f>
        <v>1793</v>
      </c>
      <c r="B1791" t="str">
        <f>'Fichas clínicas'!B1791</f>
        <v>13587513-9</v>
      </c>
      <c r="C1791" t="e">
        <f>VLOOKUP(paciente_tutor!B1791,clientes!A1791:B3372,2,FALSE)</f>
        <v>#N/A</v>
      </c>
      <c r="D1791" t="e">
        <f t="shared" si="27"/>
        <v>#N/A</v>
      </c>
    </row>
    <row r="1792" spans="1:4" x14ac:dyDescent="0.2">
      <c r="A1792">
        <f>'Fichas clínicas'!A1792</f>
        <v>1794</v>
      </c>
      <c r="B1792" t="str">
        <f>'Fichas clínicas'!B1792</f>
        <v>13587513-9</v>
      </c>
      <c r="C1792" t="e">
        <f>VLOOKUP(paciente_tutor!B1792,clientes!A1792:B3373,2,FALSE)</f>
        <v>#N/A</v>
      </c>
      <c r="D1792" t="e">
        <f t="shared" si="27"/>
        <v>#N/A</v>
      </c>
    </row>
    <row r="1793" spans="1:4" x14ac:dyDescent="0.2">
      <c r="A1793">
        <f>'Fichas clínicas'!A1793</f>
        <v>1795</v>
      </c>
      <c r="B1793" t="str">
        <f>'Fichas clínicas'!B1793</f>
        <v>13609517-k</v>
      </c>
      <c r="C1793" t="e">
        <f>VLOOKUP(paciente_tutor!B1793,clientes!A1793:B3374,2,FALSE)</f>
        <v>#N/A</v>
      </c>
      <c r="D1793" t="e">
        <f t="shared" si="27"/>
        <v>#N/A</v>
      </c>
    </row>
    <row r="1794" spans="1:4" x14ac:dyDescent="0.2">
      <c r="A1794">
        <f>'Fichas clínicas'!A1794</f>
        <v>1796</v>
      </c>
      <c r="B1794" t="str">
        <f>'Fichas clínicas'!B1794</f>
        <v>15530225-9</v>
      </c>
      <c r="C1794" t="e">
        <f>VLOOKUP(paciente_tutor!B1794,clientes!A1794:B3375,2,FALSE)</f>
        <v>#N/A</v>
      </c>
      <c r="D1794" t="e">
        <f t="shared" si="27"/>
        <v>#N/A</v>
      </c>
    </row>
    <row r="1795" spans="1:4" x14ac:dyDescent="0.2">
      <c r="A1795">
        <f>'Fichas clínicas'!A1795</f>
        <v>1797</v>
      </c>
      <c r="B1795" t="str">
        <f>'Fichas clínicas'!B1795</f>
        <v>11364926-7</v>
      </c>
      <c r="C1795" t="e">
        <f>VLOOKUP(paciente_tutor!B1795,clientes!A1795:B3376,2,FALSE)</f>
        <v>#N/A</v>
      </c>
      <c r="D1795" t="e">
        <f t="shared" ref="D1795:D1858" si="28">IF(C1795="#N/A","",B1795)</f>
        <v>#N/A</v>
      </c>
    </row>
    <row r="1796" spans="1:4" x14ac:dyDescent="0.2">
      <c r="A1796">
        <f>'Fichas clínicas'!A1796</f>
        <v>1798</v>
      </c>
      <c r="B1796" t="str">
        <f>'Fichas clínicas'!B1796</f>
        <v>13847120-9</v>
      </c>
      <c r="C1796" t="e">
        <f>VLOOKUP(paciente_tutor!B1796,clientes!A1796:B3377,2,FALSE)</f>
        <v>#N/A</v>
      </c>
      <c r="D1796" t="e">
        <f t="shared" si="28"/>
        <v>#N/A</v>
      </c>
    </row>
    <row r="1797" spans="1:4" x14ac:dyDescent="0.2">
      <c r="A1797">
        <f>'Fichas clínicas'!A1797</f>
        <v>1799</v>
      </c>
      <c r="B1797" t="str">
        <f>'Fichas clínicas'!B1797</f>
        <v>12994090-5</v>
      </c>
      <c r="C1797" t="e">
        <f>VLOOKUP(paciente_tutor!B1797,clientes!A1797:B3378,2,FALSE)</f>
        <v>#N/A</v>
      </c>
      <c r="D1797" t="e">
        <f t="shared" si="28"/>
        <v>#N/A</v>
      </c>
    </row>
    <row r="1798" spans="1:4" x14ac:dyDescent="0.2">
      <c r="A1798">
        <f>'Fichas clínicas'!A1798</f>
        <v>1800</v>
      </c>
      <c r="B1798" t="str">
        <f>'Fichas clínicas'!B1798</f>
        <v>12994579-6</v>
      </c>
      <c r="C1798" t="e">
        <f>VLOOKUP(paciente_tutor!B1798,clientes!A1798:B3379,2,FALSE)</f>
        <v>#N/A</v>
      </c>
      <c r="D1798" t="e">
        <f t="shared" si="28"/>
        <v>#N/A</v>
      </c>
    </row>
    <row r="1799" spans="1:4" x14ac:dyDescent="0.2">
      <c r="A1799">
        <f>'Fichas clínicas'!A1799</f>
        <v>1801</v>
      </c>
      <c r="B1799" t="str">
        <f>'Fichas clínicas'!B1799</f>
        <v>16806350-4</v>
      </c>
      <c r="C1799" t="e">
        <f>VLOOKUP(paciente_tutor!B1799,clientes!A1799:B3380,2,FALSE)</f>
        <v>#N/A</v>
      </c>
      <c r="D1799" t="e">
        <f t="shared" si="28"/>
        <v>#N/A</v>
      </c>
    </row>
    <row r="1800" spans="1:4" x14ac:dyDescent="0.2">
      <c r="A1800">
        <f>'Fichas clínicas'!A1800</f>
        <v>1802</v>
      </c>
      <c r="B1800" t="str">
        <f>'Fichas clínicas'!B1800</f>
        <v>15294238-9</v>
      </c>
      <c r="C1800" t="e">
        <f>VLOOKUP(paciente_tutor!B1800,clientes!A1800:B3381,2,FALSE)</f>
        <v>#N/A</v>
      </c>
      <c r="D1800" t="e">
        <f t="shared" si="28"/>
        <v>#N/A</v>
      </c>
    </row>
    <row r="1801" spans="1:4" x14ac:dyDescent="0.2">
      <c r="A1801">
        <f>'Fichas clínicas'!A1801</f>
        <v>1803</v>
      </c>
      <c r="B1801" t="str">
        <f>'Fichas clínicas'!B1801</f>
        <v>13587841-3</v>
      </c>
      <c r="C1801" t="e">
        <f>VLOOKUP(paciente_tutor!B1801,clientes!A1801:B3382,2,FALSE)</f>
        <v>#N/A</v>
      </c>
      <c r="D1801" t="e">
        <f t="shared" si="28"/>
        <v>#N/A</v>
      </c>
    </row>
    <row r="1802" spans="1:4" x14ac:dyDescent="0.2">
      <c r="A1802">
        <f>'Fichas clínicas'!A1802</f>
        <v>1804</v>
      </c>
      <c r="B1802" t="str">
        <f>'Fichas clínicas'!B1802</f>
        <v>18623778-1</v>
      </c>
      <c r="C1802" t="e">
        <f>VLOOKUP(paciente_tutor!B1802,clientes!A1802:B3383,2,FALSE)</f>
        <v>#N/A</v>
      </c>
      <c r="D1802" t="e">
        <f t="shared" si="28"/>
        <v>#N/A</v>
      </c>
    </row>
    <row r="1803" spans="1:4" x14ac:dyDescent="0.2">
      <c r="A1803">
        <f>'Fichas clínicas'!A1803</f>
        <v>1805</v>
      </c>
      <c r="B1803" t="str">
        <f>'Fichas clínicas'!B1803</f>
        <v>13514419-3</v>
      </c>
      <c r="C1803" t="e">
        <f>VLOOKUP(paciente_tutor!B1803,clientes!A1803:B3384,2,FALSE)</f>
        <v>#N/A</v>
      </c>
      <c r="D1803" t="e">
        <f t="shared" si="28"/>
        <v>#N/A</v>
      </c>
    </row>
    <row r="1804" spans="1:4" x14ac:dyDescent="0.2">
      <c r="A1804">
        <f>'Fichas clínicas'!A1804</f>
        <v>1806</v>
      </c>
      <c r="B1804" t="str">
        <f>'Fichas clínicas'!B1804</f>
        <v>14227770-0</v>
      </c>
      <c r="C1804" t="e">
        <f>VLOOKUP(paciente_tutor!B1804,clientes!A1804:B3385,2,FALSE)</f>
        <v>#N/A</v>
      </c>
      <c r="D1804" t="e">
        <f t="shared" si="28"/>
        <v>#N/A</v>
      </c>
    </row>
    <row r="1805" spans="1:4" x14ac:dyDescent="0.2">
      <c r="A1805">
        <f>'Fichas clínicas'!A1805</f>
        <v>1807</v>
      </c>
      <c r="B1805" t="str">
        <f>'Fichas clínicas'!B1805</f>
        <v>19554718-1</v>
      </c>
      <c r="C1805" t="e">
        <f>VLOOKUP(paciente_tutor!B1805,clientes!A1805:B3386,2,FALSE)</f>
        <v>#N/A</v>
      </c>
      <c r="D1805" t="e">
        <f t="shared" si="28"/>
        <v>#N/A</v>
      </c>
    </row>
    <row r="1806" spans="1:4" x14ac:dyDescent="0.2">
      <c r="A1806">
        <f>'Fichas clínicas'!A1806</f>
        <v>1808</v>
      </c>
      <c r="B1806" t="str">
        <f>'Fichas clínicas'!B1806</f>
        <v>15293672-9</v>
      </c>
      <c r="C1806" t="e">
        <f>VLOOKUP(paciente_tutor!B1806,clientes!A1806:B3387,2,FALSE)</f>
        <v>#N/A</v>
      </c>
      <c r="D1806" t="e">
        <f t="shared" si="28"/>
        <v>#N/A</v>
      </c>
    </row>
    <row r="1807" spans="1:4" x14ac:dyDescent="0.2">
      <c r="A1807">
        <f>'Fichas clínicas'!A1807</f>
        <v>1809</v>
      </c>
      <c r="B1807" t="str">
        <f>'Fichas clínicas'!B1807</f>
        <v>17067195-3</v>
      </c>
      <c r="C1807" t="e">
        <f>VLOOKUP(paciente_tutor!B1807,clientes!A1807:B3388,2,FALSE)</f>
        <v>#N/A</v>
      </c>
      <c r="D1807" t="e">
        <f t="shared" si="28"/>
        <v>#N/A</v>
      </c>
    </row>
    <row r="1808" spans="1:4" x14ac:dyDescent="0.2">
      <c r="A1808">
        <f>'Fichas clínicas'!A1808</f>
        <v>1810</v>
      </c>
      <c r="B1808" t="str">
        <f>'Fichas clínicas'!B1808</f>
        <v>17067195-3</v>
      </c>
      <c r="C1808" t="e">
        <f>VLOOKUP(paciente_tutor!B1808,clientes!A1808:B3389,2,FALSE)</f>
        <v>#N/A</v>
      </c>
      <c r="D1808" t="e">
        <f t="shared" si="28"/>
        <v>#N/A</v>
      </c>
    </row>
    <row r="1809" spans="1:4" x14ac:dyDescent="0.2">
      <c r="A1809">
        <f>'Fichas clínicas'!A1809</f>
        <v>1811</v>
      </c>
      <c r="B1809" t="str">
        <f>'Fichas clínicas'!B1809</f>
        <v>17694164-2</v>
      </c>
      <c r="C1809" t="e">
        <f>VLOOKUP(paciente_tutor!B1809,clientes!A1809:B3390,2,FALSE)</f>
        <v>#N/A</v>
      </c>
      <c r="D1809" t="e">
        <f t="shared" si="28"/>
        <v>#N/A</v>
      </c>
    </row>
    <row r="1810" spans="1:4" x14ac:dyDescent="0.2">
      <c r="A1810">
        <f>'Fichas clínicas'!A1810</f>
        <v>1812</v>
      </c>
      <c r="B1810" t="str">
        <f>'Fichas clínicas'!B1810</f>
        <v>20135261-4</v>
      </c>
      <c r="C1810" t="e">
        <f>VLOOKUP(paciente_tutor!B1810,clientes!A1810:B3391,2,FALSE)</f>
        <v>#N/A</v>
      </c>
      <c r="D1810" t="e">
        <f t="shared" si="28"/>
        <v>#N/A</v>
      </c>
    </row>
    <row r="1811" spans="1:4" x14ac:dyDescent="0.2">
      <c r="A1811">
        <f>'Fichas clínicas'!A1811</f>
        <v>1813</v>
      </c>
      <c r="B1811" t="str">
        <f>'Fichas clínicas'!B1811</f>
        <v>19938256-k</v>
      </c>
      <c r="C1811" t="e">
        <f>VLOOKUP(paciente_tutor!B1811,clientes!A1811:B3392,2,FALSE)</f>
        <v>#N/A</v>
      </c>
      <c r="D1811" t="e">
        <f t="shared" si="28"/>
        <v>#N/A</v>
      </c>
    </row>
    <row r="1812" spans="1:4" x14ac:dyDescent="0.2">
      <c r="A1812">
        <f>'Fichas clínicas'!A1812</f>
        <v>1814</v>
      </c>
      <c r="B1812" t="str">
        <f>'Fichas clínicas'!B1812</f>
        <v>15287718-8</v>
      </c>
      <c r="C1812" t="e">
        <f>VLOOKUP(paciente_tutor!B1812,clientes!A1812:B3393,2,FALSE)</f>
        <v>#N/A</v>
      </c>
      <c r="D1812" t="e">
        <f t="shared" si="28"/>
        <v>#N/A</v>
      </c>
    </row>
    <row r="1813" spans="1:4" x14ac:dyDescent="0.2">
      <c r="A1813">
        <f>'Fichas clínicas'!A1813</f>
        <v>1815</v>
      </c>
      <c r="B1813" t="str">
        <f>'Fichas clínicas'!B1813</f>
        <v>18590087-8</v>
      </c>
      <c r="C1813" t="e">
        <f>VLOOKUP(paciente_tutor!B1813,clientes!A1813:B3394,2,FALSE)</f>
        <v>#N/A</v>
      </c>
      <c r="D1813" t="e">
        <f t="shared" si="28"/>
        <v>#N/A</v>
      </c>
    </row>
    <row r="1814" spans="1:4" x14ac:dyDescent="0.2">
      <c r="A1814">
        <f>'Fichas clínicas'!A1814</f>
        <v>1816</v>
      </c>
      <c r="B1814" t="str">
        <f>'Fichas clínicas'!B1814</f>
        <v>11919900-k</v>
      </c>
      <c r="C1814" t="e">
        <f>VLOOKUP(paciente_tutor!B1814,clientes!A1814:B3395,2,FALSE)</f>
        <v>#N/A</v>
      </c>
      <c r="D1814" t="e">
        <f t="shared" si="28"/>
        <v>#N/A</v>
      </c>
    </row>
    <row r="1815" spans="1:4" x14ac:dyDescent="0.2">
      <c r="A1815">
        <f>'Fichas clínicas'!A1815</f>
        <v>1817</v>
      </c>
      <c r="B1815" t="str">
        <f>'Fichas clínicas'!B1815</f>
        <v>11704251-0</v>
      </c>
      <c r="C1815" t="e">
        <f>VLOOKUP(paciente_tutor!B1815,clientes!A1815:B3396,2,FALSE)</f>
        <v>#N/A</v>
      </c>
      <c r="D1815" t="e">
        <f t="shared" si="28"/>
        <v>#N/A</v>
      </c>
    </row>
    <row r="1816" spans="1:4" x14ac:dyDescent="0.2">
      <c r="A1816">
        <f>'Fichas clínicas'!A1816</f>
        <v>1818</v>
      </c>
      <c r="B1816" t="str">
        <f>'Fichas clínicas'!B1816</f>
        <v>17067319-0</v>
      </c>
      <c r="C1816" t="e">
        <f>VLOOKUP(paciente_tutor!B1816,clientes!A1816:B3397,2,FALSE)</f>
        <v>#N/A</v>
      </c>
      <c r="D1816" t="e">
        <f t="shared" si="28"/>
        <v>#N/A</v>
      </c>
    </row>
    <row r="1817" spans="1:4" x14ac:dyDescent="0.2">
      <c r="A1817">
        <f>'Fichas clínicas'!A1817</f>
        <v>1819</v>
      </c>
      <c r="B1817" t="str">
        <f>'Fichas clínicas'!B1817</f>
        <v>15549154-k</v>
      </c>
      <c r="C1817" t="e">
        <f>VLOOKUP(paciente_tutor!B1817,clientes!A1817:B3398,2,FALSE)</f>
        <v>#N/A</v>
      </c>
      <c r="D1817" t="e">
        <f t="shared" si="28"/>
        <v>#N/A</v>
      </c>
    </row>
    <row r="1818" spans="1:4" x14ac:dyDescent="0.2">
      <c r="A1818">
        <f>'Fichas clínicas'!A1818</f>
        <v>1820</v>
      </c>
      <c r="B1818" t="str">
        <f>'Fichas clínicas'!B1818</f>
        <v>21755646-5</v>
      </c>
      <c r="C1818" t="e">
        <f>VLOOKUP(paciente_tutor!B1818,clientes!A1818:B3399,2,FALSE)</f>
        <v>#N/A</v>
      </c>
      <c r="D1818" t="e">
        <f t="shared" si="28"/>
        <v>#N/A</v>
      </c>
    </row>
    <row r="1819" spans="1:4" x14ac:dyDescent="0.2">
      <c r="A1819">
        <f>'Fichas clínicas'!A1819</f>
        <v>1821</v>
      </c>
      <c r="B1819" t="str">
        <f>'Fichas clínicas'!B1819</f>
        <v>16159494-6</v>
      </c>
      <c r="C1819" t="e">
        <f>VLOOKUP(paciente_tutor!B1819,clientes!A1819:B3400,2,FALSE)</f>
        <v>#N/A</v>
      </c>
      <c r="D1819" t="e">
        <f t="shared" si="28"/>
        <v>#N/A</v>
      </c>
    </row>
    <row r="1820" spans="1:4" x14ac:dyDescent="0.2">
      <c r="A1820">
        <f>'Fichas clínicas'!A1820</f>
        <v>1822</v>
      </c>
      <c r="B1820" t="str">
        <f>'Fichas clínicas'!B1820</f>
        <v>18332487-k</v>
      </c>
      <c r="C1820" t="e">
        <f>VLOOKUP(paciente_tutor!B1820,clientes!A1820:B3401,2,FALSE)</f>
        <v>#N/A</v>
      </c>
      <c r="D1820" t="e">
        <f t="shared" si="28"/>
        <v>#N/A</v>
      </c>
    </row>
    <row r="1821" spans="1:4" x14ac:dyDescent="0.2">
      <c r="A1821">
        <f>'Fichas clínicas'!A1821</f>
        <v>1823</v>
      </c>
      <c r="B1821" t="str">
        <f>'Fichas clínicas'!B1821</f>
        <v>19248537-1</v>
      </c>
      <c r="C1821" t="e">
        <f>VLOOKUP(paciente_tutor!B1821,clientes!A1821:B3402,2,FALSE)</f>
        <v>#N/A</v>
      </c>
      <c r="D1821" t="e">
        <f t="shared" si="28"/>
        <v>#N/A</v>
      </c>
    </row>
    <row r="1822" spans="1:4" x14ac:dyDescent="0.2">
      <c r="A1822">
        <f>'Fichas clínicas'!A1822</f>
        <v>1824</v>
      </c>
      <c r="B1822" t="str">
        <f>'Fichas clínicas'!B1822</f>
        <v>19877725-0</v>
      </c>
      <c r="C1822" t="e">
        <f>VLOOKUP(paciente_tutor!B1822,clientes!A1822:B3403,2,FALSE)</f>
        <v>#N/A</v>
      </c>
      <c r="D1822" t="e">
        <f t="shared" si="28"/>
        <v>#N/A</v>
      </c>
    </row>
    <row r="1823" spans="1:4" x14ac:dyDescent="0.2">
      <c r="A1823">
        <f>'Fichas clínicas'!A1823</f>
        <v>1825</v>
      </c>
      <c r="B1823" t="str">
        <f>'Fichas clínicas'!B1823</f>
        <v>21117318-1</v>
      </c>
      <c r="C1823" t="e">
        <f>VLOOKUP(paciente_tutor!B1823,clientes!A1823:B3404,2,FALSE)</f>
        <v>#N/A</v>
      </c>
      <c r="D1823" t="e">
        <f t="shared" si="28"/>
        <v>#N/A</v>
      </c>
    </row>
    <row r="1824" spans="1:4" x14ac:dyDescent="0.2">
      <c r="A1824">
        <f>'Fichas clínicas'!A1824</f>
        <v>1826</v>
      </c>
      <c r="B1824" t="str">
        <f>'Fichas clínicas'!B1824</f>
        <v>16805265-0</v>
      </c>
      <c r="C1824" t="e">
        <f>VLOOKUP(paciente_tutor!B1824,clientes!A1824:B3405,2,FALSE)</f>
        <v>#N/A</v>
      </c>
      <c r="D1824" t="e">
        <f t="shared" si="28"/>
        <v>#N/A</v>
      </c>
    </row>
    <row r="1825" spans="1:4" x14ac:dyDescent="0.2">
      <c r="A1825">
        <f>'Fichas clínicas'!A1825</f>
        <v>1827</v>
      </c>
      <c r="B1825" t="str">
        <f>'Fichas clínicas'!B1825</f>
        <v>16805265-0</v>
      </c>
      <c r="C1825" t="e">
        <f>VLOOKUP(paciente_tutor!B1825,clientes!A1825:B3406,2,FALSE)</f>
        <v>#N/A</v>
      </c>
      <c r="D1825" t="e">
        <f t="shared" si="28"/>
        <v>#N/A</v>
      </c>
    </row>
    <row r="1826" spans="1:4" x14ac:dyDescent="0.2">
      <c r="A1826">
        <f>'Fichas clínicas'!A1826</f>
        <v>1828</v>
      </c>
      <c r="B1826" t="str">
        <f>'Fichas clínicas'!B1826</f>
        <v>15549361-5</v>
      </c>
      <c r="C1826" t="e">
        <f>VLOOKUP(paciente_tutor!B1826,clientes!A1826:B3407,2,FALSE)</f>
        <v>#N/A</v>
      </c>
      <c r="D1826" t="e">
        <f t="shared" si="28"/>
        <v>#N/A</v>
      </c>
    </row>
    <row r="1827" spans="1:4" x14ac:dyDescent="0.2">
      <c r="A1827">
        <f>'Fichas clínicas'!A1827</f>
        <v>1829</v>
      </c>
      <c r="B1827" t="str">
        <f>'Fichas clínicas'!B1827</f>
        <v>18133585-8</v>
      </c>
      <c r="C1827" t="e">
        <f>VLOOKUP(paciente_tutor!B1827,clientes!A1827:B3408,2,FALSE)</f>
        <v>#N/A</v>
      </c>
      <c r="D1827" t="e">
        <f t="shared" si="28"/>
        <v>#N/A</v>
      </c>
    </row>
    <row r="1828" spans="1:4" x14ac:dyDescent="0.2">
      <c r="A1828">
        <f>'Fichas clínicas'!A1828</f>
        <v>1830</v>
      </c>
      <c r="B1828" t="str">
        <f>'Fichas clínicas'!B1828</f>
        <v>16805265-0</v>
      </c>
      <c r="C1828" t="e">
        <f>VLOOKUP(paciente_tutor!B1828,clientes!A1828:B3409,2,FALSE)</f>
        <v>#N/A</v>
      </c>
      <c r="D1828" t="e">
        <f t="shared" si="28"/>
        <v>#N/A</v>
      </c>
    </row>
    <row r="1829" spans="1:4" x14ac:dyDescent="0.2">
      <c r="A1829">
        <f>'Fichas clínicas'!A1829</f>
        <v>1831</v>
      </c>
      <c r="B1829" t="str">
        <f>'Fichas clínicas'!B1829</f>
        <v>26510675-7</v>
      </c>
      <c r="C1829" t="e">
        <f>VLOOKUP(paciente_tutor!B1829,clientes!A1829:B3410,2,FALSE)</f>
        <v>#N/A</v>
      </c>
      <c r="D1829" t="e">
        <f t="shared" si="28"/>
        <v>#N/A</v>
      </c>
    </row>
    <row r="1830" spans="1:4" x14ac:dyDescent="0.2">
      <c r="A1830">
        <f>'Fichas clínicas'!A1830</f>
        <v>1832</v>
      </c>
      <c r="B1830" t="str">
        <f>'Fichas clínicas'!B1830</f>
        <v>15883845-1</v>
      </c>
      <c r="C1830" t="e">
        <f>VLOOKUP(paciente_tutor!B1830,clientes!A1830:B3411,2,FALSE)</f>
        <v>#N/A</v>
      </c>
      <c r="D1830" t="e">
        <f t="shared" si="28"/>
        <v>#N/A</v>
      </c>
    </row>
    <row r="1831" spans="1:4" x14ac:dyDescent="0.2">
      <c r="A1831">
        <f>'Fichas clínicas'!A1831</f>
        <v>1833</v>
      </c>
      <c r="B1831" t="str">
        <f>'Fichas clínicas'!B1831</f>
        <v>8147935-6</v>
      </c>
      <c r="C1831" t="e">
        <f>VLOOKUP(paciente_tutor!B1831,clientes!A1831:B3412,2,FALSE)</f>
        <v>#N/A</v>
      </c>
      <c r="D1831" t="e">
        <f t="shared" si="28"/>
        <v>#N/A</v>
      </c>
    </row>
    <row r="1832" spans="1:4" x14ac:dyDescent="0.2">
      <c r="A1832">
        <f>'Fichas clínicas'!A1832</f>
        <v>1834</v>
      </c>
      <c r="B1832" t="str">
        <f>'Fichas clínicas'!B1832</f>
        <v>18948437-2</v>
      </c>
      <c r="C1832" t="e">
        <f>VLOOKUP(paciente_tutor!B1832,clientes!A1832:B3413,2,FALSE)</f>
        <v>#N/A</v>
      </c>
      <c r="D1832" t="e">
        <f t="shared" si="28"/>
        <v>#N/A</v>
      </c>
    </row>
    <row r="1833" spans="1:4" x14ac:dyDescent="0.2">
      <c r="A1833">
        <f>'Fichas clínicas'!A1833</f>
        <v>1835</v>
      </c>
      <c r="B1833" t="str">
        <f>'Fichas clínicas'!B1833</f>
        <v>13609176-k</v>
      </c>
      <c r="C1833" t="e">
        <f>VLOOKUP(paciente_tutor!B1833,clientes!A1833:B3414,2,FALSE)</f>
        <v>#N/A</v>
      </c>
      <c r="D1833" t="e">
        <f t="shared" si="28"/>
        <v>#N/A</v>
      </c>
    </row>
    <row r="1834" spans="1:4" x14ac:dyDescent="0.2">
      <c r="A1834">
        <f>'Fichas clínicas'!A1834</f>
        <v>1836</v>
      </c>
      <c r="B1834" t="str">
        <f>'Fichas clínicas'!B1834</f>
        <v>19548167-9</v>
      </c>
      <c r="C1834" t="e">
        <f>VLOOKUP(paciente_tutor!B1834,clientes!A1834:B3415,2,FALSE)</f>
        <v>#N/A</v>
      </c>
      <c r="D1834" t="e">
        <f t="shared" si="28"/>
        <v>#N/A</v>
      </c>
    </row>
    <row r="1835" spans="1:4" x14ac:dyDescent="0.2">
      <c r="A1835">
        <f>'Fichas clínicas'!A1835</f>
        <v>1837</v>
      </c>
      <c r="B1835" t="str">
        <f>'Fichas clínicas'!B1835</f>
        <v>19548167-9</v>
      </c>
      <c r="C1835" t="e">
        <f>VLOOKUP(paciente_tutor!B1835,clientes!A1835:B3416,2,FALSE)</f>
        <v>#N/A</v>
      </c>
      <c r="D1835" t="e">
        <f t="shared" si="28"/>
        <v>#N/A</v>
      </c>
    </row>
    <row r="1836" spans="1:4" x14ac:dyDescent="0.2">
      <c r="A1836">
        <f>'Fichas clínicas'!A1836</f>
        <v>1838</v>
      </c>
      <c r="B1836" t="str">
        <f>'Fichas clínicas'!B1836</f>
        <v>20345574-7</v>
      </c>
      <c r="C1836" t="e">
        <f>VLOOKUP(paciente_tutor!B1836,clientes!A1836:B3417,2,FALSE)</f>
        <v>#N/A</v>
      </c>
      <c r="D1836" t="e">
        <f t="shared" si="28"/>
        <v>#N/A</v>
      </c>
    </row>
    <row r="1837" spans="1:4" x14ac:dyDescent="0.2">
      <c r="A1837">
        <f>'Fichas clínicas'!A1837</f>
        <v>1839</v>
      </c>
      <c r="B1837" t="str">
        <f>'Fichas clínicas'!B1837</f>
        <v>20315338-4</v>
      </c>
      <c r="C1837" t="e">
        <f>VLOOKUP(paciente_tutor!B1837,clientes!A1837:B3418,2,FALSE)</f>
        <v>#N/A</v>
      </c>
      <c r="D1837" t="e">
        <f t="shared" si="28"/>
        <v>#N/A</v>
      </c>
    </row>
    <row r="1838" spans="1:4" x14ac:dyDescent="0.2">
      <c r="A1838">
        <f>'Fichas clínicas'!A1838</f>
        <v>1840</v>
      </c>
      <c r="B1838" t="str">
        <f>'Fichas clínicas'!B1838</f>
        <v>6421396-2</v>
      </c>
      <c r="C1838" t="e">
        <f>VLOOKUP(paciente_tutor!B1838,clientes!A1838:B3419,2,FALSE)</f>
        <v>#N/A</v>
      </c>
      <c r="D1838" t="e">
        <f t="shared" si="28"/>
        <v>#N/A</v>
      </c>
    </row>
    <row r="1839" spans="1:4" x14ac:dyDescent="0.2">
      <c r="A1839">
        <f>'Fichas clínicas'!A1839</f>
        <v>1841</v>
      </c>
      <c r="B1839" t="str">
        <f>'Fichas clínicas'!B1839</f>
        <v>17069824-k</v>
      </c>
      <c r="C1839" t="e">
        <f>VLOOKUP(paciente_tutor!B1839,clientes!A1839:B3420,2,FALSE)</f>
        <v>#N/A</v>
      </c>
      <c r="D1839" t="e">
        <f t="shared" si="28"/>
        <v>#N/A</v>
      </c>
    </row>
    <row r="1840" spans="1:4" x14ac:dyDescent="0.2">
      <c r="A1840">
        <f>'Fichas clínicas'!A1840</f>
        <v>1842</v>
      </c>
      <c r="B1840" t="str">
        <f>'Fichas clínicas'!B1840</f>
        <v>20641946-6</v>
      </c>
      <c r="C1840" t="e">
        <f>VLOOKUP(paciente_tutor!B1840,clientes!A1840:B3421,2,FALSE)</f>
        <v>#N/A</v>
      </c>
      <c r="D1840" t="e">
        <f t="shared" si="28"/>
        <v>#N/A</v>
      </c>
    </row>
    <row r="1841" spans="1:4" x14ac:dyDescent="0.2">
      <c r="A1841">
        <f>'Fichas clínicas'!A1841</f>
        <v>1843</v>
      </c>
      <c r="B1841" t="str">
        <f>'Fichas clínicas'!B1841</f>
        <v>13117182-k</v>
      </c>
      <c r="C1841" t="e">
        <f>VLOOKUP(paciente_tutor!B1841,clientes!A1841:B3422,2,FALSE)</f>
        <v>#N/A</v>
      </c>
      <c r="D1841" t="e">
        <f t="shared" si="28"/>
        <v>#N/A</v>
      </c>
    </row>
    <row r="1842" spans="1:4" x14ac:dyDescent="0.2">
      <c r="A1842">
        <f>'Fichas clínicas'!A1842</f>
        <v>1844</v>
      </c>
      <c r="B1842" t="str">
        <f>'Fichas clínicas'!B1842</f>
        <v>18288739-0</v>
      </c>
      <c r="C1842" t="e">
        <f>VLOOKUP(paciente_tutor!B1842,clientes!A1842:B3423,2,FALSE)</f>
        <v>#N/A</v>
      </c>
      <c r="D1842" t="e">
        <f t="shared" si="28"/>
        <v>#N/A</v>
      </c>
    </row>
    <row r="1843" spans="1:4" x14ac:dyDescent="0.2">
      <c r="A1843">
        <f>'Fichas clínicas'!A1843</f>
        <v>1845</v>
      </c>
      <c r="B1843" t="str">
        <f>'Fichas clínicas'!B1843</f>
        <v>20922023-7</v>
      </c>
      <c r="C1843" t="e">
        <f>VLOOKUP(paciente_tutor!B1843,clientes!A1843:B3424,2,FALSE)</f>
        <v>#N/A</v>
      </c>
      <c r="D1843" t="e">
        <f t="shared" si="28"/>
        <v>#N/A</v>
      </c>
    </row>
    <row r="1844" spans="1:4" x14ac:dyDescent="0.2">
      <c r="A1844">
        <f>'Fichas clínicas'!A1844</f>
        <v>1846</v>
      </c>
      <c r="B1844" t="str">
        <f>'Fichas clínicas'!B1844</f>
        <v>19248804-4</v>
      </c>
      <c r="C1844" t="e">
        <f>VLOOKUP(paciente_tutor!B1844,clientes!A1844:B3425,2,FALSE)</f>
        <v>#N/A</v>
      </c>
      <c r="D1844" t="e">
        <f t="shared" si="28"/>
        <v>#N/A</v>
      </c>
    </row>
    <row r="1845" spans="1:4" x14ac:dyDescent="0.2">
      <c r="A1845">
        <f>'Fichas clínicas'!A1845</f>
        <v>1847</v>
      </c>
      <c r="B1845" t="str">
        <f>'Fichas clínicas'!B1845</f>
        <v>17068096-0</v>
      </c>
      <c r="C1845" t="e">
        <f>VLOOKUP(paciente_tutor!B1845,clientes!A1845:B3426,2,FALSE)</f>
        <v>#N/A</v>
      </c>
      <c r="D1845" t="e">
        <f t="shared" si="28"/>
        <v>#N/A</v>
      </c>
    </row>
    <row r="1846" spans="1:4" x14ac:dyDescent="0.2">
      <c r="A1846">
        <f>'Fichas clínicas'!A1846</f>
        <v>1848</v>
      </c>
      <c r="B1846" t="str">
        <f>'Fichas clínicas'!B1846</f>
        <v>17359542-5</v>
      </c>
      <c r="C1846" t="e">
        <f>VLOOKUP(paciente_tutor!B1846,clientes!A1846:B3427,2,FALSE)</f>
        <v>#N/A</v>
      </c>
      <c r="D1846" t="e">
        <f t="shared" si="28"/>
        <v>#N/A</v>
      </c>
    </row>
    <row r="1847" spans="1:4" x14ac:dyDescent="0.2">
      <c r="A1847">
        <f>'Fichas clínicas'!A1847</f>
        <v>1849</v>
      </c>
      <c r="B1847" t="str">
        <f>'Fichas clínicas'!B1847</f>
        <v>19942060-7</v>
      </c>
      <c r="C1847" t="e">
        <f>VLOOKUP(paciente_tutor!B1847,clientes!A1847:B3428,2,FALSE)</f>
        <v>#N/A</v>
      </c>
      <c r="D1847" t="e">
        <f t="shared" si="28"/>
        <v>#N/A</v>
      </c>
    </row>
    <row r="1848" spans="1:4" x14ac:dyDescent="0.2">
      <c r="A1848">
        <f>'Fichas clínicas'!A1848</f>
        <v>1850</v>
      </c>
      <c r="B1848" t="str">
        <f>'Fichas clínicas'!B1848</f>
        <v>13103465-2</v>
      </c>
      <c r="C1848" t="e">
        <f>VLOOKUP(paciente_tutor!B1848,clientes!A1848:B3429,2,FALSE)</f>
        <v>#N/A</v>
      </c>
      <c r="D1848" t="e">
        <f t="shared" si="28"/>
        <v>#N/A</v>
      </c>
    </row>
    <row r="1849" spans="1:4" x14ac:dyDescent="0.2">
      <c r="A1849">
        <f>'Fichas clínicas'!A1849</f>
        <v>1851</v>
      </c>
      <c r="B1849" t="str">
        <f>'Fichas clínicas'!B1849</f>
        <v>9861092-8</v>
      </c>
      <c r="C1849" t="e">
        <f>VLOOKUP(paciente_tutor!B1849,clientes!A1849:B3430,2,FALSE)</f>
        <v>#N/A</v>
      </c>
      <c r="D1849" t="e">
        <f t="shared" si="28"/>
        <v>#N/A</v>
      </c>
    </row>
    <row r="1850" spans="1:4" x14ac:dyDescent="0.2">
      <c r="A1850">
        <f>'Fichas clínicas'!A1850</f>
        <v>1852</v>
      </c>
      <c r="B1850" t="str">
        <f>'Fichas clínicas'!B1850</f>
        <v>12993378-k</v>
      </c>
      <c r="C1850" t="e">
        <f>VLOOKUP(paciente_tutor!B1850,clientes!A1850:B3431,2,FALSE)</f>
        <v>#N/A</v>
      </c>
      <c r="D1850" t="e">
        <f t="shared" si="28"/>
        <v>#N/A</v>
      </c>
    </row>
    <row r="1851" spans="1:4" x14ac:dyDescent="0.2">
      <c r="A1851">
        <f>'Fichas clínicas'!A1851</f>
        <v>1853</v>
      </c>
      <c r="B1851" t="str">
        <f>'Fichas clínicas'!B1851</f>
        <v>17343959-8</v>
      </c>
      <c r="C1851" t="e">
        <f>VLOOKUP(paciente_tutor!B1851,clientes!A1851:B3432,2,FALSE)</f>
        <v>#N/A</v>
      </c>
      <c r="D1851" t="e">
        <f t="shared" si="28"/>
        <v>#N/A</v>
      </c>
    </row>
    <row r="1852" spans="1:4" x14ac:dyDescent="0.2">
      <c r="A1852">
        <f>'Fichas clínicas'!A1852</f>
        <v>1854</v>
      </c>
      <c r="B1852" t="str">
        <f>'Fichas clínicas'!B1852</f>
        <v>18591777-0</v>
      </c>
      <c r="C1852" t="e">
        <f>VLOOKUP(paciente_tutor!B1852,clientes!A1852:B3433,2,FALSE)</f>
        <v>#N/A</v>
      </c>
      <c r="D1852" t="e">
        <f t="shared" si="28"/>
        <v>#N/A</v>
      </c>
    </row>
    <row r="1853" spans="1:4" x14ac:dyDescent="0.2">
      <c r="A1853">
        <f>'Fichas clínicas'!A1853</f>
        <v>1855</v>
      </c>
      <c r="B1853" t="str">
        <f>'Fichas clínicas'!B1853</f>
        <v>15708321-k</v>
      </c>
      <c r="C1853" t="e">
        <f>VLOOKUP(paciente_tutor!B1853,clientes!A1853:B3434,2,FALSE)</f>
        <v>#N/A</v>
      </c>
      <c r="D1853" t="e">
        <f t="shared" si="28"/>
        <v>#N/A</v>
      </c>
    </row>
    <row r="1854" spans="1:4" x14ac:dyDescent="0.2">
      <c r="A1854">
        <f>'Fichas clínicas'!A1854</f>
        <v>1856</v>
      </c>
      <c r="B1854" t="str">
        <f>'Fichas clínicas'!B1854</f>
        <v>10442429-5</v>
      </c>
      <c r="C1854" t="e">
        <f>VLOOKUP(paciente_tutor!B1854,clientes!A1854:B3435,2,FALSE)</f>
        <v>#N/A</v>
      </c>
      <c r="D1854" t="e">
        <f t="shared" si="28"/>
        <v>#N/A</v>
      </c>
    </row>
    <row r="1855" spans="1:4" x14ac:dyDescent="0.2">
      <c r="A1855">
        <f>'Fichas clínicas'!A1855</f>
        <v>1857</v>
      </c>
      <c r="B1855" t="str">
        <f>'Fichas clínicas'!B1855</f>
        <v>18592322-3</v>
      </c>
      <c r="C1855" t="e">
        <f>VLOOKUP(paciente_tutor!B1855,clientes!A1855:B3436,2,FALSE)</f>
        <v>#N/A</v>
      </c>
      <c r="D1855" t="e">
        <f t="shared" si="28"/>
        <v>#N/A</v>
      </c>
    </row>
    <row r="1856" spans="1:4" x14ac:dyDescent="0.2">
      <c r="A1856">
        <f>'Fichas clínicas'!A1856</f>
        <v>1858</v>
      </c>
      <c r="B1856" t="str">
        <f>'Fichas clínicas'!B1856</f>
        <v>12045787-k</v>
      </c>
      <c r="C1856" t="e">
        <f>VLOOKUP(paciente_tutor!B1856,clientes!A1856:B3437,2,FALSE)</f>
        <v>#N/A</v>
      </c>
      <c r="D1856" t="e">
        <f t="shared" si="28"/>
        <v>#N/A</v>
      </c>
    </row>
    <row r="1857" spans="1:4" x14ac:dyDescent="0.2">
      <c r="A1857">
        <f>'Fichas clínicas'!A1857</f>
        <v>1859</v>
      </c>
      <c r="B1857" t="str">
        <f>'Fichas clínicas'!B1857</f>
        <v>18886710-3</v>
      </c>
      <c r="C1857" t="e">
        <f>VLOOKUP(paciente_tutor!B1857,clientes!A1857:B3438,2,FALSE)</f>
        <v>#N/A</v>
      </c>
      <c r="D1857" t="e">
        <f t="shared" si="28"/>
        <v>#N/A</v>
      </c>
    </row>
    <row r="1858" spans="1:4" x14ac:dyDescent="0.2">
      <c r="A1858">
        <f>'Fichas clínicas'!A1858</f>
        <v>1860</v>
      </c>
      <c r="B1858" t="str">
        <f>'Fichas clínicas'!B1858</f>
        <v>17343959-8</v>
      </c>
      <c r="C1858" t="e">
        <f>VLOOKUP(paciente_tutor!B1858,clientes!A1858:B3439,2,FALSE)</f>
        <v>#N/A</v>
      </c>
      <c r="D1858" t="e">
        <f t="shared" si="28"/>
        <v>#N/A</v>
      </c>
    </row>
    <row r="1859" spans="1:4" x14ac:dyDescent="0.2">
      <c r="A1859">
        <f>'Fichas clínicas'!A1859</f>
        <v>1861</v>
      </c>
      <c r="B1859" t="str">
        <f>'Fichas clínicas'!B1859</f>
        <v>18775608-1</v>
      </c>
      <c r="C1859" t="e">
        <f>VLOOKUP(paciente_tutor!B1859,clientes!A1859:B3440,2,FALSE)</f>
        <v>#N/A</v>
      </c>
      <c r="D1859" t="e">
        <f t="shared" ref="D1859:D1922" si="29">IF(C1859="#N/A","",B1859)</f>
        <v>#N/A</v>
      </c>
    </row>
    <row r="1860" spans="1:4" x14ac:dyDescent="0.2">
      <c r="A1860">
        <f>'Fichas clínicas'!A1860</f>
        <v>1862</v>
      </c>
      <c r="B1860" t="str">
        <f>'Fichas clínicas'!B1860</f>
        <v>12200103-2</v>
      </c>
      <c r="C1860" t="e">
        <f>VLOOKUP(paciente_tutor!B1860,clientes!A1860:B3441,2,FALSE)</f>
        <v>#N/A</v>
      </c>
      <c r="D1860" t="e">
        <f t="shared" si="29"/>
        <v>#N/A</v>
      </c>
    </row>
    <row r="1861" spans="1:4" x14ac:dyDescent="0.2">
      <c r="A1861">
        <f>'Fichas clínicas'!A1861</f>
        <v>1863</v>
      </c>
      <c r="B1861" t="str">
        <f>'Fichas clínicas'!B1861</f>
        <v>16128950-7</v>
      </c>
      <c r="C1861" t="e">
        <f>VLOOKUP(paciente_tutor!B1861,clientes!A1861:B3442,2,FALSE)</f>
        <v>#N/A</v>
      </c>
      <c r="D1861" t="e">
        <f t="shared" si="29"/>
        <v>#N/A</v>
      </c>
    </row>
    <row r="1862" spans="1:4" x14ac:dyDescent="0.2">
      <c r="A1862">
        <f>'Fichas clínicas'!A1862</f>
        <v>1864</v>
      </c>
      <c r="B1862" t="str">
        <f>'Fichas clínicas'!B1862</f>
        <v>21532337-4</v>
      </c>
      <c r="C1862" t="e">
        <f>VLOOKUP(paciente_tutor!B1862,clientes!A1862:B3443,2,FALSE)</f>
        <v>#N/A</v>
      </c>
      <c r="D1862" t="e">
        <f t="shared" si="29"/>
        <v>#N/A</v>
      </c>
    </row>
    <row r="1863" spans="1:4" x14ac:dyDescent="0.2">
      <c r="A1863">
        <f>'Fichas clínicas'!A1863</f>
        <v>1865</v>
      </c>
      <c r="B1863" t="str">
        <f>'Fichas clínicas'!B1863</f>
        <v>17614240-5</v>
      </c>
      <c r="C1863" t="e">
        <f>VLOOKUP(paciente_tutor!B1863,clientes!A1863:B3444,2,FALSE)</f>
        <v>#N/A</v>
      </c>
      <c r="D1863" t="e">
        <f t="shared" si="29"/>
        <v>#N/A</v>
      </c>
    </row>
    <row r="1864" spans="1:4" x14ac:dyDescent="0.2">
      <c r="A1864">
        <f>'Fichas clínicas'!A1864</f>
        <v>1866</v>
      </c>
      <c r="B1864" t="str">
        <f>'Fichas clínicas'!B1864</f>
        <v>18134111-4</v>
      </c>
      <c r="C1864" t="e">
        <f>VLOOKUP(paciente_tutor!B1864,clientes!A1864:B3445,2,FALSE)</f>
        <v>#N/A</v>
      </c>
      <c r="D1864" t="e">
        <f t="shared" si="29"/>
        <v>#N/A</v>
      </c>
    </row>
    <row r="1865" spans="1:4" x14ac:dyDescent="0.2">
      <c r="A1865">
        <f>'Fichas clínicas'!A1865</f>
        <v>1867</v>
      </c>
      <c r="B1865" t="str">
        <f>'Fichas clínicas'!B1865</f>
        <v>20967444-0</v>
      </c>
      <c r="C1865" t="e">
        <f>VLOOKUP(paciente_tutor!B1865,clientes!A1865:B3446,2,FALSE)</f>
        <v>#N/A</v>
      </c>
      <c r="D1865" t="e">
        <f t="shared" si="29"/>
        <v>#N/A</v>
      </c>
    </row>
    <row r="1866" spans="1:4" x14ac:dyDescent="0.2">
      <c r="A1866">
        <f>'Fichas clínicas'!A1866</f>
        <v>1868</v>
      </c>
      <c r="B1866" t="str">
        <f>'Fichas clínicas'!B1866</f>
        <v>23191863-9</v>
      </c>
      <c r="C1866" t="e">
        <f>VLOOKUP(paciente_tutor!B1866,clientes!A1866:B3447,2,FALSE)</f>
        <v>#N/A</v>
      </c>
      <c r="D1866" t="e">
        <f t="shared" si="29"/>
        <v>#N/A</v>
      </c>
    </row>
    <row r="1867" spans="1:4" x14ac:dyDescent="0.2">
      <c r="A1867">
        <f>'Fichas clínicas'!A1867</f>
        <v>1869</v>
      </c>
      <c r="B1867" t="str">
        <f>'Fichas clínicas'!B1867</f>
        <v>11704217-0</v>
      </c>
      <c r="C1867" t="e">
        <f>VLOOKUP(paciente_tutor!B1867,clientes!A1867:B3448,2,FALSE)</f>
        <v>#N/A</v>
      </c>
      <c r="D1867" t="e">
        <f t="shared" si="29"/>
        <v>#N/A</v>
      </c>
    </row>
    <row r="1868" spans="1:4" x14ac:dyDescent="0.2">
      <c r="A1868">
        <f>'Fichas clínicas'!A1868</f>
        <v>1870</v>
      </c>
      <c r="B1868" t="str">
        <f>'Fichas clínicas'!B1868</f>
        <v>10636405-2</v>
      </c>
      <c r="C1868" t="e">
        <f>VLOOKUP(paciente_tutor!B1868,clientes!A1868:B3449,2,FALSE)</f>
        <v>#N/A</v>
      </c>
      <c r="D1868" t="e">
        <f t="shared" si="29"/>
        <v>#N/A</v>
      </c>
    </row>
    <row r="1869" spans="1:4" x14ac:dyDescent="0.2">
      <c r="A1869">
        <f>'Fichas clínicas'!A1869</f>
        <v>1871</v>
      </c>
      <c r="B1869" t="str">
        <f>'Fichas clínicas'!B1869</f>
        <v>13117149-8</v>
      </c>
      <c r="C1869" t="e">
        <f>VLOOKUP(paciente_tutor!B1869,clientes!A1869:B3450,2,FALSE)</f>
        <v>#N/A</v>
      </c>
      <c r="D1869" t="e">
        <f t="shared" si="29"/>
        <v>#N/A</v>
      </c>
    </row>
    <row r="1870" spans="1:4" x14ac:dyDescent="0.2">
      <c r="A1870">
        <f>'Fichas clínicas'!A1870</f>
        <v>1872</v>
      </c>
      <c r="B1870" t="str">
        <f>'Fichas clínicas'!B1870</f>
        <v>15548326-1</v>
      </c>
      <c r="C1870" t="e">
        <f>VLOOKUP(paciente_tutor!B1870,clientes!A1870:B3451,2,FALSE)</f>
        <v>#N/A</v>
      </c>
      <c r="D1870" t="e">
        <f t="shared" si="29"/>
        <v>#N/A</v>
      </c>
    </row>
    <row r="1871" spans="1:4" x14ac:dyDescent="0.2">
      <c r="A1871">
        <f>'Fichas clínicas'!A1871</f>
        <v>1873</v>
      </c>
      <c r="B1871" t="str">
        <f>'Fichas clínicas'!B1871</f>
        <v>6337871-2</v>
      </c>
      <c r="C1871" t="e">
        <f>VLOOKUP(paciente_tutor!B1871,clientes!A1871:B3452,2,FALSE)</f>
        <v>#N/A</v>
      </c>
      <c r="D1871" t="e">
        <f t="shared" si="29"/>
        <v>#N/A</v>
      </c>
    </row>
    <row r="1872" spans="1:4" x14ac:dyDescent="0.2">
      <c r="A1872">
        <f>'Fichas clínicas'!A1872</f>
        <v>1874</v>
      </c>
      <c r="B1872" t="str">
        <f>'Fichas clínicas'!B1872</f>
        <v>12015488-5</v>
      </c>
      <c r="C1872" t="e">
        <f>VLOOKUP(paciente_tutor!B1872,clientes!A1872:B3453,2,FALSE)</f>
        <v>#N/A</v>
      </c>
      <c r="D1872" t="e">
        <f t="shared" si="29"/>
        <v>#N/A</v>
      </c>
    </row>
    <row r="1873" spans="1:4" x14ac:dyDescent="0.2">
      <c r="A1873">
        <f>'Fichas clínicas'!A1873</f>
        <v>1875</v>
      </c>
      <c r="B1873" t="str">
        <f>'Fichas clínicas'!B1873</f>
        <v>15293542-0</v>
      </c>
      <c r="C1873" t="e">
        <f>VLOOKUP(paciente_tutor!B1873,clientes!A1873:B3454,2,FALSE)</f>
        <v>#N/A</v>
      </c>
      <c r="D1873" t="e">
        <f t="shared" si="29"/>
        <v>#N/A</v>
      </c>
    </row>
    <row r="1874" spans="1:4" x14ac:dyDescent="0.2">
      <c r="A1874">
        <f>'Fichas clínicas'!A1874</f>
        <v>1876</v>
      </c>
      <c r="B1874" t="str">
        <f>'Fichas clínicas'!B1874</f>
        <v>20556553-1</v>
      </c>
      <c r="C1874" t="e">
        <f>VLOOKUP(paciente_tutor!B1874,clientes!A1874:B3455,2,FALSE)</f>
        <v>#N/A</v>
      </c>
      <c r="D1874" t="e">
        <f t="shared" si="29"/>
        <v>#N/A</v>
      </c>
    </row>
    <row r="1875" spans="1:4" x14ac:dyDescent="0.2">
      <c r="A1875">
        <f>'Fichas clínicas'!A1875</f>
        <v>1877</v>
      </c>
      <c r="B1875" t="str">
        <f>'Fichas clínicas'!B1875</f>
        <v>13400195-k</v>
      </c>
      <c r="C1875" t="e">
        <f>VLOOKUP(paciente_tutor!B1875,clientes!A1875:B3456,2,FALSE)</f>
        <v>#N/A</v>
      </c>
      <c r="D1875" t="e">
        <f t="shared" si="29"/>
        <v>#N/A</v>
      </c>
    </row>
    <row r="1876" spans="1:4" x14ac:dyDescent="0.2">
      <c r="A1876">
        <f>'Fichas clínicas'!A1876</f>
        <v>1878</v>
      </c>
      <c r="B1876" t="str">
        <f>'Fichas clínicas'!B1876</f>
        <v>13400195-k</v>
      </c>
      <c r="C1876" t="e">
        <f>VLOOKUP(paciente_tutor!B1876,clientes!A1876:B3457,2,FALSE)</f>
        <v>#N/A</v>
      </c>
      <c r="D1876" t="e">
        <f t="shared" si="29"/>
        <v>#N/A</v>
      </c>
    </row>
    <row r="1877" spans="1:4" x14ac:dyDescent="0.2">
      <c r="A1877">
        <f>'Fichas clínicas'!A1877</f>
        <v>1879</v>
      </c>
      <c r="B1877" t="str">
        <f>'Fichas clínicas'!B1877</f>
        <v>15381857-6</v>
      </c>
      <c r="C1877" t="e">
        <f>VLOOKUP(paciente_tutor!B1877,clientes!A1877:B3458,2,FALSE)</f>
        <v>#N/A</v>
      </c>
      <c r="D1877" t="e">
        <f t="shared" si="29"/>
        <v>#N/A</v>
      </c>
    </row>
    <row r="1878" spans="1:4" x14ac:dyDescent="0.2">
      <c r="A1878">
        <f>'Fichas clínicas'!A1878</f>
        <v>1880</v>
      </c>
      <c r="B1878" t="str">
        <f>'Fichas clínicas'!B1878</f>
        <v>21792628-9</v>
      </c>
      <c r="C1878" t="e">
        <f>VLOOKUP(paciente_tutor!B1878,clientes!A1878:B3459,2,FALSE)</f>
        <v>#N/A</v>
      </c>
      <c r="D1878" t="e">
        <f t="shared" si="29"/>
        <v>#N/A</v>
      </c>
    </row>
    <row r="1879" spans="1:4" x14ac:dyDescent="0.2">
      <c r="A1879">
        <f>'Fichas clínicas'!A1879</f>
        <v>1881</v>
      </c>
      <c r="B1879" t="str">
        <f>'Fichas clínicas'!B1879</f>
        <v>19938715-4</v>
      </c>
      <c r="C1879" t="e">
        <f>VLOOKUP(paciente_tutor!B1879,clientes!A1879:B3460,2,FALSE)</f>
        <v>#N/A</v>
      </c>
      <c r="D1879" t="e">
        <f t="shared" si="29"/>
        <v>#N/A</v>
      </c>
    </row>
    <row r="1880" spans="1:4" x14ac:dyDescent="0.2">
      <c r="A1880">
        <f>'Fichas clínicas'!A1880</f>
        <v>1882</v>
      </c>
      <c r="B1880" t="str">
        <f>'Fichas clínicas'!B1880</f>
        <v>16929735-5</v>
      </c>
      <c r="C1880" t="e">
        <f>VLOOKUP(paciente_tutor!B1880,clientes!A1880:B3461,2,FALSE)</f>
        <v>#N/A</v>
      </c>
      <c r="D1880" t="e">
        <f t="shared" si="29"/>
        <v>#N/A</v>
      </c>
    </row>
    <row r="1881" spans="1:4" x14ac:dyDescent="0.2">
      <c r="A1881">
        <f>'Fichas clínicas'!A1881</f>
        <v>1883</v>
      </c>
      <c r="B1881" t="str">
        <f>'Fichas clínicas'!B1881</f>
        <v>13515320-6</v>
      </c>
      <c r="C1881" t="e">
        <f>VLOOKUP(paciente_tutor!B1881,clientes!A1881:B3462,2,FALSE)</f>
        <v>#N/A</v>
      </c>
      <c r="D1881" t="e">
        <f t="shared" si="29"/>
        <v>#N/A</v>
      </c>
    </row>
    <row r="1882" spans="1:4" x14ac:dyDescent="0.2">
      <c r="A1882">
        <f>'Fichas clínicas'!A1882</f>
        <v>1884</v>
      </c>
      <c r="B1882" t="str">
        <f>'Fichas clínicas'!B1882</f>
        <v>21755789-5</v>
      </c>
      <c r="C1882" t="e">
        <f>VLOOKUP(paciente_tutor!B1882,clientes!A1882:B3463,2,FALSE)</f>
        <v>#N/A</v>
      </c>
      <c r="D1882" t="e">
        <f t="shared" si="29"/>
        <v>#N/A</v>
      </c>
    </row>
    <row r="1883" spans="1:4" x14ac:dyDescent="0.2">
      <c r="A1883">
        <f>'Fichas clínicas'!A1883</f>
        <v>1885</v>
      </c>
      <c r="B1883" t="str">
        <f>'Fichas clínicas'!B1883</f>
        <v>19624974-5</v>
      </c>
      <c r="C1883" t="e">
        <f>VLOOKUP(paciente_tutor!B1883,clientes!A1883:B3464,2,FALSE)</f>
        <v>#N/A</v>
      </c>
      <c r="D1883" t="e">
        <f t="shared" si="29"/>
        <v>#N/A</v>
      </c>
    </row>
    <row r="1884" spans="1:4" x14ac:dyDescent="0.2">
      <c r="A1884">
        <f>'Fichas clínicas'!A1884</f>
        <v>1886</v>
      </c>
      <c r="B1884" t="str">
        <f>'Fichas clínicas'!B1884</f>
        <v>19624974-5</v>
      </c>
      <c r="C1884" t="e">
        <f>VLOOKUP(paciente_tutor!B1884,clientes!A1884:B3465,2,FALSE)</f>
        <v>#N/A</v>
      </c>
      <c r="D1884" t="e">
        <f t="shared" si="29"/>
        <v>#N/A</v>
      </c>
    </row>
    <row r="1885" spans="1:4" x14ac:dyDescent="0.2">
      <c r="A1885">
        <f>'Fichas clínicas'!A1885</f>
        <v>1887</v>
      </c>
      <c r="B1885" t="str">
        <f>'Fichas clínicas'!B1885</f>
        <v>15884342-0</v>
      </c>
      <c r="C1885" t="e">
        <f>VLOOKUP(paciente_tutor!B1885,clientes!A1885:B3466,2,FALSE)</f>
        <v>#N/A</v>
      </c>
      <c r="D1885" t="e">
        <f t="shared" si="29"/>
        <v>#N/A</v>
      </c>
    </row>
    <row r="1886" spans="1:4" x14ac:dyDescent="0.2">
      <c r="A1886">
        <f>'Fichas clínicas'!A1886</f>
        <v>1888</v>
      </c>
      <c r="B1886" t="str">
        <f>'Fichas clínicas'!B1886</f>
        <v>17692909-k</v>
      </c>
      <c r="C1886" t="e">
        <f>VLOOKUP(paciente_tutor!B1886,clientes!A1886:B3467,2,FALSE)</f>
        <v>#N/A</v>
      </c>
      <c r="D1886" t="e">
        <f t="shared" si="29"/>
        <v>#N/A</v>
      </c>
    </row>
    <row r="1887" spans="1:4" x14ac:dyDescent="0.2">
      <c r="A1887">
        <f>'Fichas clínicas'!A1887</f>
        <v>1889</v>
      </c>
      <c r="B1887" t="str">
        <f>'Fichas clínicas'!B1887</f>
        <v>11738386-5</v>
      </c>
      <c r="C1887" t="e">
        <f>VLOOKUP(paciente_tutor!B1887,clientes!A1887:B3468,2,FALSE)</f>
        <v>#N/A</v>
      </c>
      <c r="D1887" t="e">
        <f t="shared" si="29"/>
        <v>#N/A</v>
      </c>
    </row>
    <row r="1888" spans="1:4" x14ac:dyDescent="0.2">
      <c r="A1888">
        <f>'Fichas clínicas'!A1888</f>
        <v>1890</v>
      </c>
      <c r="B1888" t="str">
        <f>'Fichas clínicas'!B1888</f>
        <v>19350719-0</v>
      </c>
      <c r="C1888" t="e">
        <f>VLOOKUP(paciente_tutor!B1888,clientes!A1888:B3469,2,FALSE)</f>
        <v>#N/A</v>
      </c>
      <c r="D1888" t="e">
        <f t="shared" si="29"/>
        <v>#N/A</v>
      </c>
    </row>
    <row r="1889" spans="1:4" x14ac:dyDescent="0.2">
      <c r="A1889">
        <f>'Fichas clínicas'!A1889</f>
        <v>1891</v>
      </c>
      <c r="B1889" t="str">
        <f>'Fichas clínicas'!B1889</f>
        <v>8934232-5</v>
      </c>
      <c r="C1889" t="e">
        <f>VLOOKUP(paciente_tutor!B1889,clientes!A1889:B3470,2,FALSE)</f>
        <v>#N/A</v>
      </c>
      <c r="D1889" t="e">
        <f t="shared" si="29"/>
        <v>#N/A</v>
      </c>
    </row>
    <row r="1890" spans="1:4" x14ac:dyDescent="0.2">
      <c r="A1890">
        <f>'Fichas clínicas'!A1890</f>
        <v>1892</v>
      </c>
      <c r="B1890" t="str">
        <f>'Fichas clínicas'!B1890</f>
        <v>9116737-9</v>
      </c>
      <c r="C1890" t="e">
        <f>VLOOKUP(paciente_tutor!B1890,clientes!A1890:B3471,2,FALSE)</f>
        <v>#N/A</v>
      </c>
      <c r="D1890" t="e">
        <f t="shared" si="29"/>
        <v>#N/A</v>
      </c>
    </row>
    <row r="1891" spans="1:4" x14ac:dyDescent="0.2">
      <c r="A1891">
        <f>'Fichas clínicas'!A1891</f>
        <v>1893</v>
      </c>
      <c r="B1891" t="str">
        <f>'Fichas clínicas'!B1891</f>
        <v>21117318-1</v>
      </c>
      <c r="C1891" t="e">
        <f>VLOOKUP(paciente_tutor!B1891,clientes!A1891:B3472,2,FALSE)</f>
        <v>#N/A</v>
      </c>
      <c r="D1891" t="e">
        <f t="shared" si="29"/>
        <v>#N/A</v>
      </c>
    </row>
    <row r="1892" spans="1:4" x14ac:dyDescent="0.2">
      <c r="A1892">
        <f>'Fichas clínicas'!A1892</f>
        <v>1894</v>
      </c>
      <c r="B1892" t="str">
        <f>'Fichas clínicas'!B1892</f>
        <v>11130238-3</v>
      </c>
      <c r="C1892" t="e">
        <f>VLOOKUP(paciente_tutor!B1892,clientes!A1892:B3473,2,FALSE)</f>
        <v>#N/A</v>
      </c>
      <c r="D1892" t="e">
        <f t="shared" si="29"/>
        <v>#N/A</v>
      </c>
    </row>
    <row r="1893" spans="1:4" x14ac:dyDescent="0.2">
      <c r="A1893">
        <f>'Fichas clínicas'!A1893</f>
        <v>1895</v>
      </c>
      <c r="B1893" t="str">
        <f>'Fichas clínicas'!B1893</f>
        <v>14009009-3</v>
      </c>
      <c r="C1893" t="e">
        <f>VLOOKUP(paciente_tutor!B1893,clientes!A1893:B3474,2,FALSE)</f>
        <v>#N/A</v>
      </c>
      <c r="D1893" t="e">
        <f t="shared" si="29"/>
        <v>#N/A</v>
      </c>
    </row>
    <row r="1894" spans="1:4" x14ac:dyDescent="0.2">
      <c r="A1894">
        <f>'Fichas clínicas'!A1894</f>
        <v>1896</v>
      </c>
      <c r="B1894" t="str">
        <f>'Fichas clínicas'!B1894</f>
        <v>16263340-6</v>
      </c>
      <c r="C1894" t="e">
        <f>VLOOKUP(paciente_tutor!B1894,clientes!A1894:B3475,2,FALSE)</f>
        <v>#N/A</v>
      </c>
      <c r="D1894" t="e">
        <f t="shared" si="29"/>
        <v>#N/A</v>
      </c>
    </row>
    <row r="1895" spans="1:4" x14ac:dyDescent="0.2">
      <c r="A1895">
        <f>'Fichas clínicas'!A1895</f>
        <v>1897</v>
      </c>
      <c r="B1895" t="str">
        <f>'Fichas clínicas'!B1895</f>
        <v>19624974-5</v>
      </c>
      <c r="C1895" t="e">
        <f>VLOOKUP(paciente_tutor!B1895,clientes!A1895:B3476,2,FALSE)</f>
        <v>#N/A</v>
      </c>
      <c r="D1895" t="e">
        <f t="shared" si="29"/>
        <v>#N/A</v>
      </c>
    </row>
    <row r="1896" spans="1:4" x14ac:dyDescent="0.2">
      <c r="A1896">
        <f>'Fichas clínicas'!A1896</f>
        <v>1898</v>
      </c>
      <c r="B1896" t="str">
        <f>'Fichas clínicas'!B1896</f>
        <v>16929709-6</v>
      </c>
      <c r="C1896" t="e">
        <f>VLOOKUP(paciente_tutor!B1896,clientes!A1896:B3477,2,FALSE)</f>
        <v>#N/A</v>
      </c>
      <c r="D1896" t="e">
        <f t="shared" si="29"/>
        <v>#N/A</v>
      </c>
    </row>
    <row r="1897" spans="1:4" x14ac:dyDescent="0.2">
      <c r="A1897">
        <f>'Fichas clínicas'!A1897</f>
        <v>1899</v>
      </c>
      <c r="B1897" t="str">
        <f>'Fichas clínicas'!B1897</f>
        <v>19004875-6</v>
      </c>
      <c r="C1897" t="e">
        <f>VLOOKUP(paciente_tutor!B1897,clientes!A1897:B3478,2,FALSE)</f>
        <v>#N/A</v>
      </c>
      <c r="D1897" t="e">
        <f t="shared" si="29"/>
        <v>#N/A</v>
      </c>
    </row>
    <row r="1898" spans="1:4" x14ac:dyDescent="0.2">
      <c r="A1898">
        <f>'Fichas clínicas'!A1898</f>
        <v>1900</v>
      </c>
      <c r="B1898" t="str">
        <f>'Fichas clínicas'!B1898</f>
        <v>6308877-3</v>
      </c>
      <c r="C1898" t="e">
        <f>VLOOKUP(paciente_tutor!B1898,clientes!A1898:B3479,2,FALSE)</f>
        <v>#N/A</v>
      </c>
      <c r="D1898" t="e">
        <f t="shared" si="29"/>
        <v>#N/A</v>
      </c>
    </row>
    <row r="1899" spans="1:4" x14ac:dyDescent="0.2">
      <c r="A1899">
        <f>'Fichas clínicas'!A1899</f>
        <v>1901</v>
      </c>
      <c r="B1899" t="str">
        <f>'Fichas clínicas'!B1899</f>
        <v>19624974-5</v>
      </c>
      <c r="C1899" t="e">
        <f>VLOOKUP(paciente_tutor!B1899,clientes!A1899:B3480,2,FALSE)</f>
        <v>#N/A</v>
      </c>
      <c r="D1899" t="e">
        <f t="shared" si="29"/>
        <v>#N/A</v>
      </c>
    </row>
    <row r="1900" spans="1:4" x14ac:dyDescent="0.2">
      <c r="A1900">
        <f>'Fichas clínicas'!A1900</f>
        <v>1902</v>
      </c>
      <c r="B1900" t="str">
        <f>'Fichas clínicas'!B1900</f>
        <v>19624974-5</v>
      </c>
      <c r="C1900" t="e">
        <f>VLOOKUP(paciente_tutor!B1900,clientes!A1900:B3481,2,FALSE)</f>
        <v>#N/A</v>
      </c>
      <c r="D1900" t="e">
        <f t="shared" si="29"/>
        <v>#N/A</v>
      </c>
    </row>
    <row r="1901" spans="1:4" x14ac:dyDescent="0.2">
      <c r="A1901">
        <f>'Fichas clínicas'!A1901</f>
        <v>1903</v>
      </c>
      <c r="B1901" t="str">
        <f>'Fichas clínicas'!B1901</f>
        <v>17693474-3</v>
      </c>
      <c r="C1901" t="e">
        <f>VLOOKUP(paciente_tutor!B1901,clientes!A1901:B3482,2,FALSE)</f>
        <v>#N/A</v>
      </c>
      <c r="D1901" t="e">
        <f t="shared" si="29"/>
        <v>#N/A</v>
      </c>
    </row>
    <row r="1902" spans="1:4" x14ac:dyDescent="0.2">
      <c r="A1902">
        <f>'Fichas clínicas'!A1902</f>
        <v>1904</v>
      </c>
      <c r="B1902" t="str">
        <f>'Fichas clínicas'!B1902</f>
        <v>19624974-5</v>
      </c>
      <c r="C1902" t="e">
        <f>VLOOKUP(paciente_tutor!B1902,clientes!A1902:B3483,2,FALSE)</f>
        <v>#N/A</v>
      </c>
      <c r="D1902" t="e">
        <f t="shared" si="29"/>
        <v>#N/A</v>
      </c>
    </row>
    <row r="1903" spans="1:4" x14ac:dyDescent="0.2">
      <c r="A1903">
        <f>'Fichas clínicas'!A1903</f>
        <v>1905</v>
      </c>
      <c r="B1903" t="str">
        <f>'Fichas clínicas'!B1903</f>
        <v>12993681-9</v>
      </c>
      <c r="C1903" t="e">
        <f>VLOOKUP(paciente_tutor!B1903,clientes!A1903:B3484,2,FALSE)</f>
        <v>#N/A</v>
      </c>
      <c r="D1903" t="e">
        <f t="shared" si="29"/>
        <v>#N/A</v>
      </c>
    </row>
    <row r="1904" spans="1:4" x14ac:dyDescent="0.2">
      <c r="A1904">
        <f>'Fichas clínicas'!A1904</f>
        <v>1906</v>
      </c>
      <c r="B1904" t="str">
        <f>'Fichas clínicas'!B1904</f>
        <v>12993681-9</v>
      </c>
      <c r="C1904" t="e">
        <f>VLOOKUP(paciente_tutor!B1904,clientes!A1904:B3485,2,FALSE)</f>
        <v>#N/A</v>
      </c>
      <c r="D1904" t="e">
        <f t="shared" si="29"/>
        <v>#N/A</v>
      </c>
    </row>
    <row r="1905" spans="1:4" x14ac:dyDescent="0.2">
      <c r="A1905">
        <f>'Fichas clínicas'!A1905</f>
        <v>1907</v>
      </c>
      <c r="B1905" t="str">
        <f>'Fichas clínicas'!B1905</f>
        <v>16160043-1</v>
      </c>
      <c r="C1905" t="e">
        <f>VLOOKUP(paciente_tutor!B1905,clientes!A1905:B3486,2,FALSE)</f>
        <v>#N/A</v>
      </c>
      <c r="D1905" t="e">
        <f t="shared" si="29"/>
        <v>#N/A</v>
      </c>
    </row>
    <row r="1906" spans="1:4" x14ac:dyDescent="0.2">
      <c r="A1906">
        <f>'Fichas clínicas'!A1906</f>
        <v>1908</v>
      </c>
      <c r="B1906" t="str">
        <f>'Fichas clínicas'!B1906</f>
        <v>12114227-9</v>
      </c>
      <c r="C1906" t="e">
        <f>VLOOKUP(paciente_tutor!B1906,clientes!A1906:B3487,2,FALSE)</f>
        <v>#N/A</v>
      </c>
      <c r="D1906" t="e">
        <f t="shared" si="29"/>
        <v>#N/A</v>
      </c>
    </row>
    <row r="1907" spans="1:4" x14ac:dyDescent="0.2">
      <c r="A1907">
        <f>'Fichas clínicas'!A1907</f>
        <v>1909</v>
      </c>
      <c r="B1907" t="str">
        <f>'Fichas clínicas'!B1907</f>
        <v>19556541-4</v>
      </c>
      <c r="C1907" t="e">
        <f>VLOOKUP(paciente_tutor!B1907,clientes!A1907:B3488,2,FALSE)</f>
        <v>#N/A</v>
      </c>
      <c r="D1907" t="e">
        <f t="shared" si="29"/>
        <v>#N/A</v>
      </c>
    </row>
    <row r="1908" spans="1:4" x14ac:dyDescent="0.2">
      <c r="A1908">
        <f>'Fichas clínicas'!A1908</f>
        <v>1910</v>
      </c>
      <c r="B1908" t="str">
        <f>'Fichas clínicas'!B1908</f>
        <v>5023411-8</v>
      </c>
      <c r="C1908" t="e">
        <f>VLOOKUP(paciente_tutor!B1908,clientes!A1908:B3489,2,FALSE)</f>
        <v>#N/A</v>
      </c>
      <c r="D1908" t="e">
        <f t="shared" si="29"/>
        <v>#N/A</v>
      </c>
    </row>
    <row r="1909" spans="1:4" x14ac:dyDescent="0.2">
      <c r="A1909">
        <f>'Fichas clínicas'!A1909</f>
        <v>1911</v>
      </c>
      <c r="B1909" t="str">
        <f>'Fichas clínicas'!B1909</f>
        <v>18514100-4</v>
      </c>
      <c r="C1909" t="e">
        <f>VLOOKUP(paciente_tutor!B1909,clientes!A1909:B3490,2,FALSE)</f>
        <v>#N/A</v>
      </c>
      <c r="D1909" t="e">
        <f t="shared" si="29"/>
        <v>#N/A</v>
      </c>
    </row>
    <row r="1910" spans="1:4" x14ac:dyDescent="0.2">
      <c r="A1910">
        <f>'Fichas clínicas'!A1910</f>
        <v>1912</v>
      </c>
      <c r="B1910" t="str">
        <f>'Fichas clínicas'!B1910</f>
        <v>9522525-K</v>
      </c>
      <c r="C1910" t="e">
        <f>VLOOKUP(paciente_tutor!B1910,clientes!A1910:B3491,2,FALSE)</f>
        <v>#N/A</v>
      </c>
      <c r="D1910" t="e">
        <f t="shared" si="29"/>
        <v>#N/A</v>
      </c>
    </row>
    <row r="1911" spans="1:4" x14ac:dyDescent="0.2">
      <c r="A1911">
        <f>'Fichas clínicas'!A1911</f>
        <v>1913</v>
      </c>
      <c r="B1911" t="str">
        <f>'Fichas clínicas'!B1911</f>
        <v>19755390-1</v>
      </c>
      <c r="C1911" t="e">
        <f>VLOOKUP(paciente_tutor!B1911,clientes!A1911:B3492,2,FALSE)</f>
        <v>#N/A</v>
      </c>
      <c r="D1911" t="e">
        <f t="shared" si="29"/>
        <v>#N/A</v>
      </c>
    </row>
    <row r="1912" spans="1:4" x14ac:dyDescent="0.2">
      <c r="A1912">
        <f>'Fichas clínicas'!A1912</f>
        <v>1914</v>
      </c>
      <c r="B1912" t="str">
        <f>'Fichas clínicas'!B1912</f>
        <v>19554284-8</v>
      </c>
      <c r="C1912" t="e">
        <f>VLOOKUP(paciente_tutor!B1912,clientes!A1912:B3493,2,FALSE)</f>
        <v>#N/A</v>
      </c>
      <c r="D1912" t="e">
        <f t="shared" si="29"/>
        <v>#N/A</v>
      </c>
    </row>
    <row r="1913" spans="1:4" x14ac:dyDescent="0.2">
      <c r="A1913">
        <f>'Fichas clínicas'!A1913</f>
        <v>1915</v>
      </c>
      <c r="B1913" t="str">
        <f>'Fichas clínicas'!B1913</f>
        <v>16805265-0</v>
      </c>
      <c r="C1913" t="e">
        <f>VLOOKUP(paciente_tutor!B1913,clientes!A1913:B3494,2,FALSE)</f>
        <v>#N/A</v>
      </c>
      <c r="D1913" t="e">
        <f t="shared" si="29"/>
        <v>#N/A</v>
      </c>
    </row>
    <row r="1914" spans="1:4" x14ac:dyDescent="0.2">
      <c r="A1914">
        <f>'Fichas clínicas'!A1914</f>
        <v>1916</v>
      </c>
      <c r="B1914" t="str">
        <f>'Fichas clínicas'!B1914</f>
        <v>16805265-0</v>
      </c>
      <c r="C1914" t="e">
        <f>VLOOKUP(paciente_tutor!B1914,clientes!A1914:B3495,2,FALSE)</f>
        <v>#N/A</v>
      </c>
      <c r="D1914" t="e">
        <f t="shared" si="29"/>
        <v>#N/A</v>
      </c>
    </row>
    <row r="1915" spans="1:4" x14ac:dyDescent="0.2">
      <c r="A1915">
        <f>'Fichas clínicas'!A1915</f>
        <v>1917</v>
      </c>
      <c r="B1915" t="str">
        <f>'Fichas clínicas'!B1915</f>
        <v>15883845-1</v>
      </c>
      <c r="C1915" t="e">
        <f>VLOOKUP(paciente_tutor!B1915,clientes!A1915:B3496,2,FALSE)</f>
        <v>#N/A</v>
      </c>
      <c r="D1915" t="e">
        <f t="shared" si="29"/>
        <v>#N/A</v>
      </c>
    </row>
    <row r="1916" spans="1:4" x14ac:dyDescent="0.2">
      <c r="A1916">
        <f>'Fichas clínicas'!A1916</f>
        <v>1918</v>
      </c>
      <c r="B1916" t="str">
        <f>'Fichas clínicas'!B1916</f>
        <v>20316116-6</v>
      </c>
      <c r="C1916" t="e">
        <f>VLOOKUP(paciente_tutor!B1916,clientes!A1916:B3497,2,FALSE)</f>
        <v>#N/A</v>
      </c>
      <c r="D1916" t="e">
        <f t="shared" si="29"/>
        <v>#N/A</v>
      </c>
    </row>
    <row r="1917" spans="1:4" x14ac:dyDescent="0.2">
      <c r="A1917">
        <f>'Fichas clínicas'!A1917</f>
        <v>1919</v>
      </c>
      <c r="B1917" t="str">
        <f>'Fichas clínicas'!B1917</f>
        <v>18550617-7</v>
      </c>
      <c r="C1917" t="e">
        <f>VLOOKUP(paciente_tutor!B1917,clientes!A1917:B3498,2,FALSE)</f>
        <v>#N/A</v>
      </c>
      <c r="D1917" t="e">
        <f t="shared" si="29"/>
        <v>#N/A</v>
      </c>
    </row>
    <row r="1918" spans="1:4" x14ac:dyDescent="0.2">
      <c r="A1918">
        <f>'Fichas clínicas'!A1918</f>
        <v>1920</v>
      </c>
      <c r="B1918" t="str">
        <f>'Fichas clínicas'!B1918</f>
        <v>19248534-7</v>
      </c>
      <c r="C1918" t="e">
        <f>VLOOKUP(paciente_tutor!B1918,clientes!A1918:B3499,2,FALSE)</f>
        <v>#N/A</v>
      </c>
      <c r="D1918" t="e">
        <f t="shared" si="29"/>
        <v>#N/A</v>
      </c>
    </row>
    <row r="1919" spans="1:4" x14ac:dyDescent="0.2">
      <c r="A1919">
        <f>'Fichas clínicas'!A1919</f>
        <v>1921</v>
      </c>
      <c r="B1919" t="str">
        <f>'Fichas clínicas'!B1919</f>
        <v>19937902-k</v>
      </c>
      <c r="C1919" t="e">
        <f>VLOOKUP(paciente_tutor!B1919,clientes!A1919:B3500,2,FALSE)</f>
        <v>#N/A</v>
      </c>
      <c r="D1919" t="e">
        <f t="shared" si="29"/>
        <v>#N/A</v>
      </c>
    </row>
    <row r="1920" spans="1:4" x14ac:dyDescent="0.2">
      <c r="A1920">
        <f>'Fichas clínicas'!A1920</f>
        <v>1922</v>
      </c>
      <c r="B1920" t="str">
        <f>'Fichas clínicas'!B1920</f>
        <v>16604805-2</v>
      </c>
      <c r="C1920" t="e">
        <f>VLOOKUP(paciente_tutor!B1920,clientes!A1920:B3501,2,FALSE)</f>
        <v>#N/A</v>
      </c>
      <c r="D1920" t="e">
        <f t="shared" si="29"/>
        <v>#N/A</v>
      </c>
    </row>
    <row r="1921" spans="1:4" x14ac:dyDescent="0.2">
      <c r="A1921">
        <f>'Fichas clínicas'!A1921</f>
        <v>1923</v>
      </c>
      <c r="B1921" t="str">
        <f>'Fichas clínicas'!B1921</f>
        <v>19033804-5</v>
      </c>
      <c r="C1921" t="e">
        <f>VLOOKUP(paciente_tutor!B1921,clientes!A1921:B3502,2,FALSE)</f>
        <v>#N/A</v>
      </c>
      <c r="D1921" t="e">
        <f t="shared" si="29"/>
        <v>#N/A</v>
      </c>
    </row>
    <row r="1922" spans="1:4" x14ac:dyDescent="0.2">
      <c r="A1922">
        <f>'Fichas clínicas'!A1922</f>
        <v>1924</v>
      </c>
      <c r="B1922" t="str">
        <f>'Fichas clínicas'!B1922</f>
        <v>17513221-k</v>
      </c>
      <c r="C1922" t="e">
        <f>VLOOKUP(paciente_tutor!B1922,clientes!A1922:B3503,2,FALSE)</f>
        <v>#N/A</v>
      </c>
      <c r="D1922" t="e">
        <f t="shared" si="29"/>
        <v>#N/A</v>
      </c>
    </row>
    <row r="1923" spans="1:4" x14ac:dyDescent="0.2">
      <c r="A1923">
        <f>'Fichas clínicas'!A1923</f>
        <v>1925</v>
      </c>
      <c r="B1923" t="str">
        <f>'Fichas clínicas'!B1923</f>
        <v>18775723-1</v>
      </c>
      <c r="C1923" t="e">
        <f>VLOOKUP(paciente_tutor!B1923,clientes!A1923:B3504,2,FALSE)</f>
        <v>#N/A</v>
      </c>
      <c r="D1923" t="e">
        <f t="shared" ref="D1923:D1986" si="30">IF(C1923="#N/A","",B1923)</f>
        <v>#N/A</v>
      </c>
    </row>
    <row r="1924" spans="1:4" x14ac:dyDescent="0.2">
      <c r="A1924">
        <f>'Fichas clínicas'!A1924</f>
        <v>1926</v>
      </c>
      <c r="B1924" t="str">
        <f>'Fichas clínicas'!B1924</f>
        <v>18775723-1</v>
      </c>
      <c r="C1924" t="e">
        <f>VLOOKUP(paciente_tutor!B1924,clientes!A1924:B3505,2,FALSE)</f>
        <v>#N/A</v>
      </c>
      <c r="D1924" t="e">
        <f t="shared" si="30"/>
        <v>#N/A</v>
      </c>
    </row>
    <row r="1925" spans="1:4" x14ac:dyDescent="0.2">
      <c r="A1925">
        <f>'Fichas clínicas'!A1925</f>
        <v>1927</v>
      </c>
      <c r="B1925" t="str">
        <f>'Fichas clínicas'!B1925</f>
        <v>17360777-6</v>
      </c>
      <c r="C1925" t="e">
        <f>VLOOKUP(paciente_tutor!B1925,clientes!A1925:B3506,2,FALSE)</f>
        <v>#N/A</v>
      </c>
      <c r="D1925" t="e">
        <f t="shared" si="30"/>
        <v>#N/A</v>
      </c>
    </row>
    <row r="1926" spans="1:4" x14ac:dyDescent="0.2">
      <c r="A1926">
        <f>'Fichas clínicas'!A1926</f>
        <v>1928</v>
      </c>
      <c r="B1926" t="str">
        <f>'Fichas clínicas'!B1926</f>
        <v>11325325-8</v>
      </c>
      <c r="C1926" t="e">
        <f>VLOOKUP(paciente_tutor!B1926,clientes!A1926:B3507,2,FALSE)</f>
        <v>#N/A</v>
      </c>
      <c r="D1926" t="e">
        <f t="shared" si="30"/>
        <v>#N/A</v>
      </c>
    </row>
    <row r="1927" spans="1:4" x14ac:dyDescent="0.2">
      <c r="A1927">
        <f>'Fichas clínicas'!A1927</f>
        <v>1929</v>
      </c>
      <c r="B1927" t="str">
        <f>'Fichas clínicas'!B1927</f>
        <v>21101440-7</v>
      </c>
      <c r="C1927" t="e">
        <f>VLOOKUP(paciente_tutor!B1927,clientes!A1927:B3508,2,FALSE)</f>
        <v>#N/A</v>
      </c>
      <c r="D1927" t="e">
        <f t="shared" si="30"/>
        <v>#N/A</v>
      </c>
    </row>
    <row r="1928" spans="1:4" x14ac:dyDescent="0.2">
      <c r="A1928">
        <f>'Fichas clínicas'!A1928</f>
        <v>1930</v>
      </c>
      <c r="B1928" t="str">
        <f>'Fichas clínicas'!B1928</f>
        <v>18775966-8</v>
      </c>
      <c r="C1928" t="e">
        <f>VLOOKUP(paciente_tutor!B1928,clientes!A1928:B3509,2,FALSE)</f>
        <v>#N/A</v>
      </c>
      <c r="D1928" t="e">
        <f t="shared" si="30"/>
        <v>#N/A</v>
      </c>
    </row>
    <row r="1929" spans="1:4" x14ac:dyDescent="0.2">
      <c r="A1929">
        <f>'Fichas clínicas'!A1929</f>
        <v>1931</v>
      </c>
      <c r="B1929" t="str">
        <f>'Fichas clínicas'!B1929</f>
        <v>17360619-2</v>
      </c>
      <c r="C1929" t="e">
        <f>VLOOKUP(paciente_tutor!B1929,clientes!A1929:B3510,2,FALSE)</f>
        <v>#N/A</v>
      </c>
      <c r="D1929" t="e">
        <f t="shared" si="30"/>
        <v>#N/A</v>
      </c>
    </row>
    <row r="1930" spans="1:4" x14ac:dyDescent="0.2">
      <c r="A1930">
        <f>'Fichas clínicas'!A1930</f>
        <v>1932</v>
      </c>
      <c r="B1930" t="str">
        <f>'Fichas clínicas'!B1930</f>
        <v>18134419-9</v>
      </c>
      <c r="C1930" t="e">
        <f>VLOOKUP(paciente_tutor!B1930,clientes!A1930:B3511,2,FALSE)</f>
        <v>#N/A</v>
      </c>
      <c r="D1930" t="e">
        <f t="shared" si="30"/>
        <v>#N/A</v>
      </c>
    </row>
    <row r="1931" spans="1:4" x14ac:dyDescent="0.2">
      <c r="A1931">
        <f>'Fichas clínicas'!A1931</f>
        <v>1933</v>
      </c>
      <c r="B1931" t="str">
        <f>'Fichas clínicas'!B1931</f>
        <v>18132451-1</v>
      </c>
      <c r="C1931" t="e">
        <f>VLOOKUP(paciente_tutor!B1931,clientes!A1931:B3512,2,FALSE)</f>
        <v>#N/A</v>
      </c>
      <c r="D1931" t="e">
        <f t="shared" si="30"/>
        <v>#N/A</v>
      </c>
    </row>
    <row r="1932" spans="1:4" x14ac:dyDescent="0.2">
      <c r="A1932">
        <f>'Fichas clínicas'!A1932</f>
        <v>1934</v>
      </c>
      <c r="B1932" t="str">
        <f>'Fichas clínicas'!B1932</f>
        <v>15549154-k</v>
      </c>
      <c r="C1932" t="e">
        <f>VLOOKUP(paciente_tutor!B1932,clientes!A1932:B3513,2,FALSE)</f>
        <v>#N/A</v>
      </c>
      <c r="D1932" t="e">
        <f t="shared" si="30"/>
        <v>#N/A</v>
      </c>
    </row>
    <row r="1933" spans="1:4" x14ac:dyDescent="0.2">
      <c r="A1933">
        <f>'Fichas clínicas'!A1933</f>
        <v>1935</v>
      </c>
      <c r="B1933" t="str">
        <f>'Fichas clínicas'!B1933</f>
        <v>20346253-0</v>
      </c>
      <c r="C1933" t="e">
        <f>VLOOKUP(paciente_tutor!B1933,clientes!A1933:B3514,2,FALSE)</f>
        <v>#N/A</v>
      </c>
      <c r="D1933" t="e">
        <f t="shared" si="30"/>
        <v>#N/A</v>
      </c>
    </row>
    <row r="1934" spans="1:4" x14ac:dyDescent="0.2">
      <c r="A1934">
        <f>'Fichas clínicas'!A1934</f>
        <v>1936</v>
      </c>
      <c r="B1934" t="str">
        <f>'Fichas clínicas'!B1934</f>
        <v>12993681-9</v>
      </c>
      <c r="C1934" t="e">
        <f>VLOOKUP(paciente_tutor!B1934,clientes!A1934:B3515,2,FALSE)</f>
        <v>#N/A</v>
      </c>
      <c r="D1934" t="e">
        <f t="shared" si="30"/>
        <v>#N/A</v>
      </c>
    </row>
    <row r="1935" spans="1:4" x14ac:dyDescent="0.2">
      <c r="A1935">
        <f>'Fichas clínicas'!A1935</f>
        <v>1937</v>
      </c>
      <c r="B1935" t="str">
        <f>'Fichas clínicas'!B1935</f>
        <v>17360619-2</v>
      </c>
      <c r="C1935" t="e">
        <f>VLOOKUP(paciente_tutor!B1935,clientes!A1935:B3516,2,FALSE)</f>
        <v>#N/A</v>
      </c>
      <c r="D1935" t="e">
        <f t="shared" si="30"/>
        <v>#N/A</v>
      </c>
    </row>
    <row r="1936" spans="1:4" x14ac:dyDescent="0.2">
      <c r="A1936">
        <f>'Fichas clínicas'!A1936</f>
        <v>1938</v>
      </c>
      <c r="B1936" t="str">
        <f>'Fichas clínicas'!B1936</f>
        <v>17360619-2</v>
      </c>
      <c r="C1936" t="e">
        <f>VLOOKUP(paciente_tutor!B1936,clientes!A1936:B3517,2,FALSE)</f>
        <v>#N/A</v>
      </c>
      <c r="D1936" t="e">
        <f t="shared" si="30"/>
        <v>#N/A</v>
      </c>
    </row>
    <row r="1937" spans="1:4" x14ac:dyDescent="0.2">
      <c r="A1937">
        <f>'Fichas clínicas'!A1937</f>
        <v>1939</v>
      </c>
      <c r="B1937" t="str">
        <f>'Fichas clínicas'!B1937</f>
        <v>19624974-5</v>
      </c>
      <c r="C1937" t="e">
        <f>VLOOKUP(paciente_tutor!B1937,clientes!A1937:B3518,2,FALSE)</f>
        <v>#N/A</v>
      </c>
      <c r="D1937" t="e">
        <f t="shared" si="30"/>
        <v>#N/A</v>
      </c>
    </row>
    <row r="1938" spans="1:4" x14ac:dyDescent="0.2">
      <c r="A1938">
        <f>'Fichas clínicas'!A1938</f>
        <v>1940</v>
      </c>
      <c r="B1938" t="str">
        <f>'Fichas clínicas'!B1938</f>
        <v>25338487-5</v>
      </c>
      <c r="C1938" t="e">
        <f>VLOOKUP(paciente_tutor!B1938,clientes!A1938:B3519,2,FALSE)</f>
        <v>#N/A</v>
      </c>
      <c r="D1938" t="e">
        <f t="shared" si="30"/>
        <v>#N/A</v>
      </c>
    </row>
    <row r="1939" spans="1:4" x14ac:dyDescent="0.2">
      <c r="A1939">
        <f>'Fichas clínicas'!A1939</f>
        <v>1941</v>
      </c>
      <c r="B1939" t="str">
        <f>'Fichas clínicas'!B1939</f>
        <v>12074118-7</v>
      </c>
      <c r="C1939" t="e">
        <f>VLOOKUP(paciente_tutor!B1939,clientes!A1939:B3520,2,FALSE)</f>
        <v>#N/A</v>
      </c>
      <c r="D1939" t="e">
        <f t="shared" si="30"/>
        <v>#N/A</v>
      </c>
    </row>
    <row r="1940" spans="1:4" x14ac:dyDescent="0.2">
      <c r="A1940">
        <f>'Fichas clínicas'!A1940</f>
        <v>1942</v>
      </c>
      <c r="B1940" t="str">
        <f>'Fichas clínicas'!B1940</f>
        <v>15293519-6</v>
      </c>
      <c r="C1940" t="e">
        <f>VLOOKUP(paciente_tutor!B1940,clientes!A1940:B3521,2,FALSE)</f>
        <v>#N/A</v>
      </c>
      <c r="D1940" t="e">
        <f t="shared" si="30"/>
        <v>#N/A</v>
      </c>
    </row>
    <row r="1941" spans="1:4" x14ac:dyDescent="0.2">
      <c r="A1941">
        <f>'Fichas clínicas'!A1941</f>
        <v>1943</v>
      </c>
      <c r="B1941" t="str">
        <f>'Fichas clínicas'!B1941</f>
        <v>11324774-6</v>
      </c>
      <c r="C1941" t="e">
        <f>VLOOKUP(paciente_tutor!B1941,clientes!A1941:B3522,2,FALSE)</f>
        <v>#N/A</v>
      </c>
      <c r="D1941" t="e">
        <f t="shared" si="30"/>
        <v>#N/A</v>
      </c>
    </row>
    <row r="1942" spans="1:4" x14ac:dyDescent="0.2">
      <c r="A1942">
        <f>'Fichas clínicas'!A1942</f>
        <v>1944</v>
      </c>
      <c r="B1942" t="str">
        <f>'Fichas clínicas'!B1942</f>
        <v>16464538-k</v>
      </c>
      <c r="C1942" t="e">
        <f>VLOOKUP(paciente_tutor!B1942,clientes!A1942:B3523,2,FALSE)</f>
        <v>#N/A</v>
      </c>
      <c r="D1942" t="e">
        <f t="shared" si="30"/>
        <v>#N/A</v>
      </c>
    </row>
    <row r="1943" spans="1:4" x14ac:dyDescent="0.2">
      <c r="A1943">
        <f>'Fichas clínicas'!A1943</f>
        <v>1945</v>
      </c>
      <c r="B1943" t="str">
        <f>'Fichas clínicas'!B1943</f>
        <v>4988562-8</v>
      </c>
      <c r="C1943" t="e">
        <f>VLOOKUP(paciente_tutor!B1943,clientes!A1943:B3524,2,FALSE)</f>
        <v>#N/A</v>
      </c>
      <c r="D1943" t="e">
        <f t="shared" si="30"/>
        <v>#N/A</v>
      </c>
    </row>
    <row r="1944" spans="1:4" x14ac:dyDescent="0.2">
      <c r="A1944">
        <f>'Fichas clínicas'!A1944</f>
        <v>1946</v>
      </c>
      <c r="B1944" t="str">
        <f>'Fichas clínicas'!B1944</f>
        <v>19181609-9</v>
      </c>
      <c r="C1944" t="e">
        <f>VLOOKUP(paciente_tutor!B1944,clientes!A1944:B3525,2,FALSE)</f>
        <v>#N/A</v>
      </c>
      <c r="D1944" t="e">
        <f t="shared" si="30"/>
        <v>#N/A</v>
      </c>
    </row>
    <row r="1945" spans="1:4" x14ac:dyDescent="0.2">
      <c r="A1945">
        <f>'Fichas clínicas'!A1945</f>
        <v>1947</v>
      </c>
      <c r="B1945" t="str">
        <f>'Fichas clínicas'!B1945</f>
        <v>17066749-2</v>
      </c>
      <c r="C1945" t="e">
        <f>VLOOKUP(paciente_tutor!B1945,clientes!A1945:B3526,2,FALSE)</f>
        <v>#N/A</v>
      </c>
      <c r="D1945" t="e">
        <f t="shared" si="30"/>
        <v>#N/A</v>
      </c>
    </row>
    <row r="1946" spans="1:4" x14ac:dyDescent="0.2">
      <c r="A1946">
        <f>'Fichas clínicas'!A1946</f>
        <v>1948</v>
      </c>
      <c r="B1946" t="str">
        <f>'Fichas clínicas'!B1946</f>
        <v>18289993-3</v>
      </c>
      <c r="C1946" t="e">
        <f>VLOOKUP(paciente_tutor!B1946,clientes!A1946:B3527,2,FALSE)</f>
        <v>#N/A</v>
      </c>
      <c r="D1946" t="e">
        <f t="shared" si="30"/>
        <v>#N/A</v>
      </c>
    </row>
    <row r="1947" spans="1:4" x14ac:dyDescent="0.2">
      <c r="A1947">
        <f>'Fichas clínicas'!A1947</f>
        <v>1949</v>
      </c>
      <c r="B1947" t="str">
        <f>'Fichas clínicas'!B1947</f>
        <v>15903841-6</v>
      </c>
      <c r="C1947" t="e">
        <f>VLOOKUP(paciente_tutor!B1947,clientes!A1947:B3528,2,FALSE)</f>
        <v>#N/A</v>
      </c>
      <c r="D1947" t="e">
        <f t="shared" si="30"/>
        <v>#N/A</v>
      </c>
    </row>
    <row r="1948" spans="1:4" x14ac:dyDescent="0.2">
      <c r="A1948">
        <f>'Fichas clínicas'!A1948</f>
        <v>1950</v>
      </c>
      <c r="B1948" t="str">
        <f>'Fichas clínicas'!B1948</f>
        <v>15903841-6</v>
      </c>
      <c r="C1948" t="e">
        <f>VLOOKUP(paciente_tutor!B1948,clientes!A1948:B3529,2,FALSE)</f>
        <v>#N/A</v>
      </c>
      <c r="D1948" t="e">
        <f t="shared" si="30"/>
        <v>#N/A</v>
      </c>
    </row>
    <row r="1949" spans="1:4" x14ac:dyDescent="0.2">
      <c r="A1949">
        <f>'Fichas clínicas'!A1949</f>
        <v>1951</v>
      </c>
      <c r="B1949" t="str">
        <f>'Fichas clínicas'!B1949</f>
        <v>15903841-6</v>
      </c>
      <c r="C1949" t="e">
        <f>VLOOKUP(paciente_tutor!B1949,clientes!A1949:B3530,2,FALSE)</f>
        <v>#N/A</v>
      </c>
      <c r="D1949" t="e">
        <f t="shared" si="30"/>
        <v>#N/A</v>
      </c>
    </row>
    <row r="1950" spans="1:4" x14ac:dyDescent="0.2">
      <c r="A1950">
        <f>'Fichas clínicas'!A1950</f>
        <v>1952</v>
      </c>
      <c r="B1950" t="str">
        <f>'Fichas clínicas'!B1950</f>
        <v>15903841-6</v>
      </c>
      <c r="C1950" t="e">
        <f>VLOOKUP(paciente_tutor!B1950,clientes!A1950:B3531,2,FALSE)</f>
        <v>#N/A</v>
      </c>
      <c r="D1950" t="e">
        <f t="shared" si="30"/>
        <v>#N/A</v>
      </c>
    </row>
    <row r="1951" spans="1:4" x14ac:dyDescent="0.2">
      <c r="A1951">
        <f>'Fichas clínicas'!A1951</f>
        <v>1953</v>
      </c>
      <c r="B1951" t="str">
        <f>'Fichas clínicas'!B1951</f>
        <v>15903841-6</v>
      </c>
      <c r="C1951" t="e">
        <f>VLOOKUP(paciente_tutor!B1951,clientes!A1951:B3532,2,FALSE)</f>
        <v>#N/A</v>
      </c>
      <c r="D1951" t="e">
        <f t="shared" si="30"/>
        <v>#N/A</v>
      </c>
    </row>
    <row r="1952" spans="1:4" x14ac:dyDescent="0.2">
      <c r="A1952">
        <f>'Fichas clínicas'!A1952</f>
        <v>1954</v>
      </c>
      <c r="B1952" t="str">
        <f>'Fichas clínicas'!B1952</f>
        <v>19624974-5</v>
      </c>
      <c r="C1952" t="e">
        <f>VLOOKUP(paciente_tutor!B1952,clientes!A1952:B3533,2,FALSE)</f>
        <v>#N/A</v>
      </c>
      <c r="D1952" t="e">
        <f t="shared" si="30"/>
        <v>#N/A</v>
      </c>
    </row>
    <row r="1953" spans="1:4" x14ac:dyDescent="0.2">
      <c r="A1953">
        <f>'Fichas clínicas'!A1953</f>
        <v>1955</v>
      </c>
      <c r="B1953" t="str">
        <f>'Fichas clínicas'!B1953</f>
        <v>10314354-3</v>
      </c>
      <c r="C1953" t="e">
        <f>VLOOKUP(paciente_tutor!B1953,clientes!A1953:B3534,2,FALSE)</f>
        <v>#N/A</v>
      </c>
      <c r="D1953" t="e">
        <f t="shared" si="30"/>
        <v>#N/A</v>
      </c>
    </row>
    <row r="1954" spans="1:4" x14ac:dyDescent="0.2">
      <c r="A1954">
        <f>'Fichas clínicas'!A1954</f>
        <v>1956</v>
      </c>
      <c r="B1954" t="str">
        <f>'Fichas clínicas'!B1954</f>
        <v>18852177-0</v>
      </c>
      <c r="C1954" t="e">
        <f>VLOOKUP(paciente_tutor!B1954,clientes!A1954:B3535,2,FALSE)</f>
        <v>#N/A</v>
      </c>
      <c r="D1954" t="e">
        <f t="shared" si="30"/>
        <v>#N/A</v>
      </c>
    </row>
    <row r="1955" spans="1:4" x14ac:dyDescent="0.2">
      <c r="A1955">
        <f>'Fichas clínicas'!A1955</f>
        <v>1957</v>
      </c>
      <c r="B1955" t="str">
        <f>'Fichas clínicas'!B1955</f>
        <v>13378525-6</v>
      </c>
      <c r="C1955" t="e">
        <f>VLOOKUP(paciente_tutor!B1955,clientes!A1955:B3536,2,FALSE)</f>
        <v>#N/A</v>
      </c>
      <c r="D1955" t="e">
        <f t="shared" si="30"/>
        <v>#N/A</v>
      </c>
    </row>
    <row r="1956" spans="1:4" x14ac:dyDescent="0.2">
      <c r="A1956">
        <f>'Fichas clínicas'!A1956</f>
        <v>1958</v>
      </c>
      <c r="B1956" t="str">
        <f>'Fichas clínicas'!B1956</f>
        <v>7380153-2</v>
      </c>
      <c r="C1956" t="e">
        <f>VLOOKUP(paciente_tutor!B1956,clientes!A1956:B3537,2,FALSE)</f>
        <v>#N/A</v>
      </c>
      <c r="D1956" t="e">
        <f t="shared" si="30"/>
        <v>#N/A</v>
      </c>
    </row>
    <row r="1957" spans="1:4" x14ac:dyDescent="0.2">
      <c r="A1957">
        <f>'Fichas clínicas'!A1957</f>
        <v>1959</v>
      </c>
      <c r="B1957" t="str">
        <f>'Fichas clínicas'!B1957</f>
        <v>20840582-9</v>
      </c>
      <c r="C1957" t="e">
        <f>VLOOKUP(paciente_tutor!B1957,clientes!A1957:B3538,2,FALSE)</f>
        <v>#N/A</v>
      </c>
      <c r="D1957" t="e">
        <f t="shared" si="30"/>
        <v>#N/A</v>
      </c>
    </row>
    <row r="1958" spans="1:4" x14ac:dyDescent="0.2">
      <c r="A1958">
        <f>'Fichas clínicas'!A1958</f>
        <v>1960</v>
      </c>
      <c r="B1958" t="str">
        <f>'Fichas clínicas'!B1958</f>
        <v>14281288-6</v>
      </c>
      <c r="C1958" t="e">
        <f>VLOOKUP(paciente_tutor!B1958,clientes!A1958:B3539,2,FALSE)</f>
        <v>#N/A</v>
      </c>
      <c r="D1958" t="e">
        <f t="shared" si="30"/>
        <v>#N/A</v>
      </c>
    </row>
    <row r="1959" spans="1:4" x14ac:dyDescent="0.2">
      <c r="A1959">
        <f>'Fichas clínicas'!A1959</f>
        <v>1961</v>
      </c>
      <c r="B1959" t="str">
        <f>'Fichas clínicas'!B1959</f>
        <v>18474814-2</v>
      </c>
      <c r="C1959" t="e">
        <f>VLOOKUP(paciente_tutor!B1959,clientes!A1959:B3540,2,FALSE)</f>
        <v>#N/A</v>
      </c>
      <c r="D1959" t="e">
        <f t="shared" si="30"/>
        <v>#N/A</v>
      </c>
    </row>
    <row r="1960" spans="1:4" x14ac:dyDescent="0.2">
      <c r="A1960">
        <f>'Fichas clínicas'!A1960</f>
        <v>1962</v>
      </c>
      <c r="B1960" t="str">
        <f>'Fichas clínicas'!B1960</f>
        <v>18474814-2</v>
      </c>
      <c r="C1960" t="e">
        <f>VLOOKUP(paciente_tutor!B1960,clientes!A1960:B3541,2,FALSE)</f>
        <v>#N/A</v>
      </c>
      <c r="D1960" t="e">
        <f t="shared" si="30"/>
        <v>#N/A</v>
      </c>
    </row>
    <row r="1961" spans="1:4" x14ac:dyDescent="0.2">
      <c r="A1961">
        <f>'Fichas clínicas'!A1961</f>
        <v>1963</v>
      </c>
      <c r="B1961" t="str">
        <f>'Fichas clínicas'!B1961</f>
        <v>9190685-6</v>
      </c>
      <c r="C1961" t="e">
        <f>VLOOKUP(paciente_tutor!B1961,clientes!A1961:B3542,2,FALSE)</f>
        <v>#N/A</v>
      </c>
      <c r="D1961" t="e">
        <f t="shared" si="30"/>
        <v>#N/A</v>
      </c>
    </row>
    <row r="1962" spans="1:4" x14ac:dyDescent="0.2">
      <c r="A1962">
        <f>'Fichas clínicas'!A1962</f>
        <v>1964</v>
      </c>
      <c r="B1962" t="str">
        <f>'Fichas clínicas'!B1962</f>
        <v>26187708-2</v>
      </c>
      <c r="C1962" t="e">
        <f>VLOOKUP(paciente_tutor!B1962,clientes!A1962:B3543,2,FALSE)</f>
        <v>#N/A</v>
      </c>
      <c r="D1962" t="e">
        <f t="shared" si="30"/>
        <v>#N/A</v>
      </c>
    </row>
    <row r="1963" spans="1:4" x14ac:dyDescent="0.2">
      <c r="A1963">
        <f>'Fichas clínicas'!A1963</f>
        <v>1965</v>
      </c>
      <c r="B1963" t="str">
        <f>'Fichas clínicas'!B1963</f>
        <v>21414218-k</v>
      </c>
      <c r="C1963" t="e">
        <f>VLOOKUP(paciente_tutor!B1963,clientes!A1963:B3544,2,FALSE)</f>
        <v>#N/A</v>
      </c>
      <c r="D1963" t="e">
        <f t="shared" si="30"/>
        <v>#N/A</v>
      </c>
    </row>
    <row r="1964" spans="1:4" x14ac:dyDescent="0.2">
      <c r="A1964">
        <f>'Fichas clínicas'!A1964</f>
        <v>1966</v>
      </c>
      <c r="B1964" t="str">
        <f>'Fichas clínicas'!B1964</f>
        <v>12747820-1</v>
      </c>
      <c r="C1964" t="e">
        <f>VLOOKUP(paciente_tutor!B1964,clientes!A1964:B3545,2,FALSE)</f>
        <v>#N/A</v>
      </c>
      <c r="D1964" t="e">
        <f t="shared" si="30"/>
        <v>#N/A</v>
      </c>
    </row>
    <row r="1965" spans="1:4" x14ac:dyDescent="0.2">
      <c r="A1965">
        <f>'Fichas clínicas'!A1965</f>
        <v>1967</v>
      </c>
      <c r="B1965" t="str">
        <f>'Fichas clínicas'!B1965</f>
        <v>19555958-9</v>
      </c>
      <c r="C1965" t="e">
        <f>VLOOKUP(paciente_tutor!B1965,clientes!A1965:B3546,2,FALSE)</f>
        <v>#N/A</v>
      </c>
      <c r="D1965" t="e">
        <f t="shared" si="30"/>
        <v>#N/A</v>
      </c>
    </row>
    <row r="1966" spans="1:4" x14ac:dyDescent="0.2">
      <c r="A1966">
        <f>'Fichas clínicas'!A1966</f>
        <v>1968</v>
      </c>
      <c r="B1966" t="str">
        <f>'Fichas clínicas'!B1966</f>
        <v>16571250-1</v>
      </c>
      <c r="C1966" t="e">
        <f>VLOOKUP(paciente_tutor!B1966,clientes!A1966:B3547,2,FALSE)</f>
        <v>#N/A</v>
      </c>
      <c r="D1966" t="e">
        <f t="shared" si="30"/>
        <v>#N/A</v>
      </c>
    </row>
    <row r="1967" spans="1:4" x14ac:dyDescent="0.2">
      <c r="A1967">
        <f>'Fichas clínicas'!A1967</f>
        <v>1969</v>
      </c>
      <c r="B1967" t="str">
        <f>'Fichas clínicas'!B1967</f>
        <v>21277104-k</v>
      </c>
      <c r="C1967" t="e">
        <f>VLOOKUP(paciente_tutor!B1967,clientes!A1967:B3548,2,FALSE)</f>
        <v>#N/A</v>
      </c>
      <c r="D1967" t="e">
        <f t="shared" si="30"/>
        <v>#N/A</v>
      </c>
    </row>
    <row r="1968" spans="1:4" x14ac:dyDescent="0.2">
      <c r="A1968">
        <f>'Fichas clínicas'!A1968</f>
        <v>1970</v>
      </c>
      <c r="B1968" t="str">
        <f>'Fichas clínicas'!B1968</f>
        <v>18133268-9</v>
      </c>
      <c r="C1968" t="e">
        <f>VLOOKUP(paciente_tutor!B1968,clientes!A1968:B3549,2,FALSE)</f>
        <v>#N/A</v>
      </c>
      <c r="D1968" t="e">
        <f t="shared" si="30"/>
        <v>#N/A</v>
      </c>
    </row>
    <row r="1969" spans="1:4" x14ac:dyDescent="0.2">
      <c r="A1969">
        <f>'Fichas clínicas'!A1969</f>
        <v>1971</v>
      </c>
      <c r="B1969" t="str">
        <f>'Fichas clínicas'!B1969</f>
        <v>21645217-8</v>
      </c>
      <c r="C1969" t="e">
        <f>VLOOKUP(paciente_tutor!B1969,clientes!A1969:B3550,2,FALSE)</f>
        <v>#N/A</v>
      </c>
      <c r="D1969" t="e">
        <f t="shared" si="30"/>
        <v>#N/A</v>
      </c>
    </row>
    <row r="1970" spans="1:4" x14ac:dyDescent="0.2">
      <c r="A1970">
        <f>'Fichas clínicas'!A1970</f>
        <v>1972</v>
      </c>
      <c r="B1970" t="str">
        <f>'Fichas clínicas'!B1970</f>
        <v>19836384-7</v>
      </c>
      <c r="C1970" t="e">
        <f>VLOOKUP(paciente_tutor!B1970,clientes!A1970:B3551,2,FALSE)</f>
        <v>#N/A</v>
      </c>
      <c r="D1970" t="e">
        <f t="shared" si="30"/>
        <v>#N/A</v>
      </c>
    </row>
    <row r="1971" spans="1:4" x14ac:dyDescent="0.2">
      <c r="A1971">
        <f>'Fichas clínicas'!A1971</f>
        <v>1973</v>
      </c>
      <c r="B1971" t="str">
        <f>'Fichas clínicas'!B1971</f>
        <v>20881472-9</v>
      </c>
      <c r="C1971" t="e">
        <f>VLOOKUP(paciente_tutor!B1971,clientes!A1971:B3552,2,FALSE)</f>
        <v>#N/A</v>
      </c>
      <c r="D1971" t="e">
        <f t="shared" si="30"/>
        <v>#N/A</v>
      </c>
    </row>
    <row r="1972" spans="1:4" x14ac:dyDescent="0.2">
      <c r="A1972">
        <f>'Fichas clínicas'!A1972</f>
        <v>1974</v>
      </c>
      <c r="B1972" t="str">
        <f>'Fichas clínicas'!B1972</f>
        <v>12074118-7</v>
      </c>
      <c r="C1972" t="e">
        <f>VLOOKUP(paciente_tutor!B1972,clientes!A1972:B3553,2,FALSE)</f>
        <v>#N/A</v>
      </c>
      <c r="D1972" t="e">
        <f t="shared" si="30"/>
        <v>#N/A</v>
      </c>
    </row>
    <row r="1973" spans="1:4" x14ac:dyDescent="0.2">
      <c r="A1973">
        <f>'Fichas clínicas'!A1973</f>
        <v>1975</v>
      </c>
      <c r="B1973" t="str">
        <f>'Fichas clínicas'!B1973</f>
        <v>17360331-2</v>
      </c>
      <c r="C1973" t="e">
        <f>VLOOKUP(paciente_tutor!B1973,clientes!A1973:B3554,2,FALSE)</f>
        <v>#N/A</v>
      </c>
      <c r="D1973" t="e">
        <f t="shared" si="30"/>
        <v>#N/A</v>
      </c>
    </row>
    <row r="1974" spans="1:4" x14ac:dyDescent="0.2">
      <c r="A1974">
        <f>'Fichas clínicas'!A1974</f>
        <v>1976</v>
      </c>
      <c r="B1974" t="str">
        <f>'Fichas clínicas'!B1974</f>
        <v>13159017-2</v>
      </c>
      <c r="C1974" t="e">
        <f>VLOOKUP(paciente_tutor!B1974,clientes!A1974:B3555,2,FALSE)</f>
        <v>#N/A</v>
      </c>
      <c r="D1974" t="e">
        <f t="shared" si="30"/>
        <v>#N/A</v>
      </c>
    </row>
    <row r="1975" spans="1:4" x14ac:dyDescent="0.2">
      <c r="A1975">
        <f>'Fichas clínicas'!A1975</f>
        <v>1977</v>
      </c>
      <c r="B1975" t="str">
        <f>'Fichas clínicas'!B1975</f>
        <v>11324774-6</v>
      </c>
      <c r="C1975" t="e">
        <f>VLOOKUP(paciente_tutor!B1975,clientes!A1975:B3556,2,FALSE)</f>
        <v>#N/A</v>
      </c>
      <c r="D1975" t="e">
        <f t="shared" si="30"/>
        <v>#N/A</v>
      </c>
    </row>
    <row r="1976" spans="1:4" x14ac:dyDescent="0.2">
      <c r="A1976">
        <f>'Fichas clínicas'!A1976</f>
        <v>1978</v>
      </c>
      <c r="B1976" t="str">
        <f>'Fichas clínicas'!B1976</f>
        <v>16464528-2</v>
      </c>
      <c r="C1976" t="e">
        <f>VLOOKUP(paciente_tutor!B1976,clientes!A1976:B3557,2,FALSE)</f>
        <v>#N/A</v>
      </c>
      <c r="D1976" t="e">
        <f t="shared" si="30"/>
        <v>#N/A</v>
      </c>
    </row>
    <row r="1977" spans="1:4" x14ac:dyDescent="0.2">
      <c r="A1977">
        <f>'Fichas clínicas'!A1977</f>
        <v>1979</v>
      </c>
      <c r="B1977" t="str">
        <f>'Fichas clínicas'!B1977</f>
        <v>19624974-5</v>
      </c>
      <c r="C1977" t="e">
        <f>VLOOKUP(paciente_tutor!B1977,clientes!A1977:B3558,2,FALSE)</f>
        <v>#N/A</v>
      </c>
      <c r="D1977" t="e">
        <f t="shared" si="30"/>
        <v>#N/A</v>
      </c>
    </row>
    <row r="1978" spans="1:4" x14ac:dyDescent="0.2">
      <c r="A1978">
        <f>'Fichas clínicas'!A1978</f>
        <v>1980</v>
      </c>
      <c r="B1978" t="str">
        <f>'Fichas clínicas'!B1978</f>
        <v>13119138-3</v>
      </c>
      <c r="C1978" t="e">
        <f>VLOOKUP(paciente_tutor!B1978,clientes!A1978:B3559,2,FALSE)</f>
        <v>#N/A</v>
      </c>
      <c r="D1978" t="e">
        <f t="shared" si="30"/>
        <v>#N/A</v>
      </c>
    </row>
    <row r="1979" spans="1:4" x14ac:dyDescent="0.2">
      <c r="A1979">
        <f>'Fichas clínicas'!A1979</f>
        <v>1981</v>
      </c>
      <c r="B1979" t="str">
        <f>'Fichas clínicas'!B1979</f>
        <v>13119138-3</v>
      </c>
      <c r="C1979" t="e">
        <f>VLOOKUP(paciente_tutor!B1979,clientes!A1979:B3560,2,FALSE)</f>
        <v>#N/A</v>
      </c>
      <c r="D1979" t="e">
        <f t="shared" si="30"/>
        <v>#N/A</v>
      </c>
    </row>
    <row r="1980" spans="1:4" x14ac:dyDescent="0.2">
      <c r="A1980">
        <f>'Fichas clínicas'!A1980</f>
        <v>1982</v>
      </c>
      <c r="B1980" t="str">
        <f>'Fichas clínicas'!B1980</f>
        <v>13119138-3</v>
      </c>
      <c r="C1980" t="e">
        <f>VLOOKUP(paciente_tutor!B1980,clientes!A1980:B3561,2,FALSE)</f>
        <v>#N/A</v>
      </c>
      <c r="D1980" t="e">
        <f t="shared" si="30"/>
        <v>#N/A</v>
      </c>
    </row>
    <row r="1981" spans="1:4" x14ac:dyDescent="0.2">
      <c r="A1981">
        <f>'Fichas clínicas'!A1981</f>
        <v>1983</v>
      </c>
      <c r="B1981" t="str">
        <f>'Fichas clínicas'!B1981</f>
        <v>13119138-3</v>
      </c>
      <c r="C1981" t="e">
        <f>VLOOKUP(paciente_tutor!B1981,clientes!A1981:B3562,2,FALSE)</f>
        <v>#N/A</v>
      </c>
      <c r="D1981" t="e">
        <f t="shared" si="30"/>
        <v>#N/A</v>
      </c>
    </row>
    <row r="1982" spans="1:4" x14ac:dyDescent="0.2">
      <c r="A1982">
        <f>'Fichas clínicas'!A1982</f>
        <v>1984</v>
      </c>
      <c r="B1982" t="str">
        <f>'Fichas clínicas'!B1982</f>
        <v>16048739-9</v>
      </c>
      <c r="C1982" t="e">
        <f>VLOOKUP(paciente_tutor!B1982,clientes!A1982:B3563,2,FALSE)</f>
        <v>#N/A</v>
      </c>
      <c r="D1982" t="e">
        <f t="shared" si="30"/>
        <v>#N/A</v>
      </c>
    </row>
    <row r="1983" spans="1:4" x14ac:dyDescent="0.2">
      <c r="A1983">
        <f>'Fichas clínicas'!A1983</f>
        <v>1985</v>
      </c>
      <c r="B1983" t="str">
        <f>'Fichas clínicas'!B1983</f>
        <v>17068406-0</v>
      </c>
      <c r="C1983" t="e">
        <f>VLOOKUP(paciente_tutor!B1983,clientes!A1983:B3564,2,FALSE)</f>
        <v>#N/A</v>
      </c>
      <c r="D1983" t="e">
        <f t="shared" si="30"/>
        <v>#N/A</v>
      </c>
    </row>
    <row r="1984" spans="1:4" x14ac:dyDescent="0.2">
      <c r="A1984">
        <f>'Fichas clínicas'!A1984</f>
        <v>1986</v>
      </c>
      <c r="B1984" t="str">
        <f>'Fichas clínicas'!B1984</f>
        <v>21158413-0</v>
      </c>
      <c r="C1984" t="e">
        <f>VLOOKUP(paciente_tutor!B1984,clientes!A1984:B3565,2,FALSE)</f>
        <v>#N/A</v>
      </c>
      <c r="D1984" t="e">
        <f t="shared" si="30"/>
        <v>#N/A</v>
      </c>
    </row>
    <row r="1985" spans="1:4" x14ac:dyDescent="0.2">
      <c r="A1985">
        <f>'Fichas clínicas'!A1985</f>
        <v>1987</v>
      </c>
      <c r="B1985" t="str">
        <f>'Fichas clínicas'!B1985</f>
        <v>8979320-3</v>
      </c>
      <c r="C1985" t="e">
        <f>VLOOKUP(paciente_tutor!B1985,clientes!A1985:B3566,2,FALSE)</f>
        <v>#N/A</v>
      </c>
      <c r="D1985" t="e">
        <f t="shared" si="30"/>
        <v>#N/A</v>
      </c>
    </row>
    <row r="1986" spans="1:4" x14ac:dyDescent="0.2">
      <c r="A1986">
        <f>'Fichas clínicas'!A1986</f>
        <v>1988</v>
      </c>
      <c r="B1986" t="str">
        <f>'Fichas clínicas'!B1986</f>
        <v>16925766-3</v>
      </c>
      <c r="C1986" t="e">
        <f>VLOOKUP(paciente_tutor!B1986,clientes!A1986:B3567,2,FALSE)</f>
        <v>#N/A</v>
      </c>
      <c r="D1986" t="e">
        <f t="shared" si="30"/>
        <v>#N/A</v>
      </c>
    </row>
    <row r="1987" spans="1:4" x14ac:dyDescent="0.2">
      <c r="A1987">
        <f>'Fichas clínicas'!A1987</f>
        <v>1989</v>
      </c>
      <c r="B1987" t="str">
        <f>'Fichas clínicas'!B1987</f>
        <v>17751630-9</v>
      </c>
      <c r="C1987" t="e">
        <f>VLOOKUP(paciente_tutor!B1987,clientes!A1987:B3568,2,FALSE)</f>
        <v>#N/A</v>
      </c>
      <c r="D1987" t="e">
        <f t="shared" ref="D1987:D2050" si="31">IF(C1987="#N/A","",B1987)</f>
        <v>#N/A</v>
      </c>
    </row>
    <row r="1988" spans="1:4" x14ac:dyDescent="0.2">
      <c r="A1988">
        <f>'Fichas clínicas'!A1988</f>
        <v>1990</v>
      </c>
      <c r="B1988" t="str">
        <f>'Fichas clínicas'!B1988</f>
        <v>17751630-9</v>
      </c>
      <c r="C1988" t="e">
        <f>VLOOKUP(paciente_tutor!B1988,clientes!A1988:B3569,2,FALSE)</f>
        <v>#N/A</v>
      </c>
      <c r="D1988" t="e">
        <f t="shared" si="31"/>
        <v>#N/A</v>
      </c>
    </row>
    <row r="1989" spans="1:4" x14ac:dyDescent="0.2">
      <c r="A1989">
        <f>'Fichas clínicas'!A1989</f>
        <v>1991</v>
      </c>
      <c r="B1989" t="str">
        <f>'Fichas clínicas'!B1989</f>
        <v>12991917-5</v>
      </c>
      <c r="C1989" t="e">
        <f>VLOOKUP(paciente_tutor!B1989,clientes!A1989:B3570,2,FALSE)</f>
        <v>#N/A</v>
      </c>
      <c r="D1989" t="e">
        <f t="shared" si="31"/>
        <v>#N/A</v>
      </c>
    </row>
    <row r="1990" spans="1:4" x14ac:dyDescent="0.2">
      <c r="A1990">
        <f>'Fichas clínicas'!A1990</f>
        <v>1992</v>
      </c>
      <c r="B1990" t="str">
        <f>'Fichas clínicas'!B1990</f>
        <v>15397672-4</v>
      </c>
      <c r="C1990" t="e">
        <f>VLOOKUP(paciente_tutor!B1990,clientes!A1990:B3571,2,FALSE)</f>
        <v>#N/A</v>
      </c>
      <c r="D1990" t="e">
        <f t="shared" si="31"/>
        <v>#N/A</v>
      </c>
    </row>
    <row r="1991" spans="1:4" x14ac:dyDescent="0.2">
      <c r="A1991">
        <f>'Fichas clínicas'!A1991</f>
        <v>1993</v>
      </c>
      <c r="B1991" t="str">
        <f>'Fichas clínicas'!B1991</f>
        <v>19938797-9</v>
      </c>
      <c r="C1991" t="e">
        <f>VLOOKUP(paciente_tutor!B1991,clientes!A1991:B3572,2,FALSE)</f>
        <v>#N/A</v>
      </c>
      <c r="D1991" t="e">
        <f t="shared" si="31"/>
        <v>#N/A</v>
      </c>
    </row>
    <row r="1992" spans="1:4" x14ac:dyDescent="0.2">
      <c r="A1992">
        <f>'Fichas clínicas'!A1992</f>
        <v>1994</v>
      </c>
      <c r="B1992" t="str">
        <f>'Fichas clínicas'!B1992</f>
        <v>10465719-2</v>
      </c>
      <c r="C1992" t="e">
        <f>VLOOKUP(paciente_tutor!B1992,clientes!A1992:B3573,2,FALSE)</f>
        <v>#N/A</v>
      </c>
      <c r="D1992" t="e">
        <f t="shared" si="31"/>
        <v>#N/A</v>
      </c>
    </row>
    <row r="1993" spans="1:4" x14ac:dyDescent="0.2">
      <c r="A1993">
        <f>'Fichas clínicas'!A1993</f>
        <v>1995</v>
      </c>
      <c r="B1993" t="str">
        <f>'Fichas clínicas'!B1993</f>
        <v>17360777-6</v>
      </c>
      <c r="C1993" t="e">
        <f>VLOOKUP(paciente_tutor!B1993,clientes!A1993:B3574,2,FALSE)</f>
        <v>#N/A</v>
      </c>
      <c r="D1993" t="e">
        <f t="shared" si="31"/>
        <v>#N/A</v>
      </c>
    </row>
    <row r="1994" spans="1:4" x14ac:dyDescent="0.2">
      <c r="A1994">
        <f>'Fichas clínicas'!A1994</f>
        <v>1996</v>
      </c>
      <c r="B1994" t="str">
        <f>'Fichas clínicas'!B1994</f>
        <v>16564660-6</v>
      </c>
      <c r="C1994" t="e">
        <f>VLOOKUP(paciente_tutor!B1994,clientes!A1994:B3575,2,FALSE)</f>
        <v>#N/A</v>
      </c>
      <c r="D1994" t="e">
        <f t="shared" si="31"/>
        <v>#N/A</v>
      </c>
    </row>
    <row r="1995" spans="1:4" x14ac:dyDescent="0.2">
      <c r="A1995">
        <f>'Fichas clínicas'!A1995</f>
        <v>1997</v>
      </c>
      <c r="B1995" t="str">
        <f>'Fichas clínicas'!B1995</f>
        <v>20780143-7</v>
      </c>
      <c r="C1995" t="e">
        <f>VLOOKUP(paciente_tutor!B1995,clientes!A1995:B3576,2,FALSE)</f>
        <v>#N/A</v>
      </c>
      <c r="D1995" t="e">
        <f t="shared" si="31"/>
        <v>#N/A</v>
      </c>
    </row>
    <row r="1996" spans="1:4" x14ac:dyDescent="0.2">
      <c r="A1996">
        <f>'Fichas clínicas'!A1996</f>
        <v>1998</v>
      </c>
      <c r="B1996" t="str">
        <f>'Fichas clínicas'!B1996</f>
        <v>15952959-2</v>
      </c>
      <c r="C1996" t="e">
        <f>VLOOKUP(paciente_tutor!B1996,clientes!A1996:B3577,2,FALSE)</f>
        <v>#N/A</v>
      </c>
      <c r="D1996" t="e">
        <f t="shared" si="31"/>
        <v>#N/A</v>
      </c>
    </row>
    <row r="1997" spans="1:4" x14ac:dyDescent="0.2">
      <c r="A1997">
        <f>'Fichas clínicas'!A1997</f>
        <v>1999</v>
      </c>
      <c r="B1997" t="str">
        <f>'Fichas clínicas'!B1997</f>
        <v>15952959-2</v>
      </c>
      <c r="C1997" t="e">
        <f>VLOOKUP(paciente_tutor!B1997,clientes!A1997:B3578,2,FALSE)</f>
        <v>#N/A</v>
      </c>
      <c r="D1997" t="e">
        <f t="shared" si="31"/>
        <v>#N/A</v>
      </c>
    </row>
    <row r="1998" spans="1:4" x14ac:dyDescent="0.2">
      <c r="A1998">
        <f>'Fichas clínicas'!A1998</f>
        <v>2000</v>
      </c>
      <c r="B1998" t="str">
        <f>'Fichas clínicas'!B1998</f>
        <v>17091779-0</v>
      </c>
      <c r="C1998" t="e">
        <f>VLOOKUP(paciente_tutor!B1998,clientes!A1998:B3579,2,FALSE)</f>
        <v>#N/A</v>
      </c>
      <c r="D1998" t="e">
        <f t="shared" si="31"/>
        <v>#N/A</v>
      </c>
    </row>
    <row r="1999" spans="1:4" x14ac:dyDescent="0.2">
      <c r="A1999">
        <f>'Fichas clínicas'!A1999</f>
        <v>2001</v>
      </c>
      <c r="B1999" t="str">
        <f>'Fichas clínicas'!B1999</f>
        <v>20135324-6</v>
      </c>
      <c r="C1999" t="e">
        <f>VLOOKUP(paciente_tutor!B1999,clientes!A1999:B3580,2,FALSE)</f>
        <v>#N/A</v>
      </c>
      <c r="D1999" t="e">
        <f t="shared" si="31"/>
        <v>#N/A</v>
      </c>
    </row>
    <row r="2000" spans="1:4" x14ac:dyDescent="0.2">
      <c r="A2000">
        <f>'Fichas clínicas'!A2000</f>
        <v>2002</v>
      </c>
      <c r="B2000" t="str">
        <f>'Fichas clínicas'!B2000</f>
        <v>15294403-9</v>
      </c>
      <c r="C2000" t="e">
        <f>VLOOKUP(paciente_tutor!B2000,clientes!A2000:B3581,2,FALSE)</f>
        <v>#N/A</v>
      </c>
      <c r="D2000" t="e">
        <f t="shared" si="31"/>
        <v>#N/A</v>
      </c>
    </row>
    <row r="2001" spans="1:4" x14ac:dyDescent="0.2">
      <c r="A2001">
        <f>'Fichas clínicas'!A2001</f>
        <v>2003</v>
      </c>
      <c r="B2001" t="str">
        <f>'Fichas clínicas'!B2001</f>
        <v>8429407-1</v>
      </c>
      <c r="C2001" t="e">
        <f>VLOOKUP(paciente_tutor!B2001,clientes!A2001:B3582,2,FALSE)</f>
        <v>#N/A</v>
      </c>
      <c r="D2001" t="e">
        <f t="shared" si="31"/>
        <v>#N/A</v>
      </c>
    </row>
    <row r="2002" spans="1:4" x14ac:dyDescent="0.2">
      <c r="A2002">
        <f>'Fichas clínicas'!A2002</f>
        <v>2004</v>
      </c>
      <c r="B2002" t="str">
        <f>'Fichas clínicas'!B2002</f>
        <v>19555492-7</v>
      </c>
      <c r="C2002" t="e">
        <f>VLOOKUP(paciente_tutor!B2002,clientes!A2002:B3583,2,FALSE)</f>
        <v>#N/A</v>
      </c>
      <c r="D2002" t="e">
        <f t="shared" si="31"/>
        <v>#N/A</v>
      </c>
    </row>
    <row r="2003" spans="1:4" x14ac:dyDescent="0.2">
      <c r="A2003">
        <f>'Fichas clínicas'!A2003</f>
        <v>2005</v>
      </c>
      <c r="B2003" t="str">
        <f>'Fichas clínicas'!B2003</f>
        <v>12146442-k</v>
      </c>
      <c r="C2003" t="e">
        <f>VLOOKUP(paciente_tutor!B2003,clientes!A2003:B3584,2,FALSE)</f>
        <v>#N/A</v>
      </c>
      <c r="D2003" t="e">
        <f t="shared" si="31"/>
        <v>#N/A</v>
      </c>
    </row>
    <row r="2004" spans="1:4" x14ac:dyDescent="0.2">
      <c r="A2004">
        <f>'Fichas clínicas'!A2004</f>
        <v>2006</v>
      </c>
      <c r="B2004" t="str">
        <f>'Fichas clínicas'!B2004</f>
        <v>12146442-k</v>
      </c>
      <c r="C2004" t="e">
        <f>VLOOKUP(paciente_tutor!B2004,clientes!A2004:B3585,2,FALSE)</f>
        <v>#N/A</v>
      </c>
      <c r="D2004" t="e">
        <f t="shared" si="31"/>
        <v>#N/A</v>
      </c>
    </row>
    <row r="2005" spans="1:4" x14ac:dyDescent="0.2">
      <c r="A2005">
        <f>'Fichas clínicas'!A2005</f>
        <v>2007</v>
      </c>
      <c r="B2005" t="str">
        <f>'Fichas clínicas'!B2005</f>
        <v>10327188-6</v>
      </c>
      <c r="C2005" t="e">
        <f>VLOOKUP(paciente_tutor!B2005,clientes!A2005:B3586,2,FALSE)</f>
        <v>#N/A</v>
      </c>
      <c r="D2005" t="e">
        <f t="shared" si="31"/>
        <v>#N/A</v>
      </c>
    </row>
    <row r="2006" spans="1:4" x14ac:dyDescent="0.2">
      <c r="A2006">
        <f>'Fichas clínicas'!A2006</f>
        <v>2008</v>
      </c>
      <c r="B2006" t="str">
        <f>'Fichas clínicas'!B2006</f>
        <v>19624019-5</v>
      </c>
      <c r="C2006" t="e">
        <f>VLOOKUP(paciente_tutor!B2006,clientes!A2006:B3587,2,FALSE)</f>
        <v>#N/A</v>
      </c>
      <c r="D2006" t="e">
        <f t="shared" si="31"/>
        <v>#N/A</v>
      </c>
    </row>
    <row r="2007" spans="1:4" x14ac:dyDescent="0.2">
      <c r="A2007">
        <f>'Fichas clínicas'!A2007</f>
        <v>2009</v>
      </c>
      <c r="B2007" t="str">
        <f>'Fichas clínicas'!B2007</f>
        <v>15266879-1</v>
      </c>
      <c r="C2007" t="e">
        <f>VLOOKUP(paciente_tutor!B2007,clientes!A2007:B3588,2,FALSE)</f>
        <v>#N/A</v>
      </c>
      <c r="D2007" t="e">
        <f t="shared" si="31"/>
        <v>#N/A</v>
      </c>
    </row>
    <row r="2008" spans="1:4" x14ac:dyDescent="0.2">
      <c r="A2008">
        <f>'Fichas clínicas'!A2008</f>
        <v>2010</v>
      </c>
      <c r="B2008" t="str">
        <f>'Fichas clínicas'!B2008</f>
        <v>17693545-6</v>
      </c>
      <c r="C2008" t="e">
        <f>VLOOKUP(paciente_tutor!B2008,clientes!A2008:B3589,2,FALSE)</f>
        <v>#N/A</v>
      </c>
      <c r="D2008" t="e">
        <f t="shared" si="31"/>
        <v>#N/A</v>
      </c>
    </row>
    <row r="2009" spans="1:4" x14ac:dyDescent="0.2">
      <c r="A2009">
        <f>'Fichas clínicas'!A2009</f>
        <v>2011</v>
      </c>
      <c r="B2009" t="str">
        <f>'Fichas clínicas'!B2009</f>
        <v>19249522-9</v>
      </c>
      <c r="C2009" t="e">
        <f>VLOOKUP(paciente_tutor!B2009,clientes!A2009:B3590,2,FALSE)</f>
        <v>#N/A</v>
      </c>
      <c r="D2009" t="e">
        <f t="shared" si="31"/>
        <v>#N/A</v>
      </c>
    </row>
    <row r="2010" spans="1:4" x14ac:dyDescent="0.2">
      <c r="A2010">
        <f>'Fichas clínicas'!A2010</f>
        <v>2012</v>
      </c>
      <c r="B2010" t="str">
        <f>'Fichas clínicas'!B2010</f>
        <v>18134354-0</v>
      </c>
      <c r="C2010" t="e">
        <f>VLOOKUP(paciente_tutor!B2010,clientes!A2010:B3591,2,FALSE)</f>
        <v>#N/A</v>
      </c>
      <c r="D2010" t="e">
        <f t="shared" si="31"/>
        <v>#N/A</v>
      </c>
    </row>
    <row r="2011" spans="1:4" x14ac:dyDescent="0.2">
      <c r="A2011">
        <f>'Fichas clínicas'!A2011</f>
        <v>2013</v>
      </c>
      <c r="B2011" t="str">
        <f>'Fichas clínicas'!B2011</f>
        <v>17360777-6</v>
      </c>
      <c r="C2011" t="e">
        <f>VLOOKUP(paciente_tutor!B2011,clientes!A2011:B3592,2,FALSE)</f>
        <v>#N/A</v>
      </c>
      <c r="D2011" t="e">
        <f t="shared" si="31"/>
        <v>#N/A</v>
      </c>
    </row>
    <row r="2012" spans="1:4" x14ac:dyDescent="0.2">
      <c r="A2012">
        <f>'Fichas clínicas'!A2012</f>
        <v>2014</v>
      </c>
      <c r="B2012" t="str">
        <f>'Fichas clínicas'!B2012</f>
        <v>20134393-3</v>
      </c>
      <c r="C2012" t="e">
        <f>VLOOKUP(paciente_tutor!B2012,clientes!A2012:B3593,2,FALSE)</f>
        <v>#N/A</v>
      </c>
      <c r="D2012" t="e">
        <f t="shared" si="31"/>
        <v>#N/A</v>
      </c>
    </row>
    <row r="2013" spans="1:4" x14ac:dyDescent="0.2">
      <c r="A2013">
        <f>'Fichas clínicas'!A2013</f>
        <v>2015</v>
      </c>
      <c r="B2013" t="str">
        <f>'Fichas clínicas'!B2013</f>
        <v>19555317-3</v>
      </c>
      <c r="C2013" t="e">
        <f>VLOOKUP(paciente_tutor!B2013,clientes!A2013:B3594,2,FALSE)</f>
        <v>#N/A</v>
      </c>
      <c r="D2013" t="e">
        <f t="shared" si="31"/>
        <v>#N/A</v>
      </c>
    </row>
    <row r="2014" spans="1:4" x14ac:dyDescent="0.2">
      <c r="A2014">
        <f>'Fichas clínicas'!A2014</f>
        <v>2016</v>
      </c>
      <c r="B2014" t="str">
        <f>'Fichas clínicas'!B2014</f>
        <v>11986200-0</v>
      </c>
      <c r="C2014" t="e">
        <f>VLOOKUP(paciente_tutor!B2014,clientes!A2014:B3595,2,FALSE)</f>
        <v>#N/A</v>
      </c>
      <c r="D2014" t="e">
        <f t="shared" si="31"/>
        <v>#N/A</v>
      </c>
    </row>
    <row r="2015" spans="1:4" x14ac:dyDescent="0.2">
      <c r="A2015">
        <f>'Fichas clínicas'!A2015</f>
        <v>2017</v>
      </c>
      <c r="B2015" t="str">
        <f>'Fichas clínicas'!B2015</f>
        <v>12431285-k</v>
      </c>
      <c r="C2015" t="e">
        <f>VLOOKUP(paciente_tutor!B2015,clientes!A2015:B3596,2,FALSE)</f>
        <v>#N/A</v>
      </c>
      <c r="D2015" t="e">
        <f t="shared" si="31"/>
        <v>#N/A</v>
      </c>
    </row>
    <row r="2016" spans="1:4" x14ac:dyDescent="0.2">
      <c r="A2016">
        <f>'Fichas clínicas'!A2016</f>
        <v>2018</v>
      </c>
      <c r="B2016" t="str">
        <f>'Fichas clínicas'!B2016</f>
        <v>21506368-2</v>
      </c>
      <c r="C2016" t="e">
        <f>VLOOKUP(paciente_tutor!B2016,clientes!A2016:B3597,2,FALSE)</f>
        <v>#N/A</v>
      </c>
      <c r="D2016" t="e">
        <f t="shared" si="31"/>
        <v>#N/A</v>
      </c>
    </row>
    <row r="2017" spans="1:4" x14ac:dyDescent="0.2">
      <c r="A2017">
        <f>'Fichas clínicas'!A2017</f>
        <v>2019</v>
      </c>
      <c r="B2017" t="str">
        <f>'Fichas clínicas'!B2017</f>
        <v>17693545-6</v>
      </c>
      <c r="C2017" t="e">
        <f>VLOOKUP(paciente_tutor!B2017,clientes!A2017:B3598,2,FALSE)</f>
        <v>#N/A</v>
      </c>
      <c r="D2017" t="e">
        <f t="shared" si="31"/>
        <v>#N/A</v>
      </c>
    </row>
    <row r="2018" spans="1:4" x14ac:dyDescent="0.2">
      <c r="A2018">
        <f>'Fichas clínicas'!A2018</f>
        <v>2020</v>
      </c>
      <c r="B2018" t="str">
        <f>'Fichas clínicas'!B2018</f>
        <v>15007812-1</v>
      </c>
      <c r="C2018" t="e">
        <f>VLOOKUP(paciente_tutor!B2018,clientes!A2018:B3599,2,FALSE)</f>
        <v>#N/A</v>
      </c>
      <c r="D2018" t="e">
        <f t="shared" si="31"/>
        <v>#N/A</v>
      </c>
    </row>
    <row r="2019" spans="1:4" x14ac:dyDescent="0.2">
      <c r="A2019">
        <f>'Fichas clínicas'!A2019</f>
        <v>2021</v>
      </c>
      <c r="B2019" t="str">
        <f>'Fichas clínicas'!B2019</f>
        <v>20642177-0</v>
      </c>
      <c r="C2019" t="e">
        <f>VLOOKUP(paciente_tutor!B2019,clientes!A2019:B3600,2,FALSE)</f>
        <v>#N/A</v>
      </c>
      <c r="D2019" t="e">
        <f t="shared" si="31"/>
        <v>#N/A</v>
      </c>
    </row>
    <row r="2020" spans="1:4" x14ac:dyDescent="0.2">
      <c r="A2020">
        <f>'Fichas clínicas'!A2020</f>
        <v>2022</v>
      </c>
      <c r="B2020" t="str">
        <f>'Fichas clínicas'!B2020</f>
        <v>14471669-8</v>
      </c>
      <c r="C2020" t="e">
        <f>VLOOKUP(paciente_tutor!B2020,clientes!A2020:B3601,2,FALSE)</f>
        <v>#N/A</v>
      </c>
      <c r="D2020" t="e">
        <f t="shared" si="31"/>
        <v>#N/A</v>
      </c>
    </row>
    <row r="2021" spans="1:4" x14ac:dyDescent="0.2">
      <c r="A2021">
        <f>'Fichas clínicas'!A2021</f>
        <v>2023</v>
      </c>
      <c r="B2021" t="str">
        <f>'Fichas clínicas'!B2021</f>
        <v>20601806-2</v>
      </c>
      <c r="C2021" t="e">
        <f>VLOOKUP(paciente_tutor!B2021,clientes!A2021:B3602,2,FALSE)</f>
        <v>#N/A</v>
      </c>
      <c r="D2021" t="e">
        <f t="shared" si="31"/>
        <v>#N/A</v>
      </c>
    </row>
    <row r="2022" spans="1:4" x14ac:dyDescent="0.2">
      <c r="A2022">
        <f>'Fichas clínicas'!A2022</f>
        <v>2024</v>
      </c>
      <c r="B2022" t="str">
        <f>'Fichas clínicas'!B2022</f>
        <v>21022879-9</v>
      </c>
      <c r="C2022" t="e">
        <f>VLOOKUP(paciente_tutor!B2022,clientes!A2022:B3603,2,FALSE)</f>
        <v>#N/A</v>
      </c>
      <c r="D2022" t="e">
        <f t="shared" si="31"/>
        <v>#N/A</v>
      </c>
    </row>
    <row r="2023" spans="1:4" x14ac:dyDescent="0.2">
      <c r="A2023">
        <f>'Fichas clínicas'!A2023</f>
        <v>2025</v>
      </c>
      <c r="B2023" t="str">
        <f>'Fichas clínicas'!B2023</f>
        <v>15302782-k</v>
      </c>
      <c r="C2023" t="e">
        <f>VLOOKUP(paciente_tutor!B2023,clientes!A2023:B3604,2,FALSE)</f>
        <v>#N/A</v>
      </c>
      <c r="D2023" t="e">
        <f t="shared" si="31"/>
        <v>#N/A</v>
      </c>
    </row>
    <row r="2024" spans="1:4" x14ac:dyDescent="0.2">
      <c r="A2024">
        <f>'Fichas clínicas'!A2024</f>
        <v>2026</v>
      </c>
      <c r="B2024" t="str">
        <f>'Fichas clínicas'!B2024</f>
        <v>20315810-6</v>
      </c>
      <c r="C2024" t="e">
        <f>VLOOKUP(paciente_tutor!B2024,clientes!A2024:B3605,2,FALSE)</f>
        <v>#N/A</v>
      </c>
      <c r="D2024" t="e">
        <f t="shared" si="31"/>
        <v>#N/A</v>
      </c>
    </row>
    <row r="2025" spans="1:4" x14ac:dyDescent="0.2">
      <c r="A2025">
        <f>'Fichas clínicas'!A2025</f>
        <v>2027</v>
      </c>
      <c r="B2025" t="str">
        <f>'Fichas clínicas'!B2025</f>
        <v>21606448-8</v>
      </c>
      <c r="C2025" t="e">
        <f>VLOOKUP(paciente_tutor!B2025,clientes!A2025:B3606,2,FALSE)</f>
        <v>#N/A</v>
      </c>
      <c r="D2025" t="e">
        <f t="shared" si="31"/>
        <v>#N/A</v>
      </c>
    </row>
    <row r="2026" spans="1:4" x14ac:dyDescent="0.2">
      <c r="A2026">
        <f>'Fichas clínicas'!A2026</f>
        <v>2028</v>
      </c>
      <c r="B2026" t="str">
        <f>'Fichas clínicas'!B2026</f>
        <v>17436362-5</v>
      </c>
      <c r="C2026" t="e">
        <f>VLOOKUP(paciente_tutor!B2026,clientes!A2026:B3607,2,FALSE)</f>
        <v>#N/A</v>
      </c>
      <c r="D2026" t="e">
        <f t="shared" si="31"/>
        <v>#N/A</v>
      </c>
    </row>
    <row r="2027" spans="1:4" x14ac:dyDescent="0.2">
      <c r="A2027">
        <f>'Fichas clínicas'!A2027</f>
        <v>2029</v>
      </c>
      <c r="B2027" t="str">
        <f>'Fichas clínicas'!B2027</f>
        <v>13319676-5</v>
      </c>
      <c r="C2027" t="e">
        <f>VLOOKUP(paciente_tutor!B2027,clientes!A2027:B3608,2,FALSE)</f>
        <v>#N/A</v>
      </c>
      <c r="D2027" t="e">
        <f t="shared" si="31"/>
        <v>#N/A</v>
      </c>
    </row>
    <row r="2028" spans="1:4" x14ac:dyDescent="0.2">
      <c r="A2028">
        <f>'Fichas clínicas'!A2028</f>
        <v>2030</v>
      </c>
      <c r="B2028" t="str">
        <f>'Fichas clínicas'!B2028</f>
        <v>17360675-3</v>
      </c>
      <c r="C2028" t="e">
        <f>VLOOKUP(paciente_tutor!B2028,clientes!A2028:B3609,2,FALSE)</f>
        <v>#N/A</v>
      </c>
      <c r="D2028" t="e">
        <f t="shared" si="31"/>
        <v>#N/A</v>
      </c>
    </row>
    <row r="2029" spans="1:4" x14ac:dyDescent="0.2">
      <c r="A2029">
        <f>'Fichas clínicas'!A2029</f>
        <v>2031</v>
      </c>
      <c r="B2029" t="str">
        <f>'Fichas clínicas'!B2029</f>
        <v>16464414-6</v>
      </c>
      <c r="C2029" t="e">
        <f>VLOOKUP(paciente_tutor!B2029,clientes!A2029:B3610,2,FALSE)</f>
        <v>#N/A</v>
      </c>
      <c r="D2029" t="e">
        <f t="shared" si="31"/>
        <v>#N/A</v>
      </c>
    </row>
    <row r="2030" spans="1:4" x14ac:dyDescent="0.2">
      <c r="A2030">
        <f>'Fichas clínicas'!A2030</f>
        <v>2032</v>
      </c>
      <c r="B2030" t="str">
        <f>'Fichas clínicas'!B2030</f>
        <v>19132992-9</v>
      </c>
      <c r="C2030" t="e">
        <f>VLOOKUP(paciente_tutor!B2030,clientes!A2030:B3611,2,FALSE)</f>
        <v>#N/A</v>
      </c>
      <c r="D2030" t="e">
        <f t="shared" si="31"/>
        <v>#N/A</v>
      </c>
    </row>
    <row r="2031" spans="1:4" x14ac:dyDescent="0.2">
      <c r="A2031">
        <f>'Fichas clínicas'!A2031</f>
        <v>2033</v>
      </c>
      <c r="B2031" t="str">
        <f>'Fichas clínicas'!B2031</f>
        <v>17692898-0</v>
      </c>
      <c r="C2031" t="e">
        <f>VLOOKUP(paciente_tutor!B2031,clientes!A2031:B3612,2,FALSE)</f>
        <v>#N/A</v>
      </c>
      <c r="D2031" t="e">
        <f t="shared" si="31"/>
        <v>#N/A</v>
      </c>
    </row>
    <row r="2032" spans="1:4" x14ac:dyDescent="0.2">
      <c r="A2032">
        <f>'Fichas clínicas'!A2032</f>
        <v>2034</v>
      </c>
      <c r="B2032" t="str">
        <f>'Fichas clínicas'!B2032</f>
        <v>18776552-8</v>
      </c>
      <c r="C2032" t="e">
        <f>VLOOKUP(paciente_tutor!B2032,clientes!A2032:B3613,2,FALSE)</f>
        <v>#N/A</v>
      </c>
      <c r="D2032" t="e">
        <f t="shared" si="31"/>
        <v>#N/A</v>
      </c>
    </row>
    <row r="2033" spans="1:4" x14ac:dyDescent="0.2">
      <c r="A2033">
        <f>'Fichas clínicas'!A2033</f>
        <v>2035</v>
      </c>
      <c r="B2033" t="str">
        <f>'Fichas clínicas'!B2033</f>
        <v>10798646-4</v>
      </c>
      <c r="C2033" t="e">
        <f>VLOOKUP(paciente_tutor!B2033,clientes!A2033:B3614,2,FALSE)</f>
        <v>#N/A</v>
      </c>
      <c r="D2033" t="e">
        <f t="shared" si="31"/>
        <v>#N/A</v>
      </c>
    </row>
    <row r="2034" spans="1:4" x14ac:dyDescent="0.2">
      <c r="A2034">
        <f>'Fichas clínicas'!A2034</f>
        <v>2036</v>
      </c>
      <c r="B2034" t="str">
        <f>'Fichas clínicas'!B2034</f>
        <v>15263042-5</v>
      </c>
      <c r="C2034" t="e">
        <f>VLOOKUP(paciente_tutor!B2034,clientes!A2034:B3615,2,FALSE)</f>
        <v>#N/A</v>
      </c>
      <c r="D2034" t="e">
        <f t="shared" si="31"/>
        <v>#N/A</v>
      </c>
    </row>
    <row r="2035" spans="1:4" x14ac:dyDescent="0.2">
      <c r="A2035">
        <f>'Fichas clínicas'!A2035</f>
        <v>2037</v>
      </c>
      <c r="B2035" t="str">
        <f>'Fichas clínicas'!B2035</f>
        <v>15263042-5</v>
      </c>
      <c r="C2035" t="e">
        <f>VLOOKUP(paciente_tutor!B2035,clientes!A2035:B3616,2,FALSE)</f>
        <v>#N/A</v>
      </c>
      <c r="D2035" t="e">
        <f t="shared" si="31"/>
        <v>#N/A</v>
      </c>
    </row>
    <row r="2036" spans="1:4" x14ac:dyDescent="0.2">
      <c r="A2036">
        <f>'Fichas clínicas'!A2036</f>
        <v>2038</v>
      </c>
      <c r="B2036" t="str">
        <f>'Fichas clínicas'!B2036</f>
        <v>18591826-2</v>
      </c>
      <c r="C2036" t="e">
        <f>VLOOKUP(paciente_tutor!B2036,clientes!A2036:B3617,2,FALSE)</f>
        <v>#N/A</v>
      </c>
      <c r="D2036" t="e">
        <f t="shared" si="31"/>
        <v>#N/A</v>
      </c>
    </row>
    <row r="2037" spans="1:4" x14ac:dyDescent="0.2">
      <c r="A2037">
        <f>'Fichas clínicas'!A2037</f>
        <v>2039</v>
      </c>
      <c r="B2037" t="str">
        <f>'Fichas clínicas'!B2037</f>
        <v>19624974-5</v>
      </c>
      <c r="C2037" t="e">
        <f>VLOOKUP(paciente_tutor!B2037,clientes!A2037:B3618,2,FALSE)</f>
        <v>#N/A</v>
      </c>
      <c r="D2037" t="e">
        <f t="shared" si="31"/>
        <v>#N/A</v>
      </c>
    </row>
    <row r="2038" spans="1:4" x14ac:dyDescent="0.2">
      <c r="A2038">
        <f>'Fichas clínicas'!A2038</f>
        <v>2040</v>
      </c>
      <c r="B2038" t="str">
        <f>'Fichas clínicas'!B2038</f>
        <v>21618360-6</v>
      </c>
      <c r="C2038" t="e">
        <f>VLOOKUP(paciente_tutor!B2038,clientes!A2038:B3619,2,FALSE)</f>
        <v>#N/A</v>
      </c>
      <c r="D2038" t="e">
        <f t="shared" si="31"/>
        <v>#N/A</v>
      </c>
    </row>
    <row r="2039" spans="1:4" x14ac:dyDescent="0.2">
      <c r="A2039">
        <f>'Fichas clínicas'!A2039</f>
        <v>2041</v>
      </c>
      <c r="B2039" t="str">
        <f>'Fichas clínicas'!B2039</f>
        <v>20780795-8</v>
      </c>
      <c r="C2039" t="e">
        <f>VLOOKUP(paciente_tutor!B2039,clientes!A2039:B3620,2,FALSE)</f>
        <v>#N/A</v>
      </c>
      <c r="D2039" t="e">
        <f t="shared" si="31"/>
        <v>#N/A</v>
      </c>
    </row>
    <row r="2040" spans="1:4" x14ac:dyDescent="0.2">
      <c r="A2040">
        <f>'Fichas clínicas'!A2040</f>
        <v>2042</v>
      </c>
      <c r="B2040" t="str">
        <f>'Fichas clínicas'!B2040</f>
        <v>17826037-5</v>
      </c>
      <c r="C2040" t="e">
        <f>VLOOKUP(paciente_tutor!B2040,clientes!A2040:B3621,2,FALSE)</f>
        <v>#N/A</v>
      </c>
      <c r="D2040" t="e">
        <f t="shared" si="31"/>
        <v>#N/A</v>
      </c>
    </row>
    <row r="2041" spans="1:4" x14ac:dyDescent="0.2">
      <c r="A2041">
        <f>'Fichas clínicas'!A2041</f>
        <v>2043</v>
      </c>
      <c r="B2041" t="str">
        <f>'Fichas clínicas'!B2041</f>
        <v>15884717-5</v>
      </c>
      <c r="C2041" t="e">
        <f>VLOOKUP(paciente_tutor!B2041,clientes!A2041:B3622,2,FALSE)</f>
        <v>#N/A</v>
      </c>
      <c r="D2041" t="e">
        <f t="shared" si="31"/>
        <v>#N/A</v>
      </c>
    </row>
    <row r="2042" spans="1:4" x14ac:dyDescent="0.2">
      <c r="A2042">
        <f>'Fichas clínicas'!A2042</f>
        <v>2044</v>
      </c>
      <c r="B2042" t="str">
        <f>'Fichas clínicas'!B2042</f>
        <v>16049555-3</v>
      </c>
      <c r="C2042" t="e">
        <f>VLOOKUP(paciente_tutor!B2042,clientes!A2042:B3623,2,FALSE)</f>
        <v>#N/A</v>
      </c>
      <c r="D2042" t="e">
        <f t="shared" si="31"/>
        <v>#N/A</v>
      </c>
    </row>
    <row r="2043" spans="1:4" x14ac:dyDescent="0.2">
      <c r="A2043">
        <f>'Fichas clínicas'!A2043</f>
        <v>2045</v>
      </c>
      <c r="B2043" t="str">
        <f>'Fichas clínicas'!B2043</f>
        <v>13116951-5</v>
      </c>
      <c r="C2043" t="e">
        <f>VLOOKUP(paciente_tutor!B2043,clientes!A2043:B3624,2,FALSE)</f>
        <v>#N/A</v>
      </c>
      <c r="D2043" t="e">
        <f t="shared" si="31"/>
        <v>#N/A</v>
      </c>
    </row>
    <row r="2044" spans="1:4" x14ac:dyDescent="0.2">
      <c r="A2044">
        <f>'Fichas clínicas'!A2044</f>
        <v>2046</v>
      </c>
      <c r="B2044" t="str">
        <f>'Fichas clínicas'!B2044</f>
        <v>19934119-7</v>
      </c>
      <c r="C2044" t="e">
        <f>VLOOKUP(paciente_tutor!B2044,clientes!A2044:B3625,2,FALSE)</f>
        <v>#N/A</v>
      </c>
      <c r="D2044" t="e">
        <f t="shared" si="31"/>
        <v>#N/A</v>
      </c>
    </row>
    <row r="2045" spans="1:4" x14ac:dyDescent="0.2">
      <c r="A2045">
        <f>'Fichas clínicas'!A2045</f>
        <v>2047</v>
      </c>
      <c r="B2045" t="str">
        <f>'Fichas clínicas'!B2045</f>
        <v>15891498-0</v>
      </c>
      <c r="C2045" t="e">
        <f>VLOOKUP(paciente_tutor!B2045,clientes!A2045:B3626,2,FALSE)</f>
        <v>#N/A</v>
      </c>
      <c r="D2045" t="e">
        <f t="shared" si="31"/>
        <v>#N/A</v>
      </c>
    </row>
    <row r="2046" spans="1:4" x14ac:dyDescent="0.2">
      <c r="A2046">
        <f>'Fichas clínicas'!A2046</f>
        <v>2048</v>
      </c>
      <c r="B2046" t="str">
        <f>'Fichas clínicas'!B2046</f>
        <v>15549298-8</v>
      </c>
      <c r="C2046" t="e">
        <f>VLOOKUP(paciente_tutor!B2046,clientes!A2046:B3627,2,FALSE)</f>
        <v>#N/A</v>
      </c>
      <c r="D2046" t="e">
        <f t="shared" si="31"/>
        <v>#N/A</v>
      </c>
    </row>
    <row r="2047" spans="1:4" x14ac:dyDescent="0.2">
      <c r="A2047">
        <f>'Fichas clínicas'!A2047</f>
        <v>2049</v>
      </c>
      <c r="B2047" t="str">
        <f>'Fichas clínicas'!B2047</f>
        <v>14281116-2</v>
      </c>
      <c r="C2047" t="e">
        <f>VLOOKUP(paciente_tutor!B2047,clientes!A2047:B3628,2,FALSE)</f>
        <v>#N/A</v>
      </c>
      <c r="D2047" t="e">
        <f t="shared" si="31"/>
        <v>#N/A</v>
      </c>
    </row>
    <row r="2048" spans="1:4" x14ac:dyDescent="0.2">
      <c r="A2048">
        <f>'Fichas clínicas'!A2048</f>
        <v>2050</v>
      </c>
      <c r="B2048" t="str">
        <f>'Fichas clínicas'!B2048</f>
        <v>12116860-k</v>
      </c>
      <c r="C2048" t="e">
        <f>VLOOKUP(paciente_tutor!B2048,clientes!A2048:B3629,2,FALSE)</f>
        <v>#N/A</v>
      </c>
      <c r="D2048" t="e">
        <f t="shared" si="31"/>
        <v>#N/A</v>
      </c>
    </row>
    <row r="2049" spans="1:4" x14ac:dyDescent="0.2">
      <c r="A2049">
        <f>'Fichas clínicas'!A2049</f>
        <v>2051</v>
      </c>
      <c r="B2049" t="str">
        <f>'Fichas clínicas'!B2049</f>
        <v>12116860-k</v>
      </c>
      <c r="C2049" t="e">
        <f>VLOOKUP(paciente_tutor!B2049,clientes!A2049:B3630,2,FALSE)</f>
        <v>#N/A</v>
      </c>
      <c r="D2049" t="e">
        <f t="shared" si="31"/>
        <v>#N/A</v>
      </c>
    </row>
    <row r="2050" spans="1:4" x14ac:dyDescent="0.2">
      <c r="A2050">
        <f>'Fichas clínicas'!A2050</f>
        <v>2052</v>
      </c>
      <c r="B2050" t="str">
        <f>'Fichas clínicas'!B2050</f>
        <v>17360777-6</v>
      </c>
      <c r="C2050" t="e">
        <f>VLOOKUP(paciente_tutor!B2050,clientes!A2050:B3631,2,FALSE)</f>
        <v>#N/A</v>
      </c>
      <c r="D2050" t="e">
        <f t="shared" si="31"/>
        <v>#N/A</v>
      </c>
    </row>
    <row r="2051" spans="1:4" x14ac:dyDescent="0.2">
      <c r="A2051">
        <f>'Fichas clínicas'!A2051</f>
        <v>2053</v>
      </c>
      <c r="B2051" t="str">
        <f>'Fichas clínicas'!B2051</f>
        <v>11591457-k</v>
      </c>
      <c r="C2051" t="e">
        <f>VLOOKUP(paciente_tutor!B2051,clientes!A2051:B3632,2,FALSE)</f>
        <v>#N/A</v>
      </c>
      <c r="D2051" t="e">
        <f t="shared" ref="D2051:D2114" si="32">IF(C2051="#N/A","",B2051)</f>
        <v>#N/A</v>
      </c>
    </row>
    <row r="2052" spans="1:4" x14ac:dyDescent="0.2">
      <c r="A2052">
        <f>'Fichas clínicas'!A2052</f>
        <v>2054</v>
      </c>
      <c r="B2052" t="str">
        <f>'Fichas clínicas'!B2052</f>
        <v>18776785-7</v>
      </c>
      <c r="C2052" t="e">
        <f>VLOOKUP(paciente_tutor!B2052,clientes!A2052:B3633,2,FALSE)</f>
        <v>#N/A</v>
      </c>
      <c r="D2052" t="e">
        <f t="shared" si="32"/>
        <v>#N/A</v>
      </c>
    </row>
    <row r="2053" spans="1:4" x14ac:dyDescent="0.2">
      <c r="A2053">
        <f>'Fichas clínicas'!A2053</f>
        <v>2055</v>
      </c>
      <c r="B2053" t="str">
        <f>'Fichas clínicas'!B2053</f>
        <v>17360049-6</v>
      </c>
      <c r="C2053" t="e">
        <f>VLOOKUP(paciente_tutor!B2053,clientes!A2053:B3634,2,FALSE)</f>
        <v>#N/A</v>
      </c>
      <c r="D2053" t="e">
        <f t="shared" si="32"/>
        <v>#N/A</v>
      </c>
    </row>
    <row r="2054" spans="1:4" x14ac:dyDescent="0.2">
      <c r="A2054">
        <f>'Fichas clínicas'!A2054</f>
        <v>2056</v>
      </c>
      <c r="B2054" t="str">
        <f>'Fichas clínicas'!B2054</f>
        <v>19942060-7</v>
      </c>
      <c r="C2054" t="e">
        <f>VLOOKUP(paciente_tutor!B2054,clientes!A2054:B3635,2,FALSE)</f>
        <v>#N/A</v>
      </c>
      <c r="D2054" t="e">
        <f t="shared" si="32"/>
        <v>#N/A</v>
      </c>
    </row>
    <row r="2055" spans="1:4" x14ac:dyDescent="0.2">
      <c r="A2055">
        <f>'Fichas clínicas'!A2055</f>
        <v>2057</v>
      </c>
      <c r="B2055" t="str">
        <f>'Fichas clínicas'!B2055</f>
        <v>20153582-4</v>
      </c>
      <c r="C2055" t="e">
        <f>VLOOKUP(paciente_tutor!B2055,clientes!A2055:B3636,2,FALSE)</f>
        <v>#N/A</v>
      </c>
      <c r="D2055" t="e">
        <f t="shared" si="32"/>
        <v>#N/A</v>
      </c>
    </row>
    <row r="2056" spans="1:4" x14ac:dyDescent="0.2">
      <c r="A2056">
        <f>'Fichas clínicas'!A2056</f>
        <v>2058</v>
      </c>
      <c r="B2056" t="str">
        <f>'Fichas clínicas'!B2056</f>
        <v>15292838-6</v>
      </c>
      <c r="C2056" t="e">
        <f>VLOOKUP(paciente_tutor!B2056,clientes!A2056:B3637,2,FALSE)</f>
        <v>#N/A</v>
      </c>
      <c r="D2056" t="e">
        <f t="shared" si="32"/>
        <v>#N/A</v>
      </c>
    </row>
    <row r="2057" spans="1:4" x14ac:dyDescent="0.2">
      <c r="A2057">
        <f>'Fichas clínicas'!A2057</f>
        <v>2059</v>
      </c>
      <c r="B2057" t="str">
        <f>'Fichas clínicas'!B2057</f>
        <v>19624974-5</v>
      </c>
      <c r="C2057" t="e">
        <f>VLOOKUP(paciente_tutor!B2057,clientes!A2057:B3638,2,FALSE)</f>
        <v>#N/A</v>
      </c>
      <c r="D2057" t="e">
        <f t="shared" si="32"/>
        <v>#N/A</v>
      </c>
    </row>
    <row r="2058" spans="1:4" x14ac:dyDescent="0.2">
      <c r="A2058">
        <f>'Fichas clínicas'!A2058</f>
        <v>2060</v>
      </c>
      <c r="B2058" t="str">
        <f>'Fichas clínicas'!B2058</f>
        <v>17695471-k</v>
      </c>
      <c r="C2058" t="e">
        <f>VLOOKUP(paciente_tutor!B2058,clientes!A2058:B3639,2,FALSE)</f>
        <v>#N/A</v>
      </c>
      <c r="D2058" t="e">
        <f t="shared" si="32"/>
        <v>#N/A</v>
      </c>
    </row>
    <row r="2059" spans="1:4" x14ac:dyDescent="0.2">
      <c r="A2059">
        <f>'Fichas clínicas'!A2059</f>
        <v>2061</v>
      </c>
      <c r="B2059" t="str">
        <f>'Fichas clínicas'!B2059</f>
        <v>17360777-6</v>
      </c>
      <c r="C2059" t="e">
        <f>VLOOKUP(paciente_tutor!B2059,clientes!A2059:B3640,2,FALSE)</f>
        <v>#N/A</v>
      </c>
      <c r="D2059" t="e">
        <f t="shared" si="32"/>
        <v>#N/A</v>
      </c>
    </row>
    <row r="2060" spans="1:4" x14ac:dyDescent="0.2">
      <c r="A2060">
        <f>'Fichas clínicas'!A2060</f>
        <v>2062</v>
      </c>
      <c r="B2060" t="str">
        <f>'Fichas clínicas'!B2060</f>
        <v>21339828-8</v>
      </c>
      <c r="C2060" t="e">
        <f>VLOOKUP(paciente_tutor!B2060,clientes!A2060:B3641,2,FALSE)</f>
        <v>#N/A</v>
      </c>
      <c r="D2060" t="e">
        <f t="shared" si="32"/>
        <v>#N/A</v>
      </c>
    </row>
    <row r="2061" spans="1:4" x14ac:dyDescent="0.2">
      <c r="A2061">
        <f>'Fichas clínicas'!A2061</f>
        <v>2063</v>
      </c>
      <c r="B2061" t="str">
        <f>'Fichas clínicas'!B2061</f>
        <v>11707199-5</v>
      </c>
      <c r="C2061" t="e">
        <f>VLOOKUP(paciente_tutor!B2061,clientes!A2061:B3642,2,FALSE)</f>
        <v>#N/A</v>
      </c>
      <c r="D2061" t="e">
        <f t="shared" si="32"/>
        <v>#N/A</v>
      </c>
    </row>
    <row r="2062" spans="1:4" x14ac:dyDescent="0.2">
      <c r="A2062">
        <f>'Fichas clínicas'!A2062</f>
        <v>2064</v>
      </c>
      <c r="B2062" t="str">
        <f>'Fichas clínicas'!B2062</f>
        <v>10465719-2</v>
      </c>
      <c r="C2062" t="e">
        <f>VLOOKUP(paciente_tutor!B2062,clientes!A2062:B3643,2,FALSE)</f>
        <v>#N/A</v>
      </c>
      <c r="D2062" t="e">
        <f t="shared" si="32"/>
        <v>#N/A</v>
      </c>
    </row>
    <row r="2063" spans="1:4" x14ac:dyDescent="0.2">
      <c r="A2063">
        <f>'Fichas clínicas'!A2063</f>
        <v>2065</v>
      </c>
      <c r="B2063" t="str">
        <f>'Fichas clínicas'!B2063</f>
        <v>7157553-5</v>
      </c>
      <c r="C2063" t="e">
        <f>VLOOKUP(paciente_tutor!B2063,clientes!A2063:B3644,2,FALSE)</f>
        <v>#N/A</v>
      </c>
      <c r="D2063" t="e">
        <f t="shared" si="32"/>
        <v>#N/A</v>
      </c>
    </row>
    <row r="2064" spans="1:4" x14ac:dyDescent="0.2">
      <c r="A2064">
        <f>'Fichas clínicas'!A2064</f>
        <v>2066</v>
      </c>
      <c r="B2064" t="str">
        <f>'Fichas clínicas'!B2064</f>
        <v>20016603-5</v>
      </c>
      <c r="C2064" t="e">
        <f>VLOOKUP(paciente_tutor!B2064,clientes!A2064:B3645,2,FALSE)</f>
        <v>#N/A</v>
      </c>
      <c r="D2064" t="e">
        <f t="shared" si="32"/>
        <v>#N/A</v>
      </c>
    </row>
    <row r="2065" spans="1:4" x14ac:dyDescent="0.2">
      <c r="A2065">
        <f>'Fichas clínicas'!A2065</f>
        <v>2067</v>
      </c>
      <c r="B2065" t="str">
        <f>'Fichas clínicas'!B2065</f>
        <v>16872391-1</v>
      </c>
      <c r="C2065" t="e">
        <f>VLOOKUP(paciente_tutor!B2065,clientes!A2065:B3646,2,FALSE)</f>
        <v>#N/A</v>
      </c>
      <c r="D2065" t="e">
        <f t="shared" si="32"/>
        <v>#N/A</v>
      </c>
    </row>
    <row r="2066" spans="1:4" x14ac:dyDescent="0.2">
      <c r="A2066">
        <f>'Fichas clínicas'!A2066</f>
        <v>2068</v>
      </c>
      <c r="B2066" t="str">
        <f>'Fichas clínicas'!B2066</f>
        <v>16805205-7</v>
      </c>
      <c r="C2066" t="e">
        <f>VLOOKUP(paciente_tutor!B2066,clientes!A2066:B3647,2,FALSE)</f>
        <v>#N/A</v>
      </c>
      <c r="D2066" t="e">
        <f t="shared" si="32"/>
        <v>#N/A</v>
      </c>
    </row>
    <row r="2067" spans="1:4" x14ac:dyDescent="0.2">
      <c r="A2067">
        <f>'Fichas clínicas'!A2067</f>
        <v>2069</v>
      </c>
      <c r="B2067" t="str">
        <f>'Fichas clínicas'!B2067</f>
        <v>13846650-7</v>
      </c>
      <c r="C2067" t="e">
        <f>VLOOKUP(paciente_tutor!B2067,clientes!A2067:B3648,2,FALSE)</f>
        <v>#N/A</v>
      </c>
      <c r="D2067" t="e">
        <f t="shared" si="32"/>
        <v>#N/A</v>
      </c>
    </row>
    <row r="2068" spans="1:4" x14ac:dyDescent="0.2">
      <c r="A2068">
        <f>'Fichas clínicas'!A2068</f>
        <v>2070</v>
      </c>
      <c r="B2068" t="str">
        <f>'Fichas clínicas'!B2068</f>
        <v>15882961-4</v>
      </c>
      <c r="C2068" t="e">
        <f>VLOOKUP(paciente_tutor!B2068,clientes!A2068:B3649,2,FALSE)</f>
        <v>#N/A</v>
      </c>
      <c r="D2068" t="e">
        <f t="shared" si="32"/>
        <v>#N/A</v>
      </c>
    </row>
    <row r="2069" spans="1:4" x14ac:dyDescent="0.2">
      <c r="A2069">
        <f>'Fichas clínicas'!A2069</f>
        <v>2071</v>
      </c>
      <c r="B2069" t="str">
        <f>'Fichas clínicas'!B2069</f>
        <v>15301272-5</v>
      </c>
      <c r="C2069" t="e">
        <f>VLOOKUP(paciente_tutor!B2069,clientes!A2069:B3650,2,FALSE)</f>
        <v>#N/A</v>
      </c>
      <c r="D2069" t="e">
        <f t="shared" si="32"/>
        <v>#N/A</v>
      </c>
    </row>
    <row r="2070" spans="1:4" x14ac:dyDescent="0.2">
      <c r="A2070">
        <f>'Fichas clínicas'!A2070</f>
        <v>2072</v>
      </c>
      <c r="B2070" t="str">
        <f>'Fichas clínicas'!B2070</f>
        <v>17694315-7</v>
      </c>
      <c r="C2070" t="e">
        <f>VLOOKUP(paciente_tutor!B2070,clientes!A2070:B3651,2,FALSE)</f>
        <v>#N/A</v>
      </c>
      <c r="D2070" t="e">
        <f t="shared" si="32"/>
        <v>#N/A</v>
      </c>
    </row>
    <row r="2071" spans="1:4" x14ac:dyDescent="0.2">
      <c r="A2071">
        <f>'Fichas clínicas'!A2071</f>
        <v>2073</v>
      </c>
      <c r="B2071" t="str">
        <f>'Fichas clínicas'!B2071</f>
        <v>12761634-5</v>
      </c>
      <c r="C2071" t="e">
        <f>VLOOKUP(paciente_tutor!B2071,clientes!A2071:B3652,2,FALSE)</f>
        <v>#N/A</v>
      </c>
      <c r="D2071" t="e">
        <f t="shared" si="32"/>
        <v>#N/A</v>
      </c>
    </row>
    <row r="2072" spans="1:4" x14ac:dyDescent="0.2">
      <c r="A2072">
        <f>'Fichas clínicas'!A2072</f>
        <v>2074</v>
      </c>
      <c r="B2072" t="str">
        <f>'Fichas clínicas'!B2072</f>
        <v>15294412-8</v>
      </c>
      <c r="C2072" t="e">
        <f>VLOOKUP(paciente_tutor!B2072,clientes!A2072:B3653,2,FALSE)</f>
        <v>#N/A</v>
      </c>
      <c r="D2072" t="e">
        <f t="shared" si="32"/>
        <v>#N/A</v>
      </c>
    </row>
    <row r="2073" spans="1:4" x14ac:dyDescent="0.2">
      <c r="A2073">
        <f>'Fichas clínicas'!A2073</f>
        <v>2075</v>
      </c>
      <c r="B2073" t="str">
        <f>'Fichas clínicas'!B2073</f>
        <v>15620651-2</v>
      </c>
      <c r="C2073" t="e">
        <f>VLOOKUP(paciente_tutor!B2073,clientes!A2073:B3654,2,FALSE)</f>
        <v>#N/A</v>
      </c>
      <c r="D2073" t="e">
        <f t="shared" si="32"/>
        <v>#N/A</v>
      </c>
    </row>
    <row r="2074" spans="1:4" x14ac:dyDescent="0.2">
      <c r="A2074">
        <f>'Fichas clínicas'!A2074</f>
        <v>2076</v>
      </c>
      <c r="B2074" t="str">
        <f>'Fichas clínicas'!B2074</f>
        <v>19624974-5</v>
      </c>
      <c r="C2074" t="e">
        <f>VLOOKUP(paciente_tutor!B2074,clientes!A2074:B3655,2,FALSE)</f>
        <v>#N/A</v>
      </c>
      <c r="D2074" t="e">
        <f t="shared" si="32"/>
        <v>#N/A</v>
      </c>
    </row>
    <row r="2075" spans="1:4" x14ac:dyDescent="0.2">
      <c r="A2075">
        <f>'Fichas clínicas'!A2075</f>
        <v>2077</v>
      </c>
      <c r="B2075" t="str">
        <f>'Fichas clínicas'!B2075</f>
        <v>9536709-7</v>
      </c>
      <c r="C2075" t="e">
        <f>VLOOKUP(paciente_tutor!B2075,clientes!A2075:B3656,2,FALSE)</f>
        <v>#N/A</v>
      </c>
      <c r="D2075" t="e">
        <f t="shared" si="32"/>
        <v>#N/A</v>
      </c>
    </row>
    <row r="2076" spans="1:4" x14ac:dyDescent="0.2">
      <c r="A2076">
        <f>'Fichas clínicas'!A2076</f>
        <v>2078</v>
      </c>
      <c r="B2076" t="str">
        <f>'Fichas clínicas'!B2076</f>
        <v>15884168-1</v>
      </c>
      <c r="C2076" t="e">
        <f>VLOOKUP(paciente_tutor!B2076,clientes!A2076:B3657,2,FALSE)</f>
        <v>#N/A</v>
      </c>
      <c r="D2076" t="e">
        <f t="shared" si="32"/>
        <v>#N/A</v>
      </c>
    </row>
    <row r="2077" spans="1:4" x14ac:dyDescent="0.2">
      <c r="A2077">
        <f>'Fichas clínicas'!A2077</f>
        <v>2079</v>
      </c>
      <c r="B2077" t="str">
        <f>'Fichas clínicas'!B2077</f>
        <v>14580163-k</v>
      </c>
      <c r="C2077" t="e">
        <f>VLOOKUP(paciente_tutor!B2077,clientes!A2077:B3658,2,FALSE)</f>
        <v>#N/A</v>
      </c>
      <c r="D2077" t="e">
        <f t="shared" si="32"/>
        <v>#N/A</v>
      </c>
    </row>
    <row r="2078" spans="1:4" x14ac:dyDescent="0.2">
      <c r="A2078">
        <f>'Fichas clínicas'!A2078</f>
        <v>2080</v>
      </c>
      <c r="B2078" t="str">
        <f>'Fichas clínicas'!B2078</f>
        <v>11114795-7</v>
      </c>
      <c r="C2078" t="e">
        <f>VLOOKUP(paciente_tutor!B2078,clientes!A2078:B3659,2,FALSE)</f>
        <v>#N/A</v>
      </c>
      <c r="D2078" t="e">
        <f t="shared" si="32"/>
        <v>#N/A</v>
      </c>
    </row>
    <row r="2079" spans="1:4" x14ac:dyDescent="0.2">
      <c r="A2079">
        <f>'Fichas clínicas'!A2079</f>
        <v>2081</v>
      </c>
      <c r="B2079" t="str">
        <f>'Fichas clínicas'!B2079</f>
        <v>16564660-6</v>
      </c>
      <c r="C2079" t="e">
        <f>VLOOKUP(paciente_tutor!B2079,clientes!A2079:B3660,2,FALSE)</f>
        <v>#N/A</v>
      </c>
      <c r="D2079" t="e">
        <f t="shared" si="32"/>
        <v>#N/A</v>
      </c>
    </row>
    <row r="2080" spans="1:4" x14ac:dyDescent="0.2">
      <c r="A2080">
        <f>'Fichas clínicas'!A2080</f>
        <v>2082</v>
      </c>
      <c r="B2080" t="str">
        <f>'Fichas clínicas'!B2080</f>
        <v>20119769-4</v>
      </c>
      <c r="C2080" t="e">
        <f>VLOOKUP(paciente_tutor!B2080,clientes!A2080:B3661,2,FALSE)</f>
        <v>#N/A</v>
      </c>
      <c r="D2080" t="e">
        <f t="shared" si="32"/>
        <v>#N/A</v>
      </c>
    </row>
    <row r="2081" spans="1:4" x14ac:dyDescent="0.2">
      <c r="A2081">
        <f>'Fichas clínicas'!A2081</f>
        <v>2083</v>
      </c>
      <c r="B2081" t="str">
        <f>'Fichas clínicas'!B2081</f>
        <v>18775608-1</v>
      </c>
      <c r="C2081" t="e">
        <f>VLOOKUP(paciente_tutor!B2081,clientes!A2081:B3662,2,FALSE)</f>
        <v>#N/A</v>
      </c>
      <c r="D2081" t="e">
        <f t="shared" si="32"/>
        <v>#N/A</v>
      </c>
    </row>
    <row r="2082" spans="1:4" x14ac:dyDescent="0.2">
      <c r="A2082">
        <f>'Fichas clínicas'!A2082</f>
        <v>2084</v>
      </c>
      <c r="B2082" t="str">
        <f>'Fichas clínicas'!B2082</f>
        <v>17068051-0</v>
      </c>
      <c r="C2082" t="e">
        <f>VLOOKUP(paciente_tutor!B2082,clientes!A2082:B3663,2,FALSE)</f>
        <v>#N/A</v>
      </c>
      <c r="D2082" t="e">
        <f t="shared" si="32"/>
        <v>#N/A</v>
      </c>
    </row>
    <row r="2083" spans="1:4" x14ac:dyDescent="0.2">
      <c r="A2083">
        <f>'Fichas clínicas'!A2083</f>
        <v>2085</v>
      </c>
      <c r="B2083" t="str">
        <f>'Fichas clínicas'!B2083</f>
        <v>18782202-5</v>
      </c>
      <c r="C2083" t="e">
        <f>VLOOKUP(paciente_tutor!B2083,clientes!A2083:B3664,2,FALSE)</f>
        <v>#N/A</v>
      </c>
      <c r="D2083" t="e">
        <f t="shared" si="32"/>
        <v>#N/A</v>
      </c>
    </row>
    <row r="2084" spans="1:4" x14ac:dyDescent="0.2">
      <c r="A2084">
        <f>'Fichas clínicas'!A2084</f>
        <v>2086</v>
      </c>
      <c r="B2084" t="str">
        <f>'Fichas clínicas'!B2084</f>
        <v>19437614-6</v>
      </c>
      <c r="C2084" t="e">
        <f>VLOOKUP(paciente_tutor!B2084,clientes!A2084:B3665,2,FALSE)</f>
        <v>#N/A</v>
      </c>
      <c r="D2084" t="e">
        <f t="shared" si="32"/>
        <v>#N/A</v>
      </c>
    </row>
    <row r="2085" spans="1:4" x14ac:dyDescent="0.2">
      <c r="A2085">
        <f>'Fichas clínicas'!A2085</f>
        <v>2087</v>
      </c>
      <c r="B2085" t="str">
        <f>'Fichas clínicas'!B2085</f>
        <v>19624974-5</v>
      </c>
      <c r="C2085" t="e">
        <f>VLOOKUP(paciente_tutor!B2085,clientes!A2085:B3666,2,FALSE)</f>
        <v>#N/A</v>
      </c>
      <c r="D2085" t="e">
        <f t="shared" si="32"/>
        <v>#N/A</v>
      </c>
    </row>
    <row r="2086" spans="1:4" x14ac:dyDescent="0.2">
      <c r="A2086">
        <f>'Fichas clínicas'!A2086</f>
        <v>2088</v>
      </c>
      <c r="B2086" t="str">
        <f>'Fichas clínicas'!B2086</f>
        <v>19624974-5</v>
      </c>
      <c r="C2086" t="e">
        <f>VLOOKUP(paciente_tutor!B2086,clientes!A2086:B3667,2,FALSE)</f>
        <v>#N/A</v>
      </c>
      <c r="D2086" t="e">
        <f t="shared" si="32"/>
        <v>#N/A</v>
      </c>
    </row>
    <row r="2087" spans="1:4" x14ac:dyDescent="0.2">
      <c r="A2087">
        <f>'Fichas clínicas'!A2087</f>
        <v>2089</v>
      </c>
      <c r="B2087" t="str">
        <f>'Fichas clínicas'!B2087</f>
        <v>19624974-5</v>
      </c>
      <c r="C2087" t="e">
        <f>VLOOKUP(paciente_tutor!B2087,clientes!A2087:B3668,2,FALSE)</f>
        <v>#N/A</v>
      </c>
      <c r="D2087" t="e">
        <f t="shared" si="32"/>
        <v>#N/A</v>
      </c>
    </row>
    <row r="2088" spans="1:4" x14ac:dyDescent="0.2">
      <c r="A2088">
        <f>'Fichas clínicas'!A2088</f>
        <v>2090</v>
      </c>
      <c r="B2088" t="str">
        <f>'Fichas clínicas'!B2088</f>
        <v>19624974-5</v>
      </c>
      <c r="C2088" t="e">
        <f>VLOOKUP(paciente_tutor!B2088,clientes!A2088:B3669,2,FALSE)</f>
        <v>#N/A</v>
      </c>
      <c r="D2088" t="e">
        <f t="shared" si="32"/>
        <v>#N/A</v>
      </c>
    </row>
    <row r="2089" spans="1:4" x14ac:dyDescent="0.2">
      <c r="A2089">
        <f>'Fichas clínicas'!A2089</f>
        <v>2091</v>
      </c>
      <c r="B2089" t="str">
        <f>'Fichas clínicas'!B2089</f>
        <v>14281790-K</v>
      </c>
      <c r="C2089" t="e">
        <f>VLOOKUP(paciente_tutor!B2089,clientes!A2089:B3670,2,FALSE)</f>
        <v>#N/A</v>
      </c>
      <c r="D2089" t="e">
        <f t="shared" si="32"/>
        <v>#N/A</v>
      </c>
    </row>
    <row r="2090" spans="1:4" x14ac:dyDescent="0.2">
      <c r="A2090">
        <f>'Fichas clínicas'!A2090</f>
        <v>2092</v>
      </c>
      <c r="B2090" t="str">
        <f>'Fichas clínicas'!B2090</f>
        <v>11591540-1</v>
      </c>
      <c r="C2090" t="e">
        <f>VLOOKUP(paciente_tutor!B2090,clientes!A2090:B3671,2,FALSE)</f>
        <v>#N/A</v>
      </c>
      <c r="D2090" t="e">
        <f t="shared" si="32"/>
        <v>#N/A</v>
      </c>
    </row>
    <row r="2091" spans="1:4" x14ac:dyDescent="0.2">
      <c r="A2091">
        <f>'Fichas clínicas'!A2091</f>
        <v>2093</v>
      </c>
      <c r="B2091" t="str">
        <f>'Fichas clínicas'!B2091</f>
        <v>12247535-2</v>
      </c>
      <c r="C2091" t="e">
        <f>VLOOKUP(paciente_tutor!B2091,clientes!A2091:B3672,2,FALSE)</f>
        <v>#N/A</v>
      </c>
      <c r="D2091" t="e">
        <f t="shared" si="32"/>
        <v>#N/A</v>
      </c>
    </row>
    <row r="2092" spans="1:4" x14ac:dyDescent="0.2">
      <c r="A2092">
        <f>'Fichas clínicas'!A2092</f>
        <v>2094</v>
      </c>
      <c r="B2092" t="str">
        <f>'Fichas clínicas'!B2092</f>
        <v>17693108-6</v>
      </c>
      <c r="C2092" t="e">
        <f>VLOOKUP(paciente_tutor!B2092,clientes!A2092:B3673,2,FALSE)</f>
        <v>#N/A</v>
      </c>
      <c r="D2092" t="e">
        <f t="shared" si="32"/>
        <v>#N/A</v>
      </c>
    </row>
    <row r="2093" spans="1:4" x14ac:dyDescent="0.2">
      <c r="A2093">
        <f>'Fichas clínicas'!A2093</f>
        <v>2095</v>
      </c>
      <c r="B2093" t="str">
        <f>'Fichas clínicas'!B2093</f>
        <v>14467353-0</v>
      </c>
      <c r="C2093" t="e">
        <f>VLOOKUP(paciente_tutor!B2093,clientes!A2093:B3674,2,FALSE)</f>
        <v>#N/A</v>
      </c>
      <c r="D2093" t="e">
        <f t="shared" si="32"/>
        <v>#N/A</v>
      </c>
    </row>
    <row r="2094" spans="1:4" x14ac:dyDescent="0.2">
      <c r="A2094">
        <f>'Fichas clínicas'!A2094</f>
        <v>2096</v>
      </c>
      <c r="B2094" t="str">
        <f>'Fichas clínicas'!B2094</f>
        <v>16464687-4</v>
      </c>
      <c r="C2094" t="e">
        <f>VLOOKUP(paciente_tutor!B2094,clientes!A2094:B3675,2,FALSE)</f>
        <v>#N/A</v>
      </c>
      <c r="D2094" t="e">
        <f t="shared" si="32"/>
        <v>#N/A</v>
      </c>
    </row>
    <row r="2095" spans="1:4" x14ac:dyDescent="0.2">
      <c r="A2095">
        <f>'Fichas clínicas'!A2095</f>
        <v>2097</v>
      </c>
      <c r="B2095" t="str">
        <f>'Fichas clínicas'!B2095</f>
        <v>20315657-k</v>
      </c>
      <c r="C2095" t="e">
        <f>VLOOKUP(paciente_tutor!B2095,clientes!A2095:B3676,2,FALSE)</f>
        <v>#N/A</v>
      </c>
      <c r="D2095" t="e">
        <f t="shared" si="32"/>
        <v>#N/A</v>
      </c>
    </row>
    <row r="2096" spans="1:4" x14ac:dyDescent="0.2">
      <c r="A2096">
        <f>'Fichas clínicas'!A2096</f>
        <v>2098</v>
      </c>
      <c r="B2096" t="str">
        <f>'Fichas clínicas'!B2096</f>
        <v>10473035-3</v>
      </c>
      <c r="C2096" t="e">
        <f>VLOOKUP(paciente_tutor!B2096,clientes!A2096:B3677,2,FALSE)</f>
        <v>#N/A</v>
      </c>
      <c r="D2096" t="e">
        <f t="shared" si="32"/>
        <v>#N/A</v>
      </c>
    </row>
    <row r="2097" spans="1:4" x14ac:dyDescent="0.2">
      <c r="A2097">
        <f>'Fichas clínicas'!A2097</f>
        <v>2099</v>
      </c>
      <c r="B2097" t="str">
        <f>'Fichas clínicas'!B2097</f>
        <v>20017689-8</v>
      </c>
      <c r="C2097" t="e">
        <f>VLOOKUP(paciente_tutor!B2097,clientes!A2097:B3678,2,FALSE)</f>
        <v>#N/A</v>
      </c>
      <c r="D2097" t="e">
        <f t="shared" si="32"/>
        <v>#N/A</v>
      </c>
    </row>
    <row r="2098" spans="1:4" x14ac:dyDescent="0.2">
      <c r="A2098">
        <f>'Fichas clínicas'!A2098</f>
        <v>2100</v>
      </c>
      <c r="B2098" t="str">
        <f>'Fichas clínicas'!B2098</f>
        <v>21644721-2</v>
      </c>
      <c r="C2098" t="e">
        <f>VLOOKUP(paciente_tutor!B2098,clientes!A2098:B3679,2,FALSE)</f>
        <v>#N/A</v>
      </c>
      <c r="D2098" t="e">
        <f t="shared" si="32"/>
        <v>#N/A</v>
      </c>
    </row>
    <row r="2099" spans="1:4" x14ac:dyDescent="0.2">
      <c r="A2099">
        <f>'Fichas clínicas'!A2099</f>
        <v>2101</v>
      </c>
      <c r="B2099" t="str">
        <f>'Fichas clínicas'!B2099</f>
        <v>13068635-4</v>
      </c>
      <c r="C2099" t="e">
        <f>VLOOKUP(paciente_tutor!B2099,clientes!A2099:B3680,2,FALSE)</f>
        <v>#N/A</v>
      </c>
      <c r="D2099" t="e">
        <f t="shared" si="32"/>
        <v>#N/A</v>
      </c>
    </row>
    <row r="2100" spans="1:4" x14ac:dyDescent="0.2">
      <c r="A2100">
        <f>'Fichas clínicas'!A2100</f>
        <v>2102</v>
      </c>
      <c r="B2100" t="str">
        <f>'Fichas clínicas'!B2100</f>
        <v>21165344-2</v>
      </c>
      <c r="C2100" t="e">
        <f>VLOOKUP(paciente_tutor!B2100,clientes!A2100:B3681,2,FALSE)</f>
        <v>#N/A</v>
      </c>
      <c r="D2100" t="e">
        <f t="shared" si="32"/>
        <v>#N/A</v>
      </c>
    </row>
    <row r="2101" spans="1:4" x14ac:dyDescent="0.2">
      <c r="A2101">
        <f>'Fichas clínicas'!A2101</f>
        <v>2103</v>
      </c>
      <c r="B2101" t="str">
        <f>'Fichas clínicas'!B2101</f>
        <v>16587611-3</v>
      </c>
      <c r="C2101" t="e">
        <f>VLOOKUP(paciente_tutor!B2101,clientes!A2101:B3682,2,FALSE)</f>
        <v>#N/A</v>
      </c>
      <c r="D2101" t="e">
        <f t="shared" si="32"/>
        <v>#N/A</v>
      </c>
    </row>
    <row r="2102" spans="1:4" x14ac:dyDescent="0.2">
      <c r="A2102">
        <f>'Fichas clínicas'!A2102</f>
        <v>2104</v>
      </c>
      <c r="B2102" t="str">
        <f>'Fichas clínicas'!B2102</f>
        <v>16587611-3</v>
      </c>
      <c r="C2102" t="e">
        <f>VLOOKUP(paciente_tutor!B2102,clientes!A2102:B3683,2,FALSE)</f>
        <v>#N/A</v>
      </c>
      <c r="D2102" t="e">
        <f t="shared" si="32"/>
        <v>#N/A</v>
      </c>
    </row>
    <row r="2103" spans="1:4" x14ac:dyDescent="0.2">
      <c r="A2103">
        <f>'Fichas clínicas'!A2103</f>
        <v>2105</v>
      </c>
      <c r="B2103" t="str">
        <f>'Fichas clínicas'!B2103</f>
        <v>16587611-3</v>
      </c>
      <c r="C2103" t="e">
        <f>VLOOKUP(paciente_tutor!B2103,clientes!A2103:B3684,2,FALSE)</f>
        <v>#N/A</v>
      </c>
      <c r="D2103" t="e">
        <f t="shared" si="32"/>
        <v>#N/A</v>
      </c>
    </row>
    <row r="2104" spans="1:4" x14ac:dyDescent="0.2">
      <c r="A2104">
        <f>'Fichas clínicas'!A2104</f>
        <v>2106</v>
      </c>
      <c r="B2104" t="str">
        <f>'Fichas clínicas'!B2104</f>
        <v>16587611-3</v>
      </c>
      <c r="C2104" t="e">
        <f>VLOOKUP(paciente_tutor!B2104,clientes!A2104:B3685,2,FALSE)</f>
        <v>#N/A</v>
      </c>
      <c r="D2104" t="e">
        <f t="shared" si="32"/>
        <v>#N/A</v>
      </c>
    </row>
    <row r="2105" spans="1:4" x14ac:dyDescent="0.2">
      <c r="A2105">
        <f>'Fichas clínicas'!A2105</f>
        <v>2107</v>
      </c>
      <c r="B2105" t="str">
        <f>'Fichas clínicas'!B2105</f>
        <v>12994789-6</v>
      </c>
      <c r="C2105" t="e">
        <f>VLOOKUP(paciente_tutor!B2105,clientes!A2105:B3686,2,FALSE)</f>
        <v>#N/A</v>
      </c>
      <c r="D2105" t="e">
        <f t="shared" si="32"/>
        <v>#N/A</v>
      </c>
    </row>
    <row r="2106" spans="1:4" x14ac:dyDescent="0.2">
      <c r="A2106">
        <f>'Fichas clínicas'!A2106</f>
        <v>2108</v>
      </c>
      <c r="B2106" t="str">
        <f>'Fichas clínicas'!B2106</f>
        <v>13609615-K</v>
      </c>
      <c r="C2106" t="e">
        <f>VLOOKUP(paciente_tutor!B2106,clientes!A2106:B3687,2,FALSE)</f>
        <v>#N/A</v>
      </c>
      <c r="D2106" t="e">
        <f t="shared" si="32"/>
        <v>#N/A</v>
      </c>
    </row>
    <row r="2107" spans="1:4" x14ac:dyDescent="0.2">
      <c r="A2107">
        <f>'Fichas clínicas'!A2107</f>
        <v>2109</v>
      </c>
      <c r="B2107" t="str">
        <f>'Fichas clínicas'!B2107</f>
        <v>16587611-3</v>
      </c>
      <c r="C2107" t="e">
        <f>VLOOKUP(paciente_tutor!B2107,clientes!A2107:B3688,2,FALSE)</f>
        <v>#N/A</v>
      </c>
      <c r="D2107" t="e">
        <f t="shared" si="32"/>
        <v>#N/A</v>
      </c>
    </row>
    <row r="2108" spans="1:4" x14ac:dyDescent="0.2">
      <c r="A2108">
        <f>'Fichas clínicas'!A2108</f>
        <v>2110</v>
      </c>
      <c r="B2108" t="str">
        <f>'Fichas clínicas'!B2108</f>
        <v>18776047-k</v>
      </c>
      <c r="C2108" t="e">
        <f>VLOOKUP(paciente_tutor!B2108,clientes!A2108:B3689,2,FALSE)</f>
        <v>#N/A</v>
      </c>
      <c r="D2108" t="e">
        <f t="shared" si="32"/>
        <v>#N/A</v>
      </c>
    </row>
    <row r="2109" spans="1:4" x14ac:dyDescent="0.2">
      <c r="A2109">
        <f>'Fichas clínicas'!A2109</f>
        <v>2111</v>
      </c>
      <c r="B2109" t="str">
        <f>'Fichas clínicas'!B2109</f>
        <v>17361177-3</v>
      </c>
      <c r="C2109" t="e">
        <f>VLOOKUP(paciente_tutor!B2109,clientes!A2109:B3690,2,FALSE)</f>
        <v>#N/A</v>
      </c>
      <c r="D2109" t="e">
        <f t="shared" si="32"/>
        <v>#N/A</v>
      </c>
    </row>
    <row r="2110" spans="1:4" x14ac:dyDescent="0.2">
      <c r="A2110">
        <f>'Fichas clínicas'!A2110</f>
        <v>2112</v>
      </c>
      <c r="B2110" t="str">
        <f>'Fichas clínicas'!B2110</f>
        <v>10820182-7</v>
      </c>
      <c r="C2110" t="e">
        <f>VLOOKUP(paciente_tutor!B2110,clientes!A2110:B3691,2,FALSE)</f>
        <v>#N/A</v>
      </c>
      <c r="D2110" t="e">
        <f t="shared" si="32"/>
        <v>#N/A</v>
      </c>
    </row>
    <row r="2111" spans="1:4" x14ac:dyDescent="0.2">
      <c r="A2111">
        <f>'Fichas clínicas'!A2111</f>
        <v>2113</v>
      </c>
      <c r="B2111" t="str">
        <f>'Fichas clínicas'!B2111</f>
        <v>14291497-2</v>
      </c>
      <c r="C2111" t="e">
        <f>VLOOKUP(paciente_tutor!B2111,clientes!A2111:B3692,2,FALSE)</f>
        <v>#N/A</v>
      </c>
      <c r="D2111" t="e">
        <f t="shared" si="32"/>
        <v>#N/A</v>
      </c>
    </row>
    <row r="2112" spans="1:4" x14ac:dyDescent="0.2">
      <c r="A2112">
        <f>'Fichas clínicas'!A2112</f>
        <v>2114</v>
      </c>
      <c r="B2112" t="str">
        <f>'Fichas clínicas'!B2112</f>
        <v>16465635-7</v>
      </c>
      <c r="C2112" t="e">
        <f>VLOOKUP(paciente_tutor!B2112,clientes!A2112:B3693,2,FALSE)</f>
        <v>#N/A</v>
      </c>
      <c r="D2112" t="e">
        <f t="shared" si="32"/>
        <v>#N/A</v>
      </c>
    </row>
    <row r="2113" spans="1:4" x14ac:dyDescent="0.2">
      <c r="A2113">
        <f>'Fichas clínicas'!A2113</f>
        <v>2115</v>
      </c>
      <c r="B2113" t="str">
        <f>'Fichas clínicas'!B2113</f>
        <v>17982104-4</v>
      </c>
      <c r="C2113" t="e">
        <f>VLOOKUP(paciente_tutor!B2113,clientes!A2113:B3694,2,FALSE)</f>
        <v>#N/A</v>
      </c>
      <c r="D2113" t="e">
        <f t="shared" si="32"/>
        <v>#N/A</v>
      </c>
    </row>
    <row r="2114" spans="1:4" x14ac:dyDescent="0.2">
      <c r="A2114">
        <f>'Fichas clínicas'!A2114</f>
        <v>2116</v>
      </c>
      <c r="B2114" t="str">
        <f>'Fichas clínicas'!B2114</f>
        <v>21022486-6</v>
      </c>
      <c r="C2114" t="e">
        <f>VLOOKUP(paciente_tutor!B2114,clientes!A2114:B3695,2,FALSE)</f>
        <v>#N/A</v>
      </c>
      <c r="D2114" t="e">
        <f t="shared" si="32"/>
        <v>#N/A</v>
      </c>
    </row>
    <row r="2115" spans="1:4" x14ac:dyDescent="0.2">
      <c r="A2115">
        <f>'Fichas clínicas'!A2115</f>
        <v>2117</v>
      </c>
      <c r="B2115" t="str">
        <f>'Fichas clínicas'!B2115</f>
        <v>21022486-6</v>
      </c>
      <c r="C2115" t="e">
        <f>VLOOKUP(paciente_tutor!B2115,clientes!A2115:B3696,2,FALSE)</f>
        <v>#N/A</v>
      </c>
      <c r="D2115" t="e">
        <f t="shared" ref="D2115:D2178" si="33">IF(C2115="#N/A","",B2115)</f>
        <v>#N/A</v>
      </c>
    </row>
    <row r="2116" spans="1:4" x14ac:dyDescent="0.2">
      <c r="A2116">
        <f>'Fichas clínicas'!A2116</f>
        <v>2118</v>
      </c>
      <c r="B2116" t="str">
        <f>'Fichas clínicas'!B2116</f>
        <v>11591632-7</v>
      </c>
      <c r="C2116" t="e">
        <f>VLOOKUP(paciente_tutor!B2116,clientes!A2116:B3697,2,FALSE)</f>
        <v>#N/A</v>
      </c>
      <c r="D2116" t="e">
        <f t="shared" si="33"/>
        <v>#N/A</v>
      </c>
    </row>
    <row r="2117" spans="1:4" x14ac:dyDescent="0.2">
      <c r="A2117">
        <f>'Fichas clínicas'!A2117</f>
        <v>2119</v>
      </c>
      <c r="B2117" t="str">
        <f>'Fichas clínicas'!B2117</f>
        <v>20919745-6</v>
      </c>
      <c r="C2117" t="e">
        <f>VLOOKUP(paciente_tutor!B2117,clientes!A2117:B3698,2,FALSE)</f>
        <v>#N/A</v>
      </c>
      <c r="D2117" t="e">
        <f t="shared" si="33"/>
        <v>#N/A</v>
      </c>
    </row>
    <row r="2118" spans="1:4" x14ac:dyDescent="0.2">
      <c r="A2118">
        <f>'Fichas clínicas'!A2118</f>
        <v>2120</v>
      </c>
      <c r="B2118" t="str">
        <f>'Fichas clínicas'!B2118</f>
        <v>12747728-0</v>
      </c>
      <c r="C2118" t="e">
        <f>VLOOKUP(paciente_tutor!B2118,clientes!A2118:B3699,2,FALSE)</f>
        <v>#N/A</v>
      </c>
      <c r="D2118" t="e">
        <f t="shared" si="33"/>
        <v>#N/A</v>
      </c>
    </row>
    <row r="2119" spans="1:4" x14ac:dyDescent="0.2">
      <c r="A2119">
        <f>'Fichas clínicas'!A2119</f>
        <v>2121</v>
      </c>
      <c r="B2119" t="str">
        <f>'Fichas clínicas'!B2119</f>
        <v>10065078-9</v>
      </c>
      <c r="C2119" t="e">
        <f>VLOOKUP(paciente_tutor!B2119,clientes!A2119:B3700,2,FALSE)</f>
        <v>#N/A</v>
      </c>
      <c r="D2119" t="e">
        <f t="shared" si="33"/>
        <v>#N/A</v>
      </c>
    </row>
    <row r="2120" spans="1:4" x14ac:dyDescent="0.2">
      <c r="A2120">
        <f>'Fichas clínicas'!A2120</f>
        <v>2122</v>
      </c>
      <c r="B2120" t="str">
        <f>'Fichas clínicas'!B2120</f>
        <v>18133389-8</v>
      </c>
      <c r="C2120" t="e">
        <f>VLOOKUP(paciente_tutor!B2120,clientes!A2120:B3701,2,FALSE)</f>
        <v>#N/A</v>
      </c>
      <c r="D2120" t="e">
        <f t="shared" si="33"/>
        <v>#N/A</v>
      </c>
    </row>
    <row r="2121" spans="1:4" x14ac:dyDescent="0.2">
      <c r="A2121">
        <f>'Fichas clínicas'!A2121</f>
        <v>2123</v>
      </c>
      <c r="B2121" t="str">
        <f>'Fichas clínicas'!B2121</f>
        <v>16160058-k</v>
      </c>
      <c r="C2121" t="e">
        <f>VLOOKUP(paciente_tutor!B2121,clientes!A2121:B3702,2,FALSE)</f>
        <v>#N/A</v>
      </c>
      <c r="D2121" t="e">
        <f t="shared" si="33"/>
        <v>#N/A</v>
      </c>
    </row>
    <row r="2122" spans="1:4" x14ac:dyDescent="0.2">
      <c r="A2122">
        <f>'Fichas clínicas'!A2122</f>
        <v>2124</v>
      </c>
      <c r="B2122" t="str">
        <f>'Fichas clínicas'!B2122</f>
        <v>11324774-6</v>
      </c>
      <c r="C2122" t="e">
        <f>VLOOKUP(paciente_tutor!B2122,clientes!A2122:B3703,2,FALSE)</f>
        <v>#N/A</v>
      </c>
      <c r="D2122" t="e">
        <f t="shared" si="33"/>
        <v>#N/A</v>
      </c>
    </row>
    <row r="2123" spans="1:4" x14ac:dyDescent="0.2">
      <c r="A2123">
        <f>'Fichas clínicas'!A2123</f>
        <v>2125</v>
      </c>
      <c r="B2123" t="str">
        <f>'Fichas clínicas'!B2123</f>
        <v>19555745-4</v>
      </c>
      <c r="C2123" t="e">
        <f>VLOOKUP(paciente_tutor!B2123,clientes!A2123:B3704,2,FALSE)</f>
        <v>#N/A</v>
      </c>
      <c r="D2123" t="e">
        <f t="shared" si="33"/>
        <v>#N/A</v>
      </c>
    </row>
    <row r="2124" spans="1:4" x14ac:dyDescent="0.2">
      <c r="A2124">
        <f>'Fichas clínicas'!A2124</f>
        <v>2126</v>
      </c>
      <c r="B2124" t="str">
        <f>'Fichas clínicas'!B2124</f>
        <v>16806237-0</v>
      </c>
      <c r="C2124" t="e">
        <f>VLOOKUP(paciente_tutor!B2124,clientes!A2124:B3705,2,FALSE)</f>
        <v>#N/A</v>
      </c>
      <c r="D2124" t="e">
        <f t="shared" si="33"/>
        <v>#N/A</v>
      </c>
    </row>
    <row r="2125" spans="1:4" x14ac:dyDescent="0.2">
      <c r="A2125">
        <f>'Fichas clínicas'!A2125</f>
        <v>2127</v>
      </c>
      <c r="B2125" t="str">
        <f>'Fichas clínicas'!B2125</f>
        <v>18467353-3</v>
      </c>
      <c r="C2125" t="e">
        <f>VLOOKUP(paciente_tutor!B2125,clientes!A2125:B3706,2,FALSE)</f>
        <v>#N/A</v>
      </c>
      <c r="D2125" t="e">
        <f t="shared" si="33"/>
        <v>#N/A</v>
      </c>
    </row>
    <row r="2126" spans="1:4" x14ac:dyDescent="0.2">
      <c r="A2126">
        <f>'Fichas clínicas'!A2126</f>
        <v>2128</v>
      </c>
      <c r="B2126" t="str">
        <f>'Fichas clínicas'!B2126</f>
        <v>13320884-4</v>
      </c>
      <c r="C2126" t="e">
        <f>VLOOKUP(paciente_tutor!B2126,clientes!A2126:B3707,2,FALSE)</f>
        <v>#N/A</v>
      </c>
      <c r="D2126" t="e">
        <f t="shared" si="33"/>
        <v>#N/A</v>
      </c>
    </row>
    <row r="2127" spans="1:4" x14ac:dyDescent="0.2">
      <c r="A2127">
        <f>'Fichas clínicas'!A2127</f>
        <v>2129</v>
      </c>
      <c r="B2127" t="str">
        <f>'Fichas clínicas'!B2127</f>
        <v>15294124-2</v>
      </c>
      <c r="C2127" t="e">
        <f>VLOOKUP(paciente_tutor!B2127,clientes!A2127:B3708,2,FALSE)</f>
        <v>#N/A</v>
      </c>
      <c r="D2127" t="e">
        <f t="shared" si="33"/>
        <v>#N/A</v>
      </c>
    </row>
    <row r="2128" spans="1:4" x14ac:dyDescent="0.2">
      <c r="A2128">
        <f>'Fichas clínicas'!A2128</f>
        <v>2130</v>
      </c>
      <c r="B2128" t="str">
        <f>'Fichas clínicas'!B2128</f>
        <v>15302782-k</v>
      </c>
      <c r="C2128" t="e">
        <f>VLOOKUP(paciente_tutor!B2128,clientes!A2128:B3709,2,FALSE)</f>
        <v>#N/A</v>
      </c>
      <c r="D2128" t="e">
        <f t="shared" si="33"/>
        <v>#N/A</v>
      </c>
    </row>
    <row r="2129" spans="1:4" x14ac:dyDescent="0.2">
      <c r="A2129">
        <f>'Fichas clínicas'!A2129</f>
        <v>2131</v>
      </c>
      <c r="B2129" t="str">
        <f>'Fichas clínicas'!B2129</f>
        <v>12747264-5</v>
      </c>
      <c r="C2129" t="e">
        <f>VLOOKUP(paciente_tutor!B2129,clientes!A2129:B3710,2,FALSE)</f>
        <v>#N/A</v>
      </c>
      <c r="D2129" t="e">
        <f t="shared" si="33"/>
        <v>#N/A</v>
      </c>
    </row>
    <row r="2130" spans="1:4" x14ac:dyDescent="0.2">
      <c r="A2130">
        <f>'Fichas clínicas'!A2130</f>
        <v>2132</v>
      </c>
      <c r="B2130" t="str">
        <f>'Fichas clínicas'!B2130</f>
        <v>19659264-4</v>
      </c>
      <c r="C2130" t="e">
        <f>VLOOKUP(paciente_tutor!B2130,clientes!A2130:B3711,2,FALSE)</f>
        <v>#N/A</v>
      </c>
      <c r="D2130" t="e">
        <f t="shared" si="33"/>
        <v>#N/A</v>
      </c>
    </row>
    <row r="2131" spans="1:4" x14ac:dyDescent="0.2">
      <c r="A2131">
        <f>'Fichas clínicas'!A2131</f>
        <v>2133</v>
      </c>
      <c r="B2131" t="str">
        <f>'Fichas clínicas'!B2131</f>
        <v>10914895-4</v>
      </c>
      <c r="C2131" t="e">
        <f>VLOOKUP(paciente_tutor!B2131,clientes!A2131:B3712,2,FALSE)</f>
        <v>#N/A</v>
      </c>
      <c r="D2131" t="e">
        <f t="shared" si="33"/>
        <v>#N/A</v>
      </c>
    </row>
    <row r="2132" spans="1:4" x14ac:dyDescent="0.2">
      <c r="A2132">
        <f>'Fichas clínicas'!A2132</f>
        <v>2134</v>
      </c>
      <c r="B2132" t="str">
        <f>'Fichas clínicas'!B2132</f>
        <v>10914895-4</v>
      </c>
      <c r="C2132" t="e">
        <f>VLOOKUP(paciente_tutor!B2132,clientes!A2132:B3713,2,FALSE)</f>
        <v>#N/A</v>
      </c>
      <c r="D2132" t="e">
        <f t="shared" si="33"/>
        <v>#N/A</v>
      </c>
    </row>
    <row r="2133" spans="1:4" x14ac:dyDescent="0.2">
      <c r="A2133">
        <f>'Fichas clínicas'!A2133</f>
        <v>2135</v>
      </c>
      <c r="B2133" t="str">
        <f>'Fichas clínicas'!B2133</f>
        <v>16319632-8</v>
      </c>
      <c r="C2133" t="e">
        <f>VLOOKUP(paciente_tutor!B2133,clientes!A2133:B3714,2,FALSE)</f>
        <v>#N/A</v>
      </c>
      <c r="D2133" t="e">
        <f t="shared" si="33"/>
        <v>#N/A</v>
      </c>
    </row>
    <row r="2134" spans="1:4" x14ac:dyDescent="0.2">
      <c r="A2134">
        <f>'Fichas clínicas'!A2134</f>
        <v>2136</v>
      </c>
      <c r="B2134" t="str">
        <f>'Fichas clínicas'!B2134</f>
        <v>21353549-8</v>
      </c>
      <c r="C2134" t="e">
        <f>VLOOKUP(paciente_tutor!B2134,clientes!A2134:B3715,2,FALSE)</f>
        <v>#N/A</v>
      </c>
      <c r="D2134" t="e">
        <f t="shared" si="33"/>
        <v>#N/A</v>
      </c>
    </row>
    <row r="2135" spans="1:4" x14ac:dyDescent="0.2">
      <c r="A2135">
        <f>'Fichas clínicas'!A2135</f>
        <v>2137</v>
      </c>
      <c r="B2135" t="str">
        <f>'Fichas clínicas'!B2135</f>
        <v>21353549-8</v>
      </c>
      <c r="C2135" t="e">
        <f>VLOOKUP(paciente_tutor!B2135,clientes!A2135:B3716,2,FALSE)</f>
        <v>#N/A</v>
      </c>
      <c r="D2135" t="e">
        <f t="shared" si="33"/>
        <v>#N/A</v>
      </c>
    </row>
    <row r="2136" spans="1:4" x14ac:dyDescent="0.2">
      <c r="A2136">
        <f>'Fichas clínicas'!A2136</f>
        <v>2138</v>
      </c>
      <c r="B2136" t="str">
        <f>'Fichas clínicas'!B2136</f>
        <v>17360777-6</v>
      </c>
      <c r="C2136" t="e">
        <f>VLOOKUP(paciente_tutor!B2136,clientes!A2136:B3717,2,FALSE)</f>
        <v>#N/A</v>
      </c>
      <c r="D2136" t="e">
        <f t="shared" si="33"/>
        <v>#N/A</v>
      </c>
    </row>
    <row r="2137" spans="1:4" x14ac:dyDescent="0.2">
      <c r="A2137">
        <f>'Fichas clínicas'!A2137</f>
        <v>2139</v>
      </c>
      <c r="B2137" t="str">
        <f>'Fichas clínicas'!B2137</f>
        <v>20738224-8</v>
      </c>
      <c r="C2137" t="e">
        <f>VLOOKUP(paciente_tutor!B2137,clientes!A2137:B3718,2,FALSE)</f>
        <v>#N/A</v>
      </c>
      <c r="D2137" t="e">
        <f t="shared" si="33"/>
        <v>#N/A</v>
      </c>
    </row>
    <row r="2138" spans="1:4" x14ac:dyDescent="0.2">
      <c r="A2138">
        <f>'Fichas clínicas'!A2138</f>
        <v>2140</v>
      </c>
      <c r="B2138" t="str">
        <f>'Fichas clínicas'!B2138</f>
        <v>11425824-5</v>
      </c>
      <c r="C2138" t="e">
        <f>VLOOKUP(paciente_tutor!B2138,clientes!A2138:B3719,2,FALSE)</f>
        <v>#N/A</v>
      </c>
      <c r="D2138" t="e">
        <f t="shared" si="33"/>
        <v>#N/A</v>
      </c>
    </row>
    <row r="2139" spans="1:4" x14ac:dyDescent="0.2">
      <c r="A2139">
        <f>'Fichas clínicas'!A2139</f>
        <v>2141</v>
      </c>
      <c r="B2139" t="str">
        <f>'Fichas clínicas'!B2139</f>
        <v>19554718-1</v>
      </c>
      <c r="C2139" t="e">
        <f>VLOOKUP(paciente_tutor!B2139,clientes!A2139:B3720,2,FALSE)</f>
        <v>#N/A</v>
      </c>
      <c r="D2139" t="e">
        <f t="shared" si="33"/>
        <v>#N/A</v>
      </c>
    </row>
    <row r="2140" spans="1:4" x14ac:dyDescent="0.2">
      <c r="A2140">
        <f>'Fichas clínicas'!A2140</f>
        <v>2142</v>
      </c>
      <c r="B2140" t="str">
        <f>'Fichas clínicas'!B2140</f>
        <v>17360777-6</v>
      </c>
      <c r="C2140" t="e">
        <f>VLOOKUP(paciente_tutor!B2140,clientes!A2140:B3721,2,FALSE)</f>
        <v>#N/A</v>
      </c>
      <c r="D2140" t="e">
        <f t="shared" si="33"/>
        <v>#N/A</v>
      </c>
    </row>
    <row r="2141" spans="1:4" x14ac:dyDescent="0.2">
      <c r="A2141">
        <f>'Fichas clínicas'!A2141</f>
        <v>2143</v>
      </c>
      <c r="B2141" t="str">
        <f>'Fichas clínicas'!B2141</f>
        <v>17360777-6</v>
      </c>
      <c r="C2141" t="e">
        <f>VLOOKUP(paciente_tutor!B2141,clientes!A2141:B3722,2,FALSE)</f>
        <v>#N/A</v>
      </c>
      <c r="D2141" t="e">
        <f t="shared" si="33"/>
        <v>#N/A</v>
      </c>
    </row>
    <row r="2142" spans="1:4" x14ac:dyDescent="0.2">
      <c r="A2142">
        <f>'Fichas clínicas'!A2142</f>
        <v>2144</v>
      </c>
      <c r="B2142" t="str">
        <f>'Fichas clínicas'!B2142</f>
        <v>20315657-k</v>
      </c>
      <c r="C2142" t="e">
        <f>VLOOKUP(paciente_tutor!B2142,clientes!A2142:B3723,2,FALSE)</f>
        <v>#N/A</v>
      </c>
      <c r="D2142" t="e">
        <f t="shared" si="33"/>
        <v>#N/A</v>
      </c>
    </row>
    <row r="2143" spans="1:4" x14ac:dyDescent="0.2">
      <c r="A2143">
        <f>'Fichas clínicas'!A2143</f>
        <v>2145</v>
      </c>
      <c r="B2143" t="str">
        <f>'Fichas clínicas'!B2143</f>
        <v>18886374-4</v>
      </c>
      <c r="C2143" t="e">
        <f>VLOOKUP(paciente_tutor!B2143,clientes!A2143:B3724,2,FALSE)</f>
        <v>#N/A</v>
      </c>
      <c r="D2143" t="e">
        <f t="shared" si="33"/>
        <v>#N/A</v>
      </c>
    </row>
    <row r="2144" spans="1:4" x14ac:dyDescent="0.2">
      <c r="A2144">
        <f>'Fichas clínicas'!A2144</f>
        <v>2146</v>
      </c>
      <c r="B2144" t="str">
        <f>'Fichas clínicas'!B2144</f>
        <v>18886374-4</v>
      </c>
      <c r="C2144" t="e">
        <f>VLOOKUP(paciente_tutor!B2144,clientes!A2144:B3725,2,FALSE)</f>
        <v>#N/A</v>
      </c>
      <c r="D2144" t="e">
        <f t="shared" si="33"/>
        <v>#N/A</v>
      </c>
    </row>
    <row r="2145" spans="1:4" x14ac:dyDescent="0.2">
      <c r="A2145">
        <f>'Fichas clínicas'!A2145</f>
        <v>2147</v>
      </c>
      <c r="B2145" t="str">
        <f>'Fichas clínicas'!B2145</f>
        <v>18589825-3</v>
      </c>
      <c r="C2145" t="e">
        <f>VLOOKUP(paciente_tutor!B2145,clientes!A2145:B3726,2,FALSE)</f>
        <v>#N/A</v>
      </c>
      <c r="D2145" t="e">
        <f t="shared" si="33"/>
        <v>#N/A</v>
      </c>
    </row>
    <row r="2146" spans="1:4" x14ac:dyDescent="0.2">
      <c r="A2146">
        <f>'Fichas clínicas'!A2146</f>
        <v>2148</v>
      </c>
      <c r="B2146" t="str">
        <f>'Fichas clínicas'!B2146</f>
        <v>21049459-6</v>
      </c>
      <c r="C2146" t="e">
        <f>VLOOKUP(paciente_tutor!B2146,clientes!A2146:B3727,2,FALSE)</f>
        <v>#N/A</v>
      </c>
      <c r="D2146" t="e">
        <f t="shared" si="33"/>
        <v>#N/A</v>
      </c>
    </row>
    <row r="2147" spans="1:4" x14ac:dyDescent="0.2">
      <c r="A2147">
        <f>'Fichas clínicas'!A2147</f>
        <v>2149</v>
      </c>
      <c r="B2147" t="str">
        <f>'Fichas clínicas'!B2147</f>
        <v>8305584-7</v>
      </c>
      <c r="C2147" t="e">
        <f>VLOOKUP(paciente_tutor!B2147,clientes!A2147:B3728,2,FALSE)</f>
        <v>#N/A</v>
      </c>
      <c r="D2147" t="e">
        <f t="shared" si="33"/>
        <v>#N/A</v>
      </c>
    </row>
    <row r="2148" spans="1:4" x14ac:dyDescent="0.2">
      <c r="A2148">
        <f>'Fichas clínicas'!A2148</f>
        <v>2150</v>
      </c>
      <c r="B2148" t="str">
        <f>'Fichas clínicas'!B2148</f>
        <v>18170502-7</v>
      </c>
      <c r="C2148" t="e">
        <f>VLOOKUP(paciente_tutor!B2148,clientes!A2148:B3729,2,FALSE)</f>
        <v>#N/A</v>
      </c>
      <c r="D2148" t="e">
        <f t="shared" si="33"/>
        <v>#N/A</v>
      </c>
    </row>
    <row r="2149" spans="1:4" x14ac:dyDescent="0.2">
      <c r="A2149">
        <f>'Fichas clínicas'!A2149</f>
        <v>2151</v>
      </c>
      <c r="B2149" t="str">
        <f>'Fichas clínicas'!B2149</f>
        <v>16806344-k</v>
      </c>
      <c r="C2149" t="e">
        <f>VLOOKUP(paciente_tutor!B2149,clientes!A2149:B3730,2,FALSE)</f>
        <v>#N/A</v>
      </c>
      <c r="D2149" t="e">
        <f t="shared" si="33"/>
        <v>#N/A</v>
      </c>
    </row>
    <row r="2150" spans="1:4" x14ac:dyDescent="0.2">
      <c r="A2150">
        <f>'Fichas clínicas'!A2150</f>
        <v>2152</v>
      </c>
      <c r="B2150" t="str">
        <f>'Fichas clínicas'!B2150</f>
        <v>20706365-7</v>
      </c>
      <c r="C2150" t="e">
        <f>VLOOKUP(paciente_tutor!B2150,clientes!A2150:B3731,2,FALSE)</f>
        <v>#N/A</v>
      </c>
      <c r="D2150" t="e">
        <f t="shared" si="33"/>
        <v>#N/A</v>
      </c>
    </row>
    <row r="2151" spans="1:4" x14ac:dyDescent="0.2">
      <c r="A2151">
        <f>'Fichas clínicas'!A2151</f>
        <v>2153</v>
      </c>
      <c r="B2151" t="str">
        <f>'Fichas clínicas'!B2151</f>
        <v>21386225-1</v>
      </c>
      <c r="C2151" t="e">
        <f>VLOOKUP(paciente_tutor!B2151,clientes!A2151:B3732,2,FALSE)</f>
        <v>#N/A</v>
      </c>
      <c r="D2151" t="e">
        <f t="shared" si="33"/>
        <v>#N/A</v>
      </c>
    </row>
    <row r="2152" spans="1:4" x14ac:dyDescent="0.2">
      <c r="A2152">
        <f>'Fichas clínicas'!A2152</f>
        <v>2154</v>
      </c>
      <c r="B2152" t="str">
        <f>'Fichas clínicas'!B2152</f>
        <v>18078946-4</v>
      </c>
      <c r="C2152" t="e">
        <f>VLOOKUP(paciente_tutor!B2152,clientes!A2152:B3733,2,FALSE)</f>
        <v>#N/A</v>
      </c>
      <c r="D2152" t="e">
        <f t="shared" si="33"/>
        <v>#N/A</v>
      </c>
    </row>
    <row r="2153" spans="1:4" x14ac:dyDescent="0.2">
      <c r="A2153">
        <f>'Fichas clínicas'!A2153</f>
        <v>2155</v>
      </c>
      <c r="B2153" t="str">
        <f>'Fichas clínicas'!B2153</f>
        <v>21294199-9</v>
      </c>
      <c r="C2153" t="e">
        <f>VLOOKUP(paciente_tutor!B2153,clientes!A2153:B3734,2,FALSE)</f>
        <v>#N/A</v>
      </c>
      <c r="D2153" t="e">
        <f t="shared" si="33"/>
        <v>#N/A</v>
      </c>
    </row>
    <row r="2154" spans="1:4" x14ac:dyDescent="0.2">
      <c r="A2154">
        <f>'Fichas clínicas'!A2154</f>
        <v>2156</v>
      </c>
      <c r="B2154" t="str">
        <f>'Fichas clínicas'!B2154</f>
        <v>21085089-9</v>
      </c>
      <c r="C2154" t="e">
        <f>VLOOKUP(paciente_tutor!B2154,clientes!A2154:B3735,2,FALSE)</f>
        <v>#N/A</v>
      </c>
      <c r="D2154" t="e">
        <f t="shared" si="33"/>
        <v>#N/A</v>
      </c>
    </row>
    <row r="2155" spans="1:4" x14ac:dyDescent="0.2">
      <c r="A2155">
        <f>'Fichas clínicas'!A2155</f>
        <v>2157</v>
      </c>
      <c r="B2155" t="str">
        <f>'Fichas clínicas'!B2155</f>
        <v>20705652-9</v>
      </c>
      <c r="C2155" t="e">
        <f>VLOOKUP(paciente_tutor!B2155,clientes!A2155:B3736,2,FALSE)</f>
        <v>#N/A</v>
      </c>
      <c r="D2155" t="e">
        <f t="shared" si="33"/>
        <v>#N/A</v>
      </c>
    </row>
    <row r="2156" spans="1:4" x14ac:dyDescent="0.2">
      <c r="A2156">
        <f>'Fichas clínicas'!A2156</f>
        <v>2158</v>
      </c>
      <c r="B2156" t="str">
        <f>'Fichas clínicas'!B2156</f>
        <v>17251002-7</v>
      </c>
      <c r="C2156" t="e">
        <f>VLOOKUP(paciente_tutor!B2156,clientes!A2156:B3737,2,FALSE)</f>
        <v>#N/A</v>
      </c>
      <c r="D2156" t="e">
        <f t="shared" si="33"/>
        <v>#N/A</v>
      </c>
    </row>
    <row r="2157" spans="1:4" x14ac:dyDescent="0.2">
      <c r="A2157">
        <f>'Fichas clínicas'!A2157</f>
        <v>2159</v>
      </c>
      <c r="B2157" t="str">
        <f>'Fichas clínicas'!B2157</f>
        <v>18095047-8</v>
      </c>
      <c r="C2157" t="e">
        <f>VLOOKUP(paciente_tutor!B2157,clientes!A2157:B3738,2,FALSE)</f>
        <v>#N/A</v>
      </c>
      <c r="D2157" t="e">
        <f t="shared" si="33"/>
        <v>#N/A</v>
      </c>
    </row>
    <row r="2158" spans="1:4" x14ac:dyDescent="0.2">
      <c r="A2158">
        <f>'Fichas clínicas'!A2158</f>
        <v>2160</v>
      </c>
      <c r="B2158" t="str">
        <f>'Fichas clínicas'!B2158</f>
        <v>19624974-5</v>
      </c>
      <c r="C2158" t="e">
        <f>VLOOKUP(paciente_tutor!B2158,clientes!A2158:B3739,2,FALSE)</f>
        <v>#N/A</v>
      </c>
      <c r="D2158" t="e">
        <f t="shared" si="33"/>
        <v>#N/A</v>
      </c>
    </row>
    <row r="2159" spans="1:4" x14ac:dyDescent="0.2">
      <c r="A2159">
        <f>'Fichas clínicas'!A2159</f>
        <v>2161</v>
      </c>
      <c r="B2159" t="str">
        <f>'Fichas clínicas'!B2159</f>
        <v>20641699-8</v>
      </c>
      <c r="C2159" t="e">
        <f>VLOOKUP(paciente_tutor!B2159,clientes!A2159:B3740,2,FALSE)</f>
        <v>#N/A</v>
      </c>
      <c r="D2159" t="e">
        <f t="shared" si="33"/>
        <v>#N/A</v>
      </c>
    </row>
    <row r="2160" spans="1:4" x14ac:dyDescent="0.2">
      <c r="A2160">
        <f>'Fichas clínicas'!A2160</f>
        <v>2162</v>
      </c>
      <c r="B2160" t="str">
        <f>'Fichas clínicas'!B2160</f>
        <v>21335109-5</v>
      </c>
      <c r="C2160" t="e">
        <f>VLOOKUP(paciente_tutor!B2160,clientes!A2160:B3741,2,FALSE)</f>
        <v>#N/A</v>
      </c>
      <c r="D2160" t="e">
        <f t="shared" si="33"/>
        <v>#N/A</v>
      </c>
    </row>
    <row r="2161" spans="1:4" x14ac:dyDescent="0.2">
      <c r="A2161">
        <f>'Fichas clínicas'!A2161</f>
        <v>2163</v>
      </c>
      <c r="B2161" t="str">
        <f>'Fichas clínicas'!B2161</f>
        <v>17924520-5</v>
      </c>
      <c r="C2161" t="e">
        <f>VLOOKUP(paciente_tutor!B2161,clientes!A2161:B3742,2,FALSE)</f>
        <v>#N/A</v>
      </c>
      <c r="D2161" t="e">
        <f t="shared" si="33"/>
        <v>#N/A</v>
      </c>
    </row>
    <row r="2162" spans="1:4" x14ac:dyDescent="0.2">
      <c r="A2162">
        <f>'Fichas clínicas'!A2162</f>
        <v>2164</v>
      </c>
      <c r="B2162" t="str">
        <f>'Fichas clínicas'!B2162</f>
        <v>21792628-9</v>
      </c>
      <c r="C2162" t="e">
        <f>VLOOKUP(paciente_tutor!B2162,clientes!A2162:B3743,2,FALSE)</f>
        <v>#N/A</v>
      </c>
      <c r="D2162" t="e">
        <f t="shared" si="33"/>
        <v>#N/A</v>
      </c>
    </row>
    <row r="2163" spans="1:4" x14ac:dyDescent="0.2">
      <c r="A2163">
        <f>'Fichas clínicas'!A2163</f>
        <v>2165</v>
      </c>
      <c r="B2163" t="str">
        <f>'Fichas clínicas'!B2163</f>
        <v>18133139-9</v>
      </c>
      <c r="C2163" t="e">
        <f>VLOOKUP(paciente_tutor!B2163,clientes!A2163:B3744,2,FALSE)</f>
        <v>#N/A</v>
      </c>
      <c r="D2163" t="e">
        <f t="shared" si="33"/>
        <v>#N/A</v>
      </c>
    </row>
    <row r="2164" spans="1:4" x14ac:dyDescent="0.2">
      <c r="A2164">
        <f>'Fichas clínicas'!A2164</f>
        <v>2166</v>
      </c>
      <c r="B2164" t="str">
        <f>'Fichas clínicas'!B2164</f>
        <v>15758791-9</v>
      </c>
      <c r="C2164" t="e">
        <f>VLOOKUP(paciente_tutor!B2164,clientes!A2164:B3745,2,FALSE)</f>
        <v>#N/A</v>
      </c>
      <c r="D2164" t="e">
        <f t="shared" si="33"/>
        <v>#N/A</v>
      </c>
    </row>
    <row r="2165" spans="1:4" x14ac:dyDescent="0.2">
      <c r="A2165">
        <f>'Fichas clínicas'!A2165</f>
        <v>2167</v>
      </c>
      <c r="B2165" t="str">
        <f>'Fichas clínicas'!B2165</f>
        <v>18887972-1</v>
      </c>
      <c r="C2165" t="e">
        <f>VLOOKUP(paciente_tutor!B2165,clientes!A2165:B3746,2,FALSE)</f>
        <v>#N/A</v>
      </c>
      <c r="D2165" t="e">
        <f t="shared" si="33"/>
        <v>#N/A</v>
      </c>
    </row>
    <row r="2166" spans="1:4" x14ac:dyDescent="0.2">
      <c r="A2166">
        <f>'Fichas clínicas'!A2166</f>
        <v>2168</v>
      </c>
      <c r="B2166" t="str">
        <f>'Fichas clínicas'!B2166</f>
        <v>17964096-1</v>
      </c>
      <c r="C2166" t="e">
        <f>VLOOKUP(paciente_tutor!B2166,clientes!A2166:B3747,2,FALSE)</f>
        <v>#N/A</v>
      </c>
      <c r="D2166" t="e">
        <f t="shared" si="33"/>
        <v>#N/A</v>
      </c>
    </row>
    <row r="2167" spans="1:4" x14ac:dyDescent="0.2">
      <c r="A2167">
        <f>'Fichas clínicas'!A2167</f>
        <v>2169</v>
      </c>
      <c r="B2167" t="str">
        <f>'Fichas clínicas'!B2167</f>
        <v>17964096-1</v>
      </c>
      <c r="C2167" t="e">
        <f>VLOOKUP(paciente_tutor!B2167,clientes!A2167:B3748,2,FALSE)</f>
        <v>#N/A</v>
      </c>
      <c r="D2167" t="e">
        <f t="shared" si="33"/>
        <v>#N/A</v>
      </c>
    </row>
    <row r="2168" spans="1:4" x14ac:dyDescent="0.2">
      <c r="A2168">
        <f>'Fichas clínicas'!A2168</f>
        <v>2170</v>
      </c>
      <c r="B2168" t="str">
        <f>'Fichas clínicas'!B2168</f>
        <v>17360777-6</v>
      </c>
      <c r="C2168" t="e">
        <f>VLOOKUP(paciente_tutor!B2168,clientes!A2168:B3749,2,FALSE)</f>
        <v>#N/A</v>
      </c>
      <c r="D2168" t="e">
        <f t="shared" si="33"/>
        <v>#N/A</v>
      </c>
    </row>
    <row r="2169" spans="1:4" x14ac:dyDescent="0.2">
      <c r="A2169">
        <f>'Fichas clínicas'!A2169</f>
        <v>2171</v>
      </c>
      <c r="B2169" t="str">
        <f>'Fichas clínicas'!B2169</f>
        <v>18888935-2</v>
      </c>
      <c r="C2169" t="e">
        <f>VLOOKUP(paciente_tutor!B2169,clientes!A2169:B3750,2,FALSE)</f>
        <v>#N/A</v>
      </c>
      <c r="D2169" t="e">
        <f t="shared" si="33"/>
        <v>#N/A</v>
      </c>
    </row>
    <row r="2170" spans="1:4" x14ac:dyDescent="0.2">
      <c r="A2170">
        <f>'Fichas clínicas'!A2170</f>
        <v>2172</v>
      </c>
      <c r="B2170" t="str">
        <f>'Fichas clínicas'!B2170</f>
        <v>18888935-2</v>
      </c>
      <c r="C2170" t="e">
        <f>VLOOKUP(paciente_tutor!B2170,clientes!A2170:B3751,2,FALSE)</f>
        <v>#N/A</v>
      </c>
      <c r="D2170" t="e">
        <f t="shared" si="33"/>
        <v>#N/A</v>
      </c>
    </row>
    <row r="2171" spans="1:4" x14ac:dyDescent="0.2">
      <c r="A2171">
        <f>'Fichas clínicas'!A2171</f>
        <v>2173</v>
      </c>
      <c r="B2171" t="str">
        <f>'Fichas clínicas'!B2171</f>
        <v>19653205-6</v>
      </c>
      <c r="C2171" t="e">
        <f>VLOOKUP(paciente_tutor!B2171,clientes!A2171:B3752,2,FALSE)</f>
        <v>#N/A</v>
      </c>
      <c r="D2171" t="e">
        <f t="shared" si="33"/>
        <v>#N/A</v>
      </c>
    </row>
    <row r="2172" spans="1:4" x14ac:dyDescent="0.2">
      <c r="A2172">
        <f>'Fichas clínicas'!A2172</f>
        <v>2174</v>
      </c>
      <c r="B2172" t="str">
        <f>'Fichas clínicas'!B2172</f>
        <v>19624974-5</v>
      </c>
      <c r="C2172" t="e">
        <f>VLOOKUP(paciente_tutor!B2172,clientes!A2172:B3753,2,FALSE)</f>
        <v>#N/A</v>
      </c>
      <c r="D2172" t="e">
        <f t="shared" si="33"/>
        <v>#N/A</v>
      </c>
    </row>
    <row r="2173" spans="1:4" x14ac:dyDescent="0.2">
      <c r="A2173">
        <f>'Fichas clínicas'!A2173</f>
        <v>2175</v>
      </c>
      <c r="B2173" t="str">
        <f>'Fichas clínicas'!B2173</f>
        <v>8806523-9</v>
      </c>
      <c r="C2173" t="e">
        <f>VLOOKUP(paciente_tutor!B2173,clientes!A2173:B3754,2,FALSE)</f>
        <v>#N/A</v>
      </c>
      <c r="D2173" t="e">
        <f t="shared" si="33"/>
        <v>#N/A</v>
      </c>
    </row>
    <row r="2174" spans="1:4" x14ac:dyDescent="0.2">
      <c r="A2174">
        <f>'Fichas clínicas'!A2174</f>
        <v>2176</v>
      </c>
      <c r="B2174" t="str">
        <f>'Fichas clínicas'!B2174</f>
        <v>16465698-5</v>
      </c>
      <c r="C2174" t="e">
        <f>VLOOKUP(paciente_tutor!B2174,clientes!A2174:B3755,2,FALSE)</f>
        <v>#N/A</v>
      </c>
      <c r="D2174" t="e">
        <f t="shared" si="33"/>
        <v>#N/A</v>
      </c>
    </row>
    <row r="2175" spans="1:4" x14ac:dyDescent="0.2">
      <c r="A2175">
        <f>'Fichas clínicas'!A2175</f>
        <v>2177</v>
      </c>
      <c r="B2175" t="str">
        <f>'Fichas clínicas'!B2175</f>
        <v>8873254-5</v>
      </c>
      <c r="C2175" t="e">
        <f>VLOOKUP(paciente_tutor!B2175,clientes!A2175:B3756,2,FALSE)</f>
        <v>#N/A</v>
      </c>
      <c r="D2175" t="e">
        <f t="shared" si="33"/>
        <v>#N/A</v>
      </c>
    </row>
    <row r="2176" spans="1:4" x14ac:dyDescent="0.2">
      <c r="A2176">
        <f>'Fichas clínicas'!A2176</f>
        <v>2178</v>
      </c>
      <c r="B2176" t="str">
        <f>'Fichas clínicas'!B2176</f>
        <v>17877165-5</v>
      </c>
      <c r="C2176" t="e">
        <f>VLOOKUP(paciente_tutor!B2176,clientes!A2176:B3757,2,FALSE)</f>
        <v>#N/A</v>
      </c>
      <c r="D2176" t="e">
        <f t="shared" si="33"/>
        <v>#N/A</v>
      </c>
    </row>
    <row r="2177" spans="1:4" x14ac:dyDescent="0.2">
      <c r="A2177">
        <f>'Fichas clínicas'!A2177</f>
        <v>2179</v>
      </c>
      <c r="B2177" t="str">
        <f>'Fichas clínicas'!B2177</f>
        <v>17201784-3</v>
      </c>
      <c r="C2177" t="e">
        <f>VLOOKUP(paciente_tutor!B2177,clientes!A2177:B3758,2,FALSE)</f>
        <v>#N/A</v>
      </c>
      <c r="D2177" t="e">
        <f t="shared" si="33"/>
        <v>#N/A</v>
      </c>
    </row>
    <row r="2178" spans="1:4" x14ac:dyDescent="0.2">
      <c r="A2178">
        <f>'Fichas clínicas'!A2178</f>
        <v>2180</v>
      </c>
      <c r="B2178" t="str">
        <f>'Fichas clínicas'!B2178</f>
        <v>20901453-K</v>
      </c>
      <c r="C2178" t="e">
        <f>VLOOKUP(paciente_tutor!B2178,clientes!A2178:B3759,2,FALSE)</f>
        <v>#N/A</v>
      </c>
      <c r="D2178" t="e">
        <f t="shared" si="33"/>
        <v>#N/A</v>
      </c>
    </row>
    <row r="2179" spans="1:4" x14ac:dyDescent="0.2">
      <c r="A2179">
        <f>'Fichas clínicas'!A2179</f>
        <v>2181</v>
      </c>
      <c r="B2179" t="str">
        <f>'Fichas clínicas'!B2179</f>
        <v>14384600-8</v>
      </c>
      <c r="C2179" t="e">
        <f>VLOOKUP(paciente_tutor!B2179,clientes!A2179:B3760,2,FALSE)</f>
        <v>#N/A</v>
      </c>
      <c r="D2179" t="e">
        <f t="shared" ref="D2179:D2242" si="34">IF(C2179="#N/A","",B2179)</f>
        <v>#N/A</v>
      </c>
    </row>
    <row r="2180" spans="1:4" x14ac:dyDescent="0.2">
      <c r="A2180">
        <f>'Fichas clínicas'!A2180</f>
        <v>2182</v>
      </c>
      <c r="B2180" t="str">
        <f>'Fichas clínicas'!B2180</f>
        <v>13942162-0</v>
      </c>
      <c r="C2180" t="e">
        <f>VLOOKUP(paciente_tutor!B2180,clientes!A2180:B3761,2,FALSE)</f>
        <v>#N/A</v>
      </c>
      <c r="D2180" t="e">
        <f t="shared" si="34"/>
        <v>#N/A</v>
      </c>
    </row>
    <row r="2181" spans="1:4" x14ac:dyDescent="0.2">
      <c r="A2181">
        <f>'Fichas clínicas'!A2181</f>
        <v>2183</v>
      </c>
      <c r="B2181" t="str">
        <f>'Fichas clínicas'!B2181</f>
        <v>13321117-9</v>
      </c>
      <c r="C2181" t="e">
        <f>VLOOKUP(paciente_tutor!B2181,clientes!A2181:B3762,2,FALSE)</f>
        <v>#N/A</v>
      </c>
      <c r="D2181" t="e">
        <f t="shared" si="34"/>
        <v>#N/A</v>
      </c>
    </row>
    <row r="2182" spans="1:4" x14ac:dyDescent="0.2">
      <c r="A2182">
        <f>'Fichas clínicas'!A2182</f>
        <v>2184</v>
      </c>
      <c r="B2182" t="str">
        <f>'Fichas clínicas'!B2182</f>
        <v>17359559-k</v>
      </c>
      <c r="C2182" t="e">
        <f>VLOOKUP(paciente_tutor!B2182,clientes!A2182:B3763,2,FALSE)</f>
        <v>#N/A</v>
      </c>
      <c r="D2182" t="e">
        <f t="shared" si="34"/>
        <v>#N/A</v>
      </c>
    </row>
    <row r="2183" spans="1:4" x14ac:dyDescent="0.2">
      <c r="A2183">
        <f>'Fichas clínicas'!A2183</f>
        <v>2185</v>
      </c>
      <c r="B2183" t="str">
        <f>'Fichas clínicas'!B2183</f>
        <v>15548632-5</v>
      </c>
      <c r="C2183" t="e">
        <f>VLOOKUP(paciente_tutor!B2183,clientes!A2183:B3764,2,FALSE)</f>
        <v>#N/A</v>
      </c>
      <c r="D2183" t="e">
        <f t="shared" si="34"/>
        <v>#N/A</v>
      </c>
    </row>
    <row r="2184" spans="1:4" x14ac:dyDescent="0.2">
      <c r="A2184">
        <f>'Fichas clínicas'!A2184</f>
        <v>2186</v>
      </c>
      <c r="B2184" t="str">
        <f>'Fichas clínicas'!B2184</f>
        <v>17514894-9</v>
      </c>
      <c r="C2184" t="e">
        <f>VLOOKUP(paciente_tutor!B2184,clientes!A2184:B3765,2,FALSE)</f>
        <v>#N/A</v>
      </c>
      <c r="D2184" t="e">
        <f t="shared" si="34"/>
        <v>#N/A</v>
      </c>
    </row>
    <row r="2185" spans="1:4" x14ac:dyDescent="0.2">
      <c r="A2185">
        <f>'Fichas clínicas'!A2185</f>
        <v>2187</v>
      </c>
      <c r="B2185" t="str">
        <f>'Fichas clínicas'!B2185</f>
        <v>18239198-0</v>
      </c>
      <c r="C2185" t="e">
        <f>VLOOKUP(paciente_tutor!B2185,clientes!A2185:B3766,2,FALSE)</f>
        <v>#N/A</v>
      </c>
      <c r="D2185" t="e">
        <f t="shared" si="34"/>
        <v>#N/A</v>
      </c>
    </row>
    <row r="2186" spans="1:4" x14ac:dyDescent="0.2">
      <c r="A2186">
        <f>'Fichas clínicas'!A2186</f>
        <v>2188</v>
      </c>
      <c r="B2186" t="str">
        <f>'Fichas clínicas'!B2186</f>
        <v>23333485-5</v>
      </c>
      <c r="C2186" t="e">
        <f>VLOOKUP(paciente_tutor!B2186,clientes!A2186:B3767,2,FALSE)</f>
        <v>#N/A</v>
      </c>
      <c r="D2186" t="e">
        <f t="shared" si="34"/>
        <v>#N/A</v>
      </c>
    </row>
    <row r="2187" spans="1:4" x14ac:dyDescent="0.2">
      <c r="A2187">
        <f>'Fichas clínicas'!A2187</f>
        <v>2189</v>
      </c>
      <c r="B2187" t="str">
        <f>'Fichas clínicas'!B2187</f>
        <v>20314718-k</v>
      </c>
      <c r="C2187" t="e">
        <f>VLOOKUP(paciente_tutor!B2187,clientes!A2187:B3768,2,FALSE)</f>
        <v>#N/A</v>
      </c>
      <c r="D2187" t="e">
        <f t="shared" si="34"/>
        <v>#N/A</v>
      </c>
    </row>
    <row r="2188" spans="1:4" x14ac:dyDescent="0.2">
      <c r="A2188">
        <f>'Fichas clínicas'!A2188</f>
        <v>2190</v>
      </c>
      <c r="B2188" t="str">
        <f>'Fichas clínicas'!B2188</f>
        <v>19624974-5</v>
      </c>
      <c r="C2188" t="e">
        <f>VLOOKUP(paciente_tutor!B2188,clientes!A2188:B3769,2,FALSE)</f>
        <v>#N/A</v>
      </c>
      <c r="D2188" t="e">
        <f t="shared" si="34"/>
        <v>#N/A</v>
      </c>
    </row>
    <row r="2189" spans="1:4" x14ac:dyDescent="0.2">
      <c r="A2189">
        <f>'Fichas clínicas'!A2189</f>
        <v>2191</v>
      </c>
      <c r="B2189" t="str">
        <f>'Fichas clínicas'!B2189</f>
        <v>12904368-7</v>
      </c>
      <c r="C2189" t="e">
        <f>VLOOKUP(paciente_tutor!B2189,clientes!A2189:B3770,2,FALSE)</f>
        <v>#N/A</v>
      </c>
      <c r="D2189" t="e">
        <f t="shared" si="34"/>
        <v>#N/A</v>
      </c>
    </row>
    <row r="2190" spans="1:4" x14ac:dyDescent="0.2">
      <c r="A2190">
        <f>'Fichas clínicas'!A2190</f>
        <v>2192</v>
      </c>
      <c r="B2190" t="str">
        <f>'Fichas clínicas'!B2190</f>
        <v>10632888-9</v>
      </c>
      <c r="C2190" t="e">
        <f>VLOOKUP(paciente_tutor!B2190,clientes!A2190:B3771,2,FALSE)</f>
        <v>#N/A</v>
      </c>
      <c r="D2190" t="e">
        <f t="shared" si="34"/>
        <v>#N/A</v>
      </c>
    </row>
    <row r="2191" spans="1:4" x14ac:dyDescent="0.2">
      <c r="A2191">
        <f>'Fichas clínicas'!A2191</f>
        <v>2193</v>
      </c>
      <c r="B2191" t="str">
        <f>'Fichas clínicas'!B2191</f>
        <v>17056482-0</v>
      </c>
      <c r="C2191" t="e">
        <f>VLOOKUP(paciente_tutor!B2191,clientes!A2191:B3772,2,FALSE)</f>
        <v>#N/A</v>
      </c>
      <c r="D2191" t="e">
        <f t="shared" si="34"/>
        <v>#N/A</v>
      </c>
    </row>
    <row r="2192" spans="1:4" x14ac:dyDescent="0.2">
      <c r="A2192">
        <f>'Fichas clínicas'!A2192</f>
        <v>2194</v>
      </c>
      <c r="B2192" t="str">
        <f>'Fichas clínicas'!B2192</f>
        <v>20314218-8</v>
      </c>
      <c r="C2192" t="e">
        <f>VLOOKUP(paciente_tutor!B2192,clientes!A2192:B3773,2,FALSE)</f>
        <v>#N/A</v>
      </c>
      <c r="D2192" t="e">
        <f t="shared" si="34"/>
        <v>#N/A</v>
      </c>
    </row>
    <row r="2193" spans="1:4" x14ac:dyDescent="0.2">
      <c r="A2193">
        <f>'Fichas clínicas'!A2193</f>
        <v>2195</v>
      </c>
      <c r="B2193" t="str">
        <f>'Fichas clínicas'!B2193</f>
        <v>18837675-4</v>
      </c>
      <c r="C2193" t="e">
        <f>VLOOKUP(paciente_tutor!B2193,clientes!A2193:B3774,2,FALSE)</f>
        <v>#N/A</v>
      </c>
      <c r="D2193" t="e">
        <f t="shared" si="34"/>
        <v>#N/A</v>
      </c>
    </row>
    <row r="2194" spans="1:4" x14ac:dyDescent="0.2">
      <c r="A2194">
        <f>'Fichas clínicas'!A2194</f>
        <v>2196</v>
      </c>
      <c r="B2194" t="str">
        <f>'Fichas clínicas'!B2194</f>
        <v>15294320-2</v>
      </c>
      <c r="C2194" t="e">
        <f>VLOOKUP(paciente_tutor!B2194,clientes!A2194:B3775,2,FALSE)</f>
        <v>#N/A</v>
      </c>
      <c r="D2194" t="e">
        <f t="shared" si="34"/>
        <v>#N/A</v>
      </c>
    </row>
    <row r="2195" spans="1:4" x14ac:dyDescent="0.2">
      <c r="A2195">
        <f>'Fichas clínicas'!A2195</f>
        <v>2197</v>
      </c>
      <c r="B2195" t="str">
        <f>'Fichas clínicas'!B2195</f>
        <v>19555083-2</v>
      </c>
      <c r="C2195" t="e">
        <f>VLOOKUP(paciente_tutor!B2195,clientes!A2195:B3776,2,FALSE)</f>
        <v>#N/A</v>
      </c>
      <c r="D2195" t="e">
        <f t="shared" si="34"/>
        <v>#N/A</v>
      </c>
    </row>
    <row r="2196" spans="1:4" x14ac:dyDescent="0.2">
      <c r="A2196">
        <f>'Fichas clínicas'!A2196</f>
        <v>2198</v>
      </c>
      <c r="B2196" t="str">
        <f>'Fichas clínicas'!B2196</f>
        <v>10779999-0</v>
      </c>
      <c r="C2196" t="e">
        <f>VLOOKUP(paciente_tutor!B2196,clientes!A2196:B3777,2,FALSE)</f>
        <v>#N/A</v>
      </c>
      <c r="D2196" t="e">
        <f t="shared" si="34"/>
        <v>#N/A</v>
      </c>
    </row>
    <row r="2197" spans="1:4" x14ac:dyDescent="0.2">
      <c r="A2197">
        <f>'Fichas clínicas'!A2197</f>
        <v>2199</v>
      </c>
      <c r="B2197" t="str">
        <f>'Fichas clínicas'!B2197</f>
        <v>21698794-2</v>
      </c>
      <c r="C2197" t="e">
        <f>VLOOKUP(paciente_tutor!B2197,clientes!A2197:B3778,2,FALSE)</f>
        <v>#N/A</v>
      </c>
      <c r="D2197" t="e">
        <f t="shared" si="34"/>
        <v>#N/A</v>
      </c>
    </row>
    <row r="2198" spans="1:4" x14ac:dyDescent="0.2">
      <c r="A2198">
        <f>'Fichas clínicas'!A2198</f>
        <v>2200</v>
      </c>
      <c r="B2198" t="str">
        <f>'Fichas clínicas'!B2198</f>
        <v>13520565-6</v>
      </c>
      <c r="C2198" t="e">
        <f>VLOOKUP(paciente_tutor!B2198,clientes!A2198:B3779,2,FALSE)</f>
        <v>#N/A</v>
      </c>
      <c r="D2198" t="e">
        <f t="shared" si="34"/>
        <v>#N/A</v>
      </c>
    </row>
    <row r="2199" spans="1:4" x14ac:dyDescent="0.2">
      <c r="A2199">
        <f>'Fichas clínicas'!A2199</f>
        <v>2201</v>
      </c>
      <c r="B2199" t="str">
        <f>'Fichas clínicas'!B2199</f>
        <v>13588059-0</v>
      </c>
      <c r="C2199" t="e">
        <f>VLOOKUP(paciente_tutor!B2199,clientes!A2199:B3780,2,FALSE)</f>
        <v>#N/A</v>
      </c>
      <c r="D2199" t="e">
        <f t="shared" si="34"/>
        <v>#N/A</v>
      </c>
    </row>
    <row r="2200" spans="1:4" x14ac:dyDescent="0.2">
      <c r="A2200">
        <f>'Fichas clínicas'!A2200</f>
        <v>2202</v>
      </c>
      <c r="B2200" t="str">
        <f>'Fichas clínicas'!B2200</f>
        <v>2235759-K</v>
      </c>
      <c r="C2200" t="e">
        <f>VLOOKUP(paciente_tutor!B2200,clientes!A2200:B3781,2,FALSE)</f>
        <v>#N/A</v>
      </c>
      <c r="D2200" t="e">
        <f t="shared" si="34"/>
        <v>#N/A</v>
      </c>
    </row>
    <row r="2201" spans="1:4" x14ac:dyDescent="0.2">
      <c r="A2201">
        <f>'Fichas clínicas'!A2201</f>
        <v>2203</v>
      </c>
      <c r="B2201" t="str">
        <f>'Fichas clínicas'!B2201</f>
        <v>11325627-3</v>
      </c>
      <c r="C2201" t="e">
        <f>VLOOKUP(paciente_tutor!B2201,clientes!A2201:B3782,2,FALSE)</f>
        <v>#N/A</v>
      </c>
      <c r="D2201" t="e">
        <f t="shared" si="34"/>
        <v>#N/A</v>
      </c>
    </row>
    <row r="2202" spans="1:4" x14ac:dyDescent="0.2">
      <c r="A2202">
        <f>'Fichas clínicas'!A2202</f>
        <v>2204</v>
      </c>
      <c r="B2202" t="str">
        <f>'Fichas clínicas'!B2202</f>
        <v>18571869-7</v>
      </c>
      <c r="C2202" t="e">
        <f>VLOOKUP(paciente_tutor!B2202,clientes!A2202:B3783,2,FALSE)</f>
        <v>#N/A</v>
      </c>
      <c r="D2202" t="e">
        <f t="shared" si="34"/>
        <v>#N/A</v>
      </c>
    </row>
    <row r="2203" spans="1:4" x14ac:dyDescent="0.2">
      <c r="A2203">
        <f>'Fichas clínicas'!A2203</f>
        <v>2205</v>
      </c>
      <c r="B2203" t="str">
        <f>'Fichas clínicas'!B2203</f>
        <v>14080833-4</v>
      </c>
      <c r="C2203" t="e">
        <f>VLOOKUP(paciente_tutor!B2203,clientes!A2203:B3784,2,FALSE)</f>
        <v>#N/A</v>
      </c>
      <c r="D2203" t="e">
        <f t="shared" si="34"/>
        <v>#N/A</v>
      </c>
    </row>
    <row r="2204" spans="1:4" x14ac:dyDescent="0.2">
      <c r="A2204">
        <f>'Fichas clínicas'!A2204</f>
        <v>2206</v>
      </c>
      <c r="B2204" t="str">
        <f>'Fichas clínicas'!B2204</f>
        <v>20652678-5</v>
      </c>
      <c r="C2204" t="e">
        <f>VLOOKUP(paciente_tutor!B2204,clientes!A2204:B3785,2,FALSE)</f>
        <v>#N/A</v>
      </c>
      <c r="D2204" t="e">
        <f t="shared" si="34"/>
        <v>#N/A</v>
      </c>
    </row>
    <row r="2205" spans="1:4" x14ac:dyDescent="0.2">
      <c r="A2205">
        <f>'Fichas clínicas'!A2205</f>
        <v>2207</v>
      </c>
      <c r="B2205" t="str">
        <f>'Fichas clínicas'!B2205</f>
        <v>16806005-k</v>
      </c>
      <c r="C2205" t="e">
        <f>VLOOKUP(paciente_tutor!B2205,clientes!A2205:B3786,2,FALSE)</f>
        <v>#N/A</v>
      </c>
      <c r="D2205" t="e">
        <f t="shared" si="34"/>
        <v>#N/A</v>
      </c>
    </row>
    <row r="2206" spans="1:4" x14ac:dyDescent="0.2">
      <c r="A2206">
        <f>'Fichas clínicas'!A2206</f>
        <v>2208</v>
      </c>
      <c r="B2206" t="str">
        <f>'Fichas clínicas'!B2206</f>
        <v>14499416-7</v>
      </c>
      <c r="C2206" t="e">
        <f>VLOOKUP(paciente_tutor!B2206,clientes!A2206:B3787,2,FALSE)</f>
        <v>#N/A</v>
      </c>
      <c r="D2206" t="e">
        <f t="shared" si="34"/>
        <v>#N/A</v>
      </c>
    </row>
    <row r="2207" spans="1:4" x14ac:dyDescent="0.2">
      <c r="A2207">
        <f>'Fichas clínicas'!A2207</f>
        <v>2209</v>
      </c>
      <c r="B2207" t="str">
        <f>'Fichas clínicas'!B2207</f>
        <v>5877764-1</v>
      </c>
      <c r="C2207" t="e">
        <f>VLOOKUP(paciente_tutor!B2207,clientes!A2207:B3788,2,FALSE)</f>
        <v>#N/A</v>
      </c>
      <c r="D2207" t="e">
        <f t="shared" si="34"/>
        <v>#N/A</v>
      </c>
    </row>
    <row r="2208" spans="1:4" x14ac:dyDescent="0.2">
      <c r="A2208">
        <f>'Fichas clínicas'!A2208</f>
        <v>2210</v>
      </c>
      <c r="B2208" t="str">
        <f>'Fichas clínicas'!B2208</f>
        <v>18589944-6</v>
      </c>
      <c r="C2208" t="e">
        <f>VLOOKUP(paciente_tutor!B2208,clientes!A2208:B3789,2,FALSE)</f>
        <v>#N/A</v>
      </c>
      <c r="D2208" t="e">
        <f t="shared" si="34"/>
        <v>#N/A</v>
      </c>
    </row>
    <row r="2209" spans="1:4" x14ac:dyDescent="0.2">
      <c r="A2209">
        <f>'Fichas clínicas'!A2209</f>
        <v>2211</v>
      </c>
      <c r="B2209" t="str">
        <f>'Fichas clínicas'!B2209</f>
        <v>18589944-6</v>
      </c>
      <c r="C2209" t="e">
        <f>VLOOKUP(paciente_tutor!B2209,clientes!A2209:B3790,2,FALSE)</f>
        <v>#N/A</v>
      </c>
      <c r="D2209" t="e">
        <f t="shared" si="34"/>
        <v>#N/A</v>
      </c>
    </row>
    <row r="2210" spans="1:4" x14ac:dyDescent="0.2">
      <c r="A2210">
        <f>'Fichas clínicas'!A2210</f>
        <v>2212</v>
      </c>
      <c r="B2210" t="str">
        <f>'Fichas clínicas'!B2210</f>
        <v>19624974-5</v>
      </c>
      <c r="C2210" t="e">
        <f>VLOOKUP(paciente_tutor!B2210,clientes!A2210:B3791,2,FALSE)</f>
        <v>#N/A</v>
      </c>
      <c r="D2210" t="e">
        <f t="shared" si="34"/>
        <v>#N/A</v>
      </c>
    </row>
    <row r="2211" spans="1:4" x14ac:dyDescent="0.2">
      <c r="A2211">
        <f>'Fichas clínicas'!A2211</f>
        <v>2213</v>
      </c>
      <c r="B2211" t="str">
        <f>'Fichas clínicas'!B2211</f>
        <v>20601449-0</v>
      </c>
      <c r="C2211" t="e">
        <f>VLOOKUP(paciente_tutor!B2211,clientes!A2211:B3792,2,FALSE)</f>
        <v>#N/A</v>
      </c>
      <c r="D2211" t="e">
        <f t="shared" si="34"/>
        <v>#N/A</v>
      </c>
    </row>
    <row r="2212" spans="1:4" x14ac:dyDescent="0.2">
      <c r="A2212">
        <f>'Fichas clínicas'!A2212</f>
        <v>2214</v>
      </c>
      <c r="B2212" t="str">
        <f>'Fichas clínicas'!B2212</f>
        <v>18501867-9</v>
      </c>
      <c r="C2212" t="e">
        <f>VLOOKUP(paciente_tutor!B2212,clientes!A2212:B3793,2,FALSE)</f>
        <v>#N/A</v>
      </c>
      <c r="D2212" t="e">
        <f t="shared" si="34"/>
        <v>#N/A</v>
      </c>
    </row>
    <row r="2213" spans="1:4" x14ac:dyDescent="0.2">
      <c r="A2213">
        <f>'Fichas clínicas'!A2213</f>
        <v>2215</v>
      </c>
      <c r="B2213" t="str">
        <f>'Fichas clínicas'!B2213</f>
        <v>19248127-9</v>
      </c>
      <c r="C2213" t="e">
        <f>VLOOKUP(paciente_tutor!B2213,clientes!A2213:B3794,2,FALSE)</f>
        <v>#N/A</v>
      </c>
      <c r="D2213" t="e">
        <f t="shared" si="34"/>
        <v>#N/A</v>
      </c>
    </row>
    <row r="2214" spans="1:4" x14ac:dyDescent="0.2">
      <c r="A2214">
        <f>'Fichas clínicas'!A2214</f>
        <v>2216</v>
      </c>
      <c r="B2214" t="str">
        <f>'Fichas clínicas'!B2214</f>
        <v>19248127-9</v>
      </c>
      <c r="C2214" t="e">
        <f>VLOOKUP(paciente_tutor!B2214,clientes!A2214:B3795,2,FALSE)</f>
        <v>#N/A</v>
      </c>
      <c r="D2214" t="e">
        <f t="shared" si="34"/>
        <v>#N/A</v>
      </c>
    </row>
    <row r="2215" spans="1:4" x14ac:dyDescent="0.2">
      <c r="A2215">
        <f>'Fichas clínicas'!A2215</f>
        <v>2217</v>
      </c>
      <c r="B2215" t="str">
        <f>'Fichas clínicas'!B2215</f>
        <v>19248127-9</v>
      </c>
      <c r="C2215" t="e">
        <f>VLOOKUP(paciente_tutor!B2215,clientes!A2215:B3796,2,FALSE)</f>
        <v>#N/A</v>
      </c>
      <c r="D2215" t="e">
        <f t="shared" si="34"/>
        <v>#N/A</v>
      </c>
    </row>
    <row r="2216" spans="1:4" x14ac:dyDescent="0.2">
      <c r="A2216">
        <f>'Fichas clínicas'!A2216</f>
        <v>2218</v>
      </c>
      <c r="B2216" t="str">
        <f>'Fichas clínicas'!B2216</f>
        <v>19248127-9</v>
      </c>
      <c r="C2216" t="e">
        <f>VLOOKUP(paciente_tutor!B2216,clientes!A2216:B3797,2,FALSE)</f>
        <v>#N/A</v>
      </c>
      <c r="D2216" t="e">
        <f t="shared" si="34"/>
        <v>#N/A</v>
      </c>
    </row>
    <row r="2217" spans="1:4" x14ac:dyDescent="0.2">
      <c r="A2217">
        <f>'Fichas clínicas'!A2217</f>
        <v>2219</v>
      </c>
      <c r="B2217" t="str">
        <f>'Fichas clínicas'!B2217</f>
        <v>18174068-k</v>
      </c>
      <c r="C2217" t="e">
        <f>VLOOKUP(paciente_tutor!B2217,clientes!A2217:B3798,2,FALSE)</f>
        <v>#N/A</v>
      </c>
      <c r="D2217" t="e">
        <f t="shared" si="34"/>
        <v>#N/A</v>
      </c>
    </row>
    <row r="2218" spans="1:4" x14ac:dyDescent="0.2">
      <c r="A2218">
        <f>'Fichas clínicas'!A2218</f>
        <v>2220</v>
      </c>
      <c r="B2218" t="str">
        <f>'Fichas clínicas'!B2218</f>
        <v>17360777-6</v>
      </c>
      <c r="C2218" t="e">
        <f>VLOOKUP(paciente_tutor!B2218,clientes!A2218:B3799,2,FALSE)</f>
        <v>#N/A</v>
      </c>
      <c r="D2218" t="e">
        <f t="shared" si="34"/>
        <v>#N/A</v>
      </c>
    </row>
    <row r="2219" spans="1:4" x14ac:dyDescent="0.2">
      <c r="A2219">
        <f>'Fichas clínicas'!A2219</f>
        <v>2221</v>
      </c>
      <c r="B2219" t="str">
        <f>'Fichas clínicas'!B2219</f>
        <v>19248274-7</v>
      </c>
      <c r="C2219" t="e">
        <f>VLOOKUP(paciente_tutor!B2219,clientes!A2219:B3800,2,FALSE)</f>
        <v>#N/A</v>
      </c>
      <c r="D2219" t="e">
        <f t="shared" si="34"/>
        <v>#N/A</v>
      </c>
    </row>
    <row r="2220" spans="1:4" x14ac:dyDescent="0.2">
      <c r="A2220">
        <f>'Fichas clínicas'!A2220</f>
        <v>2222</v>
      </c>
      <c r="B2220" t="str">
        <f>'Fichas clínicas'!B2220</f>
        <v>15566049-k</v>
      </c>
      <c r="C2220" t="e">
        <f>VLOOKUP(paciente_tutor!B2220,clientes!A2220:B3801,2,FALSE)</f>
        <v>#N/A</v>
      </c>
      <c r="D2220" t="e">
        <f t="shared" si="34"/>
        <v>#N/A</v>
      </c>
    </row>
    <row r="2221" spans="1:4" x14ac:dyDescent="0.2">
      <c r="A2221">
        <f>'Fichas clínicas'!A2221</f>
        <v>2223</v>
      </c>
      <c r="B2221" t="str">
        <f>'Fichas clínicas'!B2221</f>
        <v>18132002-8</v>
      </c>
      <c r="C2221" t="e">
        <f>VLOOKUP(paciente_tutor!B2221,clientes!A2221:B3802,2,FALSE)</f>
        <v>#N/A</v>
      </c>
      <c r="D2221" t="e">
        <f t="shared" si="34"/>
        <v>#N/A</v>
      </c>
    </row>
    <row r="2222" spans="1:4" x14ac:dyDescent="0.2">
      <c r="A2222">
        <f>'Fichas clínicas'!A2222</f>
        <v>2224</v>
      </c>
      <c r="B2222" t="str">
        <f>'Fichas clínicas'!B2222</f>
        <v>13846650-7</v>
      </c>
      <c r="C2222" t="e">
        <f>VLOOKUP(paciente_tutor!B2222,clientes!A2222:B3803,2,FALSE)</f>
        <v>#N/A</v>
      </c>
      <c r="D2222" t="e">
        <f t="shared" si="34"/>
        <v>#N/A</v>
      </c>
    </row>
    <row r="2223" spans="1:4" x14ac:dyDescent="0.2">
      <c r="A2223">
        <f>'Fichas clínicas'!A2223</f>
        <v>2225</v>
      </c>
      <c r="B2223" t="str">
        <f>'Fichas clínicas'!B2223</f>
        <v>20046488-5</v>
      </c>
      <c r="C2223" t="e">
        <f>VLOOKUP(paciente_tutor!B2223,clientes!A2223:B3804,2,FALSE)</f>
        <v>#N/A</v>
      </c>
      <c r="D2223" t="e">
        <f t="shared" si="34"/>
        <v>#N/A</v>
      </c>
    </row>
    <row r="2224" spans="1:4" x14ac:dyDescent="0.2">
      <c r="A2224">
        <f>'Fichas clínicas'!A2224</f>
        <v>2226</v>
      </c>
      <c r="B2224" t="str">
        <f>'Fichas clínicas'!B2224</f>
        <v>19249784-1</v>
      </c>
      <c r="C2224" t="e">
        <f>VLOOKUP(paciente_tutor!B2224,clientes!A2224:B3805,2,FALSE)</f>
        <v>#N/A</v>
      </c>
      <c r="D2224" t="e">
        <f t="shared" si="34"/>
        <v>#N/A</v>
      </c>
    </row>
    <row r="2225" spans="1:4" x14ac:dyDescent="0.2">
      <c r="A2225">
        <f>'Fichas clínicas'!A2225</f>
        <v>2227</v>
      </c>
      <c r="B2225" t="str">
        <f>'Fichas clínicas'!B2225</f>
        <v>12431474-7</v>
      </c>
      <c r="C2225" t="e">
        <f>VLOOKUP(paciente_tutor!B2225,clientes!A2225:B3806,2,FALSE)</f>
        <v>#N/A</v>
      </c>
      <c r="D2225" t="e">
        <f t="shared" si="34"/>
        <v>#N/A</v>
      </c>
    </row>
    <row r="2226" spans="1:4" x14ac:dyDescent="0.2">
      <c r="A2226">
        <f>'Fichas clínicas'!A2226</f>
        <v>2228</v>
      </c>
      <c r="B2226" t="str">
        <f>'Fichas clínicas'!B2226</f>
        <v>18133585-8</v>
      </c>
      <c r="C2226" t="e">
        <f>VLOOKUP(paciente_tutor!B2226,clientes!A2226:B3807,2,FALSE)</f>
        <v>#N/A</v>
      </c>
      <c r="D2226" t="e">
        <f t="shared" si="34"/>
        <v>#N/A</v>
      </c>
    </row>
    <row r="2227" spans="1:4" x14ac:dyDescent="0.2">
      <c r="A2227">
        <f>'Fichas clínicas'!A2227</f>
        <v>2229</v>
      </c>
      <c r="B2227" t="str">
        <f>'Fichas clínicas'!B2227</f>
        <v>7824054-7</v>
      </c>
      <c r="C2227" t="e">
        <f>VLOOKUP(paciente_tutor!B2227,clientes!A2227:B3808,2,FALSE)</f>
        <v>#N/A</v>
      </c>
      <c r="D2227" t="e">
        <f t="shared" si="34"/>
        <v>#N/A</v>
      </c>
    </row>
    <row r="2228" spans="1:4" x14ac:dyDescent="0.2">
      <c r="A2228">
        <f>'Fichas clínicas'!A2228</f>
        <v>2230</v>
      </c>
      <c r="B2228" t="str">
        <f>'Fichas clínicas'!B2228</f>
        <v>7710538-7</v>
      </c>
      <c r="C2228" t="e">
        <f>VLOOKUP(paciente_tutor!B2228,clientes!A2228:B3809,2,FALSE)</f>
        <v>#N/A</v>
      </c>
      <c r="D2228" t="e">
        <f t="shared" si="34"/>
        <v>#N/A</v>
      </c>
    </row>
    <row r="2229" spans="1:4" x14ac:dyDescent="0.2">
      <c r="A2229">
        <f>'Fichas clínicas'!A2229</f>
        <v>2231</v>
      </c>
      <c r="B2229" t="str">
        <f>'Fichas clínicas'!B2229</f>
        <v>15566049-k</v>
      </c>
      <c r="C2229" t="e">
        <f>VLOOKUP(paciente_tutor!B2229,clientes!A2229:B3810,2,FALSE)</f>
        <v>#N/A</v>
      </c>
      <c r="D2229" t="e">
        <f t="shared" si="34"/>
        <v>#N/A</v>
      </c>
    </row>
    <row r="2230" spans="1:4" x14ac:dyDescent="0.2">
      <c r="A2230">
        <f>'Fichas clínicas'!A2230</f>
        <v>2232</v>
      </c>
      <c r="B2230" t="str">
        <f>'Fichas clínicas'!B2230</f>
        <v>15547152-2</v>
      </c>
      <c r="C2230" t="e">
        <f>VLOOKUP(paciente_tutor!B2230,clientes!A2230:B3811,2,FALSE)</f>
        <v>#N/A</v>
      </c>
      <c r="D2230" t="e">
        <f t="shared" si="34"/>
        <v>#N/A</v>
      </c>
    </row>
    <row r="2231" spans="1:4" x14ac:dyDescent="0.2">
      <c r="A2231">
        <f>'Fichas clínicas'!A2231</f>
        <v>2233</v>
      </c>
      <c r="B2231" t="str">
        <f>'Fichas clínicas'!B2231</f>
        <v>14313923-9</v>
      </c>
      <c r="C2231" t="e">
        <f>VLOOKUP(paciente_tutor!B2231,clientes!A2231:B3812,2,FALSE)</f>
        <v>#N/A</v>
      </c>
      <c r="D2231" t="e">
        <f t="shared" si="34"/>
        <v>#N/A</v>
      </c>
    </row>
    <row r="2232" spans="1:4" x14ac:dyDescent="0.2">
      <c r="A2232">
        <f>'Fichas clínicas'!A2232</f>
        <v>2234</v>
      </c>
      <c r="B2232" t="str">
        <f>'Fichas clínicas'!B2232</f>
        <v>18133585-8</v>
      </c>
      <c r="C2232" t="e">
        <f>VLOOKUP(paciente_tutor!B2232,clientes!A2232:B3813,2,FALSE)</f>
        <v>#N/A</v>
      </c>
      <c r="D2232" t="e">
        <f t="shared" si="34"/>
        <v>#N/A</v>
      </c>
    </row>
    <row r="2233" spans="1:4" x14ac:dyDescent="0.2">
      <c r="A2233">
        <f>'Fichas clínicas'!A2233</f>
        <v>2235</v>
      </c>
      <c r="B2233" t="str">
        <f>'Fichas clínicas'!B2233</f>
        <v>18133585-8</v>
      </c>
      <c r="C2233" t="e">
        <f>VLOOKUP(paciente_tutor!B2233,clientes!A2233:B3814,2,FALSE)</f>
        <v>#N/A</v>
      </c>
      <c r="D2233" t="e">
        <f t="shared" si="34"/>
        <v>#N/A</v>
      </c>
    </row>
    <row r="2234" spans="1:4" x14ac:dyDescent="0.2">
      <c r="A2234">
        <f>'Fichas clínicas'!A2234</f>
        <v>2236</v>
      </c>
      <c r="B2234" t="str">
        <f>'Fichas clínicas'!B2234</f>
        <v>12339440-2</v>
      </c>
      <c r="C2234" t="e">
        <f>VLOOKUP(paciente_tutor!B2234,clientes!A2234:B3815,2,FALSE)</f>
        <v>#N/A</v>
      </c>
      <c r="D2234" t="e">
        <f t="shared" si="34"/>
        <v>#N/A</v>
      </c>
    </row>
    <row r="2235" spans="1:4" x14ac:dyDescent="0.2">
      <c r="A2235">
        <f>'Fichas clínicas'!A2235</f>
        <v>2237</v>
      </c>
      <c r="B2235" t="str">
        <f>'Fichas clínicas'!B2235</f>
        <v>12339440-2</v>
      </c>
      <c r="C2235" t="e">
        <f>VLOOKUP(paciente_tutor!B2235,clientes!A2235:B3816,2,FALSE)</f>
        <v>#N/A</v>
      </c>
      <c r="D2235" t="e">
        <f t="shared" si="34"/>
        <v>#N/A</v>
      </c>
    </row>
    <row r="2236" spans="1:4" x14ac:dyDescent="0.2">
      <c r="A2236">
        <f>'Fichas clínicas'!A2236</f>
        <v>2238</v>
      </c>
      <c r="B2236" t="str">
        <f>'Fichas clínicas'!B2236</f>
        <v>12339440-2</v>
      </c>
      <c r="C2236" t="e">
        <f>VLOOKUP(paciente_tutor!B2236,clientes!A2236:B3817,2,FALSE)</f>
        <v>#N/A</v>
      </c>
      <c r="D2236" t="e">
        <f t="shared" si="34"/>
        <v>#N/A</v>
      </c>
    </row>
    <row r="2237" spans="1:4" x14ac:dyDescent="0.2">
      <c r="A2237">
        <f>'Fichas clínicas'!A2237</f>
        <v>2239</v>
      </c>
      <c r="B2237" t="str">
        <f>'Fichas clínicas'!B2237</f>
        <v>5820401-3</v>
      </c>
      <c r="C2237" t="e">
        <f>VLOOKUP(paciente_tutor!B2237,clientes!A2237:B3818,2,FALSE)</f>
        <v>#N/A</v>
      </c>
      <c r="D2237" t="e">
        <f t="shared" si="34"/>
        <v>#N/A</v>
      </c>
    </row>
    <row r="2238" spans="1:4" x14ac:dyDescent="0.2">
      <c r="A2238">
        <f>'Fichas clínicas'!A2238</f>
        <v>2240</v>
      </c>
      <c r="B2238" t="str">
        <f>'Fichas clínicas'!B2238</f>
        <v>11703552-2</v>
      </c>
      <c r="C2238" t="e">
        <f>VLOOKUP(paciente_tutor!B2238,clientes!A2238:B3819,2,FALSE)</f>
        <v>#N/A</v>
      </c>
      <c r="D2238" t="e">
        <f t="shared" si="34"/>
        <v>#N/A</v>
      </c>
    </row>
    <row r="2239" spans="1:4" x14ac:dyDescent="0.2">
      <c r="A2239">
        <f>'Fichas clínicas'!A2239</f>
        <v>2241</v>
      </c>
      <c r="B2239" t="str">
        <f>'Fichas clínicas'!B2239</f>
        <v>18134110-6</v>
      </c>
      <c r="C2239" t="e">
        <f>VLOOKUP(paciente_tutor!B2239,clientes!A2239:B3820,2,FALSE)</f>
        <v>#N/A</v>
      </c>
      <c r="D2239" t="e">
        <f t="shared" si="34"/>
        <v>#N/A</v>
      </c>
    </row>
    <row r="2240" spans="1:4" x14ac:dyDescent="0.2">
      <c r="A2240">
        <f>'Fichas clínicas'!A2240</f>
        <v>2242</v>
      </c>
      <c r="B2240" t="str">
        <f>'Fichas clínicas'!B2240</f>
        <v>7710538-7</v>
      </c>
      <c r="C2240" t="e">
        <f>VLOOKUP(paciente_tutor!B2240,clientes!A2240:B3821,2,FALSE)</f>
        <v>#N/A</v>
      </c>
      <c r="D2240" t="e">
        <f t="shared" si="34"/>
        <v>#N/A</v>
      </c>
    </row>
    <row r="2241" spans="1:4" x14ac:dyDescent="0.2">
      <c r="A2241">
        <f>'Fichas clínicas'!A2241</f>
        <v>2243</v>
      </c>
      <c r="B2241" t="str">
        <f>'Fichas clínicas'!B2241</f>
        <v>8032969-5</v>
      </c>
      <c r="C2241" t="e">
        <f>VLOOKUP(paciente_tutor!B2241,clientes!A2241:B3822,2,FALSE)</f>
        <v>#N/A</v>
      </c>
      <c r="D2241" t="e">
        <f t="shared" si="34"/>
        <v>#N/A</v>
      </c>
    </row>
    <row r="2242" spans="1:4" x14ac:dyDescent="0.2">
      <c r="A2242">
        <f>'Fichas clínicas'!A2242</f>
        <v>2244</v>
      </c>
      <c r="B2242" t="str">
        <f>'Fichas clínicas'!B2242</f>
        <v>13757775-5</v>
      </c>
      <c r="C2242" t="e">
        <f>VLOOKUP(paciente_tutor!B2242,clientes!A2242:B3823,2,FALSE)</f>
        <v>#N/A</v>
      </c>
      <c r="D2242" t="e">
        <f t="shared" si="34"/>
        <v>#N/A</v>
      </c>
    </row>
    <row r="2243" spans="1:4" x14ac:dyDescent="0.2">
      <c r="A2243">
        <f>'Fichas clínicas'!A2243</f>
        <v>2245</v>
      </c>
      <c r="B2243" t="str">
        <f>'Fichas clínicas'!B2243</f>
        <v>15261738-0</v>
      </c>
      <c r="C2243" t="e">
        <f>VLOOKUP(paciente_tutor!B2243,clientes!A2243:B3824,2,FALSE)</f>
        <v>#N/A</v>
      </c>
      <c r="D2243" t="e">
        <f t="shared" ref="D2243:D2306" si="35">IF(C2243="#N/A","",B2243)</f>
        <v>#N/A</v>
      </c>
    </row>
    <row r="2244" spans="1:4" x14ac:dyDescent="0.2">
      <c r="A2244">
        <f>'Fichas clínicas'!A2244</f>
        <v>2246</v>
      </c>
      <c r="B2244" t="str">
        <f>'Fichas clínicas'!B2244</f>
        <v>15549210-4</v>
      </c>
      <c r="C2244" t="e">
        <f>VLOOKUP(paciente_tutor!B2244,clientes!A2244:B3825,2,FALSE)</f>
        <v>#N/A</v>
      </c>
      <c r="D2244" t="e">
        <f t="shared" si="35"/>
        <v>#N/A</v>
      </c>
    </row>
    <row r="2245" spans="1:4" x14ac:dyDescent="0.2">
      <c r="A2245">
        <f>'Fichas clínicas'!A2245</f>
        <v>2247</v>
      </c>
      <c r="B2245" t="str">
        <f>'Fichas clínicas'!B2245</f>
        <v>15549210-4</v>
      </c>
      <c r="C2245" t="e">
        <f>VLOOKUP(paciente_tutor!B2245,clientes!A2245:B3826,2,FALSE)</f>
        <v>#N/A</v>
      </c>
      <c r="D2245" t="e">
        <f t="shared" si="35"/>
        <v>#N/A</v>
      </c>
    </row>
    <row r="2246" spans="1:4" x14ac:dyDescent="0.2">
      <c r="A2246">
        <f>'Fichas clínicas'!A2246</f>
        <v>2248</v>
      </c>
      <c r="B2246" t="str">
        <f>'Fichas clínicas'!B2246</f>
        <v>17311133-9</v>
      </c>
      <c r="C2246" t="e">
        <f>VLOOKUP(paciente_tutor!B2246,clientes!A2246:B3827,2,FALSE)</f>
        <v>#N/A</v>
      </c>
      <c r="D2246" t="e">
        <f t="shared" si="35"/>
        <v>#N/A</v>
      </c>
    </row>
    <row r="2247" spans="1:4" x14ac:dyDescent="0.2">
      <c r="A2247">
        <f>'Fichas clínicas'!A2247</f>
        <v>2249</v>
      </c>
      <c r="B2247" t="str">
        <f>'Fichas clínicas'!B2247</f>
        <v>15547785-7</v>
      </c>
      <c r="C2247" t="e">
        <f>VLOOKUP(paciente_tutor!B2247,clientes!A2247:B3828,2,FALSE)</f>
        <v>#N/A</v>
      </c>
      <c r="D2247" t="e">
        <f t="shared" si="35"/>
        <v>#N/A</v>
      </c>
    </row>
    <row r="2248" spans="1:4" x14ac:dyDescent="0.2">
      <c r="A2248">
        <f>'Fichas clínicas'!A2248</f>
        <v>2250</v>
      </c>
      <c r="B2248" t="str">
        <f>'Fichas clínicas'!B2248</f>
        <v>19249210-6</v>
      </c>
      <c r="C2248" t="e">
        <f>VLOOKUP(paciente_tutor!B2248,clientes!A2248:B3829,2,FALSE)</f>
        <v>#N/A</v>
      </c>
      <c r="D2248" t="e">
        <f t="shared" si="35"/>
        <v>#N/A</v>
      </c>
    </row>
    <row r="2249" spans="1:4" x14ac:dyDescent="0.2">
      <c r="A2249">
        <f>'Fichas clínicas'!A2249</f>
        <v>2251</v>
      </c>
      <c r="B2249" t="str">
        <f>'Fichas clínicas'!B2249</f>
        <v>12000117-5</v>
      </c>
      <c r="C2249" t="e">
        <f>VLOOKUP(paciente_tutor!B2249,clientes!A2249:B3830,2,FALSE)</f>
        <v>#N/A</v>
      </c>
      <c r="D2249" t="e">
        <f t="shared" si="35"/>
        <v>#N/A</v>
      </c>
    </row>
    <row r="2250" spans="1:4" x14ac:dyDescent="0.2">
      <c r="A2250">
        <f>'Fichas clínicas'!A2250</f>
        <v>2252</v>
      </c>
      <c r="B2250" t="str">
        <f>'Fichas clínicas'!B2250</f>
        <v>20235269-3</v>
      </c>
      <c r="C2250" t="e">
        <f>VLOOKUP(paciente_tutor!B2250,clientes!A2250:B3831,2,FALSE)</f>
        <v>#N/A</v>
      </c>
      <c r="D2250" t="e">
        <f t="shared" si="35"/>
        <v>#N/A</v>
      </c>
    </row>
    <row r="2251" spans="1:4" x14ac:dyDescent="0.2">
      <c r="A2251">
        <f>'Fichas clínicas'!A2251</f>
        <v>2253</v>
      </c>
      <c r="B2251" t="str">
        <f>'Fichas clínicas'!B2251</f>
        <v>10442254-3</v>
      </c>
      <c r="C2251" t="e">
        <f>VLOOKUP(paciente_tutor!B2251,clientes!A2251:B3832,2,FALSE)</f>
        <v>#N/A</v>
      </c>
      <c r="D2251" t="e">
        <f t="shared" si="35"/>
        <v>#N/A</v>
      </c>
    </row>
    <row r="2252" spans="1:4" x14ac:dyDescent="0.2">
      <c r="A2252">
        <f>'Fichas clínicas'!A2252</f>
        <v>2254</v>
      </c>
      <c r="B2252" t="str">
        <f>'Fichas clínicas'!B2252</f>
        <v>10442254-3</v>
      </c>
      <c r="C2252" t="e">
        <f>VLOOKUP(paciente_tutor!B2252,clientes!A2252:B3833,2,FALSE)</f>
        <v>#N/A</v>
      </c>
      <c r="D2252" t="e">
        <f t="shared" si="35"/>
        <v>#N/A</v>
      </c>
    </row>
    <row r="2253" spans="1:4" x14ac:dyDescent="0.2">
      <c r="A2253">
        <f>'Fichas clínicas'!A2253</f>
        <v>2255</v>
      </c>
      <c r="B2253" t="str">
        <f>'Fichas clínicas'!B2253</f>
        <v>26187708-2</v>
      </c>
      <c r="C2253" t="e">
        <f>VLOOKUP(paciente_tutor!B2253,clientes!A2253:B3834,2,FALSE)</f>
        <v>#N/A</v>
      </c>
      <c r="D2253" t="e">
        <f t="shared" si="35"/>
        <v>#N/A</v>
      </c>
    </row>
    <row r="2254" spans="1:4" x14ac:dyDescent="0.2">
      <c r="A2254">
        <f>'Fichas clínicas'!A2254</f>
        <v>2256</v>
      </c>
      <c r="B2254" t="str">
        <f>'Fichas clínicas'!B2254</f>
        <v>18590855-0</v>
      </c>
      <c r="C2254" t="e">
        <f>VLOOKUP(paciente_tutor!B2254,clientes!A2254:B3835,2,FALSE)</f>
        <v>#N/A</v>
      </c>
      <c r="D2254" t="e">
        <f t="shared" si="35"/>
        <v>#N/A</v>
      </c>
    </row>
    <row r="2255" spans="1:4" x14ac:dyDescent="0.2">
      <c r="A2255">
        <f>'Fichas clínicas'!A2255</f>
        <v>2257</v>
      </c>
      <c r="B2255" t="str">
        <f>'Fichas clínicas'!B2255</f>
        <v>20314082-7</v>
      </c>
      <c r="C2255" t="e">
        <f>VLOOKUP(paciente_tutor!B2255,clientes!A2255:B3836,2,FALSE)</f>
        <v>#N/A</v>
      </c>
      <c r="D2255" t="e">
        <f t="shared" si="35"/>
        <v>#N/A</v>
      </c>
    </row>
    <row r="2256" spans="1:4" x14ac:dyDescent="0.2">
      <c r="A2256">
        <f>'Fichas clínicas'!A2256</f>
        <v>2258</v>
      </c>
      <c r="B2256" t="str">
        <f>'Fichas clínicas'!B2256</f>
        <v>11592199-1</v>
      </c>
      <c r="C2256" t="e">
        <f>VLOOKUP(paciente_tutor!B2256,clientes!A2256:B3837,2,FALSE)</f>
        <v>#N/A</v>
      </c>
      <c r="D2256" t="e">
        <f t="shared" si="35"/>
        <v>#N/A</v>
      </c>
    </row>
    <row r="2257" spans="1:4" x14ac:dyDescent="0.2">
      <c r="A2257">
        <f>'Fichas clínicas'!A2257</f>
        <v>2259</v>
      </c>
      <c r="B2257" t="str">
        <f>'Fichas clínicas'!B2257</f>
        <v>17219168-1</v>
      </c>
      <c r="C2257" t="e">
        <f>VLOOKUP(paciente_tutor!B2257,clientes!A2257:B3838,2,FALSE)</f>
        <v>#N/A</v>
      </c>
      <c r="D2257" t="e">
        <f t="shared" si="35"/>
        <v>#N/A</v>
      </c>
    </row>
    <row r="2258" spans="1:4" x14ac:dyDescent="0.2">
      <c r="A2258">
        <f>'Fichas clínicas'!A2258</f>
        <v>2260</v>
      </c>
      <c r="B2258" t="str">
        <f>'Fichas clínicas'!B2258</f>
        <v>17359742-8</v>
      </c>
      <c r="C2258" t="e">
        <f>VLOOKUP(paciente_tutor!B2258,clientes!A2258:B3839,2,FALSE)</f>
        <v>#N/A</v>
      </c>
      <c r="D2258" t="e">
        <f t="shared" si="35"/>
        <v>#N/A</v>
      </c>
    </row>
    <row r="2259" spans="1:4" x14ac:dyDescent="0.2">
      <c r="A2259">
        <f>'Fichas clínicas'!A2259</f>
        <v>2261</v>
      </c>
      <c r="B2259" t="str">
        <f>'Fichas clínicas'!B2259</f>
        <v>18133268-9</v>
      </c>
      <c r="C2259" t="e">
        <f>VLOOKUP(paciente_tutor!B2259,clientes!A2259:B3840,2,FALSE)</f>
        <v>#N/A</v>
      </c>
      <c r="D2259" t="e">
        <f t="shared" si="35"/>
        <v>#N/A</v>
      </c>
    </row>
    <row r="2260" spans="1:4" x14ac:dyDescent="0.2">
      <c r="A2260">
        <f>'Fichas clínicas'!A2260</f>
        <v>2262</v>
      </c>
      <c r="B2260" t="str">
        <f>'Fichas clínicas'!B2260</f>
        <v>20015005-8</v>
      </c>
      <c r="C2260" t="e">
        <f>VLOOKUP(paciente_tutor!B2260,clientes!A2260:B3841,2,FALSE)</f>
        <v>#N/A</v>
      </c>
      <c r="D2260" t="e">
        <f t="shared" si="35"/>
        <v>#N/A</v>
      </c>
    </row>
    <row r="2261" spans="1:4" x14ac:dyDescent="0.2">
      <c r="A2261">
        <f>'Fichas clínicas'!A2261</f>
        <v>2263</v>
      </c>
      <c r="B2261" t="str">
        <f>'Fichas clínicas'!B2261</f>
        <v>19624974-5</v>
      </c>
      <c r="C2261" t="e">
        <f>VLOOKUP(paciente_tutor!B2261,clientes!A2261:B3842,2,FALSE)</f>
        <v>#N/A</v>
      </c>
      <c r="D2261" t="e">
        <f t="shared" si="35"/>
        <v>#N/A</v>
      </c>
    </row>
    <row r="2262" spans="1:4" x14ac:dyDescent="0.2">
      <c r="A2262">
        <f>'Fichas clínicas'!A2262</f>
        <v>2264</v>
      </c>
      <c r="B2262" t="str">
        <f>'Fichas clínicas'!B2262</f>
        <v>19624974-5</v>
      </c>
      <c r="C2262" t="e">
        <f>VLOOKUP(paciente_tutor!B2262,clientes!A2262:B3843,2,FALSE)</f>
        <v>#N/A</v>
      </c>
      <c r="D2262" t="e">
        <f t="shared" si="35"/>
        <v>#N/A</v>
      </c>
    </row>
    <row r="2263" spans="1:4" x14ac:dyDescent="0.2">
      <c r="A2263">
        <f>'Fichas clínicas'!A2263</f>
        <v>2265</v>
      </c>
      <c r="B2263" t="str">
        <f>'Fichas clínicas'!B2263</f>
        <v>20803610-6</v>
      </c>
      <c r="C2263" t="e">
        <f>VLOOKUP(paciente_tutor!B2263,clientes!A2263:B3844,2,FALSE)</f>
        <v>#N/A</v>
      </c>
      <c r="D2263" t="e">
        <f t="shared" si="35"/>
        <v>#N/A</v>
      </c>
    </row>
    <row r="2264" spans="1:4" x14ac:dyDescent="0.2">
      <c r="A2264">
        <f>'Fichas clínicas'!A2264</f>
        <v>2266</v>
      </c>
      <c r="B2264" t="str">
        <f>'Fichas clínicas'!B2264</f>
        <v>13093453-6</v>
      </c>
      <c r="C2264" t="e">
        <f>VLOOKUP(paciente_tutor!B2264,clientes!A2264:B3845,2,FALSE)</f>
        <v>#N/A</v>
      </c>
      <c r="D2264" t="e">
        <f t="shared" si="35"/>
        <v>#N/A</v>
      </c>
    </row>
    <row r="2265" spans="1:4" x14ac:dyDescent="0.2">
      <c r="A2265">
        <f>'Fichas clínicas'!A2265</f>
        <v>2267</v>
      </c>
      <c r="B2265" t="str">
        <f>'Fichas clínicas'!B2265</f>
        <v>15298615-7</v>
      </c>
      <c r="C2265" t="e">
        <f>VLOOKUP(paciente_tutor!B2265,clientes!A2265:B3846,2,FALSE)</f>
        <v>#N/A</v>
      </c>
      <c r="D2265" t="e">
        <f t="shared" si="35"/>
        <v>#N/A</v>
      </c>
    </row>
    <row r="2266" spans="1:4" x14ac:dyDescent="0.2">
      <c r="A2266">
        <f>'Fichas clínicas'!A2266</f>
        <v>2268</v>
      </c>
      <c r="B2266" t="str">
        <f>'Fichas clínicas'!B2266</f>
        <v>13321060-1</v>
      </c>
      <c r="C2266" t="e">
        <f>VLOOKUP(paciente_tutor!B2266,clientes!A2266:B3847,2,FALSE)</f>
        <v>#N/A</v>
      </c>
      <c r="D2266" t="e">
        <f t="shared" si="35"/>
        <v>#N/A</v>
      </c>
    </row>
    <row r="2267" spans="1:4" x14ac:dyDescent="0.2">
      <c r="A2267">
        <f>'Fichas clínicas'!A2267</f>
        <v>2269</v>
      </c>
      <c r="B2267" t="str">
        <f>'Fichas clínicas'!B2267</f>
        <v>11702786-4</v>
      </c>
      <c r="C2267" t="e">
        <f>VLOOKUP(paciente_tutor!B2267,clientes!A2267:B3848,2,FALSE)</f>
        <v>#N/A</v>
      </c>
      <c r="D2267" t="e">
        <f t="shared" si="35"/>
        <v>#N/A</v>
      </c>
    </row>
    <row r="2268" spans="1:4" x14ac:dyDescent="0.2">
      <c r="A2268">
        <f>'Fichas clínicas'!A2268</f>
        <v>2270</v>
      </c>
      <c r="B2268" t="str">
        <f>'Fichas clínicas'!B2268</f>
        <v>21414218-k</v>
      </c>
      <c r="C2268" t="e">
        <f>VLOOKUP(paciente_tutor!B2268,clientes!A2268:B3849,2,FALSE)</f>
        <v>#N/A</v>
      </c>
      <c r="D2268" t="e">
        <f t="shared" si="35"/>
        <v>#N/A</v>
      </c>
    </row>
    <row r="2269" spans="1:4" x14ac:dyDescent="0.2">
      <c r="A2269">
        <f>'Fichas clínicas'!A2269</f>
        <v>2271</v>
      </c>
      <c r="B2269" t="str">
        <f>'Fichas clínicas'!B2269</f>
        <v>19938669-7</v>
      </c>
      <c r="C2269" t="e">
        <f>VLOOKUP(paciente_tutor!B2269,clientes!A2269:B3850,2,FALSE)</f>
        <v>#N/A</v>
      </c>
      <c r="D2269" t="e">
        <f t="shared" si="35"/>
        <v>#N/A</v>
      </c>
    </row>
    <row r="2270" spans="1:4" x14ac:dyDescent="0.2">
      <c r="A2270">
        <f>'Fichas clínicas'!A2270</f>
        <v>2272</v>
      </c>
      <c r="B2270" t="str">
        <f>'Fichas clínicas'!B2270</f>
        <v>17996860-6</v>
      </c>
      <c r="C2270" t="e">
        <f>VLOOKUP(paciente_tutor!B2270,clientes!A2270:B3851,2,FALSE)</f>
        <v>#N/A</v>
      </c>
      <c r="D2270" t="e">
        <f t="shared" si="35"/>
        <v>#N/A</v>
      </c>
    </row>
    <row r="2271" spans="1:4" x14ac:dyDescent="0.2">
      <c r="A2271">
        <f>'Fichas clínicas'!A2271</f>
        <v>2273</v>
      </c>
      <c r="B2271" t="str">
        <f>'Fichas clínicas'!B2271</f>
        <v>17996860-6</v>
      </c>
      <c r="C2271" t="e">
        <f>VLOOKUP(paciente_tutor!B2271,clientes!A2271:B3852,2,FALSE)</f>
        <v>#N/A</v>
      </c>
      <c r="D2271" t="e">
        <f t="shared" si="35"/>
        <v>#N/A</v>
      </c>
    </row>
    <row r="2272" spans="1:4" x14ac:dyDescent="0.2">
      <c r="A2272">
        <f>'Fichas clínicas'!A2272</f>
        <v>2274</v>
      </c>
      <c r="B2272" t="str">
        <f>'Fichas clínicas'!B2272</f>
        <v>16238905-k</v>
      </c>
      <c r="C2272" t="e">
        <f>VLOOKUP(paciente_tutor!B2272,clientes!A2272:B3853,2,FALSE)</f>
        <v>#N/A</v>
      </c>
      <c r="D2272" t="e">
        <f t="shared" si="35"/>
        <v>#N/A</v>
      </c>
    </row>
    <row r="2273" spans="1:4" x14ac:dyDescent="0.2">
      <c r="A2273">
        <f>'Fichas clínicas'!A2273</f>
        <v>2275</v>
      </c>
      <c r="B2273" t="str">
        <f>'Fichas clínicas'!B2273</f>
        <v>10181972-8</v>
      </c>
      <c r="C2273" t="e">
        <f>VLOOKUP(paciente_tutor!B2273,clientes!A2273:B3854,2,FALSE)</f>
        <v>#N/A</v>
      </c>
      <c r="D2273" t="e">
        <f t="shared" si="35"/>
        <v>#N/A</v>
      </c>
    </row>
    <row r="2274" spans="1:4" x14ac:dyDescent="0.2">
      <c r="A2274">
        <f>'Fichas clínicas'!A2274</f>
        <v>2276</v>
      </c>
      <c r="B2274" t="str">
        <f>'Fichas clínicas'!B2274</f>
        <v>20767706-k</v>
      </c>
      <c r="C2274" t="e">
        <f>VLOOKUP(paciente_tutor!B2274,clientes!A2274:B3855,2,FALSE)</f>
        <v>#N/A</v>
      </c>
      <c r="D2274" t="e">
        <f t="shared" si="35"/>
        <v>#N/A</v>
      </c>
    </row>
    <row r="2275" spans="1:4" x14ac:dyDescent="0.2">
      <c r="A2275">
        <f>'Fichas clínicas'!A2275</f>
        <v>2277</v>
      </c>
      <c r="B2275" t="str">
        <f>'Fichas clínicas'!B2275</f>
        <v>21464615-3</v>
      </c>
      <c r="C2275" t="e">
        <f>VLOOKUP(paciente_tutor!B2275,clientes!A2275:B3856,2,FALSE)</f>
        <v>#N/A</v>
      </c>
      <c r="D2275" t="e">
        <f t="shared" si="35"/>
        <v>#N/A</v>
      </c>
    </row>
    <row r="2276" spans="1:4" x14ac:dyDescent="0.2">
      <c r="A2276">
        <f>'Fichas clínicas'!A2276</f>
        <v>2278</v>
      </c>
      <c r="B2276" t="str">
        <f>'Fichas clínicas'!B2276</f>
        <v>12991768-7</v>
      </c>
      <c r="C2276" t="e">
        <f>VLOOKUP(paciente_tutor!B2276,clientes!A2276:B3857,2,FALSE)</f>
        <v>#N/A</v>
      </c>
      <c r="D2276" t="e">
        <f t="shared" si="35"/>
        <v>#N/A</v>
      </c>
    </row>
    <row r="2277" spans="1:4" x14ac:dyDescent="0.2">
      <c r="A2277">
        <f>'Fichas clínicas'!A2277</f>
        <v>2279</v>
      </c>
      <c r="B2277" t="str">
        <f>'Fichas clínicas'!B2277</f>
        <v>27264171-4</v>
      </c>
      <c r="C2277" t="e">
        <f>VLOOKUP(paciente_tutor!B2277,clientes!A2277:B3858,2,FALSE)</f>
        <v>#N/A</v>
      </c>
      <c r="D2277" t="e">
        <f t="shared" si="35"/>
        <v>#N/A</v>
      </c>
    </row>
    <row r="2278" spans="1:4" x14ac:dyDescent="0.2">
      <c r="A2278">
        <f>'Fichas clínicas'!A2278</f>
        <v>2280</v>
      </c>
      <c r="B2278" t="str">
        <f>'Fichas clínicas'!B2278</f>
        <v>19554428-K</v>
      </c>
      <c r="C2278" t="e">
        <f>VLOOKUP(paciente_tutor!B2278,clientes!A2278:B3859,2,FALSE)</f>
        <v>#N/A</v>
      </c>
      <c r="D2278" t="e">
        <f t="shared" si="35"/>
        <v>#N/A</v>
      </c>
    </row>
    <row r="2279" spans="1:4" x14ac:dyDescent="0.2">
      <c r="A2279">
        <f>'Fichas clínicas'!A2279</f>
        <v>2281</v>
      </c>
      <c r="B2279" t="str">
        <f>'Fichas clínicas'!B2279</f>
        <v>19248947-4</v>
      </c>
      <c r="C2279" t="e">
        <f>VLOOKUP(paciente_tutor!B2279,clientes!A2279:B3860,2,FALSE)</f>
        <v>#N/A</v>
      </c>
      <c r="D2279" t="e">
        <f t="shared" si="35"/>
        <v>#N/A</v>
      </c>
    </row>
    <row r="2280" spans="1:4" x14ac:dyDescent="0.2">
      <c r="A2280">
        <f>'Fichas clínicas'!A2280</f>
        <v>2282</v>
      </c>
      <c r="B2280" t="str">
        <f>'Fichas clínicas'!B2280</f>
        <v>15294106-4</v>
      </c>
      <c r="C2280" t="e">
        <f>VLOOKUP(paciente_tutor!B2280,clientes!A2280:B3861,2,FALSE)</f>
        <v>#N/A</v>
      </c>
      <c r="D2280" t="e">
        <f t="shared" si="35"/>
        <v>#N/A</v>
      </c>
    </row>
    <row r="2281" spans="1:4" x14ac:dyDescent="0.2">
      <c r="A2281">
        <f>'Fichas clínicas'!A2281</f>
        <v>2283</v>
      </c>
      <c r="B2281" t="str">
        <f>'Fichas clínicas'!B2281</f>
        <v>20805332-9</v>
      </c>
      <c r="C2281" t="e">
        <f>VLOOKUP(paciente_tutor!B2281,clientes!A2281:B3862,2,FALSE)</f>
        <v>#N/A</v>
      </c>
      <c r="D2281" t="e">
        <f t="shared" si="35"/>
        <v>#N/A</v>
      </c>
    </row>
    <row r="2282" spans="1:4" x14ac:dyDescent="0.2">
      <c r="A2282">
        <f>'Fichas clínicas'!A2282</f>
        <v>2284</v>
      </c>
      <c r="B2282" t="str">
        <f>'Fichas clínicas'!B2282</f>
        <v>21738976-3</v>
      </c>
      <c r="C2282" t="e">
        <f>VLOOKUP(paciente_tutor!B2282,clientes!A2282:B3863,2,FALSE)</f>
        <v>#N/A</v>
      </c>
      <c r="D2282" t="e">
        <f t="shared" si="35"/>
        <v>#N/A</v>
      </c>
    </row>
    <row r="2283" spans="1:4" x14ac:dyDescent="0.2">
      <c r="A2283">
        <f>'Fichas clínicas'!A2283</f>
        <v>2285</v>
      </c>
      <c r="B2283" t="str">
        <f>'Fichas clínicas'!B2283</f>
        <v>19249210-6</v>
      </c>
      <c r="C2283" t="e">
        <f>VLOOKUP(paciente_tutor!B2283,clientes!A2283:B3864,2,FALSE)</f>
        <v>#N/A</v>
      </c>
      <c r="D2283" t="e">
        <f t="shared" si="35"/>
        <v>#N/A</v>
      </c>
    </row>
    <row r="2284" spans="1:4" x14ac:dyDescent="0.2">
      <c r="A2284">
        <f>'Fichas clínicas'!A2284</f>
        <v>2286</v>
      </c>
      <c r="B2284" t="str">
        <f>'Fichas clínicas'!B2284</f>
        <v>20180200-8</v>
      </c>
      <c r="C2284" t="e">
        <f>VLOOKUP(paciente_tutor!B2284,clientes!A2284:B3865,2,FALSE)</f>
        <v>#N/A</v>
      </c>
      <c r="D2284" t="e">
        <f t="shared" si="35"/>
        <v>#N/A</v>
      </c>
    </row>
    <row r="2285" spans="1:4" x14ac:dyDescent="0.2">
      <c r="A2285">
        <f>'Fichas clínicas'!A2285</f>
        <v>2287</v>
      </c>
      <c r="B2285" t="str">
        <f>'Fichas clínicas'!B2285</f>
        <v>20316005-4</v>
      </c>
      <c r="C2285" t="e">
        <f>VLOOKUP(paciente_tutor!B2285,clientes!A2285:B3866,2,FALSE)</f>
        <v>#N/A</v>
      </c>
      <c r="D2285" t="e">
        <f t="shared" si="35"/>
        <v>#N/A</v>
      </c>
    </row>
    <row r="2286" spans="1:4" x14ac:dyDescent="0.2">
      <c r="A2286">
        <f>'Fichas clínicas'!A2286</f>
        <v>2288</v>
      </c>
      <c r="B2286" t="str">
        <f>'Fichas clínicas'!B2286</f>
        <v>21414218-k</v>
      </c>
      <c r="C2286" t="e">
        <f>VLOOKUP(paciente_tutor!B2286,clientes!A2286:B3867,2,FALSE)</f>
        <v>#N/A</v>
      </c>
      <c r="D2286" t="e">
        <f t="shared" si="35"/>
        <v>#N/A</v>
      </c>
    </row>
    <row r="2287" spans="1:4" x14ac:dyDescent="0.2">
      <c r="A2287">
        <f>'Fichas clínicas'!A2287</f>
        <v>2289</v>
      </c>
      <c r="B2287" t="str">
        <f>'Fichas clínicas'!B2287</f>
        <v>20134499-9</v>
      </c>
      <c r="C2287" t="e">
        <f>VLOOKUP(paciente_tutor!B2287,clientes!A2287:B3868,2,FALSE)</f>
        <v>#N/A</v>
      </c>
      <c r="D2287" t="e">
        <f t="shared" si="35"/>
        <v>#N/A</v>
      </c>
    </row>
    <row r="2288" spans="1:4" x14ac:dyDescent="0.2">
      <c r="A2288">
        <f>'Fichas clínicas'!A2288</f>
        <v>2290</v>
      </c>
      <c r="B2288" t="str">
        <f>'Fichas clínicas'!B2288</f>
        <v>12485670-1</v>
      </c>
      <c r="C2288" t="e">
        <f>VLOOKUP(paciente_tutor!B2288,clientes!A2288:B3869,2,FALSE)</f>
        <v>#N/A</v>
      </c>
      <c r="D2288" t="e">
        <f t="shared" si="35"/>
        <v>#N/A</v>
      </c>
    </row>
    <row r="2289" spans="1:4" x14ac:dyDescent="0.2">
      <c r="A2289">
        <f>'Fichas clínicas'!A2289</f>
        <v>2291</v>
      </c>
      <c r="B2289" t="str">
        <f>'Fichas clínicas'!B2289</f>
        <v>15883216-K</v>
      </c>
      <c r="C2289" t="e">
        <f>VLOOKUP(paciente_tutor!B2289,clientes!A2289:B3870,2,FALSE)</f>
        <v>#N/A</v>
      </c>
      <c r="D2289" t="e">
        <f t="shared" si="35"/>
        <v>#N/A</v>
      </c>
    </row>
    <row r="2290" spans="1:4" x14ac:dyDescent="0.2">
      <c r="A2290">
        <f>'Fichas clínicas'!A2290</f>
        <v>2292</v>
      </c>
      <c r="B2290" t="str">
        <f>'Fichas clínicas'!B2290</f>
        <v>15513264-7</v>
      </c>
      <c r="C2290" t="e">
        <f>VLOOKUP(paciente_tutor!B2290,clientes!A2290:B3871,2,FALSE)</f>
        <v>#N/A</v>
      </c>
      <c r="D2290" t="e">
        <f t="shared" si="35"/>
        <v>#N/A</v>
      </c>
    </row>
    <row r="2291" spans="1:4" x14ac:dyDescent="0.2">
      <c r="A2291">
        <f>'Fichas clínicas'!A2291</f>
        <v>2293</v>
      </c>
      <c r="B2291" t="str">
        <f>'Fichas clínicas'!B2291</f>
        <v>20642177-0</v>
      </c>
      <c r="C2291" t="e">
        <f>VLOOKUP(paciente_tutor!B2291,clientes!A2291:B3872,2,FALSE)</f>
        <v>#N/A</v>
      </c>
      <c r="D2291" t="e">
        <f t="shared" si="35"/>
        <v>#N/A</v>
      </c>
    </row>
    <row r="2292" spans="1:4" x14ac:dyDescent="0.2">
      <c r="A2292">
        <f>'Fichas clínicas'!A2292</f>
        <v>2294</v>
      </c>
      <c r="B2292" t="str">
        <f>'Fichas clínicas'!B2292</f>
        <v>16587848-5</v>
      </c>
      <c r="C2292" t="e">
        <f>VLOOKUP(paciente_tutor!B2292,clientes!A2292:B3873,2,FALSE)</f>
        <v>#N/A</v>
      </c>
      <c r="D2292" t="e">
        <f t="shared" si="35"/>
        <v>#N/A</v>
      </c>
    </row>
    <row r="2293" spans="1:4" x14ac:dyDescent="0.2">
      <c r="A2293">
        <f>'Fichas clínicas'!A2293</f>
        <v>2295</v>
      </c>
      <c r="B2293" t="str">
        <f>'Fichas clínicas'!B2293</f>
        <v>18437531-1</v>
      </c>
      <c r="C2293" t="e">
        <f>VLOOKUP(paciente_tutor!B2293,clientes!A2293:B3874,2,FALSE)</f>
        <v>#N/A</v>
      </c>
      <c r="D2293" t="e">
        <f t="shared" si="35"/>
        <v>#N/A</v>
      </c>
    </row>
    <row r="2294" spans="1:4" x14ac:dyDescent="0.2">
      <c r="A2294">
        <f>'Fichas clínicas'!A2294</f>
        <v>2296</v>
      </c>
      <c r="B2294" t="str">
        <f>'Fichas clínicas'!B2294</f>
        <v>18289898-8</v>
      </c>
      <c r="C2294" t="e">
        <f>VLOOKUP(paciente_tutor!B2294,clientes!A2294:B3875,2,FALSE)</f>
        <v>#N/A</v>
      </c>
      <c r="D2294" t="e">
        <f t="shared" si="35"/>
        <v>#N/A</v>
      </c>
    </row>
    <row r="2295" spans="1:4" x14ac:dyDescent="0.2">
      <c r="A2295">
        <f>'Fichas clínicas'!A2295</f>
        <v>2297</v>
      </c>
      <c r="B2295" t="str">
        <f>'Fichas clínicas'!B2295</f>
        <v>20134393-3</v>
      </c>
      <c r="C2295" t="e">
        <f>VLOOKUP(paciente_tutor!B2295,clientes!A2295:B3876,2,FALSE)</f>
        <v>#N/A</v>
      </c>
      <c r="D2295" t="e">
        <f t="shared" si="35"/>
        <v>#N/A</v>
      </c>
    </row>
    <row r="2296" spans="1:4" x14ac:dyDescent="0.2">
      <c r="A2296">
        <f>'Fichas clínicas'!A2296</f>
        <v>2298</v>
      </c>
      <c r="B2296" t="str">
        <f>'Fichas clínicas'!B2296</f>
        <v>18289343-9</v>
      </c>
      <c r="C2296" t="e">
        <f>VLOOKUP(paciente_tutor!B2296,clientes!A2296:B3877,2,FALSE)</f>
        <v>#N/A</v>
      </c>
      <c r="D2296" t="e">
        <f t="shared" si="35"/>
        <v>#N/A</v>
      </c>
    </row>
    <row r="2297" spans="1:4" x14ac:dyDescent="0.2">
      <c r="A2297">
        <f>'Fichas clínicas'!A2297</f>
        <v>2299</v>
      </c>
      <c r="B2297" t="str">
        <f>'Fichas clínicas'!B2297</f>
        <v>12993912-5</v>
      </c>
      <c r="C2297" t="e">
        <f>VLOOKUP(paciente_tutor!B2297,clientes!A2297:B3878,2,FALSE)</f>
        <v>#N/A</v>
      </c>
      <c r="D2297" t="e">
        <f t="shared" si="35"/>
        <v>#N/A</v>
      </c>
    </row>
    <row r="2298" spans="1:4" x14ac:dyDescent="0.2">
      <c r="A2298">
        <f>'Fichas clínicas'!A2298</f>
        <v>2300</v>
      </c>
      <c r="B2298" t="str">
        <f>'Fichas clínicas'!B2298</f>
        <v>19624974-5</v>
      </c>
      <c r="C2298" t="e">
        <f>VLOOKUP(paciente_tutor!B2298,clientes!A2298:B3879,2,FALSE)</f>
        <v>#N/A</v>
      </c>
      <c r="D2298" t="e">
        <f t="shared" si="35"/>
        <v>#N/A</v>
      </c>
    </row>
    <row r="2299" spans="1:4" x14ac:dyDescent="0.2">
      <c r="A2299">
        <f>'Fichas clínicas'!A2299</f>
        <v>2301</v>
      </c>
      <c r="B2299" t="str">
        <f>'Fichas clínicas'!B2299</f>
        <v>16320099-6</v>
      </c>
      <c r="C2299" t="e">
        <f>VLOOKUP(paciente_tutor!B2299,clientes!A2299:B3880,2,FALSE)</f>
        <v>#N/A</v>
      </c>
      <c r="D2299" t="e">
        <f t="shared" si="35"/>
        <v>#N/A</v>
      </c>
    </row>
    <row r="2300" spans="1:4" x14ac:dyDescent="0.2">
      <c r="A2300">
        <f>'Fichas clínicas'!A2300</f>
        <v>2302</v>
      </c>
      <c r="B2300" t="str">
        <f>'Fichas clínicas'!B2300</f>
        <v>16805018-6</v>
      </c>
      <c r="C2300" t="e">
        <f>VLOOKUP(paciente_tutor!B2300,clientes!A2300:B3881,2,FALSE)</f>
        <v>#N/A</v>
      </c>
      <c r="D2300" t="e">
        <f t="shared" si="35"/>
        <v>#N/A</v>
      </c>
    </row>
    <row r="2301" spans="1:4" x14ac:dyDescent="0.2">
      <c r="A2301">
        <f>'Fichas clínicas'!A2301</f>
        <v>2303</v>
      </c>
      <c r="B2301" t="str">
        <f>'Fichas clínicas'!B2301</f>
        <v>16806015-7</v>
      </c>
      <c r="C2301" t="e">
        <f>VLOOKUP(paciente_tutor!B2301,clientes!A2301:B3882,2,FALSE)</f>
        <v>#N/A</v>
      </c>
      <c r="D2301" t="e">
        <f t="shared" si="35"/>
        <v>#N/A</v>
      </c>
    </row>
    <row r="2302" spans="1:4" x14ac:dyDescent="0.2">
      <c r="A2302">
        <f>'Fichas clínicas'!A2302</f>
        <v>2304</v>
      </c>
      <c r="B2302" t="str">
        <f>'Fichas clínicas'!B2302</f>
        <v>20016395-8</v>
      </c>
      <c r="C2302" t="e">
        <f>VLOOKUP(paciente_tutor!B2302,clientes!A2302:B3883,2,FALSE)</f>
        <v>#N/A</v>
      </c>
      <c r="D2302" t="e">
        <f t="shared" si="35"/>
        <v>#N/A</v>
      </c>
    </row>
    <row r="2303" spans="1:4" x14ac:dyDescent="0.2">
      <c r="A2303">
        <f>'Fichas clínicas'!A2303</f>
        <v>2305</v>
      </c>
      <c r="B2303" t="str">
        <f>'Fichas clínicas'!B2303</f>
        <v>14037343-5</v>
      </c>
      <c r="C2303" t="e">
        <f>VLOOKUP(paciente_tutor!B2303,clientes!A2303:B3884,2,FALSE)</f>
        <v>#N/A</v>
      </c>
      <c r="D2303" t="e">
        <f t="shared" si="35"/>
        <v>#N/A</v>
      </c>
    </row>
    <row r="2304" spans="1:4" x14ac:dyDescent="0.2">
      <c r="A2304">
        <f>'Fichas clínicas'!A2304</f>
        <v>2306</v>
      </c>
      <c r="B2304" t="str">
        <f>'Fichas clínicas'!B2304</f>
        <v>12748128-8</v>
      </c>
      <c r="C2304" t="e">
        <f>VLOOKUP(paciente_tutor!B2304,clientes!A2304:B3885,2,FALSE)</f>
        <v>#N/A</v>
      </c>
      <c r="D2304" t="e">
        <f t="shared" si="35"/>
        <v>#N/A</v>
      </c>
    </row>
    <row r="2305" spans="1:4" x14ac:dyDescent="0.2">
      <c r="A2305">
        <f>'Fichas clínicas'!A2305</f>
        <v>2307</v>
      </c>
      <c r="B2305" t="str">
        <f>'Fichas clínicas'!B2305</f>
        <v>20016395-8</v>
      </c>
      <c r="C2305" t="e">
        <f>VLOOKUP(paciente_tutor!B2305,clientes!A2305:B3886,2,FALSE)</f>
        <v>#N/A</v>
      </c>
      <c r="D2305" t="e">
        <f t="shared" si="35"/>
        <v>#N/A</v>
      </c>
    </row>
    <row r="2306" spans="1:4" x14ac:dyDescent="0.2">
      <c r="A2306">
        <f>'Fichas clínicas'!A2306</f>
        <v>2308</v>
      </c>
      <c r="B2306" t="str">
        <f>'Fichas clínicas'!B2306</f>
        <v>20016395-8</v>
      </c>
      <c r="C2306" t="e">
        <f>VLOOKUP(paciente_tutor!B2306,clientes!A2306:B3887,2,FALSE)</f>
        <v>#N/A</v>
      </c>
      <c r="D2306" t="e">
        <f t="shared" si="35"/>
        <v>#N/A</v>
      </c>
    </row>
    <row r="2307" spans="1:4" x14ac:dyDescent="0.2">
      <c r="A2307">
        <f>'Fichas clínicas'!A2307</f>
        <v>2309</v>
      </c>
      <c r="B2307" t="str">
        <f>'Fichas clínicas'!B2307</f>
        <v>13730383-3</v>
      </c>
      <c r="C2307" t="e">
        <f>VLOOKUP(paciente_tutor!B2307,clientes!A2307:B3888,2,FALSE)</f>
        <v>#N/A</v>
      </c>
      <c r="D2307" t="e">
        <f t="shared" ref="D2307:D2357" si="36">IF(C2307="#N/A","",B2307)</f>
        <v>#N/A</v>
      </c>
    </row>
    <row r="2308" spans="1:4" x14ac:dyDescent="0.2">
      <c r="A2308">
        <f>'Fichas clínicas'!A2308</f>
        <v>2310</v>
      </c>
      <c r="B2308" t="str">
        <f>'Fichas clínicas'!B2308</f>
        <v>11590788-3</v>
      </c>
      <c r="C2308" t="e">
        <f>VLOOKUP(paciente_tutor!B2308,clientes!A2308:B3889,2,FALSE)</f>
        <v>#N/A</v>
      </c>
      <c r="D2308" t="e">
        <f t="shared" si="36"/>
        <v>#N/A</v>
      </c>
    </row>
    <row r="2309" spans="1:4" x14ac:dyDescent="0.2">
      <c r="A2309">
        <f>'Fichas clínicas'!A2309</f>
        <v>2311</v>
      </c>
      <c r="B2309" t="str">
        <f>'Fichas clínicas'!B2309</f>
        <v>13521079-k</v>
      </c>
      <c r="C2309" t="e">
        <f>VLOOKUP(paciente_tutor!B2309,clientes!A2309:B3890,2,FALSE)</f>
        <v>#N/A</v>
      </c>
      <c r="D2309" t="e">
        <f t="shared" si="36"/>
        <v>#N/A</v>
      </c>
    </row>
    <row r="2310" spans="1:4" x14ac:dyDescent="0.2">
      <c r="A2310">
        <f>'Fichas clínicas'!A2310</f>
        <v>2312</v>
      </c>
      <c r="B2310" t="str">
        <f>'Fichas clínicas'!B2310</f>
        <v>21386225-1</v>
      </c>
      <c r="C2310" t="e">
        <f>VLOOKUP(paciente_tutor!B2310,clientes!A2310:B3891,2,FALSE)</f>
        <v>#N/A</v>
      </c>
      <c r="D2310" t="e">
        <f t="shared" si="36"/>
        <v>#N/A</v>
      </c>
    </row>
    <row r="2311" spans="1:4" x14ac:dyDescent="0.2">
      <c r="A2311">
        <f>'Fichas clínicas'!A2311</f>
        <v>2313</v>
      </c>
      <c r="B2311" t="str">
        <f>'Fichas clínicas'!B2311</f>
        <v>21095896-7</v>
      </c>
      <c r="C2311" t="e">
        <f>VLOOKUP(paciente_tutor!B2311,clientes!A2311:B3892,2,FALSE)</f>
        <v>#N/A</v>
      </c>
      <c r="D2311" t="e">
        <f t="shared" si="36"/>
        <v>#N/A</v>
      </c>
    </row>
    <row r="2312" spans="1:4" x14ac:dyDescent="0.2">
      <c r="A2312">
        <f>'Fichas clínicas'!A2312</f>
        <v>2314</v>
      </c>
      <c r="B2312" t="str">
        <f>'Fichas clínicas'!B2312</f>
        <v>19624974-5</v>
      </c>
      <c r="C2312" t="e">
        <f>VLOOKUP(paciente_tutor!B2312,clientes!A2312:B3893,2,FALSE)</f>
        <v>#N/A</v>
      </c>
      <c r="D2312" t="e">
        <f t="shared" si="36"/>
        <v>#N/A</v>
      </c>
    </row>
    <row r="2313" spans="1:4" x14ac:dyDescent="0.2">
      <c r="A2313">
        <f>'Fichas clínicas'!A2313</f>
        <v>2315</v>
      </c>
      <c r="B2313" t="str">
        <f>'Fichas clínicas'!B2313</f>
        <v>18288634-3</v>
      </c>
      <c r="C2313" t="e">
        <f>VLOOKUP(paciente_tutor!B2313,clientes!A2313:B3894,2,FALSE)</f>
        <v>#N/A</v>
      </c>
      <c r="D2313" t="e">
        <f t="shared" si="36"/>
        <v>#N/A</v>
      </c>
    </row>
    <row r="2314" spans="1:4" x14ac:dyDescent="0.2">
      <c r="A2314">
        <f>'Fichas clínicas'!A2314</f>
        <v>2316</v>
      </c>
      <c r="B2314" t="str">
        <f>'Fichas clínicas'!B2314</f>
        <v>18134179-3</v>
      </c>
      <c r="C2314" t="e">
        <f>VLOOKUP(paciente_tutor!B2314,clientes!A2314:B3895,2,FALSE)</f>
        <v>#N/A</v>
      </c>
      <c r="D2314" t="e">
        <f t="shared" si="36"/>
        <v>#N/A</v>
      </c>
    </row>
    <row r="2315" spans="1:4" x14ac:dyDescent="0.2">
      <c r="A2315">
        <f>'Fichas clínicas'!A2315</f>
        <v>2317</v>
      </c>
      <c r="B2315" t="str">
        <f>'Fichas clínicas'!B2315</f>
        <v>19017400-k</v>
      </c>
      <c r="C2315" t="e">
        <f>VLOOKUP(paciente_tutor!B2315,clientes!A2315:B3896,2,FALSE)</f>
        <v>#N/A</v>
      </c>
      <c r="D2315" t="e">
        <f t="shared" si="36"/>
        <v>#N/A</v>
      </c>
    </row>
    <row r="2316" spans="1:4" x14ac:dyDescent="0.2">
      <c r="A2316">
        <f>'Fichas clínicas'!A2316</f>
        <v>2318</v>
      </c>
      <c r="B2316" t="str">
        <f>'Fichas clínicas'!B2316</f>
        <v>10372205-5</v>
      </c>
      <c r="C2316" t="e">
        <f>VLOOKUP(paciente_tutor!B2316,clientes!A2316:B3897,2,FALSE)</f>
        <v>#N/A</v>
      </c>
      <c r="D2316" t="e">
        <f t="shared" si="36"/>
        <v>#N/A</v>
      </c>
    </row>
    <row r="2317" spans="1:4" x14ac:dyDescent="0.2">
      <c r="A2317">
        <f>'Fichas clínicas'!A2317</f>
        <v>2319</v>
      </c>
      <c r="B2317" t="str">
        <f>'Fichas clínicas'!B2317</f>
        <v>19941678-2</v>
      </c>
      <c r="C2317" t="e">
        <f>VLOOKUP(paciente_tutor!B2317,clientes!A2317:B3898,2,FALSE)</f>
        <v>#N/A</v>
      </c>
      <c r="D2317" t="e">
        <f t="shared" si="36"/>
        <v>#N/A</v>
      </c>
    </row>
    <row r="2318" spans="1:4" x14ac:dyDescent="0.2">
      <c r="A2318">
        <f>'Fichas clínicas'!A2318</f>
        <v>2320</v>
      </c>
      <c r="B2318" t="str">
        <f>'Fichas clínicas'!B2318</f>
        <v>19624974-5</v>
      </c>
      <c r="C2318" t="e">
        <f>VLOOKUP(paciente_tutor!B2318,clientes!A2318:B3899,2,FALSE)</f>
        <v>#N/A</v>
      </c>
      <c r="D2318" t="e">
        <f t="shared" si="36"/>
        <v>#N/A</v>
      </c>
    </row>
    <row r="2319" spans="1:4" x14ac:dyDescent="0.2">
      <c r="A2319">
        <f>'Fichas clínicas'!A2319</f>
        <v>2321</v>
      </c>
      <c r="B2319" t="str">
        <f>'Fichas clínicas'!B2319</f>
        <v>22077814-2</v>
      </c>
      <c r="C2319" t="e">
        <f>VLOOKUP(paciente_tutor!B2319,clientes!A2319:B3900,2,FALSE)</f>
        <v>#N/A</v>
      </c>
      <c r="D2319" t="e">
        <f t="shared" si="36"/>
        <v>#N/A</v>
      </c>
    </row>
    <row r="2320" spans="1:4" x14ac:dyDescent="0.2">
      <c r="A2320">
        <f>'Fichas clínicas'!A2320</f>
        <v>2322</v>
      </c>
      <c r="B2320" t="str">
        <f>'Fichas clínicas'!B2320</f>
        <v>20730952-4</v>
      </c>
      <c r="C2320" t="e">
        <f>VLOOKUP(paciente_tutor!B2320,clientes!A2320:B3901,2,FALSE)</f>
        <v>#N/A</v>
      </c>
      <c r="D2320" t="e">
        <f t="shared" si="36"/>
        <v>#N/A</v>
      </c>
    </row>
    <row r="2321" spans="1:4" x14ac:dyDescent="0.2">
      <c r="A2321">
        <f>'Fichas clínicas'!A2321</f>
        <v>2323</v>
      </c>
      <c r="B2321" t="str">
        <f>'Fichas clínicas'!B2321</f>
        <v>20657157-8</v>
      </c>
      <c r="C2321" t="e">
        <f>VLOOKUP(paciente_tutor!B2321,clientes!A2321:B3902,2,FALSE)</f>
        <v>#N/A</v>
      </c>
      <c r="D2321" t="e">
        <f t="shared" si="36"/>
        <v>#N/A</v>
      </c>
    </row>
    <row r="2322" spans="1:4" x14ac:dyDescent="0.2">
      <c r="A2322">
        <f>'Fichas clínicas'!A2322</f>
        <v>2324</v>
      </c>
      <c r="B2322" t="str">
        <f>'Fichas clínicas'!B2322</f>
        <v>19248954-7</v>
      </c>
      <c r="C2322" t="e">
        <f>VLOOKUP(paciente_tutor!B2322,clientes!A2322:B3903,2,FALSE)</f>
        <v>#N/A</v>
      </c>
      <c r="D2322" t="e">
        <f t="shared" si="36"/>
        <v>#N/A</v>
      </c>
    </row>
    <row r="2323" spans="1:4" x14ac:dyDescent="0.2">
      <c r="A2323">
        <f>'Fichas clínicas'!A2323</f>
        <v>2325</v>
      </c>
      <c r="B2323" t="str">
        <f>'Fichas clínicas'!B2323</f>
        <v>19248954-7</v>
      </c>
      <c r="C2323" t="e">
        <f>VLOOKUP(paciente_tutor!B2323,clientes!A2323:B3904,2,FALSE)</f>
        <v>#N/A</v>
      </c>
      <c r="D2323" t="e">
        <f t="shared" si="36"/>
        <v>#N/A</v>
      </c>
    </row>
    <row r="2324" spans="1:4" x14ac:dyDescent="0.2">
      <c r="A2324">
        <f>'Fichas clínicas'!A2324</f>
        <v>2326</v>
      </c>
      <c r="B2324" t="str">
        <f>'Fichas clínicas'!B2324</f>
        <v>15662692-9</v>
      </c>
      <c r="C2324" t="e">
        <f>VLOOKUP(paciente_tutor!B2324,clientes!A2324:B3905,2,FALSE)</f>
        <v>#N/A</v>
      </c>
      <c r="D2324" t="e">
        <f t="shared" si="36"/>
        <v>#N/A</v>
      </c>
    </row>
    <row r="2325" spans="1:4" x14ac:dyDescent="0.2">
      <c r="A2325">
        <f>'Fichas clínicas'!A2325</f>
        <v>2327</v>
      </c>
      <c r="B2325" t="str">
        <f>'Fichas clínicas'!B2325</f>
        <v>22447372-9</v>
      </c>
      <c r="C2325" t="e">
        <f>VLOOKUP(paciente_tutor!B2325,clientes!A2325:B3906,2,FALSE)</f>
        <v>#N/A</v>
      </c>
      <c r="D2325" t="e">
        <f t="shared" si="36"/>
        <v>#N/A</v>
      </c>
    </row>
    <row r="2326" spans="1:4" x14ac:dyDescent="0.2">
      <c r="A2326">
        <f>'Fichas clínicas'!A2326</f>
        <v>2328</v>
      </c>
      <c r="B2326" t="str">
        <f>'Fichas clínicas'!B2326</f>
        <v>14081168-8</v>
      </c>
      <c r="C2326" t="e">
        <f>VLOOKUP(paciente_tutor!B2326,clientes!A2326:B3907,2,FALSE)</f>
        <v>#N/A</v>
      </c>
      <c r="D2326" t="e">
        <f t="shared" si="36"/>
        <v>#N/A</v>
      </c>
    </row>
    <row r="2327" spans="1:4" x14ac:dyDescent="0.2">
      <c r="A2327">
        <f>'Fichas clínicas'!A2327</f>
        <v>2329</v>
      </c>
      <c r="B2327" t="str">
        <f>'Fichas clínicas'!B2327</f>
        <v>17068062-6</v>
      </c>
      <c r="C2327" t="e">
        <f>VLOOKUP(paciente_tutor!B2327,clientes!A2327:B3908,2,FALSE)</f>
        <v>#N/A</v>
      </c>
      <c r="D2327" t="e">
        <f t="shared" si="36"/>
        <v>#N/A</v>
      </c>
    </row>
    <row r="2328" spans="1:4" x14ac:dyDescent="0.2">
      <c r="A2328">
        <f>'Fichas clínicas'!A2328</f>
        <v>2330</v>
      </c>
      <c r="B2328" t="str">
        <f>'Fichas clínicas'!B2328</f>
        <v>13498382-5</v>
      </c>
      <c r="C2328" t="e">
        <f>VLOOKUP(paciente_tutor!B2328,clientes!A2328:B3909,2,FALSE)</f>
        <v>#N/A</v>
      </c>
      <c r="D2328" t="e">
        <f t="shared" si="36"/>
        <v>#N/A</v>
      </c>
    </row>
    <row r="2329" spans="1:4" x14ac:dyDescent="0.2">
      <c r="A2329">
        <f>'Fichas clínicas'!A2329</f>
        <v>2331</v>
      </c>
      <c r="B2329" t="str">
        <f>'Fichas clínicas'!B2329</f>
        <v>13498382-5</v>
      </c>
      <c r="C2329" t="e">
        <f>VLOOKUP(paciente_tutor!B2329,clientes!A2329:B3910,2,FALSE)</f>
        <v>#N/A</v>
      </c>
      <c r="D2329" t="e">
        <f t="shared" si="36"/>
        <v>#N/A</v>
      </c>
    </row>
    <row r="2330" spans="1:4" x14ac:dyDescent="0.2">
      <c r="A2330">
        <f>'Fichas clínicas'!A2330</f>
        <v>2332</v>
      </c>
      <c r="B2330" t="str">
        <f>'Fichas clínicas'!B2330</f>
        <v>12746535-5</v>
      </c>
      <c r="C2330" t="e">
        <f>VLOOKUP(paciente_tutor!B2330,clientes!A2330:B3911,2,FALSE)</f>
        <v>#N/A</v>
      </c>
      <c r="D2330" t="e">
        <f t="shared" si="36"/>
        <v>#N/A</v>
      </c>
    </row>
    <row r="2331" spans="1:4" x14ac:dyDescent="0.2">
      <c r="A2331">
        <f>'Fichas clínicas'!A2331</f>
        <v>2333</v>
      </c>
      <c r="B2331" t="str">
        <f>'Fichas clínicas'!B2331</f>
        <v>11483779-2</v>
      </c>
      <c r="C2331" t="e">
        <f>VLOOKUP(paciente_tutor!B2331,clientes!A2331:B3912,2,FALSE)</f>
        <v>#N/A</v>
      </c>
      <c r="D2331" t="e">
        <f t="shared" si="36"/>
        <v>#N/A</v>
      </c>
    </row>
    <row r="2332" spans="1:4" x14ac:dyDescent="0.2">
      <c r="A2332">
        <f>'Fichas clínicas'!A2332</f>
        <v>2334</v>
      </c>
      <c r="B2332" t="str">
        <f>'Fichas clínicas'!B2332</f>
        <v>11483779-2</v>
      </c>
      <c r="C2332" t="e">
        <f>VLOOKUP(paciente_tutor!B2332,clientes!A2332:B3913,2,FALSE)</f>
        <v>#N/A</v>
      </c>
      <c r="D2332" t="e">
        <f t="shared" si="36"/>
        <v>#N/A</v>
      </c>
    </row>
    <row r="2333" spans="1:4" x14ac:dyDescent="0.2">
      <c r="A2333">
        <f>'Fichas clínicas'!A2333</f>
        <v>2335</v>
      </c>
      <c r="B2333" t="str">
        <f>'Fichas clínicas'!B2333</f>
        <v>16263340-6</v>
      </c>
      <c r="C2333" t="e">
        <f>VLOOKUP(paciente_tutor!B2333,clientes!A2333:B3914,2,FALSE)</f>
        <v>#N/A</v>
      </c>
      <c r="D2333" t="e">
        <f t="shared" si="36"/>
        <v>#N/A</v>
      </c>
    </row>
    <row r="2334" spans="1:4" x14ac:dyDescent="0.2">
      <c r="A2334">
        <f>'Fichas clínicas'!A2334</f>
        <v>2336</v>
      </c>
      <c r="B2334" t="str">
        <f>'Fichas clínicas'!B2334</f>
        <v>21464615-3</v>
      </c>
      <c r="C2334" t="e">
        <f>VLOOKUP(paciente_tutor!B2334,clientes!A2334:B3915,2,FALSE)</f>
        <v>#N/A</v>
      </c>
      <c r="D2334" t="e">
        <f t="shared" si="36"/>
        <v>#N/A</v>
      </c>
    </row>
    <row r="2335" spans="1:4" x14ac:dyDescent="0.2">
      <c r="A2335">
        <f>'Fichas clínicas'!A2335</f>
        <v>2337</v>
      </c>
      <c r="B2335" t="str">
        <f>'Fichas clínicas'!B2335</f>
        <v>21464615-3</v>
      </c>
      <c r="C2335" t="e">
        <f>VLOOKUP(paciente_tutor!B2335,clientes!A2335:B3916,2,FALSE)</f>
        <v>#N/A</v>
      </c>
      <c r="D2335" t="e">
        <f t="shared" si="36"/>
        <v>#N/A</v>
      </c>
    </row>
    <row r="2336" spans="1:4" x14ac:dyDescent="0.2">
      <c r="A2336">
        <f>'Fichas clínicas'!A2336</f>
        <v>2338</v>
      </c>
      <c r="B2336" t="str">
        <f>'Fichas clínicas'!B2336</f>
        <v>16354466-0</v>
      </c>
      <c r="C2336" t="e">
        <f>VLOOKUP(paciente_tutor!B2336,clientes!A2336:B3917,2,FALSE)</f>
        <v>#N/A</v>
      </c>
      <c r="D2336" t="e">
        <f t="shared" si="36"/>
        <v>#N/A</v>
      </c>
    </row>
    <row r="2337" spans="1:4" x14ac:dyDescent="0.2">
      <c r="A2337">
        <f>'Fichas clínicas'!A2337</f>
        <v>2339</v>
      </c>
      <c r="B2337" t="str">
        <f>'Fichas clínicas'!B2337</f>
        <v>11591457-k</v>
      </c>
      <c r="C2337" t="e">
        <f>VLOOKUP(paciente_tutor!B2337,clientes!A2337:B3918,2,FALSE)</f>
        <v>#N/A</v>
      </c>
      <c r="D2337" t="e">
        <f t="shared" si="36"/>
        <v>#N/A</v>
      </c>
    </row>
    <row r="2338" spans="1:4" x14ac:dyDescent="0.2">
      <c r="A2338">
        <f>'Fichas clínicas'!A2338</f>
        <v>2340</v>
      </c>
      <c r="B2338" t="str">
        <f>'Fichas clínicas'!B2338</f>
        <v>15263042-5</v>
      </c>
      <c r="C2338" t="e">
        <f>VLOOKUP(paciente_tutor!B2338,clientes!A2338:B3919,2,FALSE)</f>
        <v>#N/A</v>
      </c>
      <c r="D2338" t="e">
        <f t="shared" si="36"/>
        <v>#N/A</v>
      </c>
    </row>
    <row r="2339" spans="1:4" x14ac:dyDescent="0.2">
      <c r="A2339">
        <f>'Fichas clínicas'!A2339</f>
        <v>2341</v>
      </c>
      <c r="B2339" t="str">
        <f>'Fichas clínicas'!B2339</f>
        <v>9317087-3</v>
      </c>
      <c r="C2339" t="e">
        <f>VLOOKUP(paciente_tutor!B2339,clientes!A2339:B3920,2,FALSE)</f>
        <v>#N/A</v>
      </c>
      <c r="D2339" t="e">
        <f t="shared" si="36"/>
        <v>#N/A</v>
      </c>
    </row>
    <row r="2340" spans="1:4" x14ac:dyDescent="0.2">
      <c r="A2340">
        <f>'Fichas clínicas'!A2340</f>
        <v>2342</v>
      </c>
      <c r="B2340" t="str">
        <f>'Fichas clínicas'!B2340</f>
        <v>21158803-9</v>
      </c>
      <c r="C2340" t="e">
        <f>VLOOKUP(paciente_tutor!B2340,clientes!A2340:B3921,2,FALSE)</f>
        <v>#N/A</v>
      </c>
      <c r="D2340" t="e">
        <f t="shared" si="36"/>
        <v>#N/A</v>
      </c>
    </row>
    <row r="2341" spans="1:4" x14ac:dyDescent="0.2">
      <c r="A2341">
        <f>'Fichas clínicas'!A2341</f>
        <v>2343</v>
      </c>
      <c r="B2341" t="str">
        <f>'Fichas clínicas'!B2341</f>
        <v>16160942-0</v>
      </c>
      <c r="C2341" t="e">
        <f>VLOOKUP(paciente_tutor!B2341,clientes!A2341:B3922,2,FALSE)</f>
        <v>#N/A</v>
      </c>
      <c r="D2341" t="e">
        <f t="shared" si="36"/>
        <v>#N/A</v>
      </c>
    </row>
    <row r="2342" spans="1:4" x14ac:dyDescent="0.2">
      <c r="A2342">
        <f>'Fichas clínicas'!A2342</f>
        <v>2344</v>
      </c>
      <c r="B2342" t="str">
        <f>'Fichas clínicas'!B2342</f>
        <v>13942162-0</v>
      </c>
      <c r="C2342" t="e">
        <f>VLOOKUP(paciente_tutor!B2342,clientes!A2342:B3923,2,FALSE)</f>
        <v>#N/A</v>
      </c>
      <c r="D2342" t="e">
        <f t="shared" si="36"/>
        <v>#N/A</v>
      </c>
    </row>
    <row r="2343" spans="1:4" x14ac:dyDescent="0.2">
      <c r="A2343">
        <f>'Fichas clínicas'!A2343</f>
        <v>2345</v>
      </c>
      <c r="B2343" t="str">
        <f>'Fichas clínicas'!B2343</f>
        <v>16168522-4</v>
      </c>
      <c r="C2343" t="e">
        <f>VLOOKUP(paciente_tutor!B2343,clientes!A2343:B3924,2,FALSE)</f>
        <v>#N/A</v>
      </c>
      <c r="D2343" t="e">
        <f t="shared" si="36"/>
        <v>#N/A</v>
      </c>
    </row>
    <row r="2344" spans="1:4" x14ac:dyDescent="0.2">
      <c r="A2344">
        <f>'Fichas clínicas'!A2344</f>
        <v>2346</v>
      </c>
      <c r="B2344" t="str">
        <f>'Fichas clínicas'!B2344</f>
        <v>18078946-4</v>
      </c>
      <c r="C2344" t="e">
        <f>VLOOKUP(paciente_tutor!B2344,clientes!A2344:B3925,2,FALSE)</f>
        <v>#N/A</v>
      </c>
      <c r="D2344" t="e">
        <f t="shared" si="36"/>
        <v>#N/A</v>
      </c>
    </row>
    <row r="2345" spans="1:4" x14ac:dyDescent="0.2">
      <c r="A2345">
        <f>'Fichas clínicas'!A2345</f>
        <v>2347</v>
      </c>
      <c r="B2345" t="str">
        <f>'Fichas clínicas'!B2345</f>
        <v>19624974-5</v>
      </c>
      <c r="C2345" t="e">
        <f>VLOOKUP(paciente_tutor!B2345,clientes!A2345:B3926,2,FALSE)</f>
        <v>#N/A</v>
      </c>
      <c r="D2345" t="e">
        <f t="shared" si="36"/>
        <v>#N/A</v>
      </c>
    </row>
    <row r="2346" spans="1:4" x14ac:dyDescent="0.2">
      <c r="A2346">
        <f>'Fichas clínicas'!A2346</f>
        <v>2348</v>
      </c>
      <c r="B2346" t="str">
        <f>'Fichas clínicas'!B2346</f>
        <v>9210458-3</v>
      </c>
      <c r="C2346" t="e">
        <f>VLOOKUP(paciente_tutor!B2346,clientes!A2346:B3927,2,FALSE)</f>
        <v>#N/A</v>
      </c>
      <c r="D2346" t="e">
        <f t="shared" si="36"/>
        <v>#N/A</v>
      </c>
    </row>
    <row r="2347" spans="1:4" x14ac:dyDescent="0.2">
      <c r="A2347">
        <f>'Fichas clínicas'!A2347</f>
        <v>2349</v>
      </c>
      <c r="B2347" t="str">
        <f>'Fichas clínicas'!B2347</f>
        <v>13523057-k</v>
      </c>
      <c r="C2347" t="e">
        <f>VLOOKUP(paciente_tutor!B2347,clientes!A2347:B3928,2,FALSE)</f>
        <v>#N/A</v>
      </c>
      <c r="D2347" t="e">
        <f t="shared" si="36"/>
        <v>#N/A</v>
      </c>
    </row>
    <row r="2348" spans="1:4" x14ac:dyDescent="0.2">
      <c r="A2348">
        <f>'Fichas clínicas'!A2348</f>
        <v>2350</v>
      </c>
      <c r="B2348" t="str">
        <f>'Fichas clínicas'!B2348</f>
        <v>13160140-9</v>
      </c>
      <c r="C2348" t="e">
        <f>VLOOKUP(paciente_tutor!B2348,clientes!A2348:B3929,2,FALSE)</f>
        <v>#N/A</v>
      </c>
      <c r="D2348" t="e">
        <f t="shared" si="36"/>
        <v>#N/A</v>
      </c>
    </row>
    <row r="2349" spans="1:4" x14ac:dyDescent="0.2">
      <c r="A2349">
        <f>'Fichas clínicas'!A2349</f>
        <v>2351</v>
      </c>
      <c r="B2349" t="str">
        <f>'Fichas clínicas'!B2349</f>
        <v>17963690-5</v>
      </c>
      <c r="C2349" t="e">
        <f>VLOOKUP(paciente_tutor!B2349,clientes!A2349:B3930,2,FALSE)</f>
        <v>#N/A</v>
      </c>
      <c r="D2349" t="e">
        <f t="shared" si="36"/>
        <v>#N/A</v>
      </c>
    </row>
    <row r="2350" spans="1:4" x14ac:dyDescent="0.2">
      <c r="A2350">
        <f>'Fichas clínicas'!A2350</f>
        <v>2352</v>
      </c>
      <c r="B2350" t="str">
        <f>'Fichas clínicas'!B2350</f>
        <v>10632888-9</v>
      </c>
      <c r="C2350" t="e">
        <f>VLOOKUP(paciente_tutor!B2350,clientes!A2350:B3931,2,FALSE)</f>
        <v>#N/A</v>
      </c>
      <c r="D2350" t="e">
        <f t="shared" si="36"/>
        <v>#N/A</v>
      </c>
    </row>
    <row r="2351" spans="1:4" x14ac:dyDescent="0.2">
      <c r="A2351">
        <f>'Fichas clínicas'!A2351</f>
        <v>2353</v>
      </c>
      <c r="B2351" t="str">
        <f>'Fichas clínicas'!B2351</f>
        <v>10632888-9</v>
      </c>
      <c r="C2351" t="e">
        <f>VLOOKUP(paciente_tutor!B2351,clientes!A2351:B3932,2,FALSE)</f>
        <v>#N/A</v>
      </c>
      <c r="D2351" t="e">
        <f t="shared" si="36"/>
        <v>#N/A</v>
      </c>
    </row>
    <row r="2352" spans="1:4" x14ac:dyDescent="0.2">
      <c r="A2352">
        <f>'Fichas clínicas'!A2352</f>
        <v>2354</v>
      </c>
      <c r="B2352" t="str">
        <f>'Fichas clínicas'!B2352</f>
        <v>10632888-9</v>
      </c>
      <c r="C2352" t="e">
        <f>VLOOKUP(paciente_tutor!B2352,clientes!A2352:B3933,2,FALSE)</f>
        <v>#N/A</v>
      </c>
      <c r="D2352" t="e">
        <f t="shared" si="36"/>
        <v>#N/A</v>
      </c>
    </row>
    <row r="2353" spans="1:4" x14ac:dyDescent="0.2">
      <c r="A2353">
        <f>'Fichas clínicas'!A2353</f>
        <v>2355</v>
      </c>
      <c r="B2353" t="str">
        <f>'Fichas clínicas'!B2353</f>
        <v>12747264-5</v>
      </c>
      <c r="C2353" t="e">
        <f>VLOOKUP(paciente_tutor!B2353,clientes!A2353:B3934,2,FALSE)</f>
        <v>#N/A</v>
      </c>
      <c r="D2353" t="e">
        <f t="shared" si="36"/>
        <v>#N/A</v>
      </c>
    </row>
    <row r="2354" spans="1:4" x14ac:dyDescent="0.2">
      <c r="A2354">
        <f>'Fichas clínicas'!A2354</f>
        <v>2356</v>
      </c>
      <c r="B2354" t="str">
        <f>'Fichas clínicas'!B2354</f>
        <v>12747264-5</v>
      </c>
      <c r="C2354" t="e">
        <f>VLOOKUP(paciente_tutor!B2354,clientes!A2354:B3935,2,FALSE)</f>
        <v>#N/A</v>
      </c>
      <c r="D2354" t="e">
        <f t="shared" si="36"/>
        <v>#N/A</v>
      </c>
    </row>
    <row r="2355" spans="1:4" x14ac:dyDescent="0.2">
      <c r="A2355">
        <f>'Fichas clínicas'!A2355</f>
        <v>2357</v>
      </c>
      <c r="B2355" t="str">
        <f>'Fichas clínicas'!B2355</f>
        <v>17919159-8</v>
      </c>
      <c r="C2355" t="e">
        <f>VLOOKUP(paciente_tutor!B2355,clientes!A2355:B3936,2,FALSE)</f>
        <v>#N/A</v>
      </c>
      <c r="D2355" t="e">
        <f t="shared" si="36"/>
        <v>#N/A</v>
      </c>
    </row>
    <row r="2356" spans="1:4" x14ac:dyDescent="0.2">
      <c r="A2356">
        <f>'Fichas clínicas'!A2356</f>
        <v>2358</v>
      </c>
      <c r="B2356" t="str">
        <f>'Fichas clínicas'!B2356</f>
        <v>26187708-2</v>
      </c>
      <c r="C2356" t="e">
        <f>VLOOKUP(paciente_tutor!B2356,clientes!A2356:B3937,2,FALSE)</f>
        <v>#N/A</v>
      </c>
      <c r="D2356" t="e">
        <f t="shared" si="36"/>
        <v>#N/A</v>
      </c>
    </row>
    <row r="2357" spans="1:4" x14ac:dyDescent="0.2">
      <c r="A2357">
        <f>'Fichas clínicas'!A2357</f>
        <v>2359</v>
      </c>
      <c r="B2357" t="str">
        <f>'Fichas clínicas'!B2357</f>
        <v>16238905-k</v>
      </c>
      <c r="C2357" t="e">
        <f>VLOOKUP(paciente_tutor!B2357,clientes!A2357:B3938,2,FALSE)</f>
        <v>#N/A</v>
      </c>
      <c r="D2357" t="e">
        <f t="shared" si="36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7E77-BEC2-0649-A540-32371C199FC6}">
  <dimension ref="A1:Q1583"/>
  <sheetViews>
    <sheetView topLeftCell="A1575" workbookViewId="0">
      <selection activeCell="T6" sqref="T6"/>
    </sheetView>
  </sheetViews>
  <sheetFormatPr baseColWidth="10" defaultRowHeight="15" x14ac:dyDescent="0.2"/>
  <sheetData>
    <row r="1" spans="1:17" x14ac:dyDescent="0.2">
      <c r="A1" s="2" t="s">
        <v>5000</v>
      </c>
      <c r="B1" s="2" t="s">
        <v>5001</v>
      </c>
      <c r="C1" s="2" t="s">
        <v>5002</v>
      </c>
      <c r="D1" s="2" t="s">
        <v>5003</v>
      </c>
      <c r="E1" s="2" t="s">
        <v>5004</v>
      </c>
      <c r="F1" s="2" t="s">
        <v>5005</v>
      </c>
      <c r="G1" s="2" t="s">
        <v>5006</v>
      </c>
      <c r="H1" s="2" t="s">
        <v>5007</v>
      </c>
      <c r="I1" s="2" t="s">
        <v>5008</v>
      </c>
      <c r="J1" s="2" t="s">
        <v>5009</v>
      </c>
      <c r="K1" s="2" t="s">
        <v>5010</v>
      </c>
      <c r="L1" s="2" t="s">
        <v>5011</v>
      </c>
      <c r="M1" s="2" t="s">
        <v>5012</v>
      </c>
      <c r="N1" s="2" t="s">
        <v>5013</v>
      </c>
      <c r="O1" s="2" t="s">
        <v>5014</v>
      </c>
      <c r="P1" s="2" t="s">
        <v>5015</v>
      </c>
      <c r="Q1" s="2" t="s">
        <v>5016</v>
      </c>
    </row>
    <row r="2" spans="1:17" x14ac:dyDescent="0.2">
      <c r="A2" s="2" t="s">
        <v>95</v>
      </c>
      <c r="B2" s="2" t="s">
        <v>5017</v>
      </c>
      <c r="C2" s="2" t="s">
        <v>5018</v>
      </c>
      <c r="D2" s="2" t="s">
        <v>5019</v>
      </c>
      <c r="E2" s="2" t="s">
        <v>5020</v>
      </c>
      <c r="F2" s="2" t="s">
        <v>5021</v>
      </c>
      <c r="G2" s="2" t="s">
        <v>5022</v>
      </c>
      <c r="H2" s="2" t="s">
        <v>5023</v>
      </c>
      <c r="I2" s="2" t="s">
        <v>5024</v>
      </c>
      <c r="J2" s="2"/>
      <c r="K2" s="2"/>
      <c r="L2" s="2"/>
      <c r="M2" s="2" t="s">
        <v>5025</v>
      </c>
      <c r="N2" s="2"/>
      <c r="O2" s="2"/>
      <c r="P2" s="2"/>
      <c r="Q2" s="2"/>
    </row>
    <row r="3" spans="1:17" x14ac:dyDescent="0.2">
      <c r="A3" s="2" t="s">
        <v>3054</v>
      </c>
      <c r="B3" s="2" t="s">
        <v>5026</v>
      </c>
      <c r="C3" s="2" t="s">
        <v>5027</v>
      </c>
      <c r="D3" s="2" t="s">
        <v>5028</v>
      </c>
      <c r="E3" s="2" t="s">
        <v>5029</v>
      </c>
      <c r="F3" s="2" t="s">
        <v>5030</v>
      </c>
      <c r="G3" s="2" t="s">
        <v>5022</v>
      </c>
      <c r="H3" s="2" t="s">
        <v>5023</v>
      </c>
      <c r="I3" s="2" t="s">
        <v>5031</v>
      </c>
      <c r="J3" s="2"/>
      <c r="K3" s="2"/>
      <c r="L3" s="2"/>
      <c r="M3" s="2"/>
      <c r="N3" s="2"/>
      <c r="O3" s="2"/>
      <c r="P3" s="2"/>
      <c r="Q3" s="2"/>
    </row>
    <row r="4" spans="1:17" x14ac:dyDescent="0.2">
      <c r="A4" s="2" t="s">
        <v>3686</v>
      </c>
      <c r="B4" s="2" t="s">
        <v>5032</v>
      </c>
      <c r="C4" s="2" t="s">
        <v>5033</v>
      </c>
      <c r="D4" s="2" t="s">
        <v>5034</v>
      </c>
      <c r="E4" s="2" t="s">
        <v>5035</v>
      </c>
      <c r="F4" s="2" t="s">
        <v>5036</v>
      </c>
      <c r="G4" s="2" t="s">
        <v>5022</v>
      </c>
      <c r="H4" s="2" t="s">
        <v>5023</v>
      </c>
      <c r="I4" s="2" t="s">
        <v>5037</v>
      </c>
      <c r="J4" s="2"/>
      <c r="K4" s="2"/>
      <c r="L4" s="2"/>
      <c r="M4" s="2"/>
      <c r="N4" s="2"/>
      <c r="O4" s="2"/>
      <c r="P4" s="2"/>
      <c r="Q4" s="2"/>
    </row>
    <row r="5" spans="1:17" x14ac:dyDescent="0.2">
      <c r="A5" s="2" t="s">
        <v>2545</v>
      </c>
      <c r="B5" s="2" t="s">
        <v>5038</v>
      </c>
      <c r="C5" s="2" t="s">
        <v>5039</v>
      </c>
      <c r="D5" s="2" t="s">
        <v>5040</v>
      </c>
      <c r="E5" s="2" t="s">
        <v>5041</v>
      </c>
      <c r="F5" s="2" t="s">
        <v>5042</v>
      </c>
      <c r="G5" s="2" t="s">
        <v>5022</v>
      </c>
      <c r="H5" s="2" t="s">
        <v>5023</v>
      </c>
      <c r="I5" s="2"/>
      <c r="J5" s="2"/>
      <c r="K5" s="2" t="s">
        <v>5043</v>
      </c>
      <c r="L5" s="2"/>
      <c r="M5" s="2"/>
      <c r="N5" s="2"/>
      <c r="O5" s="2"/>
      <c r="P5" s="2"/>
      <c r="Q5" s="2"/>
    </row>
    <row r="6" spans="1:17" x14ac:dyDescent="0.2">
      <c r="A6" s="2" t="s">
        <v>1924</v>
      </c>
      <c r="B6" s="2" t="s">
        <v>5044</v>
      </c>
      <c r="C6" s="2" t="s">
        <v>5045</v>
      </c>
      <c r="D6" s="2" t="s">
        <v>5046</v>
      </c>
      <c r="E6" s="2" t="s">
        <v>5047</v>
      </c>
      <c r="F6" s="2" t="s">
        <v>5048</v>
      </c>
      <c r="G6" s="2" t="s">
        <v>5022</v>
      </c>
      <c r="H6" s="2" t="s">
        <v>5023</v>
      </c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 t="s">
        <v>2841</v>
      </c>
      <c r="B7" s="2" t="s">
        <v>5049</v>
      </c>
      <c r="C7" s="2" t="s">
        <v>5050</v>
      </c>
      <c r="D7" s="2" t="s">
        <v>5051</v>
      </c>
      <c r="E7" s="2" t="s">
        <v>5052</v>
      </c>
      <c r="F7" s="2" t="s">
        <v>5053</v>
      </c>
      <c r="G7" s="2" t="s">
        <v>5022</v>
      </c>
      <c r="H7" s="2" t="s">
        <v>5023</v>
      </c>
      <c r="I7" s="2" t="s">
        <v>5054</v>
      </c>
      <c r="J7" s="2"/>
      <c r="K7" s="2"/>
      <c r="L7" s="2"/>
      <c r="M7" s="2"/>
      <c r="N7" s="2"/>
      <c r="O7" s="2"/>
      <c r="P7" s="2"/>
      <c r="Q7" s="2"/>
    </row>
    <row r="8" spans="1:17" x14ac:dyDescent="0.2">
      <c r="A8" s="2" t="s">
        <v>4570</v>
      </c>
      <c r="B8" s="2" t="s">
        <v>5055</v>
      </c>
      <c r="C8" s="2" t="s">
        <v>5056</v>
      </c>
      <c r="D8" s="2" t="s">
        <v>5057</v>
      </c>
      <c r="E8" s="2" t="s">
        <v>5058</v>
      </c>
      <c r="F8" s="2" t="s">
        <v>5059</v>
      </c>
      <c r="G8" s="2" t="s">
        <v>5022</v>
      </c>
      <c r="H8" s="2" t="s">
        <v>5023</v>
      </c>
      <c r="I8" s="2" t="s">
        <v>5060</v>
      </c>
      <c r="J8" s="2"/>
      <c r="K8" s="2"/>
      <c r="L8" s="2"/>
      <c r="M8" s="2"/>
      <c r="N8" s="2"/>
      <c r="O8" s="2"/>
      <c r="P8" s="2"/>
      <c r="Q8" s="2"/>
    </row>
    <row r="9" spans="1:17" x14ac:dyDescent="0.2">
      <c r="A9" s="2" t="s">
        <v>222</v>
      </c>
      <c r="B9" s="2" t="s">
        <v>5061</v>
      </c>
      <c r="C9" s="2" t="s">
        <v>5062</v>
      </c>
      <c r="D9" s="2" t="s">
        <v>5063</v>
      </c>
      <c r="E9" s="2" t="s">
        <v>5064</v>
      </c>
      <c r="F9" s="2" t="s">
        <v>5065</v>
      </c>
      <c r="G9" s="2" t="s">
        <v>5022</v>
      </c>
      <c r="H9" s="2" t="s">
        <v>5023</v>
      </c>
      <c r="I9" s="2" t="s">
        <v>5066</v>
      </c>
      <c r="J9" s="2"/>
      <c r="K9" s="2"/>
      <c r="L9" s="2"/>
      <c r="M9" s="2"/>
      <c r="N9" s="2"/>
      <c r="O9" s="2"/>
      <c r="P9" s="2"/>
      <c r="Q9" s="2"/>
    </row>
    <row r="10" spans="1:17" x14ac:dyDescent="0.2">
      <c r="A10" s="2" t="s">
        <v>3178</v>
      </c>
      <c r="B10" s="2" t="s">
        <v>5067</v>
      </c>
      <c r="C10" s="2" t="s">
        <v>5068</v>
      </c>
      <c r="D10" s="2" t="s">
        <v>5069</v>
      </c>
      <c r="E10" s="2" t="s">
        <v>5070</v>
      </c>
      <c r="F10" s="2" t="s">
        <v>5071</v>
      </c>
      <c r="G10" s="2" t="s">
        <v>5022</v>
      </c>
      <c r="H10" s="2" t="s">
        <v>5023</v>
      </c>
      <c r="I10" s="2" t="s">
        <v>5072</v>
      </c>
      <c r="J10" s="2"/>
      <c r="K10" s="2"/>
      <c r="L10" s="2"/>
      <c r="M10" s="2" t="s">
        <v>5073</v>
      </c>
      <c r="N10" s="2"/>
      <c r="O10" s="2"/>
      <c r="P10" s="2"/>
      <c r="Q10" s="2"/>
    </row>
    <row r="11" spans="1:17" x14ac:dyDescent="0.2">
      <c r="A11" s="2" t="s">
        <v>2598</v>
      </c>
      <c r="B11" s="2" t="s">
        <v>5074</v>
      </c>
      <c r="C11" s="2" t="s">
        <v>5075</v>
      </c>
      <c r="D11" s="2" t="s">
        <v>5076</v>
      </c>
      <c r="E11" s="2" t="s">
        <v>5077</v>
      </c>
      <c r="F11" s="2" t="s">
        <v>5078</v>
      </c>
      <c r="G11" s="2" t="s">
        <v>5022</v>
      </c>
      <c r="H11" s="2" t="s">
        <v>5023</v>
      </c>
      <c r="I11" s="2" t="s">
        <v>5079</v>
      </c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2" t="s">
        <v>1407</v>
      </c>
      <c r="B12" s="2" t="s">
        <v>5080</v>
      </c>
      <c r="C12" s="2" t="s">
        <v>5028</v>
      </c>
      <c r="D12" s="2" t="s">
        <v>5081</v>
      </c>
      <c r="E12" s="2" t="s">
        <v>5082</v>
      </c>
      <c r="F12" s="2" t="s">
        <v>5083</v>
      </c>
      <c r="G12" s="2" t="s">
        <v>5022</v>
      </c>
      <c r="H12" s="2" t="s">
        <v>5023</v>
      </c>
      <c r="I12" s="2" t="s">
        <v>5084</v>
      </c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2" t="s">
        <v>1558</v>
      </c>
      <c r="B13" s="2" t="s">
        <v>5085</v>
      </c>
      <c r="C13" s="2" t="s">
        <v>5086</v>
      </c>
      <c r="D13" s="2" t="s">
        <v>5087</v>
      </c>
      <c r="E13" s="2" t="s">
        <v>5088</v>
      </c>
      <c r="F13" s="2" t="s">
        <v>5089</v>
      </c>
      <c r="G13" s="2" t="s">
        <v>5022</v>
      </c>
      <c r="H13" s="2" t="s">
        <v>5023</v>
      </c>
      <c r="I13" s="2" t="s">
        <v>5090</v>
      </c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2" t="s">
        <v>4839</v>
      </c>
      <c r="B14" s="2" t="s">
        <v>5091</v>
      </c>
      <c r="C14" s="2" t="s">
        <v>5092</v>
      </c>
      <c r="D14" s="2" t="s">
        <v>5093</v>
      </c>
      <c r="E14" s="2" t="s">
        <v>5094</v>
      </c>
      <c r="F14" s="2" t="s">
        <v>5095</v>
      </c>
      <c r="G14" s="2" t="s">
        <v>5022</v>
      </c>
      <c r="H14" s="2" t="s">
        <v>5023</v>
      </c>
      <c r="I14" s="2" t="s">
        <v>5096</v>
      </c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2" t="s">
        <v>2507</v>
      </c>
      <c r="B15" s="2" t="s">
        <v>5097</v>
      </c>
      <c r="C15" s="2" t="s">
        <v>5098</v>
      </c>
      <c r="D15" s="2" t="s">
        <v>5099</v>
      </c>
      <c r="E15" s="2" t="s">
        <v>5100</v>
      </c>
      <c r="F15" s="2" t="s">
        <v>5101</v>
      </c>
      <c r="G15" s="2" t="s">
        <v>5022</v>
      </c>
      <c r="H15" s="2" t="s">
        <v>5023</v>
      </c>
      <c r="I15" s="2"/>
      <c r="J15" s="2"/>
      <c r="K15" s="2" t="s">
        <v>5102</v>
      </c>
      <c r="L15" s="2"/>
      <c r="M15" s="2"/>
      <c r="N15" s="2"/>
      <c r="O15" s="2"/>
      <c r="P15" s="2"/>
      <c r="Q15" s="2"/>
    </row>
    <row r="16" spans="1:17" x14ac:dyDescent="0.2">
      <c r="A16" s="2" t="s">
        <v>132</v>
      </c>
      <c r="B16" s="2" t="s">
        <v>5103</v>
      </c>
      <c r="C16" s="2" t="s">
        <v>5104</v>
      </c>
      <c r="D16" s="2" t="s">
        <v>5105</v>
      </c>
      <c r="E16" s="2" t="s">
        <v>5106</v>
      </c>
      <c r="F16" s="2" t="s">
        <v>5107</v>
      </c>
      <c r="G16" s="2" t="s">
        <v>5022</v>
      </c>
      <c r="H16" s="2" t="s">
        <v>5023</v>
      </c>
      <c r="I16" s="2" t="s">
        <v>5108</v>
      </c>
      <c r="J16" s="2"/>
      <c r="K16" s="2" t="s">
        <v>5109</v>
      </c>
      <c r="L16" s="2"/>
      <c r="M16" s="2" t="s">
        <v>5110</v>
      </c>
      <c r="N16" s="2"/>
      <c r="O16" s="2"/>
      <c r="P16" s="2"/>
      <c r="Q16" s="2"/>
    </row>
    <row r="17" spans="1:17" x14ac:dyDescent="0.2">
      <c r="A17" s="2" t="s">
        <v>1302</v>
      </c>
      <c r="B17" s="2" t="s">
        <v>5111</v>
      </c>
      <c r="C17" s="2" t="s">
        <v>5112</v>
      </c>
      <c r="D17" s="2" t="s">
        <v>5113</v>
      </c>
      <c r="E17" s="2" t="s">
        <v>5114</v>
      </c>
      <c r="F17" s="2" t="s">
        <v>5115</v>
      </c>
      <c r="G17" s="2" t="s">
        <v>5022</v>
      </c>
      <c r="H17" s="2" t="s">
        <v>5023</v>
      </c>
      <c r="I17" s="2"/>
      <c r="J17" s="2"/>
      <c r="K17" s="2" t="s">
        <v>5116</v>
      </c>
      <c r="L17" s="2"/>
      <c r="M17" s="2"/>
      <c r="N17" s="2"/>
      <c r="O17" s="2"/>
      <c r="P17" s="2"/>
      <c r="Q17" s="2"/>
    </row>
    <row r="18" spans="1:17" x14ac:dyDescent="0.2">
      <c r="A18" s="2" t="s">
        <v>1869</v>
      </c>
      <c r="B18" s="2" t="s">
        <v>5117</v>
      </c>
      <c r="C18" s="2" t="s">
        <v>5118</v>
      </c>
      <c r="D18" s="2" t="s">
        <v>5119</v>
      </c>
      <c r="E18" s="2" t="s">
        <v>5120</v>
      </c>
      <c r="F18" s="2" t="s">
        <v>5121</v>
      </c>
      <c r="G18" s="2" t="s">
        <v>5022</v>
      </c>
      <c r="H18" s="2" t="s">
        <v>5122</v>
      </c>
      <c r="I18" s="2" t="s">
        <v>5123</v>
      </c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2" t="s">
        <v>3042</v>
      </c>
      <c r="B19" s="2" t="s">
        <v>5124</v>
      </c>
      <c r="C19" s="2" t="s">
        <v>5125</v>
      </c>
      <c r="D19" s="2" t="s">
        <v>5126</v>
      </c>
      <c r="E19" s="2" t="s">
        <v>5127</v>
      </c>
      <c r="F19" s="2" t="s">
        <v>5128</v>
      </c>
      <c r="G19" s="2" t="s">
        <v>5022</v>
      </c>
      <c r="H19" s="2" t="s">
        <v>5129</v>
      </c>
      <c r="I19" s="2"/>
      <c r="J19" s="2"/>
      <c r="K19" s="2" t="s">
        <v>5130</v>
      </c>
      <c r="L19" s="2"/>
      <c r="M19" s="2" t="s">
        <v>5131</v>
      </c>
      <c r="N19" s="2"/>
      <c r="O19" s="2"/>
      <c r="P19" s="2"/>
      <c r="Q19" s="2"/>
    </row>
    <row r="20" spans="1:17" x14ac:dyDescent="0.2">
      <c r="A20" s="2" t="s">
        <v>1739</v>
      </c>
      <c r="B20" s="2" t="s">
        <v>5132</v>
      </c>
      <c r="C20" s="2" t="s">
        <v>5133</v>
      </c>
      <c r="D20" s="2" t="s">
        <v>5134</v>
      </c>
      <c r="E20" s="2" t="s">
        <v>5135</v>
      </c>
      <c r="F20" s="2" t="s">
        <v>5136</v>
      </c>
      <c r="G20" s="2" t="s">
        <v>5022</v>
      </c>
      <c r="H20" s="2" t="s">
        <v>5023</v>
      </c>
      <c r="I20" s="2" t="s">
        <v>5137</v>
      </c>
      <c r="J20" s="2"/>
      <c r="K20" s="2"/>
      <c r="L20" s="2"/>
      <c r="M20" s="2"/>
      <c r="N20" s="2"/>
      <c r="O20" s="2"/>
      <c r="P20" s="2"/>
      <c r="Q20" s="2"/>
    </row>
    <row r="21" spans="1:17" x14ac:dyDescent="0.2">
      <c r="A21" s="2" t="s">
        <v>1975</v>
      </c>
      <c r="B21" s="2" t="s">
        <v>5138</v>
      </c>
      <c r="C21" s="2" t="s">
        <v>5139</v>
      </c>
      <c r="D21" s="2" t="s">
        <v>5140</v>
      </c>
      <c r="E21" s="2" t="s">
        <v>5141</v>
      </c>
      <c r="F21" s="2" t="s">
        <v>5142</v>
      </c>
      <c r="G21" s="2" t="s">
        <v>5022</v>
      </c>
      <c r="H21" s="2" t="s">
        <v>5023</v>
      </c>
      <c r="I21" s="2"/>
      <c r="J21" s="2"/>
      <c r="K21" s="2" t="s">
        <v>5143</v>
      </c>
      <c r="L21" s="2"/>
      <c r="M21" s="2" t="s">
        <v>5144</v>
      </c>
      <c r="N21" s="2"/>
      <c r="O21" s="2"/>
      <c r="P21" s="2"/>
      <c r="Q21" s="2"/>
    </row>
    <row r="22" spans="1:17" x14ac:dyDescent="0.2">
      <c r="A22" s="2" t="s">
        <v>3533</v>
      </c>
      <c r="B22" s="2" t="s">
        <v>5145</v>
      </c>
      <c r="C22" s="2" t="s">
        <v>5146</v>
      </c>
      <c r="D22" s="2" t="s">
        <v>5147</v>
      </c>
      <c r="E22" s="2" t="s">
        <v>5148</v>
      </c>
      <c r="F22" s="2" t="s">
        <v>5149</v>
      </c>
      <c r="G22" s="2" t="s">
        <v>5022</v>
      </c>
      <c r="H22" s="2" t="s">
        <v>5023</v>
      </c>
      <c r="I22" s="2" t="s">
        <v>5150</v>
      </c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s="2" t="s">
        <v>4256</v>
      </c>
      <c r="B23" s="2" t="s">
        <v>5151</v>
      </c>
      <c r="C23" s="2" t="s">
        <v>5152</v>
      </c>
      <c r="D23" s="2" t="s">
        <v>5087</v>
      </c>
      <c r="E23" s="2" t="s">
        <v>5153</v>
      </c>
      <c r="F23" s="2" t="s">
        <v>5154</v>
      </c>
      <c r="G23" s="2" t="s">
        <v>5022</v>
      </c>
      <c r="H23" s="2" t="s">
        <v>5023</v>
      </c>
      <c r="I23" s="2" t="s">
        <v>5155</v>
      </c>
      <c r="J23" s="2"/>
      <c r="K23" s="2"/>
      <c r="L23" s="2"/>
      <c r="M23" s="2" t="s">
        <v>5156</v>
      </c>
      <c r="N23" s="2"/>
      <c r="O23" s="2"/>
      <c r="P23" s="2"/>
      <c r="Q23" s="2"/>
    </row>
    <row r="24" spans="1:17" x14ac:dyDescent="0.2">
      <c r="A24" s="2" t="s">
        <v>1155</v>
      </c>
      <c r="B24" s="2" t="s">
        <v>5157</v>
      </c>
      <c r="C24" s="2" t="s">
        <v>5158</v>
      </c>
      <c r="D24" s="2" t="s">
        <v>5159</v>
      </c>
      <c r="E24" s="2" t="s">
        <v>5160</v>
      </c>
      <c r="F24" s="2" t="s">
        <v>5161</v>
      </c>
      <c r="G24" s="2" t="s">
        <v>5022</v>
      </c>
      <c r="H24" s="2" t="s">
        <v>5023</v>
      </c>
      <c r="I24" s="2" t="s">
        <v>5162</v>
      </c>
      <c r="J24" s="2"/>
      <c r="K24" s="2"/>
      <c r="L24" s="2"/>
      <c r="M24" s="2"/>
      <c r="N24" s="2"/>
      <c r="O24" s="2"/>
      <c r="P24" s="2"/>
      <c r="Q24" s="2"/>
    </row>
    <row r="25" spans="1:17" x14ac:dyDescent="0.2">
      <c r="A25" s="2" t="s">
        <v>4362</v>
      </c>
      <c r="B25" s="2" t="s">
        <v>5163</v>
      </c>
      <c r="C25" s="2" t="s">
        <v>5164</v>
      </c>
      <c r="D25" s="2" t="s">
        <v>5165</v>
      </c>
      <c r="E25" s="2" t="s">
        <v>5166</v>
      </c>
      <c r="F25" s="2" t="s">
        <v>5167</v>
      </c>
      <c r="G25" s="2" t="s">
        <v>5022</v>
      </c>
      <c r="H25" s="2" t="s">
        <v>5023</v>
      </c>
      <c r="I25" s="2" t="s">
        <v>5168</v>
      </c>
      <c r="J25" s="2"/>
      <c r="K25" s="2"/>
      <c r="L25" s="2"/>
      <c r="M25" s="2"/>
      <c r="N25" s="2"/>
      <c r="O25" s="2"/>
      <c r="P25" s="2"/>
      <c r="Q25" s="2"/>
    </row>
    <row r="26" spans="1:17" x14ac:dyDescent="0.2">
      <c r="A26" s="2" t="s">
        <v>1775</v>
      </c>
      <c r="B26" s="2" t="s">
        <v>5169</v>
      </c>
      <c r="C26" s="2" t="s">
        <v>5170</v>
      </c>
      <c r="D26" s="2" t="s">
        <v>5171</v>
      </c>
      <c r="E26" s="2" t="s">
        <v>5172</v>
      </c>
      <c r="F26" s="2" t="s">
        <v>5173</v>
      </c>
      <c r="G26" s="2" t="s">
        <v>5022</v>
      </c>
      <c r="H26" s="2" t="s">
        <v>5023</v>
      </c>
      <c r="I26" s="2" t="s">
        <v>5174</v>
      </c>
      <c r="J26" s="2"/>
      <c r="K26" s="2"/>
      <c r="L26" s="2"/>
      <c r="M26" s="2"/>
      <c r="N26" s="2"/>
      <c r="O26" s="2"/>
      <c r="P26" s="2"/>
      <c r="Q26" s="2"/>
    </row>
    <row r="27" spans="1:17" x14ac:dyDescent="0.2">
      <c r="A27" s="2" t="s">
        <v>3911</v>
      </c>
      <c r="B27" s="2" t="s">
        <v>5175</v>
      </c>
      <c r="C27" s="2" t="s">
        <v>5176</v>
      </c>
      <c r="D27" s="2" t="s">
        <v>5177</v>
      </c>
      <c r="E27" s="2" t="s">
        <v>5178</v>
      </c>
      <c r="F27" s="2" t="s">
        <v>5179</v>
      </c>
      <c r="G27" s="2" t="s">
        <v>5022</v>
      </c>
      <c r="H27" s="2" t="s">
        <v>5023</v>
      </c>
      <c r="I27" s="2" t="s">
        <v>5180</v>
      </c>
      <c r="J27" s="2"/>
      <c r="K27" s="2"/>
      <c r="L27" s="2"/>
      <c r="M27" s="2" t="s">
        <v>5181</v>
      </c>
      <c r="N27" s="2"/>
      <c r="O27" s="2"/>
      <c r="P27" s="2"/>
      <c r="Q27" s="2"/>
    </row>
    <row r="28" spans="1:17" x14ac:dyDescent="0.2">
      <c r="A28" s="2" t="s">
        <v>4918</v>
      </c>
      <c r="B28" s="2" t="s">
        <v>1904</v>
      </c>
      <c r="C28" s="2" t="s">
        <v>5182</v>
      </c>
      <c r="D28" s="2" t="s">
        <v>5183</v>
      </c>
      <c r="E28" s="2" t="s">
        <v>5184</v>
      </c>
      <c r="F28" s="2" t="s">
        <v>5185</v>
      </c>
      <c r="G28" s="2" t="s">
        <v>5022</v>
      </c>
      <c r="H28" s="2" t="s">
        <v>5023</v>
      </c>
      <c r="I28" s="2" t="s">
        <v>5186</v>
      </c>
      <c r="J28" s="2"/>
      <c r="K28" s="2"/>
      <c r="L28" s="2"/>
      <c r="M28" s="2" t="s">
        <v>5187</v>
      </c>
      <c r="N28" s="2"/>
      <c r="O28" s="2"/>
      <c r="P28" s="2"/>
      <c r="Q28" s="2"/>
    </row>
    <row r="29" spans="1:17" x14ac:dyDescent="0.2">
      <c r="A29" s="2" t="s">
        <v>3280</v>
      </c>
      <c r="B29" s="2" t="s">
        <v>5188</v>
      </c>
      <c r="C29" s="2" t="s">
        <v>5159</v>
      </c>
      <c r="D29" s="2" t="s">
        <v>5189</v>
      </c>
      <c r="E29" s="2" t="s">
        <v>5190</v>
      </c>
      <c r="F29" s="2" t="s">
        <v>5191</v>
      </c>
      <c r="G29" s="2" t="s">
        <v>5022</v>
      </c>
      <c r="H29" s="2" t="s">
        <v>5023</v>
      </c>
      <c r="I29" s="2"/>
      <c r="J29" s="2"/>
      <c r="K29" s="2" t="s">
        <v>5192</v>
      </c>
      <c r="L29" s="2"/>
      <c r="M29" s="2"/>
      <c r="N29" s="2"/>
      <c r="O29" s="2"/>
      <c r="P29" s="2"/>
      <c r="Q29" s="2"/>
    </row>
    <row r="30" spans="1:17" x14ac:dyDescent="0.2">
      <c r="A30" s="2" t="s">
        <v>1697</v>
      </c>
      <c r="B30" s="2" t="s">
        <v>1976</v>
      </c>
      <c r="C30" s="2" t="s">
        <v>5193</v>
      </c>
      <c r="D30" s="2" t="s">
        <v>5194</v>
      </c>
      <c r="E30" s="2" t="s">
        <v>5195</v>
      </c>
      <c r="F30" s="2" t="s">
        <v>5196</v>
      </c>
      <c r="G30" s="2" t="s">
        <v>5022</v>
      </c>
      <c r="H30" s="2" t="s">
        <v>5023</v>
      </c>
      <c r="I30" s="2"/>
      <c r="J30" s="2"/>
      <c r="K30" s="2" t="s">
        <v>5197</v>
      </c>
      <c r="L30" s="2"/>
      <c r="M30" s="2"/>
      <c r="N30" s="2"/>
      <c r="O30" s="2"/>
      <c r="P30" s="2"/>
      <c r="Q30" s="2"/>
    </row>
    <row r="31" spans="1:17" x14ac:dyDescent="0.2">
      <c r="A31" s="2" t="s">
        <v>1478</v>
      </c>
      <c r="B31" s="2" t="s">
        <v>5198</v>
      </c>
      <c r="C31" s="2" t="s">
        <v>5199</v>
      </c>
      <c r="D31" s="2" t="s">
        <v>5200</v>
      </c>
      <c r="E31" s="2" t="s">
        <v>5201</v>
      </c>
      <c r="F31" s="2" t="s">
        <v>5202</v>
      </c>
      <c r="G31" s="2" t="s">
        <v>5022</v>
      </c>
      <c r="H31" s="2" t="s">
        <v>5023</v>
      </c>
      <c r="I31" s="2" t="s">
        <v>5203</v>
      </c>
      <c r="J31" s="2"/>
      <c r="K31" s="2"/>
      <c r="L31" s="2"/>
      <c r="M31" s="2"/>
      <c r="N31" s="2"/>
      <c r="O31" s="2"/>
      <c r="P31" s="2"/>
      <c r="Q31" s="2"/>
    </row>
    <row r="32" spans="1:17" x14ac:dyDescent="0.2">
      <c r="A32" s="2" t="s">
        <v>490</v>
      </c>
      <c r="B32" s="2" t="s">
        <v>5204</v>
      </c>
      <c r="C32" s="2" t="s">
        <v>5205</v>
      </c>
      <c r="D32" s="2" t="s">
        <v>5206</v>
      </c>
      <c r="E32" s="2" t="s">
        <v>5207</v>
      </c>
      <c r="F32" s="2" t="s">
        <v>5208</v>
      </c>
      <c r="G32" s="2" t="s">
        <v>5022</v>
      </c>
      <c r="H32" s="2" t="s">
        <v>5023</v>
      </c>
      <c r="I32" s="2" t="s">
        <v>5209</v>
      </c>
      <c r="J32" s="2"/>
      <c r="K32" s="2"/>
      <c r="L32" s="2"/>
      <c r="M32" s="2" t="s">
        <v>5210</v>
      </c>
      <c r="N32" s="2"/>
      <c r="O32" s="2"/>
      <c r="P32" s="2"/>
      <c r="Q32" s="2"/>
    </row>
    <row r="33" spans="1:17" x14ac:dyDescent="0.2">
      <c r="A33" s="2" t="s">
        <v>4803</v>
      </c>
      <c r="B33" s="2" t="s">
        <v>5211</v>
      </c>
      <c r="C33" s="2" t="s">
        <v>5076</v>
      </c>
      <c r="D33" s="2" t="s">
        <v>5212</v>
      </c>
      <c r="E33" s="2" t="s">
        <v>5213</v>
      </c>
      <c r="F33" s="2" t="s">
        <v>5214</v>
      </c>
      <c r="G33" s="2" t="s">
        <v>5022</v>
      </c>
      <c r="H33" s="2" t="s">
        <v>5023</v>
      </c>
      <c r="I33" s="2"/>
      <c r="J33" s="2"/>
      <c r="K33" s="2"/>
      <c r="L33" s="2" t="s">
        <v>5215</v>
      </c>
      <c r="M33" s="2"/>
      <c r="N33" s="2"/>
      <c r="O33" s="2"/>
      <c r="P33" s="2"/>
      <c r="Q33" s="2"/>
    </row>
    <row r="34" spans="1:17" x14ac:dyDescent="0.2">
      <c r="A34" s="2" t="s">
        <v>2597</v>
      </c>
      <c r="B34" s="2" t="s">
        <v>5216</v>
      </c>
      <c r="C34" s="2" t="s">
        <v>5217</v>
      </c>
      <c r="D34" s="2" t="s">
        <v>5218</v>
      </c>
      <c r="E34" s="2" t="s">
        <v>5219</v>
      </c>
      <c r="F34" s="2" t="s">
        <v>5220</v>
      </c>
      <c r="G34" s="2" t="s">
        <v>5022</v>
      </c>
      <c r="H34" s="2" t="s">
        <v>5023</v>
      </c>
      <c r="I34" s="2"/>
      <c r="J34" s="2"/>
      <c r="K34" s="2" t="s">
        <v>5221</v>
      </c>
      <c r="L34" s="2"/>
      <c r="M34" s="2"/>
      <c r="N34" s="2"/>
      <c r="O34" s="2"/>
      <c r="P34" s="2"/>
      <c r="Q34" s="2"/>
    </row>
    <row r="35" spans="1:17" x14ac:dyDescent="0.2">
      <c r="A35" s="2" t="s">
        <v>4057</v>
      </c>
      <c r="B35" s="2" t="s">
        <v>5222</v>
      </c>
      <c r="C35" s="2" t="s">
        <v>5223</v>
      </c>
      <c r="D35" s="2" t="s">
        <v>5224</v>
      </c>
      <c r="E35" s="2" t="s">
        <v>5225</v>
      </c>
      <c r="F35" s="2" t="s">
        <v>5226</v>
      </c>
      <c r="G35" s="2" t="s">
        <v>5022</v>
      </c>
      <c r="H35" s="2" t="s">
        <v>5023</v>
      </c>
      <c r="I35" s="2" t="s">
        <v>5227</v>
      </c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2" t="s">
        <v>4333</v>
      </c>
      <c r="B36" s="2" t="s">
        <v>5175</v>
      </c>
      <c r="C36" s="2" t="s">
        <v>5228</v>
      </c>
      <c r="D36" s="2" t="s">
        <v>5229</v>
      </c>
      <c r="E36" s="2" t="s">
        <v>5230</v>
      </c>
      <c r="F36" s="2" t="s">
        <v>5231</v>
      </c>
      <c r="G36" s="2" t="s">
        <v>5022</v>
      </c>
      <c r="H36" s="2" t="s">
        <v>5023</v>
      </c>
      <c r="I36" s="2" t="s">
        <v>5232</v>
      </c>
      <c r="J36" s="2"/>
      <c r="K36" s="2"/>
      <c r="L36" s="2"/>
      <c r="M36" s="2" t="s">
        <v>5233</v>
      </c>
      <c r="N36" s="2"/>
      <c r="O36" s="2"/>
      <c r="P36" s="2"/>
      <c r="Q36" s="2"/>
    </row>
    <row r="37" spans="1:17" x14ac:dyDescent="0.2">
      <c r="A37" s="2" t="s">
        <v>4530</v>
      </c>
      <c r="B37" s="2" t="s">
        <v>5234</v>
      </c>
      <c r="C37" s="2" t="s">
        <v>5229</v>
      </c>
      <c r="D37" s="2" t="s">
        <v>5235</v>
      </c>
      <c r="E37" s="2" t="s">
        <v>5236</v>
      </c>
      <c r="F37" s="2" t="s">
        <v>5237</v>
      </c>
      <c r="G37" s="2" t="s">
        <v>5022</v>
      </c>
      <c r="H37" s="2" t="s">
        <v>5023</v>
      </c>
      <c r="I37" s="2" t="s">
        <v>5238</v>
      </c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2" t="s">
        <v>423</v>
      </c>
      <c r="B38" s="2" t="s">
        <v>5239</v>
      </c>
      <c r="C38" s="2" t="s">
        <v>5240</v>
      </c>
      <c r="D38" s="2" t="s">
        <v>5241</v>
      </c>
      <c r="E38" s="2" t="s">
        <v>5242</v>
      </c>
      <c r="F38" s="2" t="s">
        <v>5243</v>
      </c>
      <c r="G38" s="2" t="s">
        <v>5022</v>
      </c>
      <c r="H38" s="2" t="s">
        <v>5023</v>
      </c>
      <c r="I38" s="2" t="s">
        <v>5244</v>
      </c>
      <c r="J38" s="2"/>
      <c r="K38" s="2"/>
      <c r="L38" s="2"/>
      <c r="M38" s="2" t="s">
        <v>5245</v>
      </c>
      <c r="N38" s="2"/>
      <c r="O38" s="2"/>
      <c r="P38" s="2"/>
      <c r="Q38" s="2"/>
    </row>
    <row r="39" spans="1:17" x14ac:dyDescent="0.2">
      <c r="A39" s="2" t="s">
        <v>384</v>
      </c>
      <c r="B39" s="2" t="s">
        <v>5246</v>
      </c>
      <c r="C39" s="2" t="s">
        <v>5240</v>
      </c>
      <c r="D39" s="2" t="s">
        <v>5247</v>
      </c>
      <c r="E39" s="2" t="s">
        <v>5248</v>
      </c>
      <c r="F39" s="2" t="s">
        <v>5101</v>
      </c>
      <c r="G39" s="2" t="s">
        <v>5022</v>
      </c>
      <c r="H39" s="2" t="s">
        <v>5023</v>
      </c>
      <c r="I39" s="2"/>
      <c r="J39" s="2"/>
      <c r="K39" s="2" t="s">
        <v>5249</v>
      </c>
      <c r="L39" s="2"/>
      <c r="M39" s="2"/>
      <c r="N39" s="2"/>
      <c r="O39" s="2"/>
      <c r="P39" s="2"/>
      <c r="Q39" s="2"/>
    </row>
    <row r="40" spans="1:17" x14ac:dyDescent="0.2">
      <c r="A40" s="2" t="s">
        <v>3384</v>
      </c>
      <c r="B40" s="2" t="s">
        <v>5250</v>
      </c>
      <c r="C40" s="2" t="s">
        <v>5251</v>
      </c>
      <c r="D40" s="2" t="s">
        <v>5252</v>
      </c>
      <c r="E40" s="2" t="s">
        <v>5253</v>
      </c>
      <c r="F40" s="2" t="s">
        <v>5254</v>
      </c>
      <c r="G40" s="2" t="s">
        <v>5022</v>
      </c>
      <c r="H40" s="2" t="s">
        <v>5023</v>
      </c>
      <c r="I40" s="2"/>
      <c r="J40" s="2"/>
      <c r="K40" s="2" t="s">
        <v>5255</v>
      </c>
      <c r="L40" s="2"/>
      <c r="M40" s="2" t="s">
        <v>5256</v>
      </c>
      <c r="N40" s="2"/>
      <c r="O40" s="2"/>
      <c r="P40" s="2"/>
      <c r="Q40" s="2"/>
    </row>
    <row r="41" spans="1:17" x14ac:dyDescent="0.2">
      <c r="A41" s="2" t="s">
        <v>1417</v>
      </c>
      <c r="B41" s="2" t="s">
        <v>5257</v>
      </c>
      <c r="C41" s="2" t="s">
        <v>5159</v>
      </c>
      <c r="D41" s="2" t="s">
        <v>5258</v>
      </c>
      <c r="E41" s="2" t="s">
        <v>5259</v>
      </c>
      <c r="F41" s="2" t="s">
        <v>5260</v>
      </c>
      <c r="G41" s="2" t="s">
        <v>5022</v>
      </c>
      <c r="H41" s="2" t="s">
        <v>5023</v>
      </c>
      <c r="I41" s="2" t="s">
        <v>5261</v>
      </c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2" t="s">
        <v>3340</v>
      </c>
      <c r="B42" s="2" t="s">
        <v>5262</v>
      </c>
      <c r="C42" s="2" t="s">
        <v>5263</v>
      </c>
      <c r="D42" s="2" t="s">
        <v>5264</v>
      </c>
      <c r="E42" s="2" t="s">
        <v>5265</v>
      </c>
      <c r="F42" s="2" t="s">
        <v>5266</v>
      </c>
      <c r="G42" s="2" t="s">
        <v>5022</v>
      </c>
      <c r="H42" s="2" t="s">
        <v>5023</v>
      </c>
      <c r="I42" s="2" t="s">
        <v>5267</v>
      </c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2" t="s">
        <v>2081</v>
      </c>
      <c r="B43" s="2" t="s">
        <v>5268</v>
      </c>
      <c r="C43" s="2" t="s">
        <v>5269</v>
      </c>
      <c r="D43" s="2" t="s">
        <v>5269</v>
      </c>
      <c r="E43" s="2" t="s">
        <v>5270</v>
      </c>
      <c r="F43" s="2" t="s">
        <v>5271</v>
      </c>
      <c r="G43" s="2" t="s">
        <v>5022</v>
      </c>
      <c r="H43" s="2" t="s">
        <v>5023</v>
      </c>
      <c r="I43" s="2"/>
      <c r="J43" s="2"/>
      <c r="K43" s="2" t="s">
        <v>5272</v>
      </c>
      <c r="L43" s="2" t="s">
        <v>5273</v>
      </c>
      <c r="M43" s="2"/>
      <c r="N43" s="2"/>
      <c r="O43" s="2"/>
      <c r="P43" s="2"/>
      <c r="Q43" s="2"/>
    </row>
    <row r="44" spans="1:17" x14ac:dyDescent="0.2">
      <c r="A44" s="2" t="s">
        <v>880</v>
      </c>
      <c r="B44" s="2" t="s">
        <v>5274</v>
      </c>
      <c r="C44" s="2" t="s">
        <v>5275</v>
      </c>
      <c r="D44" s="2" t="s">
        <v>5276</v>
      </c>
      <c r="E44" s="2" t="s">
        <v>5277</v>
      </c>
      <c r="F44" s="2" t="s">
        <v>5278</v>
      </c>
      <c r="G44" s="2" t="s">
        <v>5022</v>
      </c>
      <c r="H44" s="2" t="s">
        <v>5023</v>
      </c>
      <c r="I44" s="2" t="s">
        <v>5279</v>
      </c>
      <c r="J44" s="2"/>
      <c r="K44" s="2"/>
      <c r="L44" s="2"/>
      <c r="M44" s="2" t="s">
        <v>5280</v>
      </c>
      <c r="N44" s="2"/>
      <c r="O44" s="2"/>
      <c r="P44" s="2"/>
      <c r="Q44" s="2"/>
    </row>
    <row r="45" spans="1:17" x14ac:dyDescent="0.2">
      <c r="A45" s="2" t="s">
        <v>2905</v>
      </c>
      <c r="B45" s="2" t="s">
        <v>5281</v>
      </c>
      <c r="C45" s="2" t="s">
        <v>5282</v>
      </c>
      <c r="D45" s="2" t="s">
        <v>5282</v>
      </c>
      <c r="E45" s="2" t="s">
        <v>5283</v>
      </c>
      <c r="F45" s="2" t="s">
        <v>5284</v>
      </c>
      <c r="G45" s="2" t="s">
        <v>5022</v>
      </c>
      <c r="H45" s="2" t="s">
        <v>5023</v>
      </c>
      <c r="I45" s="2" t="s">
        <v>5285</v>
      </c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2" t="s">
        <v>1146</v>
      </c>
      <c r="B46" s="2" t="s">
        <v>5286</v>
      </c>
      <c r="C46" s="2" t="s">
        <v>5269</v>
      </c>
      <c r="D46" s="2" t="s">
        <v>5287</v>
      </c>
      <c r="E46" s="2" t="s">
        <v>5288</v>
      </c>
      <c r="F46" s="2" t="s">
        <v>5289</v>
      </c>
      <c r="G46" s="2" t="s">
        <v>5022</v>
      </c>
      <c r="H46" s="2" t="s">
        <v>5023</v>
      </c>
      <c r="I46" s="2"/>
      <c r="J46" s="2"/>
      <c r="K46" s="2" t="s">
        <v>5290</v>
      </c>
      <c r="L46" s="2"/>
      <c r="M46" s="2"/>
      <c r="N46" s="2"/>
      <c r="O46" s="2"/>
      <c r="P46" s="2"/>
      <c r="Q46" s="2"/>
    </row>
    <row r="47" spans="1:17" x14ac:dyDescent="0.2">
      <c r="A47" s="2" t="s">
        <v>789</v>
      </c>
      <c r="B47" s="2" t="s">
        <v>5291</v>
      </c>
      <c r="C47" s="2" t="s">
        <v>5292</v>
      </c>
      <c r="D47" s="2" t="s">
        <v>5293</v>
      </c>
      <c r="E47" s="2" t="s">
        <v>5294</v>
      </c>
      <c r="F47" s="2" t="s">
        <v>5295</v>
      </c>
      <c r="G47" s="2" t="s">
        <v>5022</v>
      </c>
      <c r="H47" s="2" t="s">
        <v>5023</v>
      </c>
      <c r="I47" s="2" t="s">
        <v>5296</v>
      </c>
      <c r="J47" s="2"/>
      <c r="K47" s="2"/>
      <c r="L47" s="2"/>
      <c r="M47" s="2" t="s">
        <v>5297</v>
      </c>
      <c r="N47" s="2"/>
      <c r="O47" s="2"/>
      <c r="P47" s="2"/>
      <c r="Q47" s="2"/>
    </row>
    <row r="48" spans="1:17" x14ac:dyDescent="0.2">
      <c r="A48" s="2" t="s">
        <v>1666</v>
      </c>
      <c r="B48" s="2" t="s">
        <v>5298</v>
      </c>
      <c r="C48" s="2" t="s">
        <v>5299</v>
      </c>
      <c r="D48" s="2" t="s">
        <v>5300</v>
      </c>
      <c r="E48" s="2" t="s">
        <v>5301</v>
      </c>
      <c r="F48" s="2" t="s">
        <v>5302</v>
      </c>
      <c r="G48" s="2" t="s">
        <v>5022</v>
      </c>
      <c r="H48" s="2" t="s">
        <v>5023</v>
      </c>
      <c r="I48" s="2" t="s">
        <v>5303</v>
      </c>
      <c r="J48" s="2"/>
      <c r="K48" s="2"/>
      <c r="L48" s="2"/>
      <c r="M48" s="2"/>
      <c r="N48" s="2"/>
      <c r="O48" s="2"/>
      <c r="P48" s="2"/>
      <c r="Q48" s="2"/>
    </row>
    <row r="49" spans="1:17" x14ac:dyDescent="0.2">
      <c r="A49" s="2" t="s">
        <v>2297</v>
      </c>
      <c r="B49" s="2" t="s">
        <v>5304</v>
      </c>
      <c r="C49" s="2" t="s">
        <v>5305</v>
      </c>
      <c r="D49" s="2" t="s">
        <v>5306</v>
      </c>
      <c r="E49" s="2" t="s">
        <v>5307</v>
      </c>
      <c r="F49" s="2" t="s">
        <v>5308</v>
      </c>
      <c r="G49" s="2" t="s">
        <v>5022</v>
      </c>
      <c r="H49" s="2" t="s">
        <v>5023</v>
      </c>
      <c r="I49" s="2" t="s">
        <v>5309</v>
      </c>
      <c r="J49" s="2"/>
      <c r="K49" s="2"/>
      <c r="L49" s="2"/>
      <c r="M49" s="2"/>
      <c r="N49" s="2"/>
      <c r="O49" s="2"/>
      <c r="P49" s="2"/>
      <c r="Q49" s="2"/>
    </row>
    <row r="50" spans="1:17" x14ac:dyDescent="0.2">
      <c r="A50" s="2" t="s">
        <v>4703</v>
      </c>
      <c r="B50" s="2" t="s">
        <v>5310</v>
      </c>
      <c r="C50" s="2" t="s">
        <v>5051</v>
      </c>
      <c r="D50" s="2" t="s">
        <v>5311</v>
      </c>
      <c r="E50" s="2" t="s">
        <v>5312</v>
      </c>
      <c r="F50" s="2" t="s">
        <v>5313</v>
      </c>
      <c r="G50" s="2" t="s">
        <v>5022</v>
      </c>
      <c r="H50" s="2" t="s">
        <v>5023</v>
      </c>
      <c r="I50" s="2" t="s">
        <v>5314</v>
      </c>
      <c r="J50" s="2"/>
      <c r="K50" s="2"/>
      <c r="L50" s="2"/>
      <c r="M50" s="2"/>
      <c r="N50" s="2"/>
      <c r="O50" s="2"/>
      <c r="P50" s="2"/>
      <c r="Q50" s="2"/>
    </row>
    <row r="51" spans="1:17" x14ac:dyDescent="0.2">
      <c r="A51" s="2" t="s">
        <v>4088</v>
      </c>
      <c r="B51" s="2" t="s">
        <v>5315</v>
      </c>
      <c r="C51" s="2" t="s">
        <v>5316</v>
      </c>
      <c r="D51" s="2" t="s">
        <v>5317</v>
      </c>
      <c r="E51" s="2" t="s">
        <v>5318</v>
      </c>
      <c r="F51" s="2" t="s">
        <v>5319</v>
      </c>
      <c r="G51" s="2" t="s">
        <v>5022</v>
      </c>
      <c r="H51" s="2" t="s">
        <v>5023</v>
      </c>
      <c r="I51" s="2" t="s">
        <v>5320</v>
      </c>
      <c r="J51" s="2"/>
      <c r="K51" s="2"/>
      <c r="L51" s="2"/>
      <c r="M51" s="2"/>
      <c r="N51" s="2"/>
      <c r="O51" s="2"/>
      <c r="P51" s="2"/>
      <c r="Q51" s="2"/>
    </row>
    <row r="52" spans="1:17" x14ac:dyDescent="0.2">
      <c r="A52" s="2" t="s">
        <v>3521</v>
      </c>
      <c r="B52" s="2" t="s">
        <v>5321</v>
      </c>
      <c r="C52" s="2" t="s">
        <v>5322</v>
      </c>
      <c r="D52" s="2" t="s">
        <v>5323</v>
      </c>
      <c r="E52" s="2" t="s">
        <v>5324</v>
      </c>
      <c r="F52" s="2" t="s">
        <v>5325</v>
      </c>
      <c r="G52" s="2" t="s">
        <v>5022</v>
      </c>
      <c r="H52" s="2" t="s">
        <v>5023</v>
      </c>
      <c r="I52" s="2" t="s">
        <v>5326</v>
      </c>
      <c r="J52" s="2"/>
      <c r="K52" s="2"/>
      <c r="L52" s="2"/>
      <c r="M52" s="2" t="s">
        <v>5327</v>
      </c>
      <c r="N52" s="2"/>
      <c r="O52" s="2"/>
      <c r="P52" s="2"/>
      <c r="Q52" s="2"/>
    </row>
    <row r="53" spans="1:17" x14ac:dyDescent="0.2">
      <c r="A53" s="2" t="s">
        <v>2231</v>
      </c>
      <c r="B53" s="2" t="s">
        <v>5328</v>
      </c>
      <c r="C53" s="2" t="s">
        <v>5329</v>
      </c>
      <c r="D53" s="2" t="s">
        <v>5329</v>
      </c>
      <c r="E53" s="2" t="s">
        <v>5201</v>
      </c>
      <c r="F53" s="2" t="s">
        <v>5330</v>
      </c>
      <c r="G53" s="2" t="s">
        <v>5022</v>
      </c>
      <c r="H53" s="2" t="s">
        <v>5023</v>
      </c>
      <c r="I53" s="2" t="s">
        <v>5331</v>
      </c>
      <c r="J53" s="2"/>
      <c r="K53" s="2"/>
      <c r="L53" s="2"/>
      <c r="M53" s="2"/>
      <c r="N53" s="2"/>
      <c r="O53" s="2"/>
      <c r="P53" s="2"/>
      <c r="Q53" s="2"/>
    </row>
    <row r="54" spans="1:17" x14ac:dyDescent="0.2">
      <c r="A54" s="2" t="s">
        <v>460</v>
      </c>
      <c r="B54" s="2" t="s">
        <v>5332</v>
      </c>
      <c r="C54" s="2" t="s">
        <v>5317</v>
      </c>
      <c r="D54" s="2" t="s">
        <v>5333</v>
      </c>
      <c r="E54" s="2" t="s">
        <v>5334</v>
      </c>
      <c r="F54" s="2" t="s">
        <v>5335</v>
      </c>
      <c r="G54" s="2" t="s">
        <v>5022</v>
      </c>
      <c r="H54" s="2" t="s">
        <v>5023</v>
      </c>
      <c r="I54" s="2" t="s">
        <v>5336</v>
      </c>
      <c r="J54" s="2"/>
      <c r="K54" s="2"/>
      <c r="L54" s="2"/>
      <c r="M54" s="2"/>
      <c r="N54" s="2"/>
      <c r="O54" s="2"/>
      <c r="P54" s="2"/>
      <c r="Q54" s="2"/>
    </row>
    <row r="55" spans="1:17" x14ac:dyDescent="0.2">
      <c r="A55" s="2" t="s">
        <v>2344</v>
      </c>
      <c r="B55" s="2" t="s">
        <v>5337</v>
      </c>
      <c r="C55" s="2" t="s">
        <v>5338</v>
      </c>
      <c r="D55" s="2" t="s">
        <v>5339</v>
      </c>
      <c r="E55" s="2" t="s">
        <v>5340</v>
      </c>
      <c r="F55" s="2" t="s">
        <v>5341</v>
      </c>
      <c r="G55" s="2" t="s">
        <v>5022</v>
      </c>
      <c r="H55" s="2" t="s">
        <v>5023</v>
      </c>
      <c r="I55" s="2" t="s">
        <v>5342</v>
      </c>
      <c r="J55" s="2"/>
      <c r="K55" s="2"/>
      <c r="L55" s="2"/>
      <c r="M55" s="2" t="s">
        <v>5343</v>
      </c>
      <c r="N55" s="2"/>
      <c r="O55" s="2"/>
      <c r="P55" s="2"/>
      <c r="Q55" s="2"/>
    </row>
    <row r="56" spans="1:17" x14ac:dyDescent="0.2">
      <c r="A56" s="2" t="s">
        <v>3468</v>
      </c>
      <c r="B56" s="2" t="s">
        <v>5344</v>
      </c>
      <c r="C56" s="2" t="s">
        <v>5345</v>
      </c>
      <c r="D56" s="2" t="s">
        <v>5346</v>
      </c>
      <c r="E56" s="2" t="s">
        <v>5347</v>
      </c>
      <c r="F56" s="2" t="s">
        <v>5348</v>
      </c>
      <c r="G56" s="2" t="s">
        <v>5022</v>
      </c>
      <c r="H56" s="2" t="s">
        <v>5023</v>
      </c>
      <c r="I56" s="2" t="s">
        <v>5349</v>
      </c>
      <c r="J56" s="2"/>
      <c r="K56" s="2"/>
      <c r="L56" s="2"/>
      <c r="M56" s="2" t="s">
        <v>5350</v>
      </c>
      <c r="N56" s="2"/>
      <c r="O56" s="2"/>
      <c r="P56" s="2"/>
      <c r="Q56" s="2"/>
    </row>
    <row r="57" spans="1:17" x14ac:dyDescent="0.2">
      <c r="A57" s="2" t="s">
        <v>488</v>
      </c>
      <c r="B57" s="2" t="s">
        <v>5351</v>
      </c>
      <c r="C57" s="2" t="s">
        <v>5217</v>
      </c>
      <c r="D57" s="2" t="s">
        <v>5352</v>
      </c>
      <c r="E57" s="2" t="s">
        <v>5353</v>
      </c>
      <c r="F57" s="2" t="s">
        <v>5354</v>
      </c>
      <c r="G57" s="2" t="s">
        <v>5022</v>
      </c>
      <c r="H57" s="2" t="s">
        <v>5023</v>
      </c>
      <c r="I57" s="2" t="s">
        <v>5355</v>
      </c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2" t="s">
        <v>3164</v>
      </c>
      <c r="B58" s="2" t="s">
        <v>5356</v>
      </c>
      <c r="C58" s="2" t="s">
        <v>5357</v>
      </c>
      <c r="D58" s="2" t="s">
        <v>5358</v>
      </c>
      <c r="E58" s="2" t="s">
        <v>5359</v>
      </c>
      <c r="F58" s="2" t="s">
        <v>5121</v>
      </c>
      <c r="G58" s="2" t="s">
        <v>5022</v>
      </c>
      <c r="H58" s="2" t="s">
        <v>5023</v>
      </c>
      <c r="I58" s="2" t="s">
        <v>5360</v>
      </c>
      <c r="J58" s="2"/>
      <c r="K58" s="2"/>
      <c r="L58" s="2"/>
      <c r="M58" s="2" t="s">
        <v>5361</v>
      </c>
      <c r="N58" s="2"/>
      <c r="O58" s="2"/>
      <c r="P58" s="2"/>
      <c r="Q58" s="2"/>
    </row>
    <row r="59" spans="1:17" x14ac:dyDescent="0.2">
      <c r="A59" s="2" t="s">
        <v>3677</v>
      </c>
      <c r="B59" s="2" t="s">
        <v>5362</v>
      </c>
      <c r="C59" s="2" t="s">
        <v>5363</v>
      </c>
      <c r="D59" s="2" t="s">
        <v>5364</v>
      </c>
      <c r="E59" s="2" t="s">
        <v>5365</v>
      </c>
      <c r="F59" s="2" t="s">
        <v>5366</v>
      </c>
      <c r="G59" s="2" t="s">
        <v>5022</v>
      </c>
      <c r="H59" s="2" t="s">
        <v>5023</v>
      </c>
      <c r="I59" s="2" t="s">
        <v>5367</v>
      </c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2" t="s">
        <v>59</v>
      </c>
      <c r="B60" s="2" t="s">
        <v>5368</v>
      </c>
      <c r="C60" s="2" t="s">
        <v>5369</v>
      </c>
      <c r="D60" s="2" t="s">
        <v>5370</v>
      </c>
      <c r="E60" s="2" t="s">
        <v>5265</v>
      </c>
      <c r="F60" s="2" t="s">
        <v>5371</v>
      </c>
      <c r="G60" s="2" t="s">
        <v>5022</v>
      </c>
      <c r="H60" s="2" t="s">
        <v>5023</v>
      </c>
      <c r="I60" s="2" t="s">
        <v>5372</v>
      </c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2" t="s">
        <v>1678</v>
      </c>
      <c r="B61" s="2" t="s">
        <v>5373</v>
      </c>
      <c r="C61" s="2" t="s">
        <v>5374</v>
      </c>
      <c r="D61" s="2" t="s">
        <v>5375</v>
      </c>
      <c r="E61" s="2" t="s">
        <v>5376</v>
      </c>
      <c r="F61" s="2" t="s">
        <v>5377</v>
      </c>
      <c r="G61" s="2" t="s">
        <v>5022</v>
      </c>
      <c r="H61" s="2" t="s">
        <v>5023</v>
      </c>
      <c r="I61" s="2"/>
      <c r="J61" s="2"/>
      <c r="K61" s="2" t="s">
        <v>5378</v>
      </c>
      <c r="L61" s="2"/>
      <c r="M61" s="2"/>
      <c r="N61" s="2"/>
      <c r="O61" s="2"/>
      <c r="P61" s="2"/>
      <c r="Q61" s="2"/>
    </row>
    <row r="62" spans="1:17" x14ac:dyDescent="0.2">
      <c r="A62" s="2" t="s">
        <v>615</v>
      </c>
      <c r="B62" s="2" t="s">
        <v>5379</v>
      </c>
      <c r="C62" s="2" t="s">
        <v>5380</v>
      </c>
      <c r="D62" s="2" t="s">
        <v>5381</v>
      </c>
      <c r="E62" s="2" t="s">
        <v>5382</v>
      </c>
      <c r="F62" s="2" t="s">
        <v>5383</v>
      </c>
      <c r="G62" s="2" t="s">
        <v>5022</v>
      </c>
      <c r="H62" s="2" t="s">
        <v>5023</v>
      </c>
      <c r="I62" s="2" t="s">
        <v>5384</v>
      </c>
      <c r="J62" s="2"/>
      <c r="K62" s="2"/>
      <c r="L62" s="2"/>
      <c r="M62" s="2" t="s">
        <v>5385</v>
      </c>
      <c r="N62" s="2"/>
      <c r="O62" s="2"/>
      <c r="P62" s="2"/>
      <c r="Q62" s="2"/>
    </row>
    <row r="63" spans="1:17" x14ac:dyDescent="0.2">
      <c r="A63" s="2" t="s">
        <v>2271</v>
      </c>
      <c r="B63" s="2" t="s">
        <v>5386</v>
      </c>
      <c r="C63" s="2" t="s">
        <v>5387</v>
      </c>
      <c r="D63" s="2" t="s">
        <v>5388</v>
      </c>
      <c r="E63" s="2" t="s">
        <v>5389</v>
      </c>
      <c r="F63" s="2" t="s">
        <v>5390</v>
      </c>
      <c r="G63" s="2" t="s">
        <v>5022</v>
      </c>
      <c r="H63" s="2" t="s">
        <v>5023</v>
      </c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">
      <c r="A64" s="2" t="s">
        <v>4421</v>
      </c>
      <c r="B64" s="2" t="s">
        <v>3684</v>
      </c>
      <c r="C64" s="2" t="s">
        <v>5391</v>
      </c>
      <c r="D64" s="2" t="s">
        <v>5392</v>
      </c>
      <c r="E64" s="2" t="s">
        <v>5393</v>
      </c>
      <c r="F64" s="2" t="s">
        <v>5394</v>
      </c>
      <c r="G64" s="2" t="s">
        <v>5022</v>
      </c>
      <c r="H64" s="2" t="s">
        <v>5023</v>
      </c>
      <c r="I64" s="2" t="s">
        <v>5395</v>
      </c>
      <c r="J64" s="2"/>
      <c r="K64" s="2"/>
      <c r="L64" s="2"/>
      <c r="M64" s="2" t="s">
        <v>5396</v>
      </c>
      <c r="N64" s="2"/>
      <c r="O64" s="2"/>
      <c r="P64" s="2"/>
      <c r="Q64" s="2"/>
    </row>
    <row r="65" spans="1:17" x14ac:dyDescent="0.2">
      <c r="A65" s="2" t="s">
        <v>1133</v>
      </c>
      <c r="B65" s="2" t="s">
        <v>5379</v>
      </c>
      <c r="C65" s="2" t="s">
        <v>5397</v>
      </c>
      <c r="D65" s="2" t="s">
        <v>5398</v>
      </c>
      <c r="E65" s="2" t="s">
        <v>5399</v>
      </c>
      <c r="F65" s="2" t="s">
        <v>5400</v>
      </c>
      <c r="G65" s="2" t="s">
        <v>5022</v>
      </c>
      <c r="H65" s="2" t="s">
        <v>5023</v>
      </c>
      <c r="I65" s="2" t="s">
        <v>5401</v>
      </c>
      <c r="J65" s="2"/>
      <c r="K65" s="2"/>
      <c r="L65" s="2"/>
      <c r="M65" s="2"/>
      <c r="N65" s="2"/>
      <c r="O65" s="2"/>
      <c r="P65" s="2"/>
      <c r="Q65" s="2"/>
    </row>
    <row r="66" spans="1:17" x14ac:dyDescent="0.2">
      <c r="A66" s="2" t="s">
        <v>1572</v>
      </c>
      <c r="B66" s="2" t="s">
        <v>5402</v>
      </c>
      <c r="C66" s="2" t="s">
        <v>5075</v>
      </c>
      <c r="D66" s="2" t="s">
        <v>5075</v>
      </c>
      <c r="E66" s="2" t="s">
        <v>5403</v>
      </c>
      <c r="F66" s="2" t="s">
        <v>5404</v>
      </c>
      <c r="G66" s="2" t="s">
        <v>5022</v>
      </c>
      <c r="H66" s="2" t="s">
        <v>5023</v>
      </c>
      <c r="I66" s="2" t="s">
        <v>5405</v>
      </c>
      <c r="J66" s="2"/>
      <c r="K66" s="2"/>
      <c r="L66" s="2"/>
      <c r="M66" s="2" t="s">
        <v>5406</v>
      </c>
      <c r="N66" s="2"/>
      <c r="O66" s="2"/>
      <c r="P66" s="2"/>
      <c r="Q66" s="2"/>
    </row>
    <row r="67" spans="1:17" x14ac:dyDescent="0.2">
      <c r="A67" s="2" t="s">
        <v>4593</v>
      </c>
      <c r="B67" s="2" t="s">
        <v>5407</v>
      </c>
      <c r="C67" s="2" t="s">
        <v>5408</v>
      </c>
      <c r="D67" s="2" t="s">
        <v>5409</v>
      </c>
      <c r="E67" s="2" t="s">
        <v>5410</v>
      </c>
      <c r="F67" s="2" t="s">
        <v>5411</v>
      </c>
      <c r="G67" s="2" t="s">
        <v>5022</v>
      </c>
      <c r="H67" s="2" t="s">
        <v>5023</v>
      </c>
      <c r="I67" s="2" t="s">
        <v>5412</v>
      </c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2" t="s">
        <v>829</v>
      </c>
      <c r="B68" s="2" t="s">
        <v>5413</v>
      </c>
      <c r="C68" s="2" t="s">
        <v>5414</v>
      </c>
      <c r="D68" s="2" t="s">
        <v>5415</v>
      </c>
      <c r="E68" s="2" t="s">
        <v>5416</v>
      </c>
      <c r="F68" s="2" t="s">
        <v>5417</v>
      </c>
      <c r="G68" s="2" t="s">
        <v>5022</v>
      </c>
      <c r="H68" s="2" t="s">
        <v>5023</v>
      </c>
      <c r="I68" s="2" t="s">
        <v>5418</v>
      </c>
      <c r="J68" s="2"/>
      <c r="K68" s="2"/>
      <c r="L68" s="2"/>
      <c r="M68" s="2" t="s">
        <v>5419</v>
      </c>
      <c r="N68" s="2"/>
      <c r="O68" s="2"/>
      <c r="P68" s="2"/>
      <c r="Q68" s="2"/>
    </row>
    <row r="69" spans="1:17" x14ac:dyDescent="0.2">
      <c r="A69" s="2" t="s">
        <v>1066</v>
      </c>
      <c r="B69" s="2" t="s">
        <v>5420</v>
      </c>
      <c r="C69" s="2" t="s">
        <v>5421</v>
      </c>
      <c r="D69" s="2" t="s">
        <v>5422</v>
      </c>
      <c r="E69" s="2" t="s">
        <v>5423</v>
      </c>
      <c r="F69" s="2" t="s">
        <v>5424</v>
      </c>
      <c r="G69" s="2" t="s">
        <v>5022</v>
      </c>
      <c r="H69" s="2" t="s">
        <v>5023</v>
      </c>
      <c r="I69" s="2" t="s">
        <v>5425</v>
      </c>
      <c r="J69" s="2"/>
      <c r="K69" s="2"/>
      <c r="L69" s="2"/>
      <c r="M69" s="2" t="s">
        <v>5426</v>
      </c>
      <c r="N69" s="2"/>
      <c r="O69" s="2"/>
      <c r="P69" s="2"/>
      <c r="Q69" s="2"/>
    </row>
    <row r="70" spans="1:17" x14ac:dyDescent="0.2">
      <c r="A70" s="2" t="s">
        <v>3589</v>
      </c>
      <c r="B70" s="2" t="s">
        <v>5427</v>
      </c>
      <c r="C70" s="2" t="s">
        <v>5428</v>
      </c>
      <c r="D70" s="2" t="s">
        <v>5409</v>
      </c>
      <c r="E70" s="2" t="s">
        <v>5429</v>
      </c>
      <c r="F70" s="2" t="s">
        <v>5430</v>
      </c>
      <c r="G70" s="2" t="s">
        <v>5022</v>
      </c>
      <c r="H70" s="2" t="s">
        <v>5023</v>
      </c>
      <c r="I70" s="2" t="s">
        <v>5431</v>
      </c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2" t="s">
        <v>1246</v>
      </c>
      <c r="B71" s="2" t="s">
        <v>5432</v>
      </c>
      <c r="C71" s="2" t="s">
        <v>5433</v>
      </c>
      <c r="D71" s="2" t="s">
        <v>5381</v>
      </c>
      <c r="E71" s="2" t="s">
        <v>5434</v>
      </c>
      <c r="F71" s="2" t="s">
        <v>5435</v>
      </c>
      <c r="G71" s="2" t="s">
        <v>5022</v>
      </c>
      <c r="H71" s="2" t="s">
        <v>5023</v>
      </c>
      <c r="I71" s="2" t="s">
        <v>5436</v>
      </c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2" t="s">
        <v>2238</v>
      </c>
      <c r="B72" s="2" t="s">
        <v>5437</v>
      </c>
      <c r="C72" s="2" t="s">
        <v>5263</v>
      </c>
      <c r="D72" s="2" t="s">
        <v>5264</v>
      </c>
      <c r="E72" s="2" t="s">
        <v>5438</v>
      </c>
      <c r="F72" s="2" t="s">
        <v>5439</v>
      </c>
      <c r="G72" s="2" t="s">
        <v>5022</v>
      </c>
      <c r="H72" s="2" t="s">
        <v>5023</v>
      </c>
      <c r="I72" s="2" t="s">
        <v>5440</v>
      </c>
      <c r="J72" s="2"/>
      <c r="K72" s="2"/>
      <c r="L72" s="2"/>
      <c r="M72" s="2" t="s">
        <v>5441</v>
      </c>
      <c r="N72" s="2"/>
      <c r="O72" s="2"/>
      <c r="P72" s="2"/>
      <c r="Q72" s="2"/>
    </row>
    <row r="73" spans="1:17" x14ac:dyDescent="0.2">
      <c r="A73" s="2" t="s">
        <v>3832</v>
      </c>
      <c r="B73" s="2" t="s">
        <v>5442</v>
      </c>
      <c r="C73" s="2" t="s">
        <v>5443</v>
      </c>
      <c r="D73" s="2" t="s">
        <v>5444</v>
      </c>
      <c r="E73" s="2" t="s">
        <v>5445</v>
      </c>
      <c r="F73" s="2" t="s">
        <v>5446</v>
      </c>
      <c r="G73" s="2" t="s">
        <v>5022</v>
      </c>
      <c r="H73" s="2" t="s">
        <v>5023</v>
      </c>
      <c r="I73" s="2"/>
      <c r="J73" s="2"/>
      <c r="K73" s="2" t="s">
        <v>5447</v>
      </c>
      <c r="L73" s="2"/>
      <c r="M73" s="2"/>
      <c r="N73" s="2"/>
      <c r="O73" s="2"/>
      <c r="P73" s="2"/>
      <c r="Q73" s="2"/>
    </row>
    <row r="74" spans="1:17" x14ac:dyDescent="0.2">
      <c r="A74" s="2" t="s">
        <v>1165</v>
      </c>
      <c r="B74" s="2" t="s">
        <v>5448</v>
      </c>
      <c r="C74" s="2" t="s">
        <v>5449</v>
      </c>
      <c r="D74" s="2" t="s">
        <v>5275</v>
      </c>
      <c r="E74" s="2" t="s">
        <v>5450</v>
      </c>
      <c r="F74" s="2" t="s">
        <v>5128</v>
      </c>
      <c r="G74" s="2" t="s">
        <v>5022</v>
      </c>
      <c r="H74" s="2" t="s">
        <v>5023</v>
      </c>
      <c r="I74" s="2"/>
      <c r="J74" s="2"/>
      <c r="K74" s="2" t="s">
        <v>5451</v>
      </c>
      <c r="L74" s="2"/>
      <c r="M74" s="2"/>
      <c r="N74" s="2"/>
      <c r="O74" s="2"/>
      <c r="P74" s="2"/>
      <c r="Q74" s="2"/>
    </row>
    <row r="75" spans="1:17" x14ac:dyDescent="0.2">
      <c r="A75" s="2" t="s">
        <v>655</v>
      </c>
      <c r="B75" s="2" t="s">
        <v>5452</v>
      </c>
      <c r="C75" s="2" t="s">
        <v>5126</v>
      </c>
      <c r="D75" s="2" t="s">
        <v>5453</v>
      </c>
      <c r="E75" s="2" t="s">
        <v>5454</v>
      </c>
      <c r="F75" s="2" t="s">
        <v>5455</v>
      </c>
      <c r="G75" s="2" t="s">
        <v>5022</v>
      </c>
      <c r="H75" s="2" t="s">
        <v>5023</v>
      </c>
      <c r="I75" s="2" t="s">
        <v>5456</v>
      </c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2" t="s">
        <v>357</v>
      </c>
      <c r="B76" s="2" t="s">
        <v>5457</v>
      </c>
      <c r="C76" s="2" t="s">
        <v>5458</v>
      </c>
      <c r="D76" s="2" t="s">
        <v>5459</v>
      </c>
      <c r="E76" s="2" t="s">
        <v>5460</v>
      </c>
      <c r="F76" s="2" t="s">
        <v>5128</v>
      </c>
      <c r="G76" s="2" t="s">
        <v>5022</v>
      </c>
      <c r="H76" s="2" t="s">
        <v>5023</v>
      </c>
      <c r="I76" s="2"/>
      <c r="J76" s="2"/>
      <c r="K76" s="2" t="s">
        <v>5461</v>
      </c>
      <c r="L76" s="2"/>
      <c r="M76" s="2"/>
      <c r="N76" s="2"/>
      <c r="O76" s="2"/>
      <c r="P76" s="2"/>
      <c r="Q76" s="2"/>
    </row>
    <row r="77" spans="1:17" x14ac:dyDescent="0.2">
      <c r="A77" s="2" t="s">
        <v>892</v>
      </c>
      <c r="B77" s="2" t="s">
        <v>5462</v>
      </c>
      <c r="C77" s="2" t="s">
        <v>5463</v>
      </c>
      <c r="D77" s="2" t="s">
        <v>5159</v>
      </c>
      <c r="E77" s="2" t="s">
        <v>5464</v>
      </c>
      <c r="F77" s="2" t="s">
        <v>5465</v>
      </c>
      <c r="G77" s="2" t="s">
        <v>5022</v>
      </c>
      <c r="H77" s="2" t="s">
        <v>5023</v>
      </c>
      <c r="I77" s="2" t="s">
        <v>5466</v>
      </c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 t="s">
        <v>2899</v>
      </c>
      <c r="B78" s="2" t="s">
        <v>5198</v>
      </c>
      <c r="C78" s="2" t="s">
        <v>5467</v>
      </c>
      <c r="D78" s="2" t="s">
        <v>5468</v>
      </c>
      <c r="E78" s="2" t="s">
        <v>5469</v>
      </c>
      <c r="F78" s="2" t="s">
        <v>5470</v>
      </c>
      <c r="G78" s="2" t="s">
        <v>5022</v>
      </c>
      <c r="H78" s="2" t="s">
        <v>5023</v>
      </c>
      <c r="I78" s="2" t="s">
        <v>5471</v>
      </c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2" t="s">
        <v>548</v>
      </c>
      <c r="B79" s="2" t="s">
        <v>5472</v>
      </c>
      <c r="C79" s="2" t="s">
        <v>5473</v>
      </c>
      <c r="D79" s="2" t="s">
        <v>5474</v>
      </c>
      <c r="E79" s="2" t="s">
        <v>5475</v>
      </c>
      <c r="F79" s="2" t="s">
        <v>5476</v>
      </c>
      <c r="G79" s="2" t="s">
        <v>5022</v>
      </c>
      <c r="H79" s="2" t="s">
        <v>5023</v>
      </c>
      <c r="I79" s="2" t="s">
        <v>5477</v>
      </c>
      <c r="J79" s="2"/>
      <c r="K79" s="2"/>
      <c r="L79" s="2"/>
      <c r="M79" s="2" t="s">
        <v>5478</v>
      </c>
      <c r="N79" s="2"/>
      <c r="O79" s="2"/>
      <c r="P79" s="2"/>
      <c r="Q79" s="2"/>
    </row>
    <row r="80" spans="1:17" x14ac:dyDescent="0.2">
      <c r="A80" s="2" t="s">
        <v>4144</v>
      </c>
      <c r="B80" s="2" t="s">
        <v>5479</v>
      </c>
      <c r="C80" s="2" t="s">
        <v>5480</v>
      </c>
      <c r="D80" s="2" t="s">
        <v>5481</v>
      </c>
      <c r="E80" s="2" t="s">
        <v>5482</v>
      </c>
      <c r="F80" s="2" t="s">
        <v>5128</v>
      </c>
      <c r="G80" s="2" t="s">
        <v>5022</v>
      </c>
      <c r="H80" s="2" t="s">
        <v>5023</v>
      </c>
      <c r="I80" s="2" t="s">
        <v>5483</v>
      </c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2" t="s">
        <v>1881</v>
      </c>
      <c r="B81" s="2" t="s">
        <v>293</v>
      </c>
      <c r="C81" s="2" t="s">
        <v>5241</v>
      </c>
      <c r="D81" s="2" t="s">
        <v>5484</v>
      </c>
      <c r="E81" s="2" t="s">
        <v>5485</v>
      </c>
      <c r="F81" s="2" t="s">
        <v>5486</v>
      </c>
      <c r="G81" s="2" t="s">
        <v>5022</v>
      </c>
      <c r="H81" s="2" t="s">
        <v>5023</v>
      </c>
      <c r="I81" s="2"/>
      <c r="J81" s="2"/>
      <c r="K81" s="2" t="s">
        <v>5487</v>
      </c>
      <c r="L81" s="2"/>
      <c r="M81" s="2"/>
      <c r="N81" s="2"/>
      <c r="O81" s="2"/>
      <c r="P81" s="2"/>
      <c r="Q81" s="2"/>
    </row>
    <row r="82" spans="1:17" x14ac:dyDescent="0.2">
      <c r="A82" s="2" t="s">
        <v>112</v>
      </c>
      <c r="B82" s="2" t="s">
        <v>5488</v>
      </c>
      <c r="C82" s="2" t="s">
        <v>5489</v>
      </c>
      <c r="D82" s="2" t="s">
        <v>5490</v>
      </c>
      <c r="E82" s="2" t="s">
        <v>5253</v>
      </c>
      <c r="F82" s="2" t="s">
        <v>5491</v>
      </c>
      <c r="G82" s="2" t="s">
        <v>5022</v>
      </c>
      <c r="H82" s="2" t="s">
        <v>5023</v>
      </c>
      <c r="I82" s="2" t="s">
        <v>5492</v>
      </c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2" t="s">
        <v>1440</v>
      </c>
      <c r="B83" s="2" t="s">
        <v>2345</v>
      </c>
      <c r="C83" s="2" t="s">
        <v>5269</v>
      </c>
      <c r="D83" s="2" t="s">
        <v>5493</v>
      </c>
      <c r="E83" s="2" t="s">
        <v>5494</v>
      </c>
      <c r="F83" s="2" t="s">
        <v>5495</v>
      </c>
      <c r="G83" s="2" t="s">
        <v>5022</v>
      </c>
      <c r="H83" s="2" t="s">
        <v>5023</v>
      </c>
      <c r="I83" s="2" t="s">
        <v>5496</v>
      </c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2" t="s">
        <v>1542</v>
      </c>
      <c r="B84" s="2" t="s">
        <v>5497</v>
      </c>
      <c r="C84" s="2" t="s">
        <v>5498</v>
      </c>
      <c r="D84" s="2" t="s">
        <v>5499</v>
      </c>
      <c r="E84" s="2" t="s">
        <v>5450</v>
      </c>
      <c r="F84" s="2" t="s">
        <v>5500</v>
      </c>
      <c r="G84" s="2" t="s">
        <v>5022</v>
      </c>
      <c r="H84" s="2" t="s">
        <v>5023</v>
      </c>
      <c r="I84" s="2" t="s">
        <v>5501</v>
      </c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 t="s">
        <v>3591</v>
      </c>
      <c r="B85" s="2" t="s">
        <v>5502</v>
      </c>
      <c r="C85" s="2" t="s">
        <v>5503</v>
      </c>
      <c r="D85" s="2" t="s">
        <v>5504</v>
      </c>
      <c r="E85" s="2" t="s">
        <v>5505</v>
      </c>
      <c r="F85" s="2" t="s">
        <v>5506</v>
      </c>
      <c r="G85" s="2" t="s">
        <v>5022</v>
      </c>
      <c r="H85" s="2" t="s">
        <v>5023</v>
      </c>
      <c r="I85" s="2" t="s">
        <v>5507</v>
      </c>
      <c r="J85" s="2"/>
      <c r="K85" s="2"/>
      <c r="L85" s="2"/>
      <c r="M85" s="2" t="s">
        <v>5508</v>
      </c>
      <c r="N85" s="2"/>
      <c r="O85" s="2"/>
      <c r="P85" s="2"/>
      <c r="Q85" s="2"/>
    </row>
    <row r="86" spans="1:17" x14ac:dyDescent="0.2">
      <c r="A86" s="2" t="s">
        <v>3398</v>
      </c>
      <c r="B86" s="2" t="s">
        <v>5509</v>
      </c>
      <c r="C86" s="2" t="s">
        <v>5510</v>
      </c>
      <c r="D86" s="2" t="s">
        <v>5511</v>
      </c>
      <c r="E86" s="2" t="s">
        <v>5512</v>
      </c>
      <c r="F86" s="2" t="s">
        <v>5513</v>
      </c>
      <c r="G86" s="2" t="s">
        <v>5022</v>
      </c>
      <c r="H86" s="2" t="s">
        <v>5023</v>
      </c>
      <c r="I86" s="2" t="s">
        <v>5514</v>
      </c>
      <c r="J86" s="2"/>
      <c r="K86" s="2"/>
      <c r="L86" s="2"/>
      <c r="M86" s="2" t="s">
        <v>5515</v>
      </c>
      <c r="N86" s="2"/>
      <c r="O86" s="2"/>
      <c r="P86" s="2"/>
      <c r="Q86" s="2"/>
    </row>
    <row r="87" spans="1:17" x14ac:dyDescent="0.2">
      <c r="A87" s="2" t="s">
        <v>1442</v>
      </c>
      <c r="B87" s="2" t="s">
        <v>5516</v>
      </c>
      <c r="C87" s="2" t="s">
        <v>5474</v>
      </c>
      <c r="D87" s="2" t="s">
        <v>5517</v>
      </c>
      <c r="E87" s="2" t="s">
        <v>5518</v>
      </c>
      <c r="F87" s="2" t="s">
        <v>5519</v>
      </c>
      <c r="G87" s="2" t="s">
        <v>5022</v>
      </c>
      <c r="H87" s="2" t="s">
        <v>5023</v>
      </c>
      <c r="I87" s="2" t="s">
        <v>5520</v>
      </c>
      <c r="J87" s="2"/>
      <c r="K87" s="2"/>
      <c r="L87" s="2"/>
      <c r="M87" s="2" t="s">
        <v>5521</v>
      </c>
      <c r="N87" s="2"/>
      <c r="O87" s="2"/>
      <c r="P87" s="2"/>
      <c r="Q87" s="2"/>
    </row>
    <row r="88" spans="1:17" x14ac:dyDescent="0.2">
      <c r="A88" s="2" t="s">
        <v>1770</v>
      </c>
      <c r="B88" s="2" t="s">
        <v>5522</v>
      </c>
      <c r="C88" s="2" t="s">
        <v>5523</v>
      </c>
      <c r="D88" s="2" t="s">
        <v>5152</v>
      </c>
      <c r="E88" s="2" t="s">
        <v>5524</v>
      </c>
      <c r="F88" s="2" t="s">
        <v>5525</v>
      </c>
      <c r="G88" s="2" t="s">
        <v>5022</v>
      </c>
      <c r="H88" s="2" t="s">
        <v>5023</v>
      </c>
      <c r="I88" s="2" t="s">
        <v>5526</v>
      </c>
      <c r="J88" s="2"/>
      <c r="K88" s="2"/>
      <c r="L88" s="2"/>
      <c r="M88" s="2" t="s">
        <v>5527</v>
      </c>
      <c r="N88" s="2"/>
      <c r="O88" s="2"/>
      <c r="P88" s="2"/>
      <c r="Q88" s="2"/>
    </row>
    <row r="89" spans="1:17" x14ac:dyDescent="0.2">
      <c r="A89" s="2" t="s">
        <v>3180</v>
      </c>
      <c r="B89" s="2" t="s">
        <v>5528</v>
      </c>
      <c r="C89" s="2" t="s">
        <v>5529</v>
      </c>
      <c r="D89" s="2" t="s">
        <v>5530</v>
      </c>
      <c r="E89" s="2" t="s">
        <v>5531</v>
      </c>
      <c r="F89" s="2" t="s">
        <v>5532</v>
      </c>
      <c r="G89" s="2" t="s">
        <v>5022</v>
      </c>
      <c r="H89" s="2" t="s">
        <v>5023</v>
      </c>
      <c r="I89" s="2"/>
      <c r="J89" s="2"/>
      <c r="K89" s="2" t="s">
        <v>5533</v>
      </c>
      <c r="L89" s="2"/>
      <c r="M89" s="2"/>
      <c r="N89" s="2"/>
      <c r="O89" s="2"/>
      <c r="P89" s="2"/>
      <c r="Q89" s="2"/>
    </row>
    <row r="90" spans="1:17" x14ac:dyDescent="0.2">
      <c r="A90" s="2" t="s">
        <v>3080</v>
      </c>
      <c r="B90" s="2" t="s">
        <v>5534</v>
      </c>
      <c r="C90" s="2" t="s">
        <v>5535</v>
      </c>
      <c r="D90" s="2" t="s">
        <v>5536</v>
      </c>
      <c r="E90" s="2" t="s">
        <v>5537</v>
      </c>
      <c r="F90" s="2" t="s">
        <v>5439</v>
      </c>
      <c r="G90" s="2" t="s">
        <v>5022</v>
      </c>
      <c r="H90" s="2" t="s">
        <v>5023</v>
      </c>
      <c r="I90" s="2" t="s">
        <v>5538</v>
      </c>
      <c r="J90" s="2"/>
      <c r="K90" s="2"/>
      <c r="L90" s="2"/>
      <c r="M90" s="2" t="s">
        <v>5539</v>
      </c>
      <c r="N90" s="2"/>
      <c r="O90" s="2"/>
      <c r="P90" s="2"/>
      <c r="Q90" s="2"/>
    </row>
    <row r="91" spans="1:17" x14ac:dyDescent="0.2">
      <c r="A91" s="2" t="s">
        <v>3514</v>
      </c>
      <c r="B91" s="2" t="s">
        <v>4360</v>
      </c>
      <c r="C91" s="2" t="s">
        <v>5339</v>
      </c>
      <c r="D91" s="2" t="s">
        <v>5540</v>
      </c>
      <c r="E91" s="2" t="s">
        <v>5541</v>
      </c>
      <c r="F91" s="2" t="s">
        <v>5542</v>
      </c>
      <c r="G91" s="2" t="s">
        <v>5022</v>
      </c>
      <c r="H91" s="2" t="s">
        <v>5023</v>
      </c>
      <c r="I91" s="2" t="s">
        <v>5543</v>
      </c>
      <c r="J91" s="2"/>
      <c r="K91" s="2"/>
      <c r="L91" s="2"/>
      <c r="M91" s="2" t="s">
        <v>5544</v>
      </c>
      <c r="N91" s="2"/>
      <c r="O91" s="2"/>
      <c r="P91" s="2"/>
      <c r="Q91" s="2"/>
    </row>
    <row r="92" spans="1:17" x14ac:dyDescent="0.2">
      <c r="A92" s="2" t="s">
        <v>4197</v>
      </c>
      <c r="B92" s="2" t="s">
        <v>5545</v>
      </c>
      <c r="C92" s="2" t="s">
        <v>5546</v>
      </c>
      <c r="D92" s="2" t="s">
        <v>5547</v>
      </c>
      <c r="E92" s="2" t="s">
        <v>5548</v>
      </c>
      <c r="F92" s="2" t="s">
        <v>5549</v>
      </c>
      <c r="G92" s="2" t="s">
        <v>5022</v>
      </c>
      <c r="H92" s="2" t="s">
        <v>5023</v>
      </c>
      <c r="I92" s="2" t="s">
        <v>5550</v>
      </c>
      <c r="J92" s="2"/>
      <c r="K92" s="2"/>
      <c r="L92" s="2"/>
      <c r="M92" s="2" t="s">
        <v>5551</v>
      </c>
      <c r="N92" s="2"/>
      <c r="O92" s="2"/>
      <c r="P92" s="2"/>
      <c r="Q92" s="2"/>
    </row>
    <row r="93" spans="1:17" x14ac:dyDescent="0.2">
      <c r="A93" s="2" t="s">
        <v>3823</v>
      </c>
      <c r="B93" s="2" t="s">
        <v>1553</v>
      </c>
      <c r="C93" s="2" t="s">
        <v>5552</v>
      </c>
      <c r="D93" s="2" t="s">
        <v>5553</v>
      </c>
      <c r="E93" s="2" t="s">
        <v>5554</v>
      </c>
      <c r="F93" s="2" t="s">
        <v>5555</v>
      </c>
      <c r="G93" s="2" t="s">
        <v>5022</v>
      </c>
      <c r="H93" s="2" t="s">
        <v>5023</v>
      </c>
      <c r="I93" s="2"/>
      <c r="J93" s="2"/>
      <c r="K93" s="2" t="s">
        <v>5556</v>
      </c>
      <c r="L93" s="2"/>
      <c r="M93" s="2"/>
      <c r="N93" s="2"/>
      <c r="O93" s="2"/>
      <c r="P93" s="2"/>
      <c r="Q93" s="2"/>
    </row>
    <row r="94" spans="1:17" x14ac:dyDescent="0.2">
      <c r="A94" s="2" t="s">
        <v>2157</v>
      </c>
      <c r="B94" s="2" t="s">
        <v>5557</v>
      </c>
      <c r="C94" s="2" t="s">
        <v>5087</v>
      </c>
      <c r="D94" s="2" t="s">
        <v>5357</v>
      </c>
      <c r="E94" s="2" t="s">
        <v>5558</v>
      </c>
      <c r="F94" s="2" t="s">
        <v>5559</v>
      </c>
      <c r="G94" s="2" t="s">
        <v>5022</v>
      </c>
      <c r="H94" s="2" t="s">
        <v>5023</v>
      </c>
      <c r="I94" s="2" t="s">
        <v>5560</v>
      </c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2" t="s">
        <v>62</v>
      </c>
      <c r="B95" s="2" t="s">
        <v>5561</v>
      </c>
      <c r="C95" s="2" t="s">
        <v>5409</v>
      </c>
      <c r="D95" s="2" t="s">
        <v>5562</v>
      </c>
      <c r="E95" s="2" t="s">
        <v>5563</v>
      </c>
      <c r="F95" s="2" t="s">
        <v>5564</v>
      </c>
      <c r="G95" s="2" t="s">
        <v>5022</v>
      </c>
      <c r="H95" s="2" t="s">
        <v>5023</v>
      </c>
      <c r="I95" s="2" t="s">
        <v>5565</v>
      </c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2" t="s">
        <v>1279</v>
      </c>
      <c r="B96" s="2" t="s">
        <v>5566</v>
      </c>
      <c r="C96" s="2" t="s">
        <v>5567</v>
      </c>
      <c r="D96" s="2" t="s">
        <v>5568</v>
      </c>
      <c r="E96" s="2" t="s">
        <v>5569</v>
      </c>
      <c r="F96" s="2" t="s">
        <v>5570</v>
      </c>
      <c r="G96" s="2" t="s">
        <v>5022</v>
      </c>
      <c r="H96" s="2" t="s">
        <v>5023</v>
      </c>
      <c r="I96" s="2" t="s">
        <v>5571</v>
      </c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2" t="s">
        <v>91</v>
      </c>
      <c r="B97" s="2" t="s">
        <v>5572</v>
      </c>
      <c r="C97" s="2" t="s">
        <v>5573</v>
      </c>
      <c r="D97" s="2" t="s">
        <v>5574</v>
      </c>
      <c r="E97" s="2" t="s">
        <v>5135</v>
      </c>
      <c r="F97" s="2" t="s">
        <v>5377</v>
      </c>
      <c r="G97" s="2" t="s">
        <v>5022</v>
      </c>
      <c r="H97" s="2" t="s">
        <v>5023</v>
      </c>
      <c r="I97" s="2" t="s">
        <v>5575</v>
      </c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2" t="s">
        <v>786</v>
      </c>
      <c r="B98" s="2" t="s">
        <v>5576</v>
      </c>
      <c r="C98" s="2" t="s">
        <v>5474</v>
      </c>
      <c r="D98" s="2" t="s">
        <v>5577</v>
      </c>
      <c r="E98" s="2" t="s">
        <v>5578</v>
      </c>
      <c r="F98" s="2" t="s">
        <v>5579</v>
      </c>
      <c r="G98" s="2" t="s">
        <v>5022</v>
      </c>
      <c r="H98" s="2" t="s">
        <v>5023</v>
      </c>
      <c r="I98" s="2" t="s">
        <v>5580</v>
      </c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2" t="s">
        <v>3935</v>
      </c>
      <c r="B99" s="2" t="s">
        <v>5581</v>
      </c>
      <c r="C99" s="2" t="s">
        <v>5582</v>
      </c>
      <c r="D99" s="2" t="s">
        <v>5409</v>
      </c>
      <c r="E99" s="2" t="s">
        <v>5583</v>
      </c>
      <c r="F99" s="2" t="s">
        <v>5584</v>
      </c>
      <c r="G99" s="2" t="s">
        <v>5022</v>
      </c>
      <c r="H99" s="2" t="s">
        <v>5023</v>
      </c>
      <c r="I99" s="2" t="s">
        <v>5585</v>
      </c>
      <c r="J99" s="2"/>
      <c r="K99" s="2"/>
      <c r="L99" s="2"/>
      <c r="M99" s="2" t="s">
        <v>5586</v>
      </c>
      <c r="N99" s="2"/>
      <c r="O99" s="2"/>
      <c r="P99" s="2"/>
      <c r="Q99" s="2"/>
    </row>
    <row r="100" spans="1:17" x14ac:dyDescent="0.2">
      <c r="A100" s="2" t="s">
        <v>3863</v>
      </c>
      <c r="B100" s="2" t="s">
        <v>5587</v>
      </c>
      <c r="C100" s="2" t="s">
        <v>5076</v>
      </c>
      <c r="D100" s="2" t="s">
        <v>5588</v>
      </c>
      <c r="E100" s="2" t="s">
        <v>5589</v>
      </c>
      <c r="F100" s="2" t="s">
        <v>5590</v>
      </c>
      <c r="G100" s="2" t="s">
        <v>5022</v>
      </c>
      <c r="H100" s="2" t="s">
        <v>5023</v>
      </c>
      <c r="I100" s="2" t="s">
        <v>5591</v>
      </c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2" t="s">
        <v>711</v>
      </c>
      <c r="B101" s="2" t="s">
        <v>5566</v>
      </c>
      <c r="C101" s="2" t="s">
        <v>5592</v>
      </c>
      <c r="D101" s="2" t="s">
        <v>5593</v>
      </c>
      <c r="E101" s="2" t="s">
        <v>5594</v>
      </c>
      <c r="F101" s="2" t="s">
        <v>5595</v>
      </c>
      <c r="G101" s="2" t="s">
        <v>5022</v>
      </c>
      <c r="H101" s="2" t="s">
        <v>5023</v>
      </c>
      <c r="I101" s="2" t="s">
        <v>5596</v>
      </c>
      <c r="J101" s="2"/>
      <c r="K101" s="2"/>
      <c r="L101" s="2"/>
      <c r="M101" s="2" t="s">
        <v>5597</v>
      </c>
      <c r="N101" s="2"/>
      <c r="O101" s="2"/>
      <c r="P101" s="2"/>
      <c r="Q101" s="2"/>
    </row>
    <row r="102" spans="1:17" x14ac:dyDescent="0.2">
      <c r="A102" s="2" t="s">
        <v>3652</v>
      </c>
      <c r="B102" s="2" t="s">
        <v>5598</v>
      </c>
      <c r="C102" s="2" t="s">
        <v>5599</v>
      </c>
      <c r="D102" s="2" t="s">
        <v>5057</v>
      </c>
      <c r="E102" s="2" t="s">
        <v>5600</v>
      </c>
      <c r="F102" s="2" t="s">
        <v>5601</v>
      </c>
      <c r="G102" s="2" t="s">
        <v>5022</v>
      </c>
      <c r="H102" s="2" t="s">
        <v>5023</v>
      </c>
      <c r="I102" s="2" t="s">
        <v>5602</v>
      </c>
      <c r="J102" s="2"/>
      <c r="K102" s="2"/>
      <c r="L102" s="2"/>
      <c r="M102" s="2" t="s">
        <v>5603</v>
      </c>
      <c r="N102" s="2"/>
      <c r="O102" s="2"/>
      <c r="P102" s="2"/>
      <c r="Q102" s="2"/>
    </row>
    <row r="103" spans="1:17" x14ac:dyDescent="0.2">
      <c r="A103" s="2" t="s">
        <v>2395</v>
      </c>
      <c r="B103" s="2" t="s">
        <v>5604</v>
      </c>
      <c r="C103" s="2" t="s">
        <v>5605</v>
      </c>
      <c r="D103" s="2" t="s">
        <v>5606</v>
      </c>
      <c r="E103" s="2" t="s">
        <v>5607</v>
      </c>
      <c r="F103" s="2" t="s">
        <v>5608</v>
      </c>
      <c r="G103" s="2" t="s">
        <v>5022</v>
      </c>
      <c r="H103" s="2" t="s">
        <v>5023</v>
      </c>
      <c r="I103" s="2" t="s">
        <v>5609</v>
      </c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2" t="s">
        <v>2041</v>
      </c>
      <c r="B104" s="2" t="s">
        <v>5610</v>
      </c>
      <c r="C104" s="2" t="s">
        <v>5611</v>
      </c>
      <c r="D104" s="2" t="s">
        <v>5612</v>
      </c>
      <c r="E104" s="2" t="s">
        <v>5613</v>
      </c>
      <c r="F104" s="2" t="s">
        <v>5614</v>
      </c>
      <c r="G104" s="2" t="s">
        <v>5022</v>
      </c>
      <c r="H104" s="2" t="s">
        <v>5023</v>
      </c>
      <c r="I104" s="2"/>
      <c r="J104" s="2"/>
      <c r="K104" s="2" t="s">
        <v>5615</v>
      </c>
      <c r="L104" s="2"/>
      <c r="M104" s="2"/>
      <c r="N104" s="2"/>
      <c r="O104" s="2"/>
      <c r="P104" s="2"/>
      <c r="Q104" s="2"/>
    </row>
    <row r="105" spans="1:17" x14ac:dyDescent="0.2">
      <c r="A105" s="2" t="s">
        <v>4604</v>
      </c>
      <c r="B105" s="2" t="s">
        <v>5616</v>
      </c>
      <c r="C105" s="2" t="s">
        <v>5282</v>
      </c>
      <c r="D105" s="2" t="s">
        <v>5617</v>
      </c>
      <c r="E105" s="2" t="s">
        <v>5618</v>
      </c>
      <c r="F105" s="2" t="s">
        <v>5619</v>
      </c>
      <c r="G105" s="2" t="s">
        <v>5022</v>
      </c>
      <c r="H105" s="2" t="s">
        <v>5023</v>
      </c>
      <c r="I105" s="2" t="s">
        <v>5620</v>
      </c>
      <c r="J105" s="2"/>
      <c r="K105" s="2"/>
      <c r="L105" s="2"/>
      <c r="M105" s="2" t="s">
        <v>5621</v>
      </c>
      <c r="N105" s="2"/>
      <c r="O105" s="2"/>
      <c r="P105" s="2"/>
      <c r="Q105" s="2"/>
    </row>
    <row r="106" spans="1:17" x14ac:dyDescent="0.2">
      <c r="A106" s="2" t="s">
        <v>1210</v>
      </c>
      <c r="B106" s="2" t="s">
        <v>5622</v>
      </c>
      <c r="C106" s="2" t="s">
        <v>5623</v>
      </c>
      <c r="D106" s="2" t="s">
        <v>5623</v>
      </c>
      <c r="E106" s="2" t="s">
        <v>5624</v>
      </c>
      <c r="F106" s="2" t="s">
        <v>5625</v>
      </c>
      <c r="G106" s="2" t="s">
        <v>5022</v>
      </c>
      <c r="H106" s="2" t="s">
        <v>5023</v>
      </c>
      <c r="I106" s="2" t="s">
        <v>5626</v>
      </c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2" t="s">
        <v>3359</v>
      </c>
      <c r="B107" s="2" t="s">
        <v>5627</v>
      </c>
      <c r="C107" s="2" t="s">
        <v>5183</v>
      </c>
      <c r="D107" s="2" t="s">
        <v>5511</v>
      </c>
      <c r="E107" s="2" t="s">
        <v>5628</v>
      </c>
      <c r="F107" s="2" t="s">
        <v>5629</v>
      </c>
      <c r="G107" s="2" t="s">
        <v>5022</v>
      </c>
      <c r="H107" s="2" t="s">
        <v>5023</v>
      </c>
      <c r="I107" s="2" t="s">
        <v>5630</v>
      </c>
      <c r="J107" s="2"/>
      <c r="K107" s="2"/>
      <c r="L107" s="2"/>
      <c r="M107" s="2" t="s">
        <v>5631</v>
      </c>
      <c r="N107" s="2"/>
      <c r="O107" s="2"/>
      <c r="P107" s="2"/>
      <c r="Q107" s="2"/>
    </row>
    <row r="108" spans="1:17" x14ac:dyDescent="0.2">
      <c r="A108" s="2" t="s">
        <v>509</v>
      </c>
      <c r="B108" s="2" t="s">
        <v>5632</v>
      </c>
      <c r="C108" s="2" t="s">
        <v>5633</v>
      </c>
      <c r="D108" s="2" t="s">
        <v>5634</v>
      </c>
      <c r="E108" s="2" t="s">
        <v>5253</v>
      </c>
      <c r="F108" s="2" t="s">
        <v>5635</v>
      </c>
      <c r="G108" s="2" t="s">
        <v>5022</v>
      </c>
      <c r="H108" s="2" t="s">
        <v>5023</v>
      </c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2" t="s">
        <v>665</v>
      </c>
      <c r="B109" s="2" t="s">
        <v>5636</v>
      </c>
      <c r="C109" s="2" t="s">
        <v>5637</v>
      </c>
      <c r="D109" s="2" t="s">
        <v>5638</v>
      </c>
      <c r="E109" s="2" t="s">
        <v>5639</v>
      </c>
      <c r="F109" s="2" t="s">
        <v>5640</v>
      </c>
      <c r="G109" s="2" t="s">
        <v>5022</v>
      </c>
      <c r="H109" s="2" t="s">
        <v>5023</v>
      </c>
      <c r="I109" s="2" t="s">
        <v>5641</v>
      </c>
      <c r="J109" s="2"/>
      <c r="K109" s="2"/>
      <c r="L109" s="2"/>
      <c r="M109" s="2" t="s">
        <v>5642</v>
      </c>
      <c r="N109" s="2"/>
      <c r="O109" s="2"/>
      <c r="P109" s="2"/>
      <c r="Q109" s="2"/>
    </row>
    <row r="110" spans="1:17" x14ac:dyDescent="0.2">
      <c r="A110" s="2" t="s">
        <v>944</v>
      </c>
      <c r="B110" s="2" t="s">
        <v>5643</v>
      </c>
      <c r="C110" s="2" t="s">
        <v>5644</v>
      </c>
      <c r="D110" s="2" t="s">
        <v>5645</v>
      </c>
      <c r="E110" s="2" t="s">
        <v>5646</v>
      </c>
      <c r="F110" s="2" t="s">
        <v>5647</v>
      </c>
      <c r="G110" s="2" t="s">
        <v>5022</v>
      </c>
      <c r="H110" s="2" t="s">
        <v>5023</v>
      </c>
      <c r="I110" s="2"/>
      <c r="J110" s="2"/>
      <c r="K110" s="2" t="s">
        <v>5648</v>
      </c>
      <c r="L110" s="2"/>
      <c r="M110" s="2"/>
      <c r="N110" s="2"/>
      <c r="O110" s="2"/>
      <c r="P110" s="2"/>
      <c r="Q110" s="2"/>
    </row>
    <row r="111" spans="1:17" x14ac:dyDescent="0.2">
      <c r="A111" s="2" t="s">
        <v>3772</v>
      </c>
      <c r="B111" s="2" t="s">
        <v>4763</v>
      </c>
      <c r="C111" s="2" t="s">
        <v>5081</v>
      </c>
      <c r="D111" s="2" t="s">
        <v>5649</v>
      </c>
      <c r="E111" s="2" t="s">
        <v>5230</v>
      </c>
      <c r="F111" s="2" t="s">
        <v>5650</v>
      </c>
      <c r="G111" s="2" t="s">
        <v>5022</v>
      </c>
      <c r="H111" s="2" t="s">
        <v>5023</v>
      </c>
      <c r="I111" s="2" t="s">
        <v>5651</v>
      </c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2" t="s">
        <v>3167</v>
      </c>
      <c r="B112" s="2" t="s">
        <v>4360</v>
      </c>
      <c r="C112" s="2" t="s">
        <v>5306</v>
      </c>
      <c r="D112" s="2" t="s">
        <v>5306</v>
      </c>
      <c r="E112" s="2" t="s">
        <v>5652</v>
      </c>
      <c r="F112" s="2" t="s">
        <v>5653</v>
      </c>
      <c r="G112" s="2" t="s">
        <v>5022</v>
      </c>
      <c r="H112" s="2" t="s">
        <v>5023</v>
      </c>
      <c r="I112" s="2" t="s">
        <v>5654</v>
      </c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2" t="s">
        <v>462</v>
      </c>
      <c r="B113" s="2" t="s">
        <v>5655</v>
      </c>
      <c r="C113" s="2" t="s">
        <v>5656</v>
      </c>
      <c r="D113" s="2" t="s">
        <v>5657</v>
      </c>
      <c r="E113" s="2" t="s">
        <v>5100</v>
      </c>
      <c r="F113" s="2" t="s">
        <v>5658</v>
      </c>
      <c r="G113" s="2" t="s">
        <v>5022</v>
      </c>
      <c r="H113" s="2" t="s">
        <v>5023</v>
      </c>
      <c r="I113" s="2" t="s">
        <v>5659</v>
      </c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2" t="s">
        <v>2382</v>
      </c>
      <c r="B114" s="2" t="s">
        <v>5660</v>
      </c>
      <c r="C114" s="2" t="s">
        <v>5661</v>
      </c>
      <c r="D114" s="2" t="s">
        <v>5189</v>
      </c>
      <c r="E114" s="2" t="s">
        <v>5662</v>
      </c>
      <c r="F114" s="2" t="s">
        <v>5663</v>
      </c>
      <c r="G114" s="2" t="s">
        <v>5022</v>
      </c>
      <c r="H114" s="2" t="s">
        <v>5023</v>
      </c>
      <c r="I114" s="2"/>
      <c r="J114" s="2"/>
      <c r="K114" s="2" t="s">
        <v>5664</v>
      </c>
      <c r="L114" s="2"/>
      <c r="M114" s="2"/>
      <c r="N114" s="2"/>
      <c r="O114" s="2"/>
      <c r="P114" s="2"/>
      <c r="Q114" s="2"/>
    </row>
    <row r="115" spans="1:17" x14ac:dyDescent="0.2">
      <c r="A115" s="2" t="s">
        <v>4900</v>
      </c>
      <c r="B115" s="2" t="s">
        <v>5665</v>
      </c>
      <c r="C115" s="2" t="s">
        <v>5666</v>
      </c>
      <c r="D115" s="2" t="s">
        <v>5667</v>
      </c>
      <c r="E115" s="2" t="s">
        <v>5668</v>
      </c>
      <c r="F115" s="2" t="s">
        <v>5669</v>
      </c>
      <c r="G115" s="2" t="s">
        <v>5022</v>
      </c>
      <c r="H115" s="2" t="s">
        <v>5023</v>
      </c>
      <c r="I115" s="2" t="s">
        <v>5670</v>
      </c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2" t="s">
        <v>2876</v>
      </c>
      <c r="B116" s="2" t="s">
        <v>5671</v>
      </c>
      <c r="C116" s="2" t="s">
        <v>5672</v>
      </c>
      <c r="D116" s="2" t="s">
        <v>5322</v>
      </c>
      <c r="E116" s="2" t="s">
        <v>5673</v>
      </c>
      <c r="F116" s="2" t="s">
        <v>5674</v>
      </c>
      <c r="G116" s="2" t="s">
        <v>5022</v>
      </c>
      <c r="H116" s="2" t="s">
        <v>5023</v>
      </c>
      <c r="I116" s="2" t="s">
        <v>5675</v>
      </c>
      <c r="J116" s="2"/>
      <c r="K116" s="2"/>
      <c r="L116" s="2"/>
      <c r="M116" s="2"/>
      <c r="N116" s="2"/>
      <c r="O116" s="2"/>
      <c r="P116" s="2"/>
      <c r="Q116" s="2"/>
    </row>
    <row r="117" spans="1:17" x14ac:dyDescent="0.2">
      <c r="A117" s="2" t="s">
        <v>4455</v>
      </c>
      <c r="B117" s="2" t="s">
        <v>5676</v>
      </c>
      <c r="C117" s="2" t="s">
        <v>5677</v>
      </c>
      <c r="D117" s="2" t="s">
        <v>5678</v>
      </c>
      <c r="E117" s="2" t="s">
        <v>5679</v>
      </c>
      <c r="F117" s="2" t="s">
        <v>5680</v>
      </c>
      <c r="G117" s="2" t="s">
        <v>5022</v>
      </c>
      <c r="H117" s="2" t="s">
        <v>5023</v>
      </c>
      <c r="I117" s="2" t="s">
        <v>5681</v>
      </c>
      <c r="J117" s="2"/>
      <c r="K117" s="2"/>
      <c r="L117" s="2"/>
      <c r="M117" s="2" t="s">
        <v>5682</v>
      </c>
      <c r="N117" s="2"/>
      <c r="O117" s="2"/>
      <c r="P117" s="2"/>
      <c r="Q117" s="2"/>
    </row>
    <row r="118" spans="1:17" x14ac:dyDescent="0.2">
      <c r="A118" s="2" t="s">
        <v>4519</v>
      </c>
      <c r="B118" s="2" t="s">
        <v>5683</v>
      </c>
      <c r="C118" s="2" t="s">
        <v>5684</v>
      </c>
      <c r="D118" s="2" t="s">
        <v>5323</v>
      </c>
      <c r="E118" s="2" t="s">
        <v>5685</v>
      </c>
      <c r="F118" s="2" t="s">
        <v>5686</v>
      </c>
      <c r="G118" s="2" t="s">
        <v>5022</v>
      </c>
      <c r="H118" s="2" t="s">
        <v>5023</v>
      </c>
      <c r="I118" s="2" t="s">
        <v>5687</v>
      </c>
      <c r="J118" s="2"/>
      <c r="K118" s="2"/>
      <c r="L118" s="2"/>
      <c r="M118" s="2" t="s">
        <v>5688</v>
      </c>
      <c r="N118" s="2"/>
      <c r="O118" s="2"/>
      <c r="P118" s="2"/>
      <c r="Q118" s="2"/>
    </row>
    <row r="119" spans="1:17" x14ac:dyDescent="0.2">
      <c r="A119" s="2" t="s">
        <v>1944</v>
      </c>
      <c r="B119" s="2" t="s">
        <v>5689</v>
      </c>
      <c r="C119" s="2" t="s">
        <v>5690</v>
      </c>
      <c r="D119" s="2" t="s">
        <v>5409</v>
      </c>
      <c r="E119" s="2" t="s">
        <v>5691</v>
      </c>
      <c r="F119" s="2" t="s">
        <v>5692</v>
      </c>
      <c r="G119" s="2" t="s">
        <v>5022</v>
      </c>
      <c r="H119" s="2" t="s">
        <v>5023</v>
      </c>
      <c r="I119" s="2" t="s">
        <v>5693</v>
      </c>
      <c r="J119" s="2"/>
      <c r="K119" s="2"/>
      <c r="L119" s="2"/>
      <c r="M119" s="2" t="s">
        <v>5694</v>
      </c>
      <c r="N119" s="2"/>
      <c r="O119" s="2"/>
      <c r="P119" s="2"/>
      <c r="Q119" s="2"/>
    </row>
    <row r="120" spans="1:17" x14ac:dyDescent="0.2">
      <c r="A120" s="2" t="s">
        <v>4562</v>
      </c>
      <c r="B120" s="2" t="s">
        <v>5684</v>
      </c>
      <c r="C120" s="2" t="s">
        <v>5695</v>
      </c>
      <c r="D120" s="2" t="s">
        <v>5409</v>
      </c>
      <c r="E120" s="2" t="s">
        <v>5696</v>
      </c>
      <c r="F120" s="2" t="s">
        <v>5697</v>
      </c>
      <c r="G120" s="2" t="s">
        <v>5022</v>
      </c>
      <c r="H120" s="2" t="s">
        <v>5023</v>
      </c>
      <c r="I120" s="2" t="s">
        <v>5698</v>
      </c>
      <c r="J120" s="2"/>
      <c r="K120" s="2"/>
      <c r="L120" s="2"/>
      <c r="M120" s="2"/>
      <c r="N120" s="2"/>
      <c r="O120" s="2"/>
      <c r="P120" s="2"/>
      <c r="Q120" s="2"/>
    </row>
    <row r="121" spans="1:17" x14ac:dyDescent="0.2">
      <c r="A121" s="2" t="s">
        <v>1381</v>
      </c>
      <c r="B121" s="2" t="s">
        <v>5699</v>
      </c>
      <c r="C121" s="2" t="s">
        <v>5700</v>
      </c>
      <c r="D121" s="2" t="s">
        <v>5701</v>
      </c>
      <c r="E121" s="2" t="s">
        <v>5702</v>
      </c>
      <c r="F121" s="2" t="s">
        <v>5703</v>
      </c>
      <c r="G121" s="2" t="s">
        <v>5022</v>
      </c>
      <c r="H121" s="2" t="s">
        <v>5023</v>
      </c>
      <c r="I121" s="2"/>
      <c r="J121" s="2"/>
      <c r="K121" s="2" t="s">
        <v>5704</v>
      </c>
      <c r="L121" s="2"/>
      <c r="M121" s="2"/>
      <c r="N121" s="2"/>
      <c r="O121" s="2"/>
      <c r="P121" s="2"/>
      <c r="Q121" s="2"/>
    </row>
    <row r="122" spans="1:17" x14ac:dyDescent="0.2">
      <c r="A122" s="2" t="s">
        <v>4809</v>
      </c>
      <c r="B122" s="2" t="s">
        <v>2152</v>
      </c>
      <c r="C122" s="2" t="s">
        <v>5409</v>
      </c>
      <c r="D122" s="2" t="s">
        <v>5705</v>
      </c>
      <c r="E122" s="2" t="s">
        <v>5706</v>
      </c>
      <c r="F122" s="2" t="s">
        <v>5089</v>
      </c>
      <c r="G122" s="2" t="s">
        <v>5022</v>
      </c>
      <c r="H122" s="2" t="s">
        <v>5023</v>
      </c>
      <c r="I122" s="2" t="s">
        <v>5707</v>
      </c>
      <c r="J122" s="2"/>
      <c r="K122" s="2"/>
      <c r="L122" s="2"/>
      <c r="M122" s="2"/>
      <c r="N122" s="2"/>
      <c r="O122" s="2"/>
      <c r="P122" s="2"/>
      <c r="Q122" s="2"/>
    </row>
    <row r="123" spans="1:17" x14ac:dyDescent="0.2">
      <c r="A123" s="2" t="s">
        <v>1617</v>
      </c>
      <c r="B123" s="2" t="s">
        <v>2800</v>
      </c>
      <c r="C123" s="2" t="s">
        <v>5339</v>
      </c>
      <c r="D123" s="2" t="s">
        <v>5339</v>
      </c>
      <c r="E123" s="2" t="s">
        <v>5708</v>
      </c>
      <c r="F123" s="2" t="s">
        <v>5709</v>
      </c>
      <c r="G123" s="2" t="s">
        <v>5022</v>
      </c>
      <c r="H123" s="2" t="s">
        <v>5023</v>
      </c>
      <c r="I123" s="2" t="s">
        <v>5710</v>
      </c>
      <c r="J123" s="2"/>
      <c r="K123" s="2"/>
      <c r="L123" s="2"/>
      <c r="M123" s="2"/>
      <c r="N123" s="2"/>
      <c r="O123" s="2"/>
      <c r="P123" s="2"/>
      <c r="Q123" s="2"/>
    </row>
    <row r="124" spans="1:17" x14ac:dyDescent="0.2">
      <c r="A124" s="2" t="s">
        <v>394</v>
      </c>
      <c r="B124" s="2" t="s">
        <v>5711</v>
      </c>
      <c r="C124" s="2" t="s">
        <v>5712</v>
      </c>
      <c r="D124" s="2" t="s">
        <v>5713</v>
      </c>
      <c r="E124" s="2" t="s">
        <v>5714</v>
      </c>
      <c r="F124" s="2" t="s">
        <v>5715</v>
      </c>
      <c r="G124" s="2" t="s">
        <v>5022</v>
      </c>
      <c r="H124" s="2" t="s">
        <v>5023</v>
      </c>
      <c r="I124" s="2" t="s">
        <v>5716</v>
      </c>
      <c r="J124" s="2"/>
      <c r="K124" s="2"/>
      <c r="L124" s="2"/>
      <c r="M124" s="2"/>
      <c r="N124" s="2"/>
      <c r="O124" s="2"/>
      <c r="P124" s="2"/>
      <c r="Q124" s="2"/>
    </row>
    <row r="125" spans="1:17" x14ac:dyDescent="0.2">
      <c r="A125" s="2" t="s">
        <v>4828</v>
      </c>
      <c r="B125" s="2" t="s">
        <v>5717</v>
      </c>
      <c r="C125" s="2" t="s">
        <v>5546</v>
      </c>
      <c r="D125" s="2" t="s">
        <v>5229</v>
      </c>
      <c r="E125" s="2" t="s">
        <v>5718</v>
      </c>
      <c r="F125" s="2" t="s">
        <v>5719</v>
      </c>
      <c r="G125" s="2" t="s">
        <v>5022</v>
      </c>
      <c r="H125" s="2" t="s">
        <v>5023</v>
      </c>
      <c r="I125" s="2" t="s">
        <v>5720</v>
      </c>
      <c r="J125" s="2"/>
      <c r="K125" s="2"/>
      <c r="L125" s="2"/>
      <c r="M125" s="2" t="s">
        <v>5721</v>
      </c>
      <c r="N125" s="2"/>
      <c r="O125" s="2"/>
      <c r="P125" s="2"/>
      <c r="Q125" s="2"/>
    </row>
    <row r="126" spans="1:17" x14ac:dyDescent="0.2">
      <c r="A126" s="2" t="s">
        <v>3877</v>
      </c>
      <c r="B126" s="2" t="s">
        <v>1374</v>
      </c>
      <c r="C126" s="2" t="s">
        <v>5323</v>
      </c>
      <c r="D126" s="2" t="s">
        <v>5722</v>
      </c>
      <c r="E126" s="2" t="s">
        <v>5723</v>
      </c>
      <c r="F126" s="2" t="s">
        <v>5724</v>
      </c>
      <c r="G126" s="2" t="s">
        <v>5022</v>
      </c>
      <c r="H126" s="2" t="s">
        <v>5023</v>
      </c>
      <c r="I126" s="2" t="s">
        <v>5725</v>
      </c>
      <c r="J126" s="2"/>
      <c r="K126" s="2"/>
      <c r="L126" s="2"/>
      <c r="M126" s="2" t="s">
        <v>5726</v>
      </c>
      <c r="N126" s="2"/>
      <c r="O126" s="2"/>
      <c r="P126" s="2"/>
      <c r="Q126" s="2"/>
    </row>
    <row r="127" spans="1:17" x14ac:dyDescent="0.2">
      <c r="A127" s="2" t="s">
        <v>4776</v>
      </c>
      <c r="B127" s="2" t="s">
        <v>5727</v>
      </c>
      <c r="C127" s="2" t="s">
        <v>5728</v>
      </c>
      <c r="D127" s="2" t="s">
        <v>5729</v>
      </c>
      <c r="E127" s="2" t="s">
        <v>5730</v>
      </c>
      <c r="F127" s="2" t="s">
        <v>5731</v>
      </c>
      <c r="G127" s="2" t="s">
        <v>5022</v>
      </c>
      <c r="H127" s="2" t="s">
        <v>5023</v>
      </c>
      <c r="I127" s="2" t="s">
        <v>5732</v>
      </c>
      <c r="J127" s="2"/>
      <c r="K127" s="2"/>
      <c r="L127" s="2"/>
      <c r="M127" s="2"/>
      <c r="N127" s="2"/>
      <c r="O127" s="2"/>
      <c r="P127" s="2"/>
      <c r="Q127" s="2"/>
    </row>
    <row r="128" spans="1:17" x14ac:dyDescent="0.2">
      <c r="A128" s="2" t="s">
        <v>381</v>
      </c>
      <c r="B128" s="2" t="s">
        <v>5733</v>
      </c>
      <c r="C128" s="2" t="s">
        <v>5734</v>
      </c>
      <c r="D128" s="2" t="s">
        <v>5735</v>
      </c>
      <c r="E128" s="2" t="s">
        <v>5736</v>
      </c>
      <c r="F128" s="2" t="s">
        <v>5737</v>
      </c>
      <c r="G128" s="2" t="s">
        <v>5022</v>
      </c>
      <c r="H128" s="2" t="s">
        <v>5023</v>
      </c>
      <c r="I128" s="2"/>
      <c r="J128" s="2"/>
      <c r="K128" s="2" t="s">
        <v>5738</v>
      </c>
      <c r="L128" s="2"/>
      <c r="M128" s="2"/>
      <c r="N128" s="2"/>
      <c r="O128" s="2"/>
      <c r="P128" s="2"/>
      <c r="Q128" s="2"/>
    </row>
    <row r="129" spans="1:17" x14ac:dyDescent="0.2">
      <c r="A129" s="2" t="s">
        <v>3256</v>
      </c>
      <c r="B129" s="2" t="s">
        <v>5739</v>
      </c>
      <c r="C129" s="2" t="s">
        <v>5740</v>
      </c>
      <c r="D129" s="2" t="s">
        <v>5741</v>
      </c>
      <c r="E129" s="2" t="s">
        <v>5742</v>
      </c>
      <c r="F129" s="2" t="s">
        <v>5743</v>
      </c>
      <c r="G129" s="2" t="s">
        <v>5022</v>
      </c>
      <c r="H129" s="2" t="s">
        <v>5023</v>
      </c>
      <c r="I129" s="2" t="s">
        <v>5744</v>
      </c>
      <c r="J129" s="2"/>
      <c r="K129" s="2"/>
      <c r="L129" s="2"/>
      <c r="M129" s="2" t="s">
        <v>5745</v>
      </c>
      <c r="N129" s="2"/>
      <c r="O129" s="2"/>
      <c r="P129" s="2"/>
      <c r="Q129" s="2"/>
    </row>
    <row r="130" spans="1:17" x14ac:dyDescent="0.2">
      <c r="A130" s="2" t="s">
        <v>4086</v>
      </c>
      <c r="B130" s="2" t="s">
        <v>3152</v>
      </c>
      <c r="C130" s="2" t="s">
        <v>5746</v>
      </c>
      <c r="D130" s="2" t="s">
        <v>5747</v>
      </c>
      <c r="E130" s="2" t="s">
        <v>5748</v>
      </c>
      <c r="F130" s="2" t="s">
        <v>5749</v>
      </c>
      <c r="G130" s="2" t="s">
        <v>5022</v>
      </c>
      <c r="H130" s="2" t="s">
        <v>5023</v>
      </c>
      <c r="I130" s="2" t="s">
        <v>5750</v>
      </c>
      <c r="J130" s="2"/>
      <c r="K130" s="2"/>
      <c r="L130" s="2"/>
      <c r="M130" s="2" t="s">
        <v>5751</v>
      </c>
      <c r="N130" s="2"/>
      <c r="O130" s="2"/>
      <c r="P130" s="2"/>
      <c r="Q130" s="2"/>
    </row>
    <row r="131" spans="1:17" x14ac:dyDescent="0.2">
      <c r="A131" s="2" t="s">
        <v>3979</v>
      </c>
      <c r="B131" s="2" t="s">
        <v>5752</v>
      </c>
      <c r="C131" s="2" t="s">
        <v>5051</v>
      </c>
      <c r="D131" s="2" t="s">
        <v>5119</v>
      </c>
      <c r="E131" s="2" t="s">
        <v>5753</v>
      </c>
      <c r="F131" s="2" t="s">
        <v>5754</v>
      </c>
      <c r="G131" s="2" t="s">
        <v>5022</v>
      </c>
      <c r="H131" s="2" t="s">
        <v>5023</v>
      </c>
      <c r="I131" s="2" t="s">
        <v>5755</v>
      </c>
      <c r="J131" s="2"/>
      <c r="K131" s="2"/>
      <c r="L131" s="2"/>
      <c r="M131" s="2" t="s">
        <v>5756</v>
      </c>
      <c r="N131" s="2"/>
      <c r="O131" s="2"/>
      <c r="P131" s="2"/>
      <c r="Q131" s="2"/>
    </row>
    <row r="132" spans="1:17" x14ac:dyDescent="0.2">
      <c r="A132" s="2" t="s">
        <v>2976</v>
      </c>
      <c r="B132" s="2" t="s">
        <v>5752</v>
      </c>
      <c r="C132" s="2" t="s">
        <v>5757</v>
      </c>
      <c r="D132" s="2" t="s">
        <v>5051</v>
      </c>
      <c r="E132" s="2" t="s">
        <v>5758</v>
      </c>
      <c r="F132" s="2" t="s">
        <v>5759</v>
      </c>
      <c r="G132" s="2" t="s">
        <v>5022</v>
      </c>
      <c r="H132" s="2" t="s">
        <v>5023</v>
      </c>
      <c r="I132" s="2" t="s">
        <v>5760</v>
      </c>
      <c r="J132" s="2"/>
      <c r="K132" s="2"/>
      <c r="L132" s="2"/>
      <c r="M132" s="2"/>
      <c r="N132" s="2"/>
      <c r="O132" s="2"/>
      <c r="P132" s="2"/>
      <c r="Q132" s="2"/>
    </row>
    <row r="133" spans="1:17" x14ac:dyDescent="0.2">
      <c r="A133" s="2" t="s">
        <v>2965</v>
      </c>
      <c r="B133" s="2" t="s">
        <v>5761</v>
      </c>
      <c r="C133" s="2" t="s">
        <v>5762</v>
      </c>
      <c r="D133" s="2" t="s">
        <v>5762</v>
      </c>
      <c r="E133" s="2" t="s">
        <v>5763</v>
      </c>
      <c r="F133" s="2" t="s">
        <v>5764</v>
      </c>
      <c r="G133" s="2" t="s">
        <v>5022</v>
      </c>
      <c r="H133" s="2" t="s">
        <v>5023</v>
      </c>
      <c r="I133" s="2" t="s">
        <v>5765</v>
      </c>
      <c r="J133" s="2"/>
      <c r="K133" s="2"/>
      <c r="L133" s="2"/>
      <c r="M133" s="2"/>
      <c r="N133" s="2"/>
      <c r="O133" s="2"/>
      <c r="P133" s="2"/>
      <c r="Q133" s="2"/>
    </row>
    <row r="134" spans="1:17" x14ac:dyDescent="0.2">
      <c r="A134" s="2" t="s">
        <v>3894</v>
      </c>
      <c r="B134" s="2" t="s">
        <v>5766</v>
      </c>
      <c r="C134" s="2" t="s">
        <v>5767</v>
      </c>
      <c r="D134" s="2" t="s">
        <v>5768</v>
      </c>
      <c r="E134" s="2" t="s">
        <v>5769</v>
      </c>
      <c r="F134" s="2" t="s">
        <v>5709</v>
      </c>
      <c r="G134" s="2" t="s">
        <v>5022</v>
      </c>
      <c r="H134" s="2" t="s">
        <v>5023</v>
      </c>
      <c r="I134" s="2" t="s">
        <v>5770</v>
      </c>
      <c r="J134" s="2"/>
      <c r="K134" s="2"/>
      <c r="L134" s="2"/>
      <c r="M134" s="2" t="s">
        <v>5771</v>
      </c>
      <c r="N134" s="2"/>
      <c r="O134" s="2"/>
      <c r="P134" s="2"/>
      <c r="Q134" s="2"/>
    </row>
    <row r="135" spans="1:17" x14ac:dyDescent="0.2">
      <c r="A135" s="2" t="s">
        <v>4471</v>
      </c>
      <c r="B135" s="2" t="s">
        <v>5772</v>
      </c>
      <c r="C135" s="2" t="s">
        <v>5773</v>
      </c>
      <c r="D135" s="2" t="s">
        <v>5774</v>
      </c>
      <c r="E135" s="2" t="s">
        <v>5775</v>
      </c>
      <c r="F135" s="2" t="s">
        <v>5776</v>
      </c>
      <c r="G135" s="2" t="s">
        <v>5022</v>
      </c>
      <c r="H135" s="2" t="s">
        <v>5023</v>
      </c>
      <c r="I135" s="2" t="s">
        <v>5777</v>
      </c>
      <c r="J135" s="2"/>
      <c r="K135" s="2"/>
      <c r="L135" s="2"/>
      <c r="M135" s="2" t="s">
        <v>5778</v>
      </c>
      <c r="N135" s="2"/>
      <c r="O135" s="2"/>
      <c r="P135" s="2"/>
      <c r="Q135" s="2"/>
    </row>
    <row r="136" spans="1:17" x14ac:dyDescent="0.2">
      <c r="A136" s="2" t="s">
        <v>4135</v>
      </c>
      <c r="B136" s="2" t="s">
        <v>5779</v>
      </c>
      <c r="C136" s="2" t="s">
        <v>5780</v>
      </c>
      <c r="D136" s="2" t="s">
        <v>5781</v>
      </c>
      <c r="E136" s="2" t="s">
        <v>5184</v>
      </c>
      <c r="F136" s="2" t="s">
        <v>5782</v>
      </c>
      <c r="G136" s="2" t="s">
        <v>5022</v>
      </c>
      <c r="H136" s="2" t="s">
        <v>5023</v>
      </c>
      <c r="I136" s="2" t="s">
        <v>5783</v>
      </c>
      <c r="J136" s="2"/>
      <c r="K136" s="2"/>
      <c r="L136" s="2"/>
      <c r="M136" s="2"/>
      <c r="N136" s="2"/>
      <c r="O136" s="2"/>
      <c r="P136" s="2"/>
      <c r="Q136" s="2"/>
    </row>
    <row r="137" spans="1:17" x14ac:dyDescent="0.2">
      <c r="A137" s="2" t="s">
        <v>1365</v>
      </c>
      <c r="B137" s="2" t="s">
        <v>5784</v>
      </c>
      <c r="C137" s="2" t="s">
        <v>5421</v>
      </c>
      <c r="D137" s="2" t="s">
        <v>5785</v>
      </c>
      <c r="E137" s="2" t="s">
        <v>5786</v>
      </c>
      <c r="F137" s="2" t="s">
        <v>5787</v>
      </c>
      <c r="G137" s="2" t="s">
        <v>5022</v>
      </c>
      <c r="H137" s="2" t="s">
        <v>5023</v>
      </c>
      <c r="I137" s="2" t="s">
        <v>5788</v>
      </c>
      <c r="J137" s="2"/>
      <c r="K137" s="2"/>
      <c r="L137" s="2"/>
      <c r="M137" s="2"/>
      <c r="N137" s="2"/>
      <c r="O137" s="2"/>
      <c r="P137" s="2"/>
      <c r="Q137" s="2"/>
    </row>
    <row r="138" spans="1:17" x14ac:dyDescent="0.2">
      <c r="A138" s="2" t="s">
        <v>1893</v>
      </c>
      <c r="B138" s="2" t="s">
        <v>1553</v>
      </c>
      <c r="C138" s="2" t="s">
        <v>5789</v>
      </c>
      <c r="D138" s="2" t="s">
        <v>5790</v>
      </c>
      <c r="E138" s="2" t="s">
        <v>5791</v>
      </c>
      <c r="F138" s="2" t="s">
        <v>5792</v>
      </c>
      <c r="G138" s="2" t="s">
        <v>5022</v>
      </c>
      <c r="H138" s="2" t="s">
        <v>5023</v>
      </c>
      <c r="I138" s="2" t="s">
        <v>5793</v>
      </c>
      <c r="J138" s="2"/>
      <c r="K138" s="2"/>
      <c r="L138" s="2"/>
      <c r="M138" s="2"/>
      <c r="N138" s="2"/>
      <c r="O138" s="2"/>
      <c r="P138" s="2"/>
      <c r="Q138" s="2"/>
    </row>
    <row r="139" spans="1:17" x14ac:dyDescent="0.2">
      <c r="A139" s="2" t="s">
        <v>3976</v>
      </c>
      <c r="B139" s="2" t="s">
        <v>5175</v>
      </c>
      <c r="C139" s="2" t="s">
        <v>5794</v>
      </c>
      <c r="D139" s="2" t="s">
        <v>5795</v>
      </c>
      <c r="E139" s="2" t="s">
        <v>5796</v>
      </c>
      <c r="F139" s="2" t="s">
        <v>5797</v>
      </c>
      <c r="G139" s="2" t="s">
        <v>5022</v>
      </c>
      <c r="H139" s="2" t="s">
        <v>5023</v>
      </c>
      <c r="I139" s="2" t="s">
        <v>5798</v>
      </c>
      <c r="J139" s="2"/>
      <c r="K139" s="2"/>
      <c r="L139" s="2"/>
      <c r="M139" s="2" t="s">
        <v>5799</v>
      </c>
      <c r="N139" s="2"/>
      <c r="O139" s="2"/>
      <c r="P139" s="2"/>
      <c r="Q139" s="2"/>
    </row>
    <row r="140" spans="1:17" x14ac:dyDescent="0.2">
      <c r="A140" s="2" t="s">
        <v>917</v>
      </c>
      <c r="B140" s="2" t="s">
        <v>5800</v>
      </c>
      <c r="C140" s="2" t="s">
        <v>5801</v>
      </c>
      <c r="D140" s="2" t="s">
        <v>5474</v>
      </c>
      <c r="E140" s="2" t="s">
        <v>5135</v>
      </c>
      <c r="F140" s="2" t="s">
        <v>5663</v>
      </c>
      <c r="G140" s="2" t="s">
        <v>5022</v>
      </c>
      <c r="H140" s="2" t="s">
        <v>5023</v>
      </c>
      <c r="I140" s="2" t="s">
        <v>5802</v>
      </c>
      <c r="J140" s="2"/>
      <c r="K140" s="2"/>
      <c r="L140" s="2"/>
      <c r="M140" s="2" t="s">
        <v>5803</v>
      </c>
      <c r="N140" s="2"/>
      <c r="O140" s="2"/>
      <c r="P140" s="2"/>
      <c r="Q140" s="2"/>
    </row>
    <row r="141" spans="1:17" x14ac:dyDescent="0.2">
      <c r="A141" s="2" t="s">
        <v>2776</v>
      </c>
      <c r="B141" s="2" t="s">
        <v>5804</v>
      </c>
      <c r="C141" s="2" t="s">
        <v>5414</v>
      </c>
      <c r="D141" s="2" t="s">
        <v>5805</v>
      </c>
      <c r="E141" s="2" t="s">
        <v>5806</v>
      </c>
      <c r="F141" s="2" t="s">
        <v>5807</v>
      </c>
      <c r="G141" s="2" t="s">
        <v>5022</v>
      </c>
      <c r="H141" s="2" t="s">
        <v>5023</v>
      </c>
      <c r="I141" s="2" t="s">
        <v>5808</v>
      </c>
      <c r="J141" s="2"/>
      <c r="K141" s="2"/>
      <c r="L141" s="2"/>
      <c r="M141" s="2"/>
      <c r="N141" s="2"/>
      <c r="O141" s="2"/>
      <c r="P141" s="2"/>
      <c r="Q141" s="2"/>
    </row>
    <row r="142" spans="1:17" x14ac:dyDescent="0.2">
      <c r="A142" s="2" t="s">
        <v>2646</v>
      </c>
      <c r="B142" s="2" t="s">
        <v>5809</v>
      </c>
      <c r="C142" s="2" t="s">
        <v>5810</v>
      </c>
      <c r="D142" s="2" t="s">
        <v>5741</v>
      </c>
      <c r="E142" s="2" t="s">
        <v>5811</v>
      </c>
      <c r="F142" s="2" t="s">
        <v>5065</v>
      </c>
      <c r="G142" s="2" t="s">
        <v>5022</v>
      </c>
      <c r="H142" s="2" t="s">
        <v>5023</v>
      </c>
      <c r="I142" s="2" t="s">
        <v>5812</v>
      </c>
      <c r="J142" s="2"/>
      <c r="K142" s="2"/>
      <c r="L142" s="2"/>
      <c r="M142" s="2"/>
      <c r="N142" s="2"/>
      <c r="O142" s="2"/>
      <c r="P142" s="2"/>
      <c r="Q142" s="2"/>
    </row>
    <row r="143" spans="1:17" x14ac:dyDescent="0.2">
      <c r="A143" s="2" t="s">
        <v>2143</v>
      </c>
      <c r="B143" s="2" t="s">
        <v>5813</v>
      </c>
      <c r="C143" s="2" t="s">
        <v>5814</v>
      </c>
      <c r="D143" s="2" t="s">
        <v>5467</v>
      </c>
      <c r="E143" s="2" t="s">
        <v>5815</v>
      </c>
      <c r="F143" s="2" t="s">
        <v>5816</v>
      </c>
      <c r="G143" s="2" t="s">
        <v>5022</v>
      </c>
      <c r="H143" s="2" t="s">
        <v>5023</v>
      </c>
      <c r="I143" s="2" t="s">
        <v>5817</v>
      </c>
      <c r="J143" s="2"/>
      <c r="K143" s="2"/>
      <c r="L143" s="2"/>
      <c r="M143" s="2" t="s">
        <v>5818</v>
      </c>
      <c r="N143" s="2"/>
      <c r="O143" s="2"/>
      <c r="P143" s="2"/>
      <c r="Q143" s="2"/>
    </row>
    <row r="144" spans="1:17" x14ac:dyDescent="0.2">
      <c r="A144" s="2" t="s">
        <v>4378</v>
      </c>
      <c r="B144" s="2" t="s">
        <v>5819</v>
      </c>
      <c r="C144" s="2" t="s">
        <v>5820</v>
      </c>
      <c r="D144" s="2" t="s">
        <v>5821</v>
      </c>
      <c r="E144" s="2" t="s">
        <v>5822</v>
      </c>
      <c r="F144" s="2" t="s">
        <v>5823</v>
      </c>
      <c r="G144" s="2" t="s">
        <v>5022</v>
      </c>
      <c r="H144" s="2" t="s">
        <v>5023</v>
      </c>
      <c r="I144" s="2" t="s">
        <v>5824</v>
      </c>
      <c r="J144" s="2"/>
      <c r="K144" s="2"/>
      <c r="L144" s="2"/>
      <c r="M144" s="2" t="s">
        <v>5825</v>
      </c>
      <c r="N144" s="2"/>
      <c r="O144" s="2"/>
      <c r="P144" s="2"/>
      <c r="Q144" s="2"/>
    </row>
    <row r="145" spans="1:17" x14ac:dyDescent="0.2">
      <c r="A145" s="2" t="s">
        <v>4799</v>
      </c>
      <c r="B145" s="2" t="s">
        <v>5826</v>
      </c>
      <c r="C145" s="2" t="s">
        <v>5119</v>
      </c>
      <c r="D145" s="2" t="s">
        <v>5827</v>
      </c>
      <c r="E145" s="2" t="s">
        <v>5828</v>
      </c>
      <c r="F145" s="2" t="s">
        <v>5829</v>
      </c>
      <c r="G145" s="2" t="s">
        <v>5022</v>
      </c>
      <c r="H145" s="2" t="s">
        <v>5023</v>
      </c>
      <c r="I145" s="2" t="s">
        <v>5830</v>
      </c>
      <c r="J145" s="2"/>
      <c r="K145" s="2"/>
      <c r="L145" s="2"/>
      <c r="M145" s="2"/>
      <c r="N145" s="2"/>
      <c r="O145" s="2"/>
      <c r="P145" s="2"/>
      <c r="Q145" s="2"/>
    </row>
    <row r="146" spans="1:17" x14ac:dyDescent="0.2">
      <c r="A146" s="2" t="s">
        <v>4094</v>
      </c>
      <c r="B146" s="2" t="s">
        <v>2904</v>
      </c>
      <c r="C146" s="2" t="s">
        <v>5075</v>
      </c>
      <c r="D146" s="2" t="s">
        <v>5831</v>
      </c>
      <c r="E146" s="2" t="s">
        <v>5832</v>
      </c>
      <c r="F146" s="2" t="s">
        <v>5833</v>
      </c>
      <c r="G146" s="2" t="s">
        <v>5022</v>
      </c>
      <c r="H146" s="2" t="s">
        <v>5023</v>
      </c>
      <c r="I146" s="2" t="s">
        <v>5834</v>
      </c>
      <c r="J146" s="2"/>
      <c r="K146" s="2"/>
      <c r="L146" s="2"/>
      <c r="M146" s="2"/>
      <c r="N146" s="2"/>
      <c r="O146" s="2"/>
      <c r="P146" s="2"/>
      <c r="Q146" s="2"/>
    </row>
    <row r="147" spans="1:17" x14ac:dyDescent="0.2">
      <c r="A147" s="2" t="s">
        <v>3004</v>
      </c>
      <c r="B147" s="2" t="s">
        <v>5835</v>
      </c>
      <c r="C147" s="2" t="s">
        <v>5836</v>
      </c>
      <c r="D147" s="2" t="s">
        <v>5837</v>
      </c>
      <c r="E147" s="2" t="s">
        <v>5838</v>
      </c>
      <c r="F147" s="2" t="s">
        <v>5486</v>
      </c>
      <c r="G147" s="2" t="s">
        <v>5022</v>
      </c>
      <c r="H147" s="2" t="s">
        <v>5023</v>
      </c>
      <c r="I147" s="2" t="s">
        <v>5839</v>
      </c>
      <c r="J147" s="2"/>
      <c r="K147" s="2"/>
      <c r="L147" s="2"/>
      <c r="M147" s="2"/>
      <c r="N147" s="2"/>
      <c r="O147" s="2"/>
      <c r="P147" s="2"/>
      <c r="Q147" s="2"/>
    </row>
    <row r="148" spans="1:17" x14ac:dyDescent="0.2">
      <c r="A148" s="2" t="s">
        <v>1843</v>
      </c>
      <c r="B148" s="2" t="s">
        <v>5840</v>
      </c>
      <c r="C148" s="2" t="s">
        <v>5841</v>
      </c>
      <c r="D148" s="2" t="s">
        <v>5842</v>
      </c>
      <c r="E148" s="2" t="s">
        <v>5843</v>
      </c>
      <c r="F148" s="2" t="s">
        <v>5844</v>
      </c>
      <c r="G148" s="2" t="s">
        <v>5022</v>
      </c>
      <c r="H148" s="2" t="s">
        <v>5023</v>
      </c>
      <c r="I148" s="2" t="s">
        <v>5845</v>
      </c>
      <c r="J148" s="2"/>
      <c r="K148" s="2"/>
      <c r="L148" s="2"/>
      <c r="M148" s="2"/>
      <c r="N148" s="2"/>
      <c r="O148" s="2"/>
      <c r="P148" s="2"/>
      <c r="Q148" s="2"/>
    </row>
    <row r="149" spans="1:17" x14ac:dyDescent="0.2">
      <c r="A149" s="2" t="s">
        <v>4062</v>
      </c>
      <c r="B149" s="2" t="s">
        <v>5846</v>
      </c>
      <c r="C149" s="2" t="s">
        <v>5649</v>
      </c>
      <c r="D149" s="2" t="s">
        <v>5847</v>
      </c>
      <c r="E149" s="2" t="s">
        <v>5848</v>
      </c>
      <c r="F149" s="2" t="s">
        <v>5849</v>
      </c>
      <c r="G149" s="2" t="s">
        <v>5022</v>
      </c>
      <c r="H149" s="2" t="s">
        <v>5023</v>
      </c>
      <c r="I149" s="2" t="s">
        <v>5850</v>
      </c>
      <c r="J149" s="2"/>
      <c r="K149" s="2"/>
      <c r="L149" s="2"/>
      <c r="M149" s="2"/>
      <c r="N149" s="2"/>
      <c r="O149" s="2"/>
      <c r="P149" s="2"/>
      <c r="Q149" s="2"/>
    </row>
    <row r="150" spans="1:17" x14ac:dyDescent="0.2">
      <c r="A150" s="2" t="s">
        <v>4226</v>
      </c>
      <c r="B150" s="2" t="s">
        <v>5851</v>
      </c>
      <c r="C150" s="2" t="s">
        <v>5852</v>
      </c>
      <c r="D150" s="2" t="s">
        <v>5853</v>
      </c>
      <c r="E150" s="2" t="s">
        <v>5854</v>
      </c>
      <c r="F150" s="2" t="s">
        <v>5595</v>
      </c>
      <c r="G150" s="2" t="s">
        <v>5022</v>
      </c>
      <c r="H150" s="2" t="s">
        <v>5023</v>
      </c>
      <c r="I150" s="2" t="s">
        <v>5855</v>
      </c>
      <c r="J150" s="2"/>
      <c r="K150" s="2"/>
      <c r="L150" s="2"/>
      <c r="M150" s="2" t="s">
        <v>5856</v>
      </c>
      <c r="N150" s="2"/>
      <c r="O150" s="2"/>
      <c r="P150" s="2"/>
      <c r="Q150" s="2"/>
    </row>
    <row r="151" spans="1:17" x14ac:dyDescent="0.2">
      <c r="A151" s="2" t="s">
        <v>539</v>
      </c>
      <c r="B151" s="2" t="s">
        <v>5857</v>
      </c>
      <c r="C151" s="2" t="s">
        <v>5858</v>
      </c>
      <c r="D151" s="2" t="s">
        <v>5859</v>
      </c>
      <c r="E151" s="2" t="s">
        <v>5860</v>
      </c>
      <c r="F151" s="2" t="s">
        <v>5861</v>
      </c>
      <c r="G151" s="2" t="s">
        <v>5022</v>
      </c>
      <c r="H151" s="2" t="s">
        <v>5023</v>
      </c>
      <c r="I151" s="2" t="s">
        <v>5862</v>
      </c>
      <c r="J151" s="2"/>
      <c r="K151" s="2"/>
      <c r="L151" s="2"/>
      <c r="M151" s="2" t="s">
        <v>5863</v>
      </c>
      <c r="N151" s="2"/>
      <c r="O151" s="2"/>
      <c r="P151" s="2"/>
      <c r="Q151" s="2"/>
    </row>
    <row r="152" spans="1:17" x14ac:dyDescent="0.2">
      <c r="A152" s="2" t="s">
        <v>4166</v>
      </c>
      <c r="B152" s="2" t="s">
        <v>5864</v>
      </c>
      <c r="C152" s="2" t="s">
        <v>5588</v>
      </c>
      <c r="D152" s="2" t="s">
        <v>5865</v>
      </c>
      <c r="E152" s="2" t="s">
        <v>5866</v>
      </c>
      <c r="F152" s="2" t="s">
        <v>5867</v>
      </c>
      <c r="G152" s="2" t="s">
        <v>5022</v>
      </c>
      <c r="H152" s="2" t="s">
        <v>5023</v>
      </c>
      <c r="I152" s="2" t="s">
        <v>5868</v>
      </c>
      <c r="J152" s="2"/>
      <c r="K152" s="2"/>
      <c r="L152" s="2"/>
      <c r="M152" s="2"/>
      <c r="N152" s="2"/>
      <c r="O152" s="2"/>
      <c r="P152" s="2"/>
      <c r="Q152" s="2"/>
    </row>
    <row r="153" spans="1:17" x14ac:dyDescent="0.2">
      <c r="A153" s="2" t="s">
        <v>4448</v>
      </c>
      <c r="B153" s="2" t="s">
        <v>5869</v>
      </c>
      <c r="C153" s="2" t="s">
        <v>5282</v>
      </c>
      <c r="D153" s="2" t="s">
        <v>5870</v>
      </c>
      <c r="E153" s="2" t="s">
        <v>5871</v>
      </c>
      <c r="F153" s="2" t="s">
        <v>5872</v>
      </c>
      <c r="G153" s="2" t="s">
        <v>5022</v>
      </c>
      <c r="H153" s="2" t="s">
        <v>5023</v>
      </c>
      <c r="I153" s="2" t="s">
        <v>5873</v>
      </c>
      <c r="J153" s="2"/>
      <c r="K153" s="2" t="s">
        <v>5874</v>
      </c>
      <c r="L153" s="2"/>
      <c r="M153" s="2" t="s">
        <v>5875</v>
      </c>
      <c r="N153" s="2"/>
      <c r="O153" s="2"/>
      <c r="P153" s="2"/>
      <c r="Q153" s="2"/>
    </row>
    <row r="154" spans="1:17" x14ac:dyDescent="0.2">
      <c r="A154" s="2" t="s">
        <v>444</v>
      </c>
      <c r="B154" s="2" t="s">
        <v>5876</v>
      </c>
      <c r="C154" s="2" t="s">
        <v>5480</v>
      </c>
      <c r="D154" s="2" t="s">
        <v>5877</v>
      </c>
      <c r="E154" s="2" t="s">
        <v>5878</v>
      </c>
      <c r="F154" s="2" t="s">
        <v>5658</v>
      </c>
      <c r="G154" s="2" t="s">
        <v>5022</v>
      </c>
      <c r="H154" s="2" t="s">
        <v>5023</v>
      </c>
      <c r="I154" s="2" t="s">
        <v>5879</v>
      </c>
      <c r="J154" s="2"/>
      <c r="K154" s="2"/>
      <c r="L154" s="2"/>
      <c r="M154" s="2"/>
      <c r="N154" s="2"/>
      <c r="O154" s="2"/>
      <c r="P154" s="2"/>
      <c r="Q154" s="2"/>
    </row>
    <row r="155" spans="1:17" x14ac:dyDescent="0.2">
      <c r="A155" s="2" t="s">
        <v>3268</v>
      </c>
      <c r="B155" s="2" t="s">
        <v>5085</v>
      </c>
      <c r="C155" s="2" t="s">
        <v>5880</v>
      </c>
      <c r="D155" s="2" t="s">
        <v>5881</v>
      </c>
      <c r="E155" s="2" t="s">
        <v>5882</v>
      </c>
      <c r="F155" s="2" t="s">
        <v>5883</v>
      </c>
      <c r="G155" s="2" t="s">
        <v>5022</v>
      </c>
      <c r="H155" s="2" t="s">
        <v>5023</v>
      </c>
      <c r="I155" s="2" t="s">
        <v>5884</v>
      </c>
      <c r="J155" s="2"/>
      <c r="K155" s="2"/>
      <c r="L155" s="2"/>
      <c r="M155" s="2"/>
      <c r="N155" s="2"/>
      <c r="O155" s="2"/>
      <c r="P155" s="2"/>
      <c r="Q155" s="2"/>
    </row>
    <row r="156" spans="1:17" x14ac:dyDescent="0.2">
      <c r="A156" s="2" t="s">
        <v>4358</v>
      </c>
      <c r="B156" s="2" t="s">
        <v>5885</v>
      </c>
      <c r="C156" s="2" t="s">
        <v>5886</v>
      </c>
      <c r="D156" s="2" t="s">
        <v>5887</v>
      </c>
      <c r="E156" s="2" t="s">
        <v>5888</v>
      </c>
      <c r="F156" s="2" t="s">
        <v>5889</v>
      </c>
      <c r="G156" s="2" t="s">
        <v>5022</v>
      </c>
      <c r="H156" s="2" t="s">
        <v>5023</v>
      </c>
      <c r="I156" s="2" t="s">
        <v>5890</v>
      </c>
      <c r="J156" s="2"/>
      <c r="K156" s="2"/>
      <c r="L156" s="2"/>
      <c r="M156" s="2"/>
      <c r="N156" s="2"/>
      <c r="O156" s="2"/>
      <c r="P156" s="2"/>
      <c r="Q156" s="2"/>
    </row>
    <row r="157" spans="1:17" x14ac:dyDescent="0.2">
      <c r="A157" s="2" t="s">
        <v>1833</v>
      </c>
      <c r="B157" s="2" t="s">
        <v>2741</v>
      </c>
      <c r="C157" s="2" t="s">
        <v>5633</v>
      </c>
      <c r="D157" s="2" t="s">
        <v>5241</v>
      </c>
      <c r="E157" s="2" t="s">
        <v>5891</v>
      </c>
      <c r="F157" s="2" t="s">
        <v>5892</v>
      </c>
      <c r="G157" s="2" t="s">
        <v>5022</v>
      </c>
      <c r="H157" s="2" t="s">
        <v>5023</v>
      </c>
      <c r="I157" s="2"/>
      <c r="J157" s="2"/>
      <c r="K157" s="2" t="s">
        <v>5893</v>
      </c>
      <c r="L157" s="2"/>
      <c r="M157" s="2"/>
      <c r="N157" s="2"/>
      <c r="O157" s="2"/>
      <c r="P157" s="2"/>
      <c r="Q157" s="2"/>
    </row>
    <row r="158" spans="1:17" x14ac:dyDescent="0.2">
      <c r="A158" s="2" t="s">
        <v>3912</v>
      </c>
      <c r="B158" s="2" t="s">
        <v>5894</v>
      </c>
      <c r="C158" s="2" t="s">
        <v>5895</v>
      </c>
      <c r="D158" s="2" t="s">
        <v>5263</v>
      </c>
      <c r="E158" s="2" t="s">
        <v>5896</v>
      </c>
      <c r="F158" s="2" t="s">
        <v>5196</v>
      </c>
      <c r="G158" s="2" t="s">
        <v>5022</v>
      </c>
      <c r="H158" s="2" t="s">
        <v>5023</v>
      </c>
      <c r="I158" s="2" t="s">
        <v>5897</v>
      </c>
      <c r="J158" s="2"/>
      <c r="K158" s="2"/>
      <c r="L158" s="2"/>
      <c r="M158" s="2" t="s">
        <v>5898</v>
      </c>
      <c r="N158" s="2"/>
      <c r="O158" s="2"/>
      <c r="P158" s="2"/>
      <c r="Q158" s="2"/>
    </row>
    <row r="159" spans="1:17" x14ac:dyDescent="0.2">
      <c r="A159" s="2" t="s">
        <v>816</v>
      </c>
      <c r="B159" s="2" t="s">
        <v>5899</v>
      </c>
      <c r="C159" s="2" t="s">
        <v>5900</v>
      </c>
      <c r="D159" s="2" t="s">
        <v>5901</v>
      </c>
      <c r="E159" s="2" t="s">
        <v>5902</v>
      </c>
      <c r="F159" s="2" t="s">
        <v>5903</v>
      </c>
      <c r="G159" s="2" t="s">
        <v>5022</v>
      </c>
      <c r="H159" s="2" t="s">
        <v>5023</v>
      </c>
      <c r="I159" s="2" t="s">
        <v>5904</v>
      </c>
      <c r="J159" s="2"/>
      <c r="K159" s="2"/>
      <c r="L159" s="2"/>
      <c r="M159" s="2" t="s">
        <v>5905</v>
      </c>
      <c r="N159" s="2"/>
      <c r="O159" s="2"/>
      <c r="P159" s="2"/>
      <c r="Q159" s="2"/>
    </row>
    <row r="160" spans="1:17" x14ac:dyDescent="0.2">
      <c r="A160" s="2" t="s">
        <v>2634</v>
      </c>
      <c r="B160" s="2" t="s">
        <v>5074</v>
      </c>
      <c r="C160" s="2" t="s">
        <v>5906</v>
      </c>
      <c r="D160" s="2" t="s">
        <v>5147</v>
      </c>
      <c r="E160" s="2" t="s">
        <v>5907</v>
      </c>
      <c r="F160" s="2" t="s">
        <v>5908</v>
      </c>
      <c r="G160" s="2" t="s">
        <v>5022</v>
      </c>
      <c r="H160" s="2" t="s">
        <v>5023</v>
      </c>
      <c r="I160" s="2" t="s">
        <v>5909</v>
      </c>
      <c r="J160" s="2"/>
      <c r="K160" s="2"/>
      <c r="L160" s="2"/>
      <c r="M160" s="2"/>
      <c r="N160" s="2"/>
      <c r="O160" s="2"/>
      <c r="P160" s="2"/>
      <c r="Q160" s="2"/>
    </row>
    <row r="161" spans="1:17" x14ac:dyDescent="0.2">
      <c r="A161" s="2" t="s">
        <v>4520</v>
      </c>
      <c r="B161" s="2" t="s">
        <v>5910</v>
      </c>
      <c r="C161" s="2" t="s">
        <v>5911</v>
      </c>
      <c r="D161" s="2" t="s">
        <v>5912</v>
      </c>
      <c r="E161" s="2" t="s">
        <v>5913</v>
      </c>
      <c r="F161" s="2" t="s">
        <v>5914</v>
      </c>
      <c r="G161" s="2" t="s">
        <v>5022</v>
      </c>
      <c r="H161" s="2" t="s">
        <v>5023</v>
      </c>
      <c r="I161" s="2" t="s">
        <v>5915</v>
      </c>
      <c r="J161" s="2"/>
      <c r="K161" s="2"/>
      <c r="L161" s="2"/>
      <c r="M161" s="2"/>
      <c r="N161" s="2"/>
      <c r="O161" s="2"/>
      <c r="P161" s="2"/>
      <c r="Q161" s="2"/>
    </row>
    <row r="162" spans="1:17" x14ac:dyDescent="0.2">
      <c r="A162" s="2" t="s">
        <v>2831</v>
      </c>
      <c r="B162" s="2" t="s">
        <v>5916</v>
      </c>
      <c r="C162" s="2" t="s">
        <v>5917</v>
      </c>
      <c r="D162" s="2" t="s">
        <v>5917</v>
      </c>
      <c r="E162" s="2" t="s">
        <v>5918</v>
      </c>
      <c r="F162" s="2" t="s">
        <v>5919</v>
      </c>
      <c r="G162" s="2" t="s">
        <v>5022</v>
      </c>
      <c r="H162" s="2" t="s">
        <v>5023</v>
      </c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">
      <c r="A163" s="2" t="s">
        <v>2256</v>
      </c>
      <c r="B163" s="2" t="s">
        <v>5920</v>
      </c>
      <c r="C163" s="2" t="s">
        <v>5921</v>
      </c>
      <c r="D163" s="2" t="s">
        <v>5922</v>
      </c>
      <c r="E163" s="2" t="s">
        <v>5294</v>
      </c>
      <c r="F163" s="2" t="s">
        <v>5923</v>
      </c>
      <c r="G163" s="2" t="s">
        <v>5022</v>
      </c>
      <c r="H163" s="2" t="s">
        <v>5023</v>
      </c>
      <c r="I163" s="2" t="s">
        <v>5924</v>
      </c>
      <c r="J163" s="2"/>
      <c r="K163" s="2"/>
      <c r="L163" s="2"/>
      <c r="M163" s="2" t="s">
        <v>5925</v>
      </c>
      <c r="N163" s="2"/>
      <c r="O163" s="2"/>
      <c r="P163" s="2"/>
      <c r="Q163" s="2"/>
    </row>
    <row r="164" spans="1:17" x14ac:dyDescent="0.2">
      <c r="A164" s="2" t="s">
        <v>1483</v>
      </c>
      <c r="B164" s="2" t="s">
        <v>5926</v>
      </c>
      <c r="C164" s="2" t="s">
        <v>5397</v>
      </c>
      <c r="D164" s="2" t="s">
        <v>5927</v>
      </c>
      <c r="E164" s="2" t="s">
        <v>5928</v>
      </c>
      <c r="F164" s="2" t="s">
        <v>5929</v>
      </c>
      <c r="G164" s="2" t="s">
        <v>5022</v>
      </c>
      <c r="H164" s="2" t="s">
        <v>5023</v>
      </c>
      <c r="I164" s="2" t="s">
        <v>5930</v>
      </c>
      <c r="J164" s="2"/>
      <c r="K164" s="2"/>
      <c r="L164" s="2"/>
      <c r="M164" s="2"/>
      <c r="N164" s="2"/>
      <c r="O164" s="2"/>
      <c r="P164" s="2"/>
      <c r="Q164" s="2"/>
    </row>
    <row r="165" spans="1:17" x14ac:dyDescent="0.2">
      <c r="A165" s="2" t="s">
        <v>2704</v>
      </c>
      <c r="B165" s="2" t="s">
        <v>5528</v>
      </c>
      <c r="C165" s="2" t="s">
        <v>5931</v>
      </c>
      <c r="D165" s="2" t="s">
        <v>5932</v>
      </c>
      <c r="E165" s="2" t="s">
        <v>5933</v>
      </c>
      <c r="F165" s="2" t="s">
        <v>5128</v>
      </c>
      <c r="G165" s="2" t="s">
        <v>5022</v>
      </c>
      <c r="H165" s="2" t="s">
        <v>5023</v>
      </c>
      <c r="I165" s="2"/>
      <c r="J165" s="2"/>
      <c r="K165" s="2" t="s">
        <v>5934</v>
      </c>
      <c r="L165" s="2"/>
      <c r="M165" s="2"/>
      <c r="N165" s="2"/>
      <c r="O165" s="2"/>
      <c r="P165" s="2"/>
      <c r="Q165" s="2"/>
    </row>
    <row r="166" spans="1:17" x14ac:dyDescent="0.2">
      <c r="A166" s="2" t="s">
        <v>1746</v>
      </c>
      <c r="B166" s="2" t="s">
        <v>5935</v>
      </c>
      <c r="C166" s="2" t="s">
        <v>5936</v>
      </c>
      <c r="D166" s="2" t="s">
        <v>5937</v>
      </c>
      <c r="E166" s="2" t="s">
        <v>5938</v>
      </c>
      <c r="F166" s="2" t="s">
        <v>5377</v>
      </c>
      <c r="G166" s="2" t="s">
        <v>5022</v>
      </c>
      <c r="H166" s="2" t="s">
        <v>5023</v>
      </c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">
      <c r="A167" s="2" t="s">
        <v>1741</v>
      </c>
      <c r="B167" s="2" t="s">
        <v>5939</v>
      </c>
      <c r="C167" s="2" t="s">
        <v>5374</v>
      </c>
      <c r="D167" s="2" t="s">
        <v>5940</v>
      </c>
      <c r="E167" s="2" t="s">
        <v>5941</v>
      </c>
      <c r="F167" s="2" t="s">
        <v>5942</v>
      </c>
      <c r="G167" s="2" t="s">
        <v>5022</v>
      </c>
      <c r="H167" s="2" t="s">
        <v>5023</v>
      </c>
      <c r="I167" s="2" t="s">
        <v>5943</v>
      </c>
      <c r="J167" s="2"/>
      <c r="K167" s="2"/>
      <c r="L167" s="2"/>
      <c r="M167" s="2" t="s">
        <v>5944</v>
      </c>
      <c r="N167" s="2"/>
      <c r="O167" s="2"/>
      <c r="P167" s="2"/>
      <c r="Q167" s="2"/>
    </row>
    <row r="168" spans="1:17" x14ac:dyDescent="0.2">
      <c r="A168" s="2" t="s">
        <v>3409</v>
      </c>
      <c r="B168" s="2" t="s">
        <v>5945</v>
      </c>
      <c r="C168" s="2" t="s">
        <v>5946</v>
      </c>
      <c r="D168" s="2" t="s">
        <v>5947</v>
      </c>
      <c r="E168" s="2" t="s">
        <v>5948</v>
      </c>
      <c r="F168" s="2"/>
      <c r="G168" s="2" t="s">
        <v>5022</v>
      </c>
      <c r="H168" s="2" t="s">
        <v>5023</v>
      </c>
      <c r="I168" s="2" t="s">
        <v>5949</v>
      </c>
      <c r="J168" s="2"/>
      <c r="K168" s="2"/>
      <c r="L168" s="2"/>
      <c r="M168" s="2" t="s">
        <v>5950</v>
      </c>
      <c r="N168" s="2"/>
      <c r="O168" s="2"/>
      <c r="P168" s="2"/>
      <c r="Q168" s="2"/>
    </row>
    <row r="169" spans="1:17" x14ac:dyDescent="0.2">
      <c r="A169" s="2" t="s">
        <v>968</v>
      </c>
      <c r="B169" s="2" t="s">
        <v>5951</v>
      </c>
      <c r="C169" s="2" t="s">
        <v>5952</v>
      </c>
      <c r="D169" s="2" t="s">
        <v>5785</v>
      </c>
      <c r="E169" s="2" t="s">
        <v>5450</v>
      </c>
      <c r="F169" s="2" t="s">
        <v>5953</v>
      </c>
      <c r="G169" s="2" t="s">
        <v>5022</v>
      </c>
      <c r="H169" s="2" t="s">
        <v>5023</v>
      </c>
      <c r="I169" s="2" t="s">
        <v>5954</v>
      </c>
      <c r="J169" s="2"/>
      <c r="K169" s="2"/>
      <c r="L169" s="2"/>
      <c r="M169" s="2" t="s">
        <v>5955</v>
      </c>
      <c r="N169" s="2"/>
      <c r="O169" s="2"/>
      <c r="P169" s="2"/>
      <c r="Q169" s="2"/>
    </row>
    <row r="170" spans="1:17" x14ac:dyDescent="0.2">
      <c r="A170" s="2" t="s">
        <v>148</v>
      </c>
      <c r="B170" s="2" t="s">
        <v>5956</v>
      </c>
      <c r="C170" s="2" t="s">
        <v>5957</v>
      </c>
      <c r="D170" s="2" t="s">
        <v>5039</v>
      </c>
      <c r="E170" s="2" t="s">
        <v>5958</v>
      </c>
      <c r="F170" s="2" t="s">
        <v>5959</v>
      </c>
      <c r="G170" s="2" t="s">
        <v>5022</v>
      </c>
      <c r="H170" s="2" t="s">
        <v>5023</v>
      </c>
      <c r="I170" s="2" t="s">
        <v>5960</v>
      </c>
      <c r="J170" s="2"/>
      <c r="K170" s="2"/>
      <c r="L170" s="2"/>
      <c r="M170" s="2"/>
      <c r="N170" s="2"/>
      <c r="O170" s="2"/>
      <c r="P170" s="2"/>
      <c r="Q170" s="2"/>
    </row>
    <row r="171" spans="1:17" x14ac:dyDescent="0.2">
      <c r="A171" s="2" t="s">
        <v>3770</v>
      </c>
      <c r="B171" s="2" t="s">
        <v>5169</v>
      </c>
      <c r="C171" s="2" t="s">
        <v>5134</v>
      </c>
      <c r="D171" s="2" t="s">
        <v>5961</v>
      </c>
      <c r="E171" s="2" t="s">
        <v>5962</v>
      </c>
      <c r="F171" s="2" t="s">
        <v>5963</v>
      </c>
      <c r="G171" s="2" t="s">
        <v>5022</v>
      </c>
      <c r="H171" s="2" t="s">
        <v>5023</v>
      </c>
      <c r="I171" s="2" t="s">
        <v>5964</v>
      </c>
      <c r="J171" s="2"/>
      <c r="K171" s="2"/>
      <c r="L171" s="2"/>
      <c r="M171" s="2" t="s">
        <v>5965</v>
      </c>
      <c r="N171" s="2"/>
      <c r="O171" s="2"/>
      <c r="P171" s="2"/>
      <c r="Q171" s="2"/>
    </row>
    <row r="172" spans="1:17" x14ac:dyDescent="0.2">
      <c r="A172" s="2" t="s">
        <v>4381</v>
      </c>
      <c r="B172" s="2" t="s">
        <v>5916</v>
      </c>
      <c r="C172" s="2" t="s">
        <v>5966</v>
      </c>
      <c r="D172" s="2" t="s">
        <v>5967</v>
      </c>
      <c r="E172" s="2" t="s">
        <v>5968</v>
      </c>
      <c r="F172" s="2" t="s">
        <v>5969</v>
      </c>
      <c r="G172" s="2" t="s">
        <v>5022</v>
      </c>
      <c r="H172" s="2" t="s">
        <v>5023</v>
      </c>
      <c r="I172" s="2" t="s">
        <v>5970</v>
      </c>
      <c r="J172" s="2"/>
      <c r="K172" s="2"/>
      <c r="L172" s="2"/>
      <c r="M172" s="2"/>
      <c r="N172" s="2"/>
      <c r="O172" s="2"/>
      <c r="P172" s="2"/>
      <c r="Q172" s="2"/>
    </row>
    <row r="173" spans="1:17" x14ac:dyDescent="0.2">
      <c r="A173" s="2" t="s">
        <v>2022</v>
      </c>
      <c r="B173" s="2" t="s">
        <v>5432</v>
      </c>
      <c r="C173" s="2" t="s">
        <v>5971</v>
      </c>
      <c r="D173" s="2" t="s">
        <v>5112</v>
      </c>
      <c r="E173" s="2" t="s">
        <v>5972</v>
      </c>
      <c r="F173" s="2" t="s">
        <v>5973</v>
      </c>
      <c r="G173" s="2" t="s">
        <v>5022</v>
      </c>
      <c r="H173" s="2" t="s">
        <v>5023</v>
      </c>
      <c r="I173" s="2" t="s">
        <v>5974</v>
      </c>
      <c r="J173" s="2"/>
      <c r="K173" s="2"/>
      <c r="L173" s="2"/>
      <c r="M173" s="2"/>
      <c r="N173" s="2"/>
      <c r="O173" s="2"/>
      <c r="P173" s="2"/>
      <c r="Q173" s="2"/>
    </row>
    <row r="174" spans="1:17" x14ac:dyDescent="0.2">
      <c r="A174" s="2" t="s">
        <v>75</v>
      </c>
      <c r="B174" s="2" t="s">
        <v>5975</v>
      </c>
      <c r="C174" s="2" t="s">
        <v>5976</v>
      </c>
      <c r="D174" s="2" t="s">
        <v>5493</v>
      </c>
      <c r="E174" s="2" t="s">
        <v>5253</v>
      </c>
      <c r="F174" s="2" t="s">
        <v>5977</v>
      </c>
      <c r="G174" s="2" t="s">
        <v>5022</v>
      </c>
      <c r="H174" s="2" t="s">
        <v>5023</v>
      </c>
      <c r="I174" s="2" t="s">
        <v>5978</v>
      </c>
      <c r="J174" s="2"/>
      <c r="K174" s="2"/>
      <c r="L174" s="2"/>
      <c r="M174" s="2"/>
      <c r="N174" s="2"/>
      <c r="O174" s="2"/>
      <c r="P174" s="2"/>
      <c r="Q174" s="2"/>
    </row>
    <row r="175" spans="1:17" x14ac:dyDescent="0.2">
      <c r="A175" s="2" t="s">
        <v>363</v>
      </c>
      <c r="B175" s="2" t="s">
        <v>5979</v>
      </c>
      <c r="C175" s="2" t="s">
        <v>5785</v>
      </c>
      <c r="D175" s="2" t="s">
        <v>5980</v>
      </c>
      <c r="E175" s="2" t="s">
        <v>5981</v>
      </c>
      <c r="F175" s="2" t="s">
        <v>5982</v>
      </c>
      <c r="G175" s="2" t="s">
        <v>5022</v>
      </c>
      <c r="H175" s="2" t="s">
        <v>5023</v>
      </c>
      <c r="I175" s="2"/>
      <c r="J175" s="2"/>
      <c r="K175" s="2" t="s">
        <v>5983</v>
      </c>
      <c r="L175" s="2"/>
      <c r="M175" s="2"/>
      <c r="N175" s="2"/>
      <c r="O175" s="2"/>
      <c r="P175" s="2"/>
      <c r="Q175" s="2"/>
    </row>
    <row r="176" spans="1:17" x14ac:dyDescent="0.2">
      <c r="A176" s="2" t="s">
        <v>2447</v>
      </c>
      <c r="B176" s="2" t="s">
        <v>5984</v>
      </c>
      <c r="C176" s="2" t="s">
        <v>5985</v>
      </c>
      <c r="D176" s="2" t="s">
        <v>5986</v>
      </c>
      <c r="E176" s="2" t="s">
        <v>5987</v>
      </c>
      <c r="F176" s="2" t="s">
        <v>5988</v>
      </c>
      <c r="G176" s="2" t="s">
        <v>5022</v>
      </c>
      <c r="H176" s="2" t="s">
        <v>5023</v>
      </c>
      <c r="I176" s="2"/>
      <c r="J176" s="2"/>
      <c r="K176" s="2" t="s">
        <v>5989</v>
      </c>
      <c r="L176" s="2"/>
      <c r="M176" s="2"/>
      <c r="N176" s="2"/>
      <c r="O176" s="2"/>
      <c r="P176" s="2"/>
      <c r="Q176" s="2"/>
    </row>
    <row r="177" spans="1:17" x14ac:dyDescent="0.2">
      <c r="A177" s="2" t="s">
        <v>1760</v>
      </c>
      <c r="B177" s="2" t="s">
        <v>5990</v>
      </c>
      <c r="C177" s="2" t="s">
        <v>5991</v>
      </c>
      <c r="D177" s="2" t="s">
        <v>5992</v>
      </c>
      <c r="E177" s="2" t="s">
        <v>5993</v>
      </c>
      <c r="F177" s="2" t="s">
        <v>5994</v>
      </c>
      <c r="G177" s="2" t="s">
        <v>5022</v>
      </c>
      <c r="H177" s="2" t="s">
        <v>5023</v>
      </c>
      <c r="I177" s="2"/>
      <c r="J177" s="2"/>
      <c r="K177" s="2" t="s">
        <v>5995</v>
      </c>
      <c r="L177" s="2"/>
      <c r="M177" s="2"/>
      <c r="N177" s="2"/>
      <c r="O177" s="2"/>
      <c r="P177" s="2"/>
      <c r="Q177" s="2"/>
    </row>
    <row r="178" spans="1:17" x14ac:dyDescent="0.2">
      <c r="A178" s="2" t="s">
        <v>1453</v>
      </c>
      <c r="B178" s="2" t="s">
        <v>5996</v>
      </c>
      <c r="C178" s="2" t="s">
        <v>5997</v>
      </c>
      <c r="D178" s="2" t="s">
        <v>5998</v>
      </c>
      <c r="E178" s="2" t="s">
        <v>5999</v>
      </c>
      <c r="F178" s="2" t="s">
        <v>6000</v>
      </c>
      <c r="G178" s="2" t="s">
        <v>5022</v>
      </c>
      <c r="H178" s="2" t="s">
        <v>5023</v>
      </c>
      <c r="I178" s="2" t="s">
        <v>6001</v>
      </c>
      <c r="J178" s="2"/>
      <c r="K178" s="2"/>
      <c r="L178" s="2"/>
      <c r="M178" s="2" t="s">
        <v>6002</v>
      </c>
      <c r="N178" s="2"/>
      <c r="O178" s="2"/>
      <c r="P178" s="2"/>
      <c r="Q178" s="2"/>
    </row>
    <row r="179" spans="1:17" x14ac:dyDescent="0.2">
      <c r="A179" s="2" t="s">
        <v>4869</v>
      </c>
      <c r="B179" s="2" t="s">
        <v>5356</v>
      </c>
      <c r="C179" s="2" t="s">
        <v>6003</v>
      </c>
      <c r="D179" s="2" t="s">
        <v>6004</v>
      </c>
      <c r="E179" s="2" t="s">
        <v>6005</v>
      </c>
      <c r="F179" s="2" t="s">
        <v>6006</v>
      </c>
      <c r="G179" s="2" t="s">
        <v>5022</v>
      </c>
      <c r="H179" s="2" t="s">
        <v>5023</v>
      </c>
      <c r="I179" s="2" t="s">
        <v>6007</v>
      </c>
      <c r="J179" s="2"/>
      <c r="K179" s="2"/>
      <c r="L179" s="2"/>
      <c r="M179" s="2"/>
      <c r="N179" s="2"/>
      <c r="O179" s="2"/>
      <c r="P179" s="2"/>
      <c r="Q179" s="2"/>
    </row>
    <row r="180" spans="1:17" x14ac:dyDescent="0.2">
      <c r="A180" s="2" t="s">
        <v>498</v>
      </c>
      <c r="B180" s="2" t="s">
        <v>6008</v>
      </c>
      <c r="C180" s="2" t="s">
        <v>5126</v>
      </c>
      <c r="D180" s="2" t="s">
        <v>6009</v>
      </c>
      <c r="E180" s="2" t="s">
        <v>6010</v>
      </c>
      <c r="F180" s="2" t="s">
        <v>6011</v>
      </c>
      <c r="G180" s="2" t="s">
        <v>5022</v>
      </c>
      <c r="H180" s="2" t="s">
        <v>5023</v>
      </c>
      <c r="I180" s="2" t="s">
        <v>6012</v>
      </c>
      <c r="J180" s="2"/>
      <c r="K180" s="2"/>
      <c r="L180" s="2"/>
      <c r="M180" s="2"/>
      <c r="N180" s="2"/>
      <c r="O180" s="2"/>
      <c r="P180" s="2"/>
      <c r="Q180" s="2"/>
    </row>
    <row r="181" spans="1:17" x14ac:dyDescent="0.2">
      <c r="A181" s="2" t="s">
        <v>544</v>
      </c>
      <c r="B181" s="2" t="s">
        <v>6013</v>
      </c>
      <c r="C181" s="2" t="s">
        <v>6014</v>
      </c>
      <c r="D181" s="2" t="s">
        <v>5275</v>
      </c>
      <c r="E181" s="2" t="s">
        <v>5791</v>
      </c>
      <c r="F181" s="2" t="s">
        <v>6015</v>
      </c>
      <c r="G181" s="2" t="s">
        <v>5022</v>
      </c>
      <c r="H181" s="2" t="s">
        <v>5023</v>
      </c>
      <c r="I181" s="2" t="s">
        <v>6016</v>
      </c>
      <c r="J181" s="2"/>
      <c r="K181" s="2"/>
      <c r="L181" s="2"/>
      <c r="M181" s="2" t="s">
        <v>6017</v>
      </c>
      <c r="N181" s="2"/>
      <c r="O181" s="2"/>
      <c r="P181" s="2"/>
      <c r="Q181" s="2"/>
    </row>
    <row r="182" spans="1:17" x14ac:dyDescent="0.2">
      <c r="A182" s="2" t="s">
        <v>1552</v>
      </c>
      <c r="B182" s="2" t="s">
        <v>2345</v>
      </c>
      <c r="C182" s="2" t="s">
        <v>6018</v>
      </c>
      <c r="D182" s="2" t="s">
        <v>5567</v>
      </c>
      <c r="E182" s="2" t="s">
        <v>6019</v>
      </c>
      <c r="F182" s="2" t="s">
        <v>5226</v>
      </c>
      <c r="G182" s="2" t="s">
        <v>5022</v>
      </c>
      <c r="H182" s="2" t="s">
        <v>5023</v>
      </c>
      <c r="I182" s="2" t="s">
        <v>6020</v>
      </c>
      <c r="J182" s="2"/>
      <c r="K182" s="2"/>
      <c r="L182" s="2"/>
      <c r="M182" s="2"/>
      <c r="N182" s="2"/>
      <c r="O182" s="2"/>
      <c r="P182" s="2"/>
      <c r="Q182" s="2"/>
    </row>
    <row r="183" spans="1:17" x14ac:dyDescent="0.2">
      <c r="A183" s="2" t="s">
        <v>2614</v>
      </c>
      <c r="B183" s="2" t="s">
        <v>6021</v>
      </c>
      <c r="C183" s="2" t="s">
        <v>6022</v>
      </c>
      <c r="D183" s="2" t="s">
        <v>6023</v>
      </c>
      <c r="E183" s="2" t="s">
        <v>6024</v>
      </c>
      <c r="F183" s="2" t="s">
        <v>6025</v>
      </c>
      <c r="G183" s="2" t="s">
        <v>5022</v>
      </c>
      <c r="H183" s="2" t="s">
        <v>5023</v>
      </c>
      <c r="I183" s="2" t="s">
        <v>6026</v>
      </c>
      <c r="J183" s="2"/>
      <c r="K183" s="2"/>
      <c r="L183" s="2"/>
      <c r="M183" s="2"/>
      <c r="N183" s="2"/>
      <c r="O183" s="2"/>
      <c r="P183" s="2"/>
      <c r="Q183" s="2"/>
    </row>
    <row r="184" spans="1:17" x14ac:dyDescent="0.2">
      <c r="A184" s="2" t="s">
        <v>1035</v>
      </c>
      <c r="B184" s="2" t="s">
        <v>6027</v>
      </c>
      <c r="C184" s="2" t="s">
        <v>5133</v>
      </c>
      <c r="D184" s="2" t="s">
        <v>6028</v>
      </c>
      <c r="E184" s="2" t="s">
        <v>6029</v>
      </c>
      <c r="F184" s="2" t="s">
        <v>6030</v>
      </c>
      <c r="G184" s="2" t="s">
        <v>5022</v>
      </c>
      <c r="H184" s="2" t="s">
        <v>5023</v>
      </c>
      <c r="I184" s="2"/>
      <c r="J184" s="2"/>
      <c r="K184" s="2" t="s">
        <v>6031</v>
      </c>
      <c r="L184" s="2"/>
      <c r="M184" s="2" t="s">
        <v>6032</v>
      </c>
      <c r="N184" s="2"/>
      <c r="O184" s="2"/>
      <c r="P184" s="2"/>
      <c r="Q184" s="2"/>
    </row>
    <row r="185" spans="1:17" x14ac:dyDescent="0.2">
      <c r="A185" s="2" t="s">
        <v>500</v>
      </c>
      <c r="B185" s="2" t="s">
        <v>6033</v>
      </c>
      <c r="C185" s="2" t="s">
        <v>5701</v>
      </c>
      <c r="D185" s="2" t="s">
        <v>6034</v>
      </c>
      <c r="E185" s="2" t="s">
        <v>6035</v>
      </c>
      <c r="F185" s="2" t="s">
        <v>6036</v>
      </c>
      <c r="G185" s="2" t="s">
        <v>5022</v>
      </c>
      <c r="H185" s="2" t="s">
        <v>5023</v>
      </c>
      <c r="I185" s="2" t="s">
        <v>6037</v>
      </c>
      <c r="J185" s="2"/>
      <c r="K185" s="2"/>
      <c r="L185" s="2"/>
      <c r="M185" s="2" t="s">
        <v>6038</v>
      </c>
      <c r="N185" s="2"/>
      <c r="O185" s="2"/>
      <c r="P185" s="2"/>
      <c r="Q185" s="2"/>
    </row>
    <row r="186" spans="1:17" x14ac:dyDescent="0.2">
      <c r="A186" s="2" t="s">
        <v>1690</v>
      </c>
      <c r="B186" s="2" t="s">
        <v>6039</v>
      </c>
      <c r="C186" s="2" t="s">
        <v>5223</v>
      </c>
      <c r="D186" s="2" t="s">
        <v>5414</v>
      </c>
      <c r="E186" s="2" t="s">
        <v>6040</v>
      </c>
      <c r="F186" s="2" t="s">
        <v>6041</v>
      </c>
      <c r="G186" s="2" t="s">
        <v>5022</v>
      </c>
      <c r="H186" s="2" t="s">
        <v>5023</v>
      </c>
      <c r="I186" s="2" t="s">
        <v>6042</v>
      </c>
      <c r="J186" s="2"/>
      <c r="K186" s="2"/>
      <c r="L186" s="2"/>
      <c r="M186" s="2"/>
      <c r="N186" s="2"/>
      <c r="O186" s="2"/>
      <c r="P186" s="2"/>
      <c r="Q186" s="2"/>
    </row>
    <row r="187" spans="1:17" x14ac:dyDescent="0.2">
      <c r="A187" s="2" t="s">
        <v>1703</v>
      </c>
      <c r="B187" s="2" t="s">
        <v>5407</v>
      </c>
      <c r="C187" s="2" t="s">
        <v>5546</v>
      </c>
      <c r="D187" s="2" t="s">
        <v>5147</v>
      </c>
      <c r="E187" s="2" t="s">
        <v>5172</v>
      </c>
      <c r="F187" s="2" t="s">
        <v>6043</v>
      </c>
      <c r="G187" s="2" t="s">
        <v>5022</v>
      </c>
      <c r="H187" s="2" t="s">
        <v>5023</v>
      </c>
      <c r="I187" s="2" t="s">
        <v>6044</v>
      </c>
      <c r="J187" s="2"/>
      <c r="K187" s="2"/>
      <c r="L187" s="2"/>
      <c r="M187" s="2"/>
      <c r="N187" s="2"/>
      <c r="O187" s="2"/>
      <c r="P187" s="2"/>
      <c r="Q187" s="2"/>
    </row>
    <row r="188" spans="1:17" x14ac:dyDescent="0.2">
      <c r="A188" s="2" t="s">
        <v>4940</v>
      </c>
      <c r="B188" s="2" t="s">
        <v>6045</v>
      </c>
      <c r="C188" s="2" t="s">
        <v>6046</v>
      </c>
      <c r="D188" s="2" t="s">
        <v>6047</v>
      </c>
      <c r="E188" s="2" t="s">
        <v>6048</v>
      </c>
      <c r="F188" s="2" t="s">
        <v>6049</v>
      </c>
      <c r="G188" s="2" t="s">
        <v>5022</v>
      </c>
      <c r="H188" s="2" t="s">
        <v>5023</v>
      </c>
      <c r="I188" s="2" t="s">
        <v>6050</v>
      </c>
      <c r="J188" s="2"/>
      <c r="K188" s="2"/>
      <c r="L188" s="2"/>
      <c r="M188" s="2" t="s">
        <v>6051</v>
      </c>
      <c r="N188" s="2"/>
      <c r="O188" s="2"/>
      <c r="P188" s="2"/>
      <c r="Q188" s="2"/>
    </row>
    <row r="189" spans="1:17" x14ac:dyDescent="0.2">
      <c r="A189" s="2" t="s">
        <v>3106</v>
      </c>
      <c r="B189" s="2" t="s">
        <v>5840</v>
      </c>
      <c r="C189" s="2" t="s">
        <v>5623</v>
      </c>
      <c r="D189" s="2" t="s">
        <v>6052</v>
      </c>
      <c r="E189" s="2" t="s">
        <v>6053</v>
      </c>
      <c r="F189" s="2" t="s">
        <v>6054</v>
      </c>
      <c r="G189" s="2" t="s">
        <v>5022</v>
      </c>
      <c r="H189" s="2" t="s">
        <v>5023</v>
      </c>
      <c r="I189" s="2"/>
      <c r="J189" s="2"/>
      <c r="K189" s="2" t="s">
        <v>6055</v>
      </c>
      <c r="L189" s="2"/>
      <c r="M189" s="2"/>
      <c r="N189" s="2"/>
      <c r="O189" s="2"/>
      <c r="P189" s="2"/>
      <c r="Q189" s="2"/>
    </row>
    <row r="190" spans="1:17" x14ac:dyDescent="0.2">
      <c r="A190" s="2" t="s">
        <v>4568</v>
      </c>
      <c r="B190" s="2" t="s">
        <v>6056</v>
      </c>
      <c r="C190" s="2" t="s">
        <v>5481</v>
      </c>
      <c r="D190" s="2" t="s">
        <v>6057</v>
      </c>
      <c r="E190" s="2" t="s">
        <v>6058</v>
      </c>
      <c r="F190" s="2" t="s">
        <v>6059</v>
      </c>
      <c r="G190" s="2" t="s">
        <v>5022</v>
      </c>
      <c r="H190" s="2" t="s">
        <v>5023</v>
      </c>
      <c r="I190" s="2" t="s">
        <v>6060</v>
      </c>
      <c r="J190" s="2"/>
      <c r="K190" s="2"/>
      <c r="L190" s="2"/>
      <c r="M190" s="2" t="s">
        <v>6061</v>
      </c>
      <c r="N190" s="2"/>
      <c r="O190" s="2"/>
      <c r="P190" s="2"/>
      <c r="Q190" s="2"/>
    </row>
    <row r="191" spans="1:17" x14ac:dyDescent="0.2">
      <c r="A191" s="2" t="s">
        <v>2641</v>
      </c>
      <c r="B191" s="2" t="s">
        <v>6062</v>
      </c>
      <c r="C191" s="2" t="s">
        <v>5076</v>
      </c>
      <c r="D191" s="2" t="s">
        <v>6063</v>
      </c>
      <c r="E191" s="2" t="s">
        <v>6064</v>
      </c>
      <c r="F191" s="2" t="s">
        <v>6065</v>
      </c>
      <c r="G191" s="2" t="s">
        <v>5022</v>
      </c>
      <c r="H191" s="2" t="s">
        <v>5023</v>
      </c>
      <c r="I191" s="2" t="s">
        <v>6066</v>
      </c>
      <c r="J191" s="2"/>
      <c r="K191" s="2"/>
      <c r="L191" s="2"/>
      <c r="M191" s="2"/>
      <c r="N191" s="2"/>
      <c r="O191" s="2"/>
      <c r="P191" s="2"/>
      <c r="Q191" s="2"/>
    </row>
    <row r="192" spans="1:17" x14ac:dyDescent="0.2">
      <c r="A192" s="2" t="s">
        <v>30</v>
      </c>
      <c r="B192" s="2" t="s">
        <v>6067</v>
      </c>
      <c r="C192" s="2" t="s">
        <v>6004</v>
      </c>
      <c r="D192" s="2" t="s">
        <v>5046</v>
      </c>
      <c r="E192" s="2" t="s">
        <v>6068</v>
      </c>
      <c r="F192" s="2" t="s">
        <v>6069</v>
      </c>
      <c r="G192" s="2" t="s">
        <v>5022</v>
      </c>
      <c r="H192" s="2" t="s">
        <v>5023</v>
      </c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">
      <c r="A193" s="2" t="s">
        <v>3041</v>
      </c>
      <c r="B193" s="2" t="s">
        <v>3147</v>
      </c>
      <c r="C193" s="2" t="s">
        <v>5773</v>
      </c>
      <c r="D193" s="2" t="s">
        <v>6070</v>
      </c>
      <c r="E193" s="2" t="s">
        <v>6071</v>
      </c>
      <c r="F193" s="2" t="s">
        <v>6072</v>
      </c>
      <c r="G193" s="2" t="s">
        <v>5022</v>
      </c>
      <c r="H193" s="2" t="s">
        <v>5023</v>
      </c>
      <c r="I193" s="2" t="s">
        <v>6073</v>
      </c>
      <c r="J193" s="2"/>
      <c r="K193" s="2"/>
      <c r="L193" s="2"/>
      <c r="M193" s="2" t="s">
        <v>6074</v>
      </c>
      <c r="N193" s="2"/>
      <c r="O193" s="2"/>
      <c r="P193" s="2"/>
      <c r="Q193" s="2"/>
    </row>
    <row r="194" spans="1:17" x14ac:dyDescent="0.2">
      <c r="A194" s="2" t="s">
        <v>3634</v>
      </c>
      <c r="B194" s="2" t="s">
        <v>6075</v>
      </c>
      <c r="C194" s="2" t="s">
        <v>5922</v>
      </c>
      <c r="D194" s="2" t="s">
        <v>6076</v>
      </c>
      <c r="E194" s="2" t="s">
        <v>6077</v>
      </c>
      <c r="F194" s="2" t="s">
        <v>6000</v>
      </c>
      <c r="G194" s="2" t="s">
        <v>5022</v>
      </c>
      <c r="H194" s="2" t="s">
        <v>5023</v>
      </c>
      <c r="I194" s="2" t="s">
        <v>6078</v>
      </c>
      <c r="J194" s="2"/>
      <c r="K194" s="2"/>
      <c r="L194" s="2"/>
      <c r="M194" s="2"/>
      <c r="N194" s="2"/>
      <c r="O194" s="2"/>
      <c r="P194" s="2"/>
      <c r="Q194" s="2"/>
    </row>
    <row r="195" spans="1:17" x14ac:dyDescent="0.2">
      <c r="A195" s="2" t="s">
        <v>1952</v>
      </c>
      <c r="B195" s="2" t="s">
        <v>6079</v>
      </c>
      <c r="C195" s="2" t="s">
        <v>6080</v>
      </c>
      <c r="D195" s="2" t="s">
        <v>5363</v>
      </c>
      <c r="E195" s="2" t="s">
        <v>6081</v>
      </c>
      <c r="F195" s="2" t="s">
        <v>6082</v>
      </c>
      <c r="G195" s="2" t="s">
        <v>5022</v>
      </c>
      <c r="H195" s="2" t="s">
        <v>5023</v>
      </c>
      <c r="I195" s="2" t="s">
        <v>6083</v>
      </c>
      <c r="J195" s="2"/>
      <c r="K195" s="2"/>
      <c r="L195" s="2"/>
      <c r="M195" s="2"/>
      <c r="N195" s="2"/>
      <c r="O195" s="2"/>
      <c r="P195" s="2"/>
      <c r="Q195" s="2"/>
    </row>
    <row r="196" spans="1:17" x14ac:dyDescent="0.2">
      <c r="A196" s="2" t="s">
        <v>2068</v>
      </c>
      <c r="B196" s="2" t="s">
        <v>6084</v>
      </c>
      <c r="C196" s="2" t="s">
        <v>6085</v>
      </c>
      <c r="D196" s="2" t="s">
        <v>6086</v>
      </c>
      <c r="E196" s="2" t="s">
        <v>6087</v>
      </c>
      <c r="F196" s="2" t="s">
        <v>6088</v>
      </c>
      <c r="G196" s="2" t="s">
        <v>5022</v>
      </c>
      <c r="H196" s="2" t="s">
        <v>5023</v>
      </c>
      <c r="I196" s="2" t="s">
        <v>6089</v>
      </c>
      <c r="J196" s="2"/>
      <c r="K196" s="2"/>
      <c r="L196" s="2"/>
      <c r="M196" s="2" t="s">
        <v>6090</v>
      </c>
      <c r="N196" s="2"/>
      <c r="O196" s="2"/>
      <c r="P196" s="2"/>
      <c r="Q196" s="2"/>
    </row>
    <row r="197" spans="1:17" x14ac:dyDescent="0.2">
      <c r="A197" s="2" t="s">
        <v>3660</v>
      </c>
      <c r="B197" s="2" t="s">
        <v>5581</v>
      </c>
      <c r="C197" s="2" t="s">
        <v>5299</v>
      </c>
      <c r="D197" s="2" t="s">
        <v>6091</v>
      </c>
      <c r="E197" s="2" t="s">
        <v>6092</v>
      </c>
      <c r="F197" s="2" t="s">
        <v>6093</v>
      </c>
      <c r="G197" s="2" t="s">
        <v>5022</v>
      </c>
      <c r="H197" s="2" t="s">
        <v>5023</v>
      </c>
      <c r="I197" s="2" t="s">
        <v>6094</v>
      </c>
      <c r="J197" s="2"/>
      <c r="K197" s="2"/>
      <c r="L197" s="2"/>
      <c r="M197" s="2"/>
      <c r="N197" s="2"/>
      <c r="O197" s="2"/>
      <c r="P197" s="2"/>
      <c r="Q197" s="2"/>
    </row>
    <row r="198" spans="1:17" x14ac:dyDescent="0.2">
      <c r="A198" s="2" t="s">
        <v>2582</v>
      </c>
      <c r="B198" s="2" t="s">
        <v>6095</v>
      </c>
      <c r="C198" s="2" t="s">
        <v>6096</v>
      </c>
      <c r="D198" s="2" t="s">
        <v>6097</v>
      </c>
      <c r="E198" s="2" t="s">
        <v>6098</v>
      </c>
      <c r="F198" s="2" t="s">
        <v>6099</v>
      </c>
      <c r="G198" s="2" t="s">
        <v>5022</v>
      </c>
      <c r="H198" s="2" t="s">
        <v>5023</v>
      </c>
      <c r="I198" s="2"/>
      <c r="J198" s="2"/>
      <c r="K198" s="2" t="s">
        <v>6100</v>
      </c>
      <c r="L198" s="2"/>
      <c r="M198" s="2"/>
      <c r="N198" s="2"/>
      <c r="O198" s="2"/>
      <c r="P198" s="2"/>
      <c r="Q198" s="2"/>
    </row>
    <row r="199" spans="1:17" x14ac:dyDescent="0.2">
      <c r="A199" s="2" t="s">
        <v>1386</v>
      </c>
      <c r="B199" s="2" t="s">
        <v>6101</v>
      </c>
      <c r="C199" s="2" t="s">
        <v>6102</v>
      </c>
      <c r="D199" s="2" t="s">
        <v>5189</v>
      </c>
      <c r="E199" s="2" t="s">
        <v>6103</v>
      </c>
      <c r="F199" s="2" t="s">
        <v>6104</v>
      </c>
      <c r="G199" s="2" t="s">
        <v>5022</v>
      </c>
      <c r="H199" s="2" t="s">
        <v>5023</v>
      </c>
      <c r="I199" s="2"/>
      <c r="J199" s="2"/>
      <c r="K199" s="2" t="s">
        <v>6105</v>
      </c>
      <c r="L199" s="2"/>
      <c r="M199" s="2"/>
      <c r="N199" s="2"/>
      <c r="O199" s="2"/>
      <c r="P199" s="2"/>
      <c r="Q199" s="2"/>
    </row>
    <row r="200" spans="1:17" x14ac:dyDescent="0.2">
      <c r="A200" s="2" t="s">
        <v>4489</v>
      </c>
      <c r="B200" s="2" t="s">
        <v>5169</v>
      </c>
      <c r="C200" s="2" t="s">
        <v>6106</v>
      </c>
      <c r="D200" s="2" t="s">
        <v>5409</v>
      </c>
      <c r="E200" s="2" t="s">
        <v>6107</v>
      </c>
      <c r="F200" s="2" t="s">
        <v>6108</v>
      </c>
      <c r="G200" s="2" t="s">
        <v>5022</v>
      </c>
      <c r="H200" s="2" t="s">
        <v>5023</v>
      </c>
      <c r="I200" s="2" t="s">
        <v>6109</v>
      </c>
      <c r="J200" s="2"/>
      <c r="K200" s="2"/>
      <c r="L200" s="2"/>
      <c r="M200" s="2"/>
      <c r="N200" s="2"/>
      <c r="O200" s="2"/>
      <c r="P200" s="2"/>
      <c r="Q200" s="2"/>
    </row>
    <row r="201" spans="1:17" x14ac:dyDescent="0.2">
      <c r="A201" s="2" t="s">
        <v>859</v>
      </c>
      <c r="B201" s="2" t="s">
        <v>6110</v>
      </c>
      <c r="C201" s="2" t="s">
        <v>6111</v>
      </c>
      <c r="D201" s="2" t="s">
        <v>6112</v>
      </c>
      <c r="E201" s="2" t="s">
        <v>6113</v>
      </c>
      <c r="F201" s="2" t="s">
        <v>6114</v>
      </c>
      <c r="G201" s="2" t="s">
        <v>5022</v>
      </c>
      <c r="H201" s="2" t="s">
        <v>5023</v>
      </c>
      <c r="I201" s="2" t="s">
        <v>6115</v>
      </c>
      <c r="J201" s="2"/>
      <c r="K201" s="2"/>
      <c r="L201" s="2"/>
      <c r="M201" s="2" t="s">
        <v>6116</v>
      </c>
      <c r="N201" s="2"/>
      <c r="O201" s="2"/>
      <c r="P201" s="2"/>
      <c r="Q201" s="2"/>
    </row>
    <row r="202" spans="1:17" x14ac:dyDescent="0.2">
      <c r="A202" s="2" t="s">
        <v>4700</v>
      </c>
      <c r="B202" s="2" t="s">
        <v>6117</v>
      </c>
      <c r="C202" s="2" t="s">
        <v>5408</v>
      </c>
      <c r="D202" s="2" t="s">
        <v>6118</v>
      </c>
      <c r="E202" s="2" t="s">
        <v>6119</v>
      </c>
      <c r="F202" s="2" t="s">
        <v>6120</v>
      </c>
      <c r="G202" s="2" t="s">
        <v>5022</v>
      </c>
      <c r="H202" s="2" t="s">
        <v>5023</v>
      </c>
      <c r="I202" s="2" t="s">
        <v>6121</v>
      </c>
      <c r="J202" s="2"/>
      <c r="K202" s="2"/>
      <c r="L202" s="2"/>
      <c r="M202" s="2"/>
      <c r="N202" s="2"/>
      <c r="O202" s="2"/>
      <c r="P202" s="2"/>
      <c r="Q202" s="2"/>
    </row>
    <row r="203" spans="1:17" x14ac:dyDescent="0.2">
      <c r="A203" s="2" t="s">
        <v>1199</v>
      </c>
      <c r="B203" s="2" t="s">
        <v>6122</v>
      </c>
      <c r="C203" s="2" t="s">
        <v>5023</v>
      </c>
      <c r="D203" s="2" t="s">
        <v>5039</v>
      </c>
      <c r="E203" s="2" t="s">
        <v>6123</v>
      </c>
      <c r="F203" s="2" t="s">
        <v>6124</v>
      </c>
      <c r="G203" s="2" t="s">
        <v>5022</v>
      </c>
      <c r="H203" s="2" t="s">
        <v>5023</v>
      </c>
      <c r="I203" s="2" t="s">
        <v>6125</v>
      </c>
      <c r="J203" s="2"/>
      <c r="K203" s="2"/>
      <c r="L203" s="2"/>
      <c r="M203" s="2" t="s">
        <v>6126</v>
      </c>
      <c r="N203" s="2"/>
      <c r="O203" s="2"/>
      <c r="P203" s="2"/>
      <c r="Q203" s="2"/>
    </row>
    <row r="204" spans="1:17" x14ac:dyDescent="0.2">
      <c r="A204" s="2" t="s">
        <v>1971</v>
      </c>
      <c r="B204" s="2" t="s">
        <v>6127</v>
      </c>
      <c r="C204" s="2" t="s">
        <v>6052</v>
      </c>
      <c r="D204" s="2" t="s">
        <v>6128</v>
      </c>
      <c r="E204" s="2" t="s">
        <v>6129</v>
      </c>
      <c r="F204" s="2" t="s">
        <v>6130</v>
      </c>
      <c r="G204" s="2" t="s">
        <v>5022</v>
      </c>
      <c r="H204" s="2" t="s">
        <v>5023</v>
      </c>
      <c r="I204" s="2"/>
      <c r="J204" s="2"/>
      <c r="K204" s="2" t="s">
        <v>6131</v>
      </c>
      <c r="L204" s="2"/>
      <c r="M204" s="2"/>
      <c r="N204" s="2"/>
      <c r="O204" s="2"/>
      <c r="P204" s="2"/>
      <c r="Q204" s="2"/>
    </row>
    <row r="205" spans="1:17" x14ac:dyDescent="0.2">
      <c r="A205" s="2" t="s">
        <v>1937</v>
      </c>
      <c r="B205" s="2" t="s">
        <v>6132</v>
      </c>
      <c r="C205" s="2" t="s">
        <v>6133</v>
      </c>
      <c r="D205" s="2" t="s">
        <v>5241</v>
      </c>
      <c r="E205" s="2" t="s">
        <v>6134</v>
      </c>
      <c r="F205" s="2" t="s">
        <v>6135</v>
      </c>
      <c r="G205" s="2" t="s">
        <v>5022</v>
      </c>
      <c r="H205" s="2" t="s">
        <v>5023</v>
      </c>
      <c r="I205" s="2"/>
      <c r="J205" s="2"/>
      <c r="K205" s="2" t="s">
        <v>6136</v>
      </c>
      <c r="L205" s="2"/>
      <c r="M205" s="2"/>
      <c r="N205" s="2"/>
      <c r="O205" s="2"/>
      <c r="P205" s="2"/>
      <c r="Q205" s="2"/>
    </row>
    <row r="206" spans="1:17" x14ac:dyDescent="0.2">
      <c r="A206" s="2" t="s">
        <v>3700</v>
      </c>
      <c r="B206" s="2" t="s">
        <v>5752</v>
      </c>
      <c r="C206" s="2" t="s">
        <v>6137</v>
      </c>
      <c r="D206" s="2" t="s">
        <v>6138</v>
      </c>
      <c r="E206" s="2" t="s">
        <v>6139</v>
      </c>
      <c r="F206" s="2" t="s">
        <v>6140</v>
      </c>
      <c r="G206" s="2" t="s">
        <v>5022</v>
      </c>
      <c r="H206" s="2" t="s">
        <v>5023</v>
      </c>
      <c r="I206" s="2" t="s">
        <v>6141</v>
      </c>
      <c r="J206" s="2"/>
      <c r="K206" s="2"/>
      <c r="L206" s="2"/>
      <c r="M206" s="2"/>
      <c r="N206" s="2"/>
      <c r="O206" s="2"/>
      <c r="P206" s="2"/>
      <c r="Q206" s="2"/>
    </row>
    <row r="207" spans="1:17" x14ac:dyDescent="0.2">
      <c r="A207" s="2" t="s">
        <v>4846</v>
      </c>
      <c r="B207" s="2" t="s">
        <v>6142</v>
      </c>
      <c r="C207" s="2" t="s">
        <v>6143</v>
      </c>
      <c r="D207" s="2" t="s">
        <v>6144</v>
      </c>
      <c r="E207" s="2" t="s">
        <v>6145</v>
      </c>
      <c r="F207" s="2" t="s">
        <v>6146</v>
      </c>
      <c r="G207" s="2" t="s">
        <v>5022</v>
      </c>
      <c r="H207" s="2" t="s">
        <v>5023</v>
      </c>
      <c r="I207" s="2" t="s">
        <v>6147</v>
      </c>
      <c r="J207" s="2"/>
      <c r="K207" s="2"/>
      <c r="L207" s="2"/>
      <c r="M207" s="2"/>
      <c r="N207" s="2"/>
      <c r="O207" s="2"/>
      <c r="P207" s="2"/>
      <c r="Q207" s="2"/>
    </row>
    <row r="208" spans="1:17" x14ac:dyDescent="0.2">
      <c r="A208" s="2" t="s">
        <v>4327</v>
      </c>
      <c r="B208" s="2" t="s">
        <v>6148</v>
      </c>
      <c r="C208" s="2" t="s">
        <v>5057</v>
      </c>
      <c r="D208" s="2" t="s">
        <v>6149</v>
      </c>
      <c r="E208" s="2" t="s">
        <v>6150</v>
      </c>
      <c r="F208" s="2" t="s">
        <v>6151</v>
      </c>
      <c r="G208" s="2" t="s">
        <v>5022</v>
      </c>
      <c r="H208" s="2" t="s">
        <v>5023</v>
      </c>
      <c r="I208" s="2" t="s">
        <v>6152</v>
      </c>
      <c r="J208" s="2"/>
      <c r="K208" s="2"/>
      <c r="L208" s="2"/>
      <c r="M208" s="2"/>
      <c r="N208" s="2"/>
      <c r="O208" s="2"/>
      <c r="P208" s="2"/>
      <c r="Q208" s="2"/>
    </row>
    <row r="209" spans="1:17" x14ac:dyDescent="0.2">
      <c r="A209" s="2" t="s">
        <v>3287</v>
      </c>
      <c r="B209" s="2" t="s">
        <v>6153</v>
      </c>
      <c r="C209" s="2" t="s">
        <v>6154</v>
      </c>
      <c r="D209" s="2" t="s">
        <v>6155</v>
      </c>
      <c r="E209" s="2" t="s">
        <v>6156</v>
      </c>
      <c r="F209" s="2" t="s">
        <v>6157</v>
      </c>
      <c r="G209" s="2" t="s">
        <v>5022</v>
      </c>
      <c r="H209" s="2" t="s">
        <v>5023</v>
      </c>
      <c r="I209" s="2" t="s">
        <v>6158</v>
      </c>
      <c r="J209" s="2"/>
      <c r="K209" s="2"/>
      <c r="L209" s="2"/>
      <c r="M209" s="2"/>
      <c r="N209" s="2"/>
      <c r="O209" s="2"/>
      <c r="P209" s="2"/>
      <c r="Q209" s="2"/>
    </row>
    <row r="210" spans="1:17" x14ac:dyDescent="0.2">
      <c r="A210" s="2" t="s">
        <v>2708</v>
      </c>
      <c r="B210" s="2" t="s">
        <v>6159</v>
      </c>
      <c r="C210" s="2" t="s">
        <v>5352</v>
      </c>
      <c r="D210" s="2" t="s">
        <v>6160</v>
      </c>
      <c r="E210" s="2" t="s">
        <v>6161</v>
      </c>
      <c r="F210" s="2" t="s">
        <v>6162</v>
      </c>
      <c r="G210" s="2" t="s">
        <v>5022</v>
      </c>
      <c r="H210" s="2" t="s">
        <v>5023</v>
      </c>
      <c r="I210" s="2" t="s">
        <v>6163</v>
      </c>
      <c r="J210" s="2"/>
      <c r="K210" s="2"/>
      <c r="L210" s="2"/>
      <c r="M210" s="2"/>
      <c r="N210" s="2"/>
      <c r="O210" s="2"/>
      <c r="P210" s="2"/>
      <c r="Q210" s="2"/>
    </row>
    <row r="211" spans="1:17" x14ac:dyDescent="0.2">
      <c r="A211" s="2" t="s">
        <v>179</v>
      </c>
      <c r="B211" s="2" t="s">
        <v>6164</v>
      </c>
      <c r="C211" s="2" t="s">
        <v>5858</v>
      </c>
      <c r="D211" s="2" t="s">
        <v>6165</v>
      </c>
      <c r="E211" s="2" t="s">
        <v>6166</v>
      </c>
      <c r="F211" s="2" t="s">
        <v>5663</v>
      </c>
      <c r="G211" s="2" t="s">
        <v>5022</v>
      </c>
      <c r="H211" s="2" t="s">
        <v>5023</v>
      </c>
      <c r="I211" s="2" t="s">
        <v>6167</v>
      </c>
      <c r="J211" s="2"/>
      <c r="K211" s="2"/>
      <c r="L211" s="2"/>
      <c r="M211" s="2"/>
      <c r="N211" s="2"/>
      <c r="O211" s="2"/>
      <c r="P211" s="2"/>
      <c r="Q211" s="2"/>
    </row>
    <row r="212" spans="1:17" x14ac:dyDescent="0.2">
      <c r="A212" s="2" t="s">
        <v>4886</v>
      </c>
      <c r="B212" s="2" t="s">
        <v>6168</v>
      </c>
      <c r="C212" s="2" t="s">
        <v>5895</v>
      </c>
      <c r="D212" s="2" t="s">
        <v>6169</v>
      </c>
      <c r="E212" s="2" t="s">
        <v>6170</v>
      </c>
      <c r="F212" s="2" t="s">
        <v>6171</v>
      </c>
      <c r="G212" s="2" t="s">
        <v>5022</v>
      </c>
      <c r="H212" s="2" t="s">
        <v>5023</v>
      </c>
      <c r="I212" s="2" t="s">
        <v>6172</v>
      </c>
      <c r="J212" s="2"/>
      <c r="K212" s="2"/>
      <c r="L212" s="2"/>
      <c r="M212" s="2" t="s">
        <v>6173</v>
      </c>
      <c r="N212" s="2"/>
      <c r="O212" s="2"/>
      <c r="P212" s="2"/>
      <c r="Q212" s="2"/>
    </row>
    <row r="213" spans="1:17" x14ac:dyDescent="0.2">
      <c r="A213" s="2" t="s">
        <v>3939</v>
      </c>
      <c r="B213" s="2" t="s">
        <v>5262</v>
      </c>
      <c r="C213" s="2" t="s">
        <v>5409</v>
      </c>
      <c r="D213" s="2" t="s">
        <v>6174</v>
      </c>
      <c r="E213" s="2" t="s">
        <v>6175</v>
      </c>
      <c r="F213" s="2" t="s">
        <v>6176</v>
      </c>
      <c r="G213" s="2" t="s">
        <v>5022</v>
      </c>
      <c r="H213" s="2" t="s">
        <v>5023</v>
      </c>
      <c r="I213" s="2" t="s">
        <v>6177</v>
      </c>
      <c r="J213" s="2"/>
      <c r="K213" s="2"/>
      <c r="L213" s="2"/>
      <c r="M213" s="2" t="s">
        <v>6178</v>
      </c>
      <c r="N213" s="2"/>
      <c r="O213" s="2"/>
      <c r="P213" s="2"/>
      <c r="Q213" s="2"/>
    </row>
    <row r="214" spans="1:17" x14ac:dyDescent="0.2">
      <c r="A214" s="2" t="s">
        <v>1540</v>
      </c>
      <c r="B214" s="2" t="s">
        <v>5479</v>
      </c>
      <c r="C214" s="2" t="s">
        <v>5605</v>
      </c>
      <c r="D214" s="2" t="s">
        <v>6179</v>
      </c>
      <c r="E214" s="2" t="s">
        <v>6180</v>
      </c>
      <c r="F214" s="2" t="s">
        <v>6181</v>
      </c>
      <c r="G214" s="2" t="s">
        <v>5022</v>
      </c>
      <c r="H214" s="2" t="s">
        <v>5023</v>
      </c>
      <c r="I214" s="2" t="s">
        <v>6182</v>
      </c>
      <c r="J214" s="2"/>
      <c r="K214" s="2"/>
      <c r="L214" s="2"/>
      <c r="M214" s="2" t="s">
        <v>6183</v>
      </c>
      <c r="N214" s="2"/>
      <c r="O214" s="2"/>
      <c r="P214" s="2"/>
      <c r="Q214" s="2"/>
    </row>
    <row r="215" spans="1:17" x14ac:dyDescent="0.2">
      <c r="A215" s="2" t="s">
        <v>827</v>
      </c>
      <c r="B215" s="2" t="s">
        <v>5061</v>
      </c>
      <c r="C215" s="2" t="s">
        <v>5105</v>
      </c>
      <c r="D215" s="2" t="s">
        <v>6184</v>
      </c>
      <c r="E215" s="2" t="s">
        <v>5114</v>
      </c>
      <c r="F215" s="2" t="s">
        <v>6185</v>
      </c>
      <c r="G215" s="2" t="s">
        <v>5022</v>
      </c>
      <c r="H215" s="2" t="s">
        <v>5023</v>
      </c>
      <c r="I215" s="2" t="s">
        <v>6186</v>
      </c>
      <c r="J215" s="2"/>
      <c r="K215" s="2"/>
      <c r="L215" s="2"/>
      <c r="M215" s="2" t="s">
        <v>6187</v>
      </c>
      <c r="N215" s="2"/>
      <c r="O215" s="2"/>
      <c r="P215" s="2"/>
      <c r="Q215" s="2"/>
    </row>
    <row r="216" spans="1:17" x14ac:dyDescent="0.2">
      <c r="A216" s="2" t="s">
        <v>890</v>
      </c>
      <c r="B216" s="2" t="s">
        <v>6188</v>
      </c>
      <c r="C216" s="2" t="s">
        <v>5473</v>
      </c>
      <c r="D216" s="2" t="s">
        <v>6189</v>
      </c>
      <c r="E216" s="2" t="s">
        <v>6190</v>
      </c>
      <c r="F216" s="2" t="s">
        <v>6191</v>
      </c>
      <c r="G216" s="2" t="s">
        <v>5022</v>
      </c>
      <c r="H216" s="2" t="s">
        <v>5023</v>
      </c>
      <c r="I216" s="2" t="s">
        <v>6192</v>
      </c>
      <c r="J216" s="2"/>
      <c r="K216" s="2"/>
      <c r="L216" s="2"/>
      <c r="M216" s="2"/>
      <c r="N216" s="2"/>
      <c r="O216" s="2"/>
      <c r="P216" s="2"/>
      <c r="Q216" s="2"/>
    </row>
    <row r="217" spans="1:17" x14ac:dyDescent="0.2">
      <c r="A217" s="2" t="s">
        <v>3943</v>
      </c>
      <c r="B217" s="2" t="s">
        <v>6193</v>
      </c>
      <c r="C217" s="2" t="s">
        <v>6194</v>
      </c>
      <c r="D217" s="2" t="s">
        <v>5323</v>
      </c>
      <c r="E217" s="2" t="s">
        <v>6195</v>
      </c>
      <c r="F217" s="2" t="s">
        <v>5764</v>
      </c>
      <c r="G217" s="2" t="s">
        <v>5022</v>
      </c>
      <c r="H217" s="2" t="s">
        <v>5023</v>
      </c>
      <c r="I217" s="2" t="s">
        <v>6196</v>
      </c>
      <c r="J217" s="2"/>
      <c r="K217" s="2"/>
      <c r="L217" s="2"/>
      <c r="M217" s="2" t="s">
        <v>6197</v>
      </c>
      <c r="N217" s="2"/>
      <c r="O217" s="2"/>
      <c r="P217" s="2"/>
      <c r="Q217" s="2"/>
    </row>
    <row r="218" spans="1:17" x14ac:dyDescent="0.2">
      <c r="A218" s="2" t="s">
        <v>4545</v>
      </c>
      <c r="B218" s="2" t="s">
        <v>3159</v>
      </c>
      <c r="C218" s="2" t="s">
        <v>5481</v>
      </c>
      <c r="D218" s="2" t="s">
        <v>6198</v>
      </c>
      <c r="E218" s="2" t="s">
        <v>6199</v>
      </c>
      <c r="F218" s="2" t="s">
        <v>6200</v>
      </c>
      <c r="G218" s="2" t="s">
        <v>5022</v>
      </c>
      <c r="H218" s="2" t="s">
        <v>5023</v>
      </c>
      <c r="I218" s="2" t="s">
        <v>6201</v>
      </c>
      <c r="J218" s="2"/>
      <c r="K218" s="2"/>
      <c r="L218" s="2"/>
      <c r="M218" s="2" t="s">
        <v>6202</v>
      </c>
      <c r="N218" s="2"/>
      <c r="O218" s="2"/>
      <c r="P218" s="2"/>
      <c r="Q218" s="2"/>
    </row>
    <row r="219" spans="1:17" x14ac:dyDescent="0.2">
      <c r="A219" s="2" t="s">
        <v>3372</v>
      </c>
      <c r="B219" s="2" t="s">
        <v>5085</v>
      </c>
      <c r="C219" s="2" t="s">
        <v>6203</v>
      </c>
      <c r="D219" s="2" t="s">
        <v>6204</v>
      </c>
      <c r="E219" s="2" t="s">
        <v>6205</v>
      </c>
      <c r="F219" s="2" t="s">
        <v>6206</v>
      </c>
      <c r="G219" s="2" t="s">
        <v>5022</v>
      </c>
      <c r="H219" s="2" t="s">
        <v>5023</v>
      </c>
      <c r="I219" s="2" t="s">
        <v>6207</v>
      </c>
      <c r="J219" s="2"/>
      <c r="K219" s="2"/>
      <c r="L219" s="2"/>
      <c r="M219" s="2" t="s">
        <v>6208</v>
      </c>
      <c r="N219" s="2"/>
      <c r="O219" s="2"/>
      <c r="P219" s="2"/>
      <c r="Q219" s="2"/>
    </row>
    <row r="220" spans="1:17" x14ac:dyDescent="0.2">
      <c r="A220" s="2" t="s">
        <v>585</v>
      </c>
      <c r="B220" s="2" t="s">
        <v>6209</v>
      </c>
      <c r="C220" s="2" t="s">
        <v>6210</v>
      </c>
      <c r="D220" s="2" t="s">
        <v>6211</v>
      </c>
      <c r="E220" s="2" t="s">
        <v>5114</v>
      </c>
      <c r="F220" s="2" t="s">
        <v>6212</v>
      </c>
      <c r="G220" s="2" t="s">
        <v>5022</v>
      </c>
      <c r="H220" s="2" t="s">
        <v>5023</v>
      </c>
      <c r="I220" s="2" t="s">
        <v>6213</v>
      </c>
      <c r="J220" s="2"/>
      <c r="K220" s="2"/>
      <c r="L220" s="2"/>
      <c r="M220" s="2" t="s">
        <v>6214</v>
      </c>
      <c r="N220" s="2"/>
      <c r="O220" s="2"/>
      <c r="P220" s="2"/>
      <c r="Q220" s="2"/>
    </row>
    <row r="221" spans="1:17" x14ac:dyDescent="0.2">
      <c r="A221" s="2" t="s">
        <v>3138</v>
      </c>
      <c r="B221" s="2" t="s">
        <v>6215</v>
      </c>
      <c r="C221" s="2" t="s">
        <v>6216</v>
      </c>
      <c r="D221" s="2" t="s">
        <v>6217</v>
      </c>
      <c r="E221" s="2" t="s">
        <v>6218</v>
      </c>
      <c r="F221" s="2" t="s">
        <v>6219</v>
      </c>
      <c r="G221" s="2" t="s">
        <v>5022</v>
      </c>
      <c r="H221" s="2" t="s">
        <v>5023</v>
      </c>
      <c r="I221" s="2"/>
      <c r="J221" s="2"/>
      <c r="K221" s="2" t="s">
        <v>6220</v>
      </c>
      <c r="L221" s="2"/>
      <c r="M221" s="2"/>
      <c r="N221" s="2"/>
      <c r="O221" s="2"/>
      <c r="P221" s="2"/>
      <c r="Q221" s="2"/>
    </row>
    <row r="222" spans="1:17" x14ac:dyDescent="0.2">
      <c r="A222" s="2" t="s">
        <v>4535</v>
      </c>
      <c r="B222" s="2" t="s">
        <v>6221</v>
      </c>
      <c r="C222" s="2" t="s">
        <v>6222</v>
      </c>
      <c r="D222" s="2" t="s">
        <v>5051</v>
      </c>
      <c r="E222" s="2" t="s">
        <v>6223</v>
      </c>
      <c r="F222" s="2" t="s">
        <v>6224</v>
      </c>
      <c r="G222" s="2" t="s">
        <v>5022</v>
      </c>
      <c r="H222" s="2" t="s">
        <v>5023</v>
      </c>
      <c r="I222" s="2" t="s">
        <v>6225</v>
      </c>
      <c r="J222" s="2"/>
      <c r="K222" s="2"/>
      <c r="L222" s="2"/>
      <c r="M222" s="2"/>
      <c r="N222" s="2"/>
      <c r="O222" s="2"/>
      <c r="P222" s="2"/>
      <c r="Q222" s="2"/>
    </row>
    <row r="223" spans="1:17" x14ac:dyDescent="0.2">
      <c r="A223" s="2" t="s">
        <v>4823</v>
      </c>
      <c r="B223" s="2" t="s">
        <v>6226</v>
      </c>
      <c r="C223" s="2" t="s">
        <v>6227</v>
      </c>
      <c r="D223" s="2" t="s">
        <v>6228</v>
      </c>
      <c r="E223" s="2" t="s">
        <v>6229</v>
      </c>
      <c r="F223" s="2" t="s">
        <v>6230</v>
      </c>
      <c r="G223" s="2" t="s">
        <v>5022</v>
      </c>
      <c r="H223" s="2" t="s">
        <v>5023</v>
      </c>
      <c r="I223" s="2" t="s">
        <v>6231</v>
      </c>
      <c r="J223" s="2"/>
      <c r="K223" s="2"/>
      <c r="L223" s="2"/>
      <c r="M223" s="2" t="s">
        <v>6232</v>
      </c>
      <c r="N223" s="2"/>
      <c r="O223" s="2"/>
      <c r="P223" s="2"/>
      <c r="Q223" s="2"/>
    </row>
    <row r="224" spans="1:17" x14ac:dyDescent="0.2">
      <c r="A224" s="2" t="s">
        <v>2275</v>
      </c>
      <c r="B224" s="2" t="s">
        <v>6132</v>
      </c>
      <c r="C224" s="2" t="s">
        <v>5374</v>
      </c>
      <c r="D224" s="2" t="s">
        <v>6233</v>
      </c>
      <c r="E224" s="2" t="s">
        <v>6234</v>
      </c>
      <c r="F224" s="2" t="s">
        <v>5595</v>
      </c>
      <c r="G224" s="2" t="s">
        <v>5022</v>
      </c>
      <c r="H224" s="2" t="s">
        <v>5023</v>
      </c>
      <c r="I224" s="2"/>
      <c r="J224" s="2"/>
      <c r="K224" s="2" t="s">
        <v>6235</v>
      </c>
      <c r="L224" s="2"/>
      <c r="M224" s="2" t="s">
        <v>6236</v>
      </c>
      <c r="N224" s="2"/>
      <c r="O224" s="2"/>
      <c r="P224" s="2"/>
      <c r="Q224" s="2"/>
    </row>
    <row r="225" spans="1:17" x14ac:dyDescent="0.2">
      <c r="A225" s="2" t="s">
        <v>1294</v>
      </c>
      <c r="B225" s="2" t="s">
        <v>6237</v>
      </c>
      <c r="C225" s="2" t="s">
        <v>5275</v>
      </c>
      <c r="D225" s="2" t="s">
        <v>6238</v>
      </c>
      <c r="E225" s="2" t="s">
        <v>6239</v>
      </c>
      <c r="F225" s="2" t="s">
        <v>6240</v>
      </c>
      <c r="G225" s="2" t="s">
        <v>5022</v>
      </c>
      <c r="H225" s="2" t="s">
        <v>5023</v>
      </c>
      <c r="I225" s="2" t="s">
        <v>6241</v>
      </c>
      <c r="J225" s="2"/>
      <c r="K225" s="2"/>
      <c r="L225" s="2"/>
      <c r="M225" s="2" t="s">
        <v>6242</v>
      </c>
      <c r="N225" s="2"/>
      <c r="O225" s="2"/>
      <c r="P225" s="2"/>
      <c r="Q225" s="2"/>
    </row>
    <row r="226" spans="1:17" x14ac:dyDescent="0.2">
      <c r="A226" s="2" t="s">
        <v>1684</v>
      </c>
      <c r="B226" s="2" t="s">
        <v>988</v>
      </c>
      <c r="C226" s="2" t="s">
        <v>6243</v>
      </c>
      <c r="D226" s="2" t="s">
        <v>6244</v>
      </c>
      <c r="E226" s="2" t="s">
        <v>6245</v>
      </c>
      <c r="F226" s="2" t="s">
        <v>6246</v>
      </c>
      <c r="G226" s="2" t="s">
        <v>5022</v>
      </c>
      <c r="H226" s="2" t="s">
        <v>5023</v>
      </c>
      <c r="I226" s="2"/>
      <c r="J226" s="2"/>
      <c r="K226" s="2" t="s">
        <v>6247</v>
      </c>
      <c r="L226" s="2"/>
      <c r="M226" s="2"/>
      <c r="N226" s="2"/>
      <c r="O226" s="2"/>
      <c r="P226" s="2"/>
      <c r="Q226" s="2"/>
    </row>
    <row r="227" spans="1:17" x14ac:dyDescent="0.2">
      <c r="A227" s="2" t="s">
        <v>791</v>
      </c>
      <c r="B227" s="2" t="s">
        <v>6248</v>
      </c>
      <c r="C227" s="2" t="s">
        <v>6249</v>
      </c>
      <c r="D227" s="2" t="s">
        <v>6250</v>
      </c>
      <c r="E227" s="2" t="s">
        <v>6251</v>
      </c>
      <c r="F227" s="2" t="s">
        <v>6252</v>
      </c>
      <c r="G227" s="2" t="s">
        <v>5022</v>
      </c>
      <c r="H227" s="2" t="s">
        <v>5023</v>
      </c>
      <c r="I227" s="2" t="s">
        <v>6253</v>
      </c>
      <c r="J227" s="2"/>
      <c r="K227" s="2"/>
      <c r="L227" s="2"/>
      <c r="M227" s="2" t="s">
        <v>6254</v>
      </c>
      <c r="N227" s="2"/>
      <c r="O227" s="2"/>
      <c r="P227" s="2"/>
      <c r="Q227" s="2"/>
    </row>
    <row r="228" spans="1:17" x14ac:dyDescent="0.2">
      <c r="A228" s="2" t="s">
        <v>1962</v>
      </c>
      <c r="B228" s="2" t="s">
        <v>5784</v>
      </c>
      <c r="C228" s="2" t="s">
        <v>6255</v>
      </c>
      <c r="D228" s="2" t="s">
        <v>6256</v>
      </c>
      <c r="E228" s="2" t="s">
        <v>6257</v>
      </c>
      <c r="F228" s="2" t="s">
        <v>6258</v>
      </c>
      <c r="G228" s="2" t="s">
        <v>5022</v>
      </c>
      <c r="H228" s="2" t="s">
        <v>5023</v>
      </c>
      <c r="I228" s="2"/>
      <c r="J228" s="2"/>
      <c r="K228" s="2" t="s">
        <v>6259</v>
      </c>
      <c r="L228" s="2"/>
      <c r="M228" s="2"/>
      <c r="N228" s="2"/>
      <c r="O228" s="2"/>
      <c r="P228" s="2"/>
      <c r="Q228" s="2"/>
    </row>
    <row r="229" spans="1:17" x14ac:dyDescent="0.2">
      <c r="A229" s="2" t="s">
        <v>1511</v>
      </c>
      <c r="B229" s="2" t="s">
        <v>6260</v>
      </c>
      <c r="C229" s="2" t="s">
        <v>6261</v>
      </c>
      <c r="D229" s="2" t="s">
        <v>5217</v>
      </c>
      <c r="E229" s="2" t="s">
        <v>6262</v>
      </c>
      <c r="F229" s="2" t="s">
        <v>6263</v>
      </c>
      <c r="G229" s="2" t="s">
        <v>5022</v>
      </c>
      <c r="H229" s="2" t="s">
        <v>5023</v>
      </c>
      <c r="I229" s="2" t="s">
        <v>6264</v>
      </c>
      <c r="J229" s="2"/>
      <c r="K229" s="2"/>
      <c r="L229" s="2"/>
      <c r="M229" s="2"/>
      <c r="N229" s="2"/>
      <c r="O229" s="2"/>
      <c r="P229" s="2"/>
      <c r="Q229" s="2"/>
    </row>
    <row r="230" spans="1:17" x14ac:dyDescent="0.2">
      <c r="A230" s="2" t="s">
        <v>1658</v>
      </c>
      <c r="B230" s="2" t="s">
        <v>6265</v>
      </c>
      <c r="C230" s="2" t="s">
        <v>6266</v>
      </c>
      <c r="D230" s="2" t="s">
        <v>6267</v>
      </c>
      <c r="E230" s="2" t="s">
        <v>6268</v>
      </c>
      <c r="F230" s="2" t="s">
        <v>6269</v>
      </c>
      <c r="G230" s="2" t="s">
        <v>5022</v>
      </c>
      <c r="H230" s="2" t="s">
        <v>5023</v>
      </c>
      <c r="I230" s="2" t="s">
        <v>6270</v>
      </c>
      <c r="J230" s="2" t="s">
        <v>6271</v>
      </c>
      <c r="K230" s="2"/>
      <c r="L230" s="2"/>
      <c r="M230" s="2"/>
      <c r="N230" s="2"/>
      <c r="O230" s="2"/>
      <c r="P230" s="2"/>
      <c r="Q230" s="2"/>
    </row>
    <row r="231" spans="1:17" x14ac:dyDescent="0.2">
      <c r="A231" s="2" t="s">
        <v>4307</v>
      </c>
      <c r="B231" s="2" t="s">
        <v>6084</v>
      </c>
      <c r="C231" s="2" t="s">
        <v>6063</v>
      </c>
      <c r="D231" s="2" t="s">
        <v>5051</v>
      </c>
      <c r="E231" s="2" t="s">
        <v>6272</v>
      </c>
      <c r="F231" s="2" t="s">
        <v>6273</v>
      </c>
      <c r="G231" s="2" t="s">
        <v>5022</v>
      </c>
      <c r="H231" s="2" t="s">
        <v>6274</v>
      </c>
      <c r="I231" s="2" t="s">
        <v>6275</v>
      </c>
      <c r="J231" s="2"/>
      <c r="K231" s="2"/>
      <c r="L231" s="2"/>
      <c r="M231" s="2"/>
      <c r="N231" s="2"/>
      <c r="O231" s="2"/>
      <c r="P231" s="2"/>
      <c r="Q231" s="2"/>
    </row>
    <row r="232" spans="1:17" x14ac:dyDescent="0.2">
      <c r="A232" s="2" t="s">
        <v>3276</v>
      </c>
      <c r="B232" s="2" t="s">
        <v>5739</v>
      </c>
      <c r="C232" s="2" t="s">
        <v>5282</v>
      </c>
      <c r="D232" s="2" t="s">
        <v>6276</v>
      </c>
      <c r="E232" s="2" t="s">
        <v>6277</v>
      </c>
      <c r="F232" s="2" t="s">
        <v>6278</v>
      </c>
      <c r="G232" s="2" t="s">
        <v>5022</v>
      </c>
      <c r="H232" s="2" t="s">
        <v>5023</v>
      </c>
      <c r="I232" s="2" t="s">
        <v>6279</v>
      </c>
      <c r="J232" s="2"/>
      <c r="K232" s="2"/>
      <c r="L232" s="2"/>
      <c r="M232" s="2" t="s">
        <v>6280</v>
      </c>
      <c r="N232" s="2"/>
      <c r="O232" s="2"/>
      <c r="P232" s="2"/>
      <c r="Q232" s="2"/>
    </row>
    <row r="233" spans="1:17" x14ac:dyDescent="0.2">
      <c r="A233" s="2" t="s">
        <v>810</v>
      </c>
      <c r="B233" s="2" t="s">
        <v>6281</v>
      </c>
      <c r="C233" s="2" t="s">
        <v>6282</v>
      </c>
      <c r="D233" s="2" t="s">
        <v>6143</v>
      </c>
      <c r="E233" s="2" t="s">
        <v>6283</v>
      </c>
      <c r="F233" s="2" t="s">
        <v>6284</v>
      </c>
      <c r="G233" s="2" t="s">
        <v>5022</v>
      </c>
      <c r="H233" s="2" t="s">
        <v>5023</v>
      </c>
      <c r="I233" s="2" t="s">
        <v>6285</v>
      </c>
      <c r="J233" s="2"/>
      <c r="K233" s="2"/>
      <c r="L233" s="2"/>
      <c r="M233" s="2" t="s">
        <v>6286</v>
      </c>
      <c r="N233" s="2"/>
      <c r="O233" s="2"/>
      <c r="P233" s="2"/>
      <c r="Q233" s="2"/>
    </row>
    <row r="234" spans="1:17" x14ac:dyDescent="0.2">
      <c r="A234" s="2" t="s">
        <v>4301</v>
      </c>
      <c r="B234" s="2" t="s">
        <v>6287</v>
      </c>
      <c r="C234" s="2" t="s">
        <v>5789</v>
      </c>
      <c r="D234" s="2" t="s">
        <v>6288</v>
      </c>
      <c r="E234" s="2" t="s">
        <v>6289</v>
      </c>
      <c r="F234" s="2" t="s">
        <v>6290</v>
      </c>
      <c r="G234" s="2" t="s">
        <v>5022</v>
      </c>
      <c r="H234" s="2" t="s">
        <v>5023</v>
      </c>
      <c r="I234" s="2" t="s">
        <v>6291</v>
      </c>
      <c r="J234" s="2"/>
      <c r="K234" s="2"/>
      <c r="L234" s="2"/>
      <c r="M234" s="2"/>
      <c r="N234" s="2"/>
      <c r="O234" s="2"/>
      <c r="P234" s="2"/>
      <c r="Q234" s="2"/>
    </row>
    <row r="235" spans="1:17" x14ac:dyDescent="0.2">
      <c r="A235" s="2" t="s">
        <v>1946</v>
      </c>
      <c r="B235" s="2" t="s">
        <v>6221</v>
      </c>
      <c r="C235" s="2" t="s">
        <v>6292</v>
      </c>
      <c r="D235" s="2" t="s">
        <v>6293</v>
      </c>
      <c r="E235" s="2" t="s">
        <v>6294</v>
      </c>
      <c r="F235" s="2" t="s">
        <v>6295</v>
      </c>
      <c r="G235" s="2" t="s">
        <v>5022</v>
      </c>
      <c r="H235" s="2" t="s">
        <v>5023</v>
      </c>
      <c r="I235" s="2" t="s">
        <v>6296</v>
      </c>
      <c r="J235" s="2"/>
      <c r="K235" s="2"/>
      <c r="L235" s="2"/>
      <c r="M235" s="2" t="s">
        <v>6297</v>
      </c>
      <c r="N235" s="2"/>
      <c r="O235" s="2"/>
      <c r="P235" s="2"/>
      <c r="Q235" s="2"/>
    </row>
    <row r="236" spans="1:17" x14ac:dyDescent="0.2">
      <c r="A236" s="2" t="s">
        <v>3499</v>
      </c>
      <c r="B236" s="2" t="s">
        <v>6298</v>
      </c>
      <c r="C236" s="2" t="s">
        <v>6299</v>
      </c>
      <c r="D236" s="2" t="s">
        <v>6300</v>
      </c>
      <c r="E236" s="2" t="s">
        <v>5891</v>
      </c>
      <c r="F236" s="2" t="s">
        <v>6301</v>
      </c>
      <c r="G236" s="2" t="s">
        <v>5022</v>
      </c>
      <c r="H236" s="2" t="s">
        <v>5023</v>
      </c>
      <c r="I236" s="2" t="s">
        <v>6302</v>
      </c>
      <c r="J236" s="2"/>
      <c r="K236" s="2"/>
      <c r="L236" s="2"/>
      <c r="M236" s="2"/>
      <c r="N236" s="2"/>
      <c r="O236" s="2"/>
      <c r="P236" s="2"/>
      <c r="Q236" s="2"/>
    </row>
    <row r="237" spans="1:17" x14ac:dyDescent="0.2">
      <c r="A237" s="2" t="s">
        <v>56</v>
      </c>
      <c r="B237" s="2" t="s">
        <v>6303</v>
      </c>
      <c r="C237" s="2" t="s">
        <v>6304</v>
      </c>
      <c r="D237" s="2" t="s">
        <v>6305</v>
      </c>
      <c r="E237" s="2" t="s">
        <v>6306</v>
      </c>
      <c r="F237" s="2" t="s">
        <v>6307</v>
      </c>
      <c r="G237" s="2" t="s">
        <v>5022</v>
      </c>
      <c r="H237" s="2" t="s">
        <v>5023</v>
      </c>
      <c r="I237" s="2" t="s">
        <v>6308</v>
      </c>
      <c r="J237" s="2"/>
      <c r="K237" s="2"/>
      <c r="L237" s="2"/>
      <c r="M237" s="2" t="s">
        <v>6309</v>
      </c>
      <c r="N237" s="2"/>
      <c r="O237" s="2"/>
      <c r="P237" s="2"/>
      <c r="Q237" s="2"/>
    </row>
    <row r="238" spans="1:17" x14ac:dyDescent="0.2">
      <c r="A238" s="2" t="s">
        <v>3804</v>
      </c>
      <c r="B238" s="2" t="s">
        <v>6310</v>
      </c>
      <c r="C238" s="2" t="s">
        <v>5790</v>
      </c>
      <c r="D238" s="2" t="s">
        <v>6311</v>
      </c>
      <c r="E238" s="2" t="s">
        <v>6312</v>
      </c>
      <c r="F238" s="2" t="s">
        <v>6313</v>
      </c>
      <c r="G238" s="2" t="s">
        <v>5022</v>
      </c>
      <c r="H238" s="2" t="s">
        <v>5023</v>
      </c>
      <c r="I238" s="2" t="s">
        <v>6314</v>
      </c>
      <c r="J238" s="2"/>
      <c r="K238" s="2"/>
      <c r="L238" s="2"/>
      <c r="M238" s="2" t="s">
        <v>6315</v>
      </c>
      <c r="N238" s="2"/>
      <c r="O238" s="2"/>
      <c r="P238" s="2"/>
      <c r="Q238" s="2"/>
    </row>
    <row r="239" spans="1:17" x14ac:dyDescent="0.2">
      <c r="A239" s="2" t="s">
        <v>3871</v>
      </c>
      <c r="B239" s="2" t="s">
        <v>5739</v>
      </c>
      <c r="C239" s="2" t="s">
        <v>6316</v>
      </c>
      <c r="D239" s="2" t="s">
        <v>6317</v>
      </c>
      <c r="E239" s="2" t="s">
        <v>6318</v>
      </c>
      <c r="F239" s="2" t="s">
        <v>6072</v>
      </c>
      <c r="G239" s="2" t="s">
        <v>5022</v>
      </c>
      <c r="H239" s="2" t="s">
        <v>5023</v>
      </c>
      <c r="I239" s="2" t="s">
        <v>6319</v>
      </c>
      <c r="J239" s="2"/>
      <c r="K239" s="2"/>
      <c r="L239" s="2"/>
      <c r="M239" s="2"/>
      <c r="N239" s="2"/>
      <c r="O239" s="2"/>
      <c r="P239" s="2"/>
      <c r="Q239" s="2"/>
    </row>
    <row r="240" spans="1:17" x14ac:dyDescent="0.2">
      <c r="A240" s="2" t="s">
        <v>3151</v>
      </c>
      <c r="B240" s="2" t="s">
        <v>4410</v>
      </c>
      <c r="C240" s="2" t="s">
        <v>6320</v>
      </c>
      <c r="D240" s="2" t="s">
        <v>6321</v>
      </c>
      <c r="E240" s="2" t="s">
        <v>6322</v>
      </c>
      <c r="F240" s="2" t="s">
        <v>6323</v>
      </c>
      <c r="G240" s="2" t="s">
        <v>5022</v>
      </c>
      <c r="H240" s="2" t="s">
        <v>5023</v>
      </c>
      <c r="I240" s="2" t="s">
        <v>6324</v>
      </c>
      <c r="J240" s="2"/>
      <c r="K240" s="2"/>
      <c r="L240" s="2"/>
      <c r="M240" s="2" t="s">
        <v>6325</v>
      </c>
      <c r="N240" s="2"/>
      <c r="O240" s="2"/>
      <c r="P240" s="2"/>
      <c r="Q240" s="2"/>
    </row>
    <row r="241" spans="1:17" x14ac:dyDescent="0.2">
      <c r="A241" s="2" t="s">
        <v>1930</v>
      </c>
      <c r="B241" s="2" t="s">
        <v>6326</v>
      </c>
      <c r="C241" s="2" t="s">
        <v>6327</v>
      </c>
      <c r="D241" s="2" t="s">
        <v>6328</v>
      </c>
      <c r="E241" s="2" t="s">
        <v>6329</v>
      </c>
      <c r="F241" s="2" t="s">
        <v>6330</v>
      </c>
      <c r="G241" s="2" t="s">
        <v>5022</v>
      </c>
      <c r="H241" s="2" t="s">
        <v>5023</v>
      </c>
      <c r="I241" s="2" t="s">
        <v>6331</v>
      </c>
      <c r="J241" s="2"/>
      <c r="K241" s="2"/>
      <c r="L241" s="2"/>
      <c r="M241" s="2"/>
      <c r="N241" s="2"/>
      <c r="O241" s="2"/>
      <c r="P241" s="2"/>
      <c r="Q241" s="2"/>
    </row>
    <row r="242" spans="1:17" x14ac:dyDescent="0.2">
      <c r="A242" s="2" t="s">
        <v>3121</v>
      </c>
      <c r="B242" s="2" t="s">
        <v>6332</v>
      </c>
      <c r="C242" s="2" t="s">
        <v>5323</v>
      </c>
      <c r="D242" s="2" t="s">
        <v>5392</v>
      </c>
      <c r="E242" s="2" t="s">
        <v>6333</v>
      </c>
      <c r="F242" s="2" t="s">
        <v>6334</v>
      </c>
      <c r="G242" s="2" t="s">
        <v>5022</v>
      </c>
      <c r="H242" s="2" t="s">
        <v>5023</v>
      </c>
      <c r="I242" s="2" t="s">
        <v>6335</v>
      </c>
      <c r="J242" s="2"/>
      <c r="K242" s="2"/>
      <c r="L242" s="2"/>
      <c r="M242" s="2" t="s">
        <v>6336</v>
      </c>
      <c r="N242" s="2"/>
      <c r="O242" s="2"/>
      <c r="P242" s="2"/>
      <c r="Q242" s="2"/>
    </row>
    <row r="243" spans="1:17" x14ac:dyDescent="0.2">
      <c r="A243" s="2" t="s">
        <v>3024</v>
      </c>
      <c r="B243" s="2" t="s">
        <v>3464</v>
      </c>
      <c r="C243" s="2" t="s">
        <v>6337</v>
      </c>
      <c r="D243" s="2" t="s">
        <v>5164</v>
      </c>
      <c r="E243" s="2" t="s">
        <v>6338</v>
      </c>
      <c r="F243" s="2" t="s">
        <v>6339</v>
      </c>
      <c r="G243" s="2" t="s">
        <v>5022</v>
      </c>
      <c r="H243" s="2" t="s">
        <v>5023</v>
      </c>
      <c r="I243" s="2" t="s">
        <v>6340</v>
      </c>
      <c r="J243" s="2"/>
      <c r="K243" s="2"/>
      <c r="L243" s="2"/>
      <c r="M243" s="2" t="s">
        <v>6341</v>
      </c>
      <c r="N243" s="2"/>
      <c r="O243" s="2"/>
      <c r="P243" s="2"/>
      <c r="Q243" s="2"/>
    </row>
    <row r="244" spans="1:17" x14ac:dyDescent="0.2">
      <c r="A244" s="2" t="s">
        <v>3215</v>
      </c>
      <c r="B244" s="2" t="s">
        <v>5627</v>
      </c>
      <c r="C244" s="2" t="s">
        <v>5147</v>
      </c>
      <c r="D244" s="2" t="s">
        <v>5050</v>
      </c>
      <c r="E244" s="2" t="s">
        <v>6342</v>
      </c>
      <c r="F244" s="2" t="s">
        <v>6343</v>
      </c>
      <c r="G244" s="2" t="s">
        <v>5022</v>
      </c>
      <c r="H244" s="2" t="s">
        <v>5023</v>
      </c>
      <c r="I244" s="2" t="s">
        <v>6344</v>
      </c>
      <c r="J244" s="2"/>
      <c r="K244" s="2"/>
      <c r="L244" s="2"/>
      <c r="M244" s="2" t="s">
        <v>6345</v>
      </c>
      <c r="N244" s="2"/>
      <c r="O244" s="2"/>
      <c r="P244" s="2"/>
      <c r="Q244" s="2"/>
    </row>
    <row r="245" spans="1:17" x14ac:dyDescent="0.2">
      <c r="A245" s="2" t="s">
        <v>1814</v>
      </c>
      <c r="B245" s="2" t="s">
        <v>6346</v>
      </c>
      <c r="C245" s="2" t="s">
        <v>5633</v>
      </c>
      <c r="D245" s="2" t="s">
        <v>6347</v>
      </c>
      <c r="E245" s="2" t="s">
        <v>6348</v>
      </c>
      <c r="F245" s="2" t="s">
        <v>6349</v>
      </c>
      <c r="G245" s="2" t="s">
        <v>5022</v>
      </c>
      <c r="H245" s="2" t="s">
        <v>5023</v>
      </c>
      <c r="I245" s="2"/>
      <c r="J245" s="2"/>
      <c r="K245" s="2" t="s">
        <v>6350</v>
      </c>
      <c r="L245" s="2"/>
      <c r="M245" s="2"/>
      <c r="N245" s="2"/>
      <c r="O245" s="2"/>
      <c r="P245" s="2"/>
      <c r="Q245" s="2"/>
    </row>
    <row r="246" spans="1:17" x14ac:dyDescent="0.2">
      <c r="A246" s="2" t="s">
        <v>1228</v>
      </c>
      <c r="B246" s="2" t="s">
        <v>6351</v>
      </c>
      <c r="C246" s="2" t="s">
        <v>5997</v>
      </c>
      <c r="D246" s="2" t="s">
        <v>6352</v>
      </c>
      <c r="E246" s="2" t="s">
        <v>6353</v>
      </c>
      <c r="F246" s="2" t="s">
        <v>6354</v>
      </c>
      <c r="G246" s="2" t="s">
        <v>5022</v>
      </c>
      <c r="H246" s="2" t="s">
        <v>5023</v>
      </c>
      <c r="I246" s="2" t="s">
        <v>6355</v>
      </c>
      <c r="J246" s="2"/>
      <c r="K246" s="2"/>
      <c r="L246" s="2"/>
      <c r="M246" s="2"/>
      <c r="N246" s="2"/>
      <c r="O246" s="2"/>
      <c r="P246" s="2"/>
      <c r="Q246" s="2"/>
    </row>
    <row r="247" spans="1:17" x14ac:dyDescent="0.2">
      <c r="A247" s="2" t="s">
        <v>4585</v>
      </c>
      <c r="B247" s="2" t="s">
        <v>6356</v>
      </c>
      <c r="C247" s="2" t="s">
        <v>6357</v>
      </c>
      <c r="D247" s="2" t="s">
        <v>6358</v>
      </c>
      <c r="E247" s="2" t="s">
        <v>6359</v>
      </c>
      <c r="F247" s="2" t="s">
        <v>5982</v>
      </c>
      <c r="G247" s="2" t="s">
        <v>5022</v>
      </c>
      <c r="H247" s="2" t="s">
        <v>5023</v>
      </c>
      <c r="I247" s="2" t="s">
        <v>6360</v>
      </c>
      <c r="J247" s="2"/>
      <c r="K247" s="2"/>
      <c r="L247" s="2"/>
      <c r="M247" s="2" t="s">
        <v>6361</v>
      </c>
      <c r="N247" s="2"/>
      <c r="O247" s="2"/>
      <c r="P247" s="2"/>
      <c r="Q247" s="2"/>
    </row>
    <row r="248" spans="1:17" x14ac:dyDescent="0.2">
      <c r="A248" s="2" t="s">
        <v>3036</v>
      </c>
      <c r="B248" s="2" t="s">
        <v>6362</v>
      </c>
      <c r="C248" s="2" t="s">
        <v>5159</v>
      </c>
      <c r="D248" s="2" t="s">
        <v>6112</v>
      </c>
      <c r="E248" s="2" t="s">
        <v>6363</v>
      </c>
      <c r="F248" s="2" t="s">
        <v>6364</v>
      </c>
      <c r="G248" s="2" t="s">
        <v>5022</v>
      </c>
      <c r="H248" s="2" t="s">
        <v>5023</v>
      </c>
      <c r="I248" s="2"/>
      <c r="J248" s="2"/>
      <c r="K248" s="2" t="s">
        <v>6365</v>
      </c>
      <c r="L248" s="2"/>
      <c r="M248" s="2"/>
      <c r="N248" s="2"/>
      <c r="O248" s="2"/>
      <c r="P248" s="2"/>
      <c r="Q248" s="2"/>
    </row>
    <row r="249" spans="1:17" x14ac:dyDescent="0.2">
      <c r="A249" s="2" t="s">
        <v>482</v>
      </c>
      <c r="B249" s="2" t="s">
        <v>6366</v>
      </c>
      <c r="C249" s="2" t="s">
        <v>5105</v>
      </c>
      <c r="D249" s="2" t="s">
        <v>6367</v>
      </c>
      <c r="E249" s="2" t="s">
        <v>5242</v>
      </c>
      <c r="F249" s="2" t="s">
        <v>6368</v>
      </c>
      <c r="G249" s="2" t="s">
        <v>5022</v>
      </c>
      <c r="H249" s="2" t="s">
        <v>5023</v>
      </c>
      <c r="I249" s="2" t="s">
        <v>6369</v>
      </c>
      <c r="J249" s="2"/>
      <c r="K249" s="2"/>
      <c r="L249" s="2"/>
      <c r="M249" s="2" t="s">
        <v>6370</v>
      </c>
      <c r="N249" s="2"/>
      <c r="O249" s="2"/>
      <c r="P249" s="2"/>
      <c r="Q249" s="2"/>
    </row>
    <row r="250" spans="1:17" x14ac:dyDescent="0.2">
      <c r="A250" s="2" t="s">
        <v>4685</v>
      </c>
      <c r="B250" s="2" t="s">
        <v>5739</v>
      </c>
      <c r="C250" s="2" t="s">
        <v>5467</v>
      </c>
      <c r="D250" s="2" t="s">
        <v>5467</v>
      </c>
      <c r="E250" s="2" t="s">
        <v>6371</v>
      </c>
      <c r="F250" s="2" t="s">
        <v>6054</v>
      </c>
      <c r="G250" s="2" t="s">
        <v>5022</v>
      </c>
      <c r="H250" s="2" t="s">
        <v>5023</v>
      </c>
      <c r="I250" s="2" t="s">
        <v>6372</v>
      </c>
      <c r="J250" s="2"/>
      <c r="K250" s="2"/>
      <c r="L250" s="2"/>
      <c r="M250" s="2"/>
      <c r="N250" s="2"/>
      <c r="O250" s="2"/>
      <c r="P250" s="2"/>
      <c r="Q250" s="2"/>
    </row>
    <row r="251" spans="1:17" x14ac:dyDescent="0.2">
      <c r="A251" s="2" t="s">
        <v>1337</v>
      </c>
      <c r="B251" s="2" t="s">
        <v>6373</v>
      </c>
      <c r="C251" s="2" t="s">
        <v>6374</v>
      </c>
      <c r="D251" s="2" t="s">
        <v>5493</v>
      </c>
      <c r="E251" s="2" t="s">
        <v>6375</v>
      </c>
      <c r="F251" s="2" t="s">
        <v>6376</v>
      </c>
      <c r="G251" s="2" t="s">
        <v>5022</v>
      </c>
      <c r="H251" s="2" t="s">
        <v>5023</v>
      </c>
      <c r="I251" s="2" t="s">
        <v>6377</v>
      </c>
      <c r="J251" s="2"/>
      <c r="K251" s="2"/>
      <c r="L251" s="2"/>
      <c r="M251" s="2"/>
      <c r="N251" s="2"/>
      <c r="O251" s="2"/>
      <c r="P251" s="2"/>
      <c r="Q251" s="2"/>
    </row>
    <row r="252" spans="1:17" x14ac:dyDescent="0.2">
      <c r="A252" s="2" t="s">
        <v>2445</v>
      </c>
      <c r="B252" s="2" t="s">
        <v>6378</v>
      </c>
      <c r="C252" s="2" t="s">
        <v>6379</v>
      </c>
      <c r="D252" s="2" t="s">
        <v>6357</v>
      </c>
      <c r="E252" s="2" t="s">
        <v>6380</v>
      </c>
      <c r="F252" s="2" t="s">
        <v>6381</v>
      </c>
      <c r="G252" s="2" t="s">
        <v>5022</v>
      </c>
      <c r="H252" s="2" t="s">
        <v>5023</v>
      </c>
      <c r="I252" s="2" t="s">
        <v>6382</v>
      </c>
      <c r="J252" s="2"/>
      <c r="K252" s="2"/>
      <c r="L252" s="2"/>
      <c r="M252" s="2"/>
      <c r="N252" s="2"/>
      <c r="O252" s="2"/>
      <c r="P252" s="2"/>
      <c r="Q252" s="2"/>
    </row>
    <row r="253" spans="1:17" x14ac:dyDescent="0.2">
      <c r="A253" s="2" t="s">
        <v>4262</v>
      </c>
      <c r="B253" s="2" t="s">
        <v>6221</v>
      </c>
      <c r="C253" s="2" t="s">
        <v>6383</v>
      </c>
      <c r="D253" s="2" t="s">
        <v>6179</v>
      </c>
      <c r="E253" s="2" t="s">
        <v>6384</v>
      </c>
      <c r="F253" s="2" t="s">
        <v>6385</v>
      </c>
      <c r="G253" s="2" t="s">
        <v>5022</v>
      </c>
      <c r="H253" s="2" t="s">
        <v>5023</v>
      </c>
      <c r="I253" s="2" t="s">
        <v>6386</v>
      </c>
      <c r="J253" s="2"/>
      <c r="K253" s="2"/>
      <c r="L253" s="2"/>
      <c r="M253" s="2"/>
      <c r="N253" s="2"/>
      <c r="O253" s="2"/>
      <c r="P253" s="2"/>
      <c r="Q253" s="2"/>
    </row>
    <row r="254" spans="1:17" x14ac:dyDescent="0.2">
      <c r="A254" s="2" t="s">
        <v>1988</v>
      </c>
      <c r="B254" s="2" t="s">
        <v>6387</v>
      </c>
      <c r="C254" s="2" t="s">
        <v>6388</v>
      </c>
      <c r="D254" s="2" t="s">
        <v>6003</v>
      </c>
      <c r="E254" s="2" t="s">
        <v>6389</v>
      </c>
      <c r="F254" s="2" t="s">
        <v>5366</v>
      </c>
      <c r="G254" s="2" t="s">
        <v>5022</v>
      </c>
      <c r="H254" s="2" t="s">
        <v>5023</v>
      </c>
      <c r="I254" s="2" t="s">
        <v>6390</v>
      </c>
      <c r="J254" s="2"/>
      <c r="K254" s="2"/>
      <c r="L254" s="2"/>
      <c r="M254" s="2" t="s">
        <v>6391</v>
      </c>
      <c r="N254" s="2"/>
      <c r="O254" s="2"/>
      <c r="P254" s="2"/>
      <c r="Q254" s="2"/>
    </row>
    <row r="255" spans="1:17" x14ac:dyDescent="0.2">
      <c r="A255" s="2" t="s">
        <v>924</v>
      </c>
      <c r="B255" s="2" t="s">
        <v>6392</v>
      </c>
      <c r="C255" s="2" t="s">
        <v>6393</v>
      </c>
      <c r="D255" s="2" t="s">
        <v>6394</v>
      </c>
      <c r="E255" s="2" t="s">
        <v>6395</v>
      </c>
      <c r="F255" s="2" t="s">
        <v>6396</v>
      </c>
      <c r="G255" s="2" t="s">
        <v>5022</v>
      </c>
      <c r="H255" s="2" t="s">
        <v>5023</v>
      </c>
      <c r="I255" s="2"/>
      <c r="J255" s="2"/>
      <c r="K255" s="2" t="s">
        <v>6397</v>
      </c>
      <c r="L255" s="2"/>
      <c r="M255" s="2"/>
      <c r="N255" s="2"/>
      <c r="O255" s="2"/>
      <c r="P255" s="2"/>
      <c r="Q255" s="2"/>
    </row>
    <row r="256" spans="1:17" x14ac:dyDescent="0.2">
      <c r="A256" s="2" t="s">
        <v>2994</v>
      </c>
      <c r="B256" s="2" t="s">
        <v>6398</v>
      </c>
      <c r="C256" s="2" t="s">
        <v>5076</v>
      </c>
      <c r="D256" s="2" t="s">
        <v>5051</v>
      </c>
      <c r="E256" s="2" t="s">
        <v>6399</v>
      </c>
      <c r="F256" s="2" t="s">
        <v>6400</v>
      </c>
      <c r="G256" s="2" t="s">
        <v>5022</v>
      </c>
      <c r="H256" s="2" t="s">
        <v>5023</v>
      </c>
      <c r="I256" s="2" t="s">
        <v>6401</v>
      </c>
      <c r="J256" s="2"/>
      <c r="K256" s="2"/>
      <c r="L256" s="2"/>
      <c r="M256" s="2" t="s">
        <v>6402</v>
      </c>
      <c r="N256" s="2"/>
      <c r="O256" s="2"/>
      <c r="P256" s="2"/>
      <c r="Q256" s="2"/>
    </row>
    <row r="257" spans="1:17" x14ac:dyDescent="0.2">
      <c r="A257" s="2" t="s">
        <v>4102</v>
      </c>
      <c r="B257" s="2" t="s">
        <v>6403</v>
      </c>
      <c r="C257" s="2" t="s">
        <v>6179</v>
      </c>
      <c r="D257" s="2" t="s">
        <v>6404</v>
      </c>
      <c r="E257" s="2" t="s">
        <v>6405</v>
      </c>
      <c r="F257" s="2" t="s">
        <v>6406</v>
      </c>
      <c r="G257" s="2" t="s">
        <v>5022</v>
      </c>
      <c r="H257" s="2" t="s">
        <v>5023</v>
      </c>
      <c r="I257" s="2" t="s">
        <v>6407</v>
      </c>
      <c r="J257" s="2"/>
      <c r="K257" s="2"/>
      <c r="L257" s="2"/>
      <c r="M257" s="2"/>
      <c r="N257" s="2"/>
      <c r="O257" s="2"/>
      <c r="P257" s="2"/>
      <c r="Q257" s="2"/>
    </row>
    <row r="258" spans="1:17" x14ac:dyDescent="0.2">
      <c r="A258" s="2" t="s">
        <v>2408</v>
      </c>
      <c r="B258" s="2" t="s">
        <v>501</v>
      </c>
      <c r="C258" s="2" t="s">
        <v>6408</v>
      </c>
      <c r="D258" s="2" t="s">
        <v>6409</v>
      </c>
      <c r="E258" s="2" t="s">
        <v>6410</v>
      </c>
      <c r="F258" s="2" t="s">
        <v>6411</v>
      </c>
      <c r="G258" s="2" t="s">
        <v>5022</v>
      </c>
      <c r="H258" s="2" t="s">
        <v>5023</v>
      </c>
      <c r="I258" s="2"/>
      <c r="J258" s="2"/>
      <c r="K258" s="2"/>
      <c r="L258" s="2"/>
      <c r="M258" s="2" t="s">
        <v>6412</v>
      </c>
      <c r="N258" s="2"/>
      <c r="O258" s="2"/>
      <c r="P258" s="2"/>
      <c r="Q258" s="2"/>
    </row>
    <row r="259" spans="1:17" x14ac:dyDescent="0.2">
      <c r="A259" s="2" t="s">
        <v>3069</v>
      </c>
      <c r="B259" s="2" t="s">
        <v>6413</v>
      </c>
      <c r="C259" s="2" t="s">
        <v>6414</v>
      </c>
      <c r="D259" s="2" t="s">
        <v>6415</v>
      </c>
      <c r="E259" s="2" t="s">
        <v>5410</v>
      </c>
      <c r="F259" s="2" t="s">
        <v>6416</v>
      </c>
      <c r="G259" s="2" t="s">
        <v>5022</v>
      </c>
      <c r="H259" s="2" t="s">
        <v>5023</v>
      </c>
      <c r="I259" s="2" t="s">
        <v>6417</v>
      </c>
      <c r="J259" s="2"/>
      <c r="K259" s="2"/>
      <c r="L259" s="2"/>
      <c r="M259" s="2"/>
      <c r="N259" s="2"/>
      <c r="O259" s="2"/>
      <c r="P259" s="2"/>
      <c r="Q259" s="2"/>
    </row>
    <row r="260" spans="1:17" x14ac:dyDescent="0.2">
      <c r="A260" s="2" t="s">
        <v>2932</v>
      </c>
      <c r="B260" s="2" t="s">
        <v>6418</v>
      </c>
      <c r="C260" s="2" t="s">
        <v>6419</v>
      </c>
      <c r="D260" s="2" t="s">
        <v>6419</v>
      </c>
      <c r="E260" s="2" t="s">
        <v>6420</v>
      </c>
      <c r="F260" s="2" t="s">
        <v>6421</v>
      </c>
      <c r="G260" s="2" t="s">
        <v>5022</v>
      </c>
      <c r="H260" s="2" t="s">
        <v>5023</v>
      </c>
      <c r="I260" s="2" t="s">
        <v>6422</v>
      </c>
      <c r="J260" s="2"/>
      <c r="K260" s="2"/>
      <c r="L260" s="2"/>
      <c r="M260" s="2"/>
      <c r="N260" s="2"/>
      <c r="O260" s="2"/>
      <c r="P260" s="2"/>
      <c r="Q260" s="2"/>
    </row>
    <row r="261" spans="1:17" x14ac:dyDescent="0.2">
      <c r="A261" s="2" t="s">
        <v>4937</v>
      </c>
      <c r="B261" s="2" t="s">
        <v>6423</v>
      </c>
      <c r="C261" s="2" t="s">
        <v>6424</v>
      </c>
      <c r="D261" s="2" t="s">
        <v>5051</v>
      </c>
      <c r="E261" s="2" t="s">
        <v>6425</v>
      </c>
      <c r="F261" s="2" t="s">
        <v>6426</v>
      </c>
      <c r="G261" s="2" t="s">
        <v>5022</v>
      </c>
      <c r="H261" s="2" t="s">
        <v>5023</v>
      </c>
      <c r="I261" s="2" t="s">
        <v>6427</v>
      </c>
      <c r="J261" s="2"/>
      <c r="K261" s="2"/>
      <c r="L261" s="2"/>
      <c r="M261" s="2" t="s">
        <v>6428</v>
      </c>
      <c r="N261" s="2"/>
      <c r="O261" s="2"/>
      <c r="P261" s="2"/>
      <c r="Q261" s="2"/>
    </row>
    <row r="262" spans="1:17" x14ac:dyDescent="0.2">
      <c r="A262" s="2" t="s">
        <v>3954</v>
      </c>
      <c r="B262" s="2" t="s">
        <v>5407</v>
      </c>
      <c r="C262" s="2" t="s">
        <v>5076</v>
      </c>
      <c r="D262" s="2" t="s">
        <v>6429</v>
      </c>
      <c r="E262" s="2" t="s">
        <v>6430</v>
      </c>
      <c r="F262" s="2" t="s">
        <v>6431</v>
      </c>
      <c r="G262" s="2" t="s">
        <v>5022</v>
      </c>
      <c r="H262" s="2" t="s">
        <v>5023</v>
      </c>
      <c r="I262" s="2" t="s">
        <v>6432</v>
      </c>
      <c r="J262" s="2"/>
      <c r="K262" s="2"/>
      <c r="L262" s="2"/>
      <c r="M262" s="2" t="s">
        <v>6433</v>
      </c>
      <c r="N262" s="2"/>
      <c r="O262" s="2"/>
      <c r="P262" s="2"/>
      <c r="Q262" s="2"/>
    </row>
    <row r="263" spans="1:17" x14ac:dyDescent="0.2">
      <c r="A263" s="2" t="s">
        <v>4120</v>
      </c>
      <c r="B263" s="2" t="s">
        <v>5916</v>
      </c>
      <c r="C263" s="2" t="s">
        <v>6434</v>
      </c>
      <c r="D263" s="2" t="s">
        <v>6434</v>
      </c>
      <c r="E263" s="2" t="s">
        <v>6435</v>
      </c>
      <c r="F263" s="2" t="s">
        <v>5658</v>
      </c>
      <c r="G263" s="2" t="s">
        <v>5022</v>
      </c>
      <c r="H263" s="2" t="s">
        <v>5023</v>
      </c>
      <c r="I263" s="2" t="s">
        <v>6436</v>
      </c>
      <c r="J263" s="2"/>
      <c r="K263" s="2"/>
      <c r="L263" s="2"/>
      <c r="M263" s="2"/>
      <c r="N263" s="2"/>
      <c r="O263" s="2"/>
      <c r="P263" s="2"/>
      <c r="Q263" s="2"/>
    </row>
    <row r="264" spans="1:17" x14ac:dyDescent="0.2">
      <c r="A264" s="2" t="s">
        <v>2036</v>
      </c>
      <c r="B264" s="2" t="s">
        <v>6437</v>
      </c>
      <c r="C264" s="2" t="s">
        <v>6438</v>
      </c>
      <c r="D264" s="2" t="s">
        <v>6255</v>
      </c>
      <c r="E264" s="2" t="s">
        <v>6439</v>
      </c>
      <c r="F264" s="2" t="s">
        <v>6440</v>
      </c>
      <c r="G264" s="2" t="s">
        <v>5022</v>
      </c>
      <c r="H264" s="2" t="s">
        <v>5023</v>
      </c>
      <c r="I264" s="2"/>
      <c r="J264" s="2"/>
      <c r="K264" s="2" t="s">
        <v>6441</v>
      </c>
      <c r="L264" s="2"/>
      <c r="M264" s="2"/>
      <c r="N264" s="2"/>
      <c r="O264" s="2"/>
      <c r="P264" s="2"/>
      <c r="Q264" s="2"/>
    </row>
    <row r="265" spans="1:17" x14ac:dyDescent="0.2">
      <c r="A265" s="2" t="s">
        <v>2491</v>
      </c>
      <c r="B265" s="2" t="s">
        <v>6442</v>
      </c>
      <c r="C265" s="2" t="s">
        <v>6443</v>
      </c>
      <c r="D265" s="2" t="s">
        <v>6444</v>
      </c>
      <c r="E265" s="2" t="s">
        <v>5219</v>
      </c>
      <c r="F265" s="2" t="s">
        <v>6445</v>
      </c>
      <c r="G265" s="2" t="s">
        <v>5022</v>
      </c>
      <c r="H265" s="2" t="s">
        <v>5023</v>
      </c>
      <c r="I265" s="2"/>
      <c r="J265" s="2"/>
      <c r="K265" s="2" t="s">
        <v>6446</v>
      </c>
      <c r="L265" s="2"/>
      <c r="M265" s="2"/>
      <c r="N265" s="2"/>
      <c r="O265" s="2"/>
      <c r="P265" s="2"/>
      <c r="Q265" s="2"/>
    </row>
    <row r="266" spans="1:17" x14ac:dyDescent="0.2">
      <c r="A266" s="2" t="s">
        <v>392</v>
      </c>
      <c r="B266" s="2" t="s">
        <v>6447</v>
      </c>
      <c r="C266" s="2" t="s">
        <v>6448</v>
      </c>
      <c r="D266" s="2" t="s">
        <v>6449</v>
      </c>
      <c r="E266" s="2" t="s">
        <v>6450</v>
      </c>
      <c r="F266" s="2" t="s">
        <v>6451</v>
      </c>
      <c r="G266" s="2" t="s">
        <v>5022</v>
      </c>
      <c r="H266" s="2" t="s">
        <v>5023</v>
      </c>
      <c r="I266" s="2"/>
      <c r="J266" s="2"/>
      <c r="K266" s="2" t="s">
        <v>6452</v>
      </c>
      <c r="L266" s="2"/>
      <c r="M266" s="2"/>
      <c r="N266" s="2"/>
      <c r="O266" s="2"/>
      <c r="P266" s="2"/>
      <c r="Q266" s="2"/>
    </row>
    <row r="267" spans="1:17" x14ac:dyDescent="0.2">
      <c r="A267" s="2" t="s">
        <v>189</v>
      </c>
      <c r="B267" s="2" t="s">
        <v>6453</v>
      </c>
      <c r="C267" s="2" t="s">
        <v>6454</v>
      </c>
      <c r="D267" s="2" t="s">
        <v>6455</v>
      </c>
      <c r="E267" s="2" t="s">
        <v>6456</v>
      </c>
      <c r="F267" s="2" t="s">
        <v>6457</v>
      </c>
      <c r="G267" s="2" t="s">
        <v>5022</v>
      </c>
      <c r="H267" s="2" t="s">
        <v>5023</v>
      </c>
      <c r="I267" s="2"/>
      <c r="J267" s="2"/>
      <c r="K267" s="2"/>
      <c r="L267" s="2"/>
      <c r="M267" s="2" t="s">
        <v>6458</v>
      </c>
      <c r="N267" s="2"/>
      <c r="O267" s="2"/>
      <c r="P267" s="2"/>
      <c r="Q267" s="2"/>
    </row>
    <row r="268" spans="1:17" x14ac:dyDescent="0.2">
      <c r="A268" s="2" t="s">
        <v>3690</v>
      </c>
      <c r="B268" s="2" t="s">
        <v>6459</v>
      </c>
      <c r="C268" s="2" t="s">
        <v>6460</v>
      </c>
      <c r="D268" s="2" t="s">
        <v>6461</v>
      </c>
      <c r="E268" s="2" t="s">
        <v>6312</v>
      </c>
      <c r="F268" s="2" t="s">
        <v>6462</v>
      </c>
      <c r="G268" s="2" t="s">
        <v>5022</v>
      </c>
      <c r="H268" s="2" t="s">
        <v>5023</v>
      </c>
      <c r="I268" s="2" t="s">
        <v>6463</v>
      </c>
      <c r="J268" s="2"/>
      <c r="K268" s="2"/>
      <c r="L268" s="2"/>
      <c r="M268" s="2"/>
      <c r="N268" s="2"/>
      <c r="O268" s="2"/>
      <c r="P268" s="2"/>
      <c r="Q268" s="2"/>
    </row>
    <row r="269" spans="1:17" x14ac:dyDescent="0.2">
      <c r="A269" s="2" t="s">
        <v>1435</v>
      </c>
      <c r="B269" s="2" t="s">
        <v>6464</v>
      </c>
      <c r="C269" s="2" t="s">
        <v>6465</v>
      </c>
      <c r="D269" s="2" t="s">
        <v>6465</v>
      </c>
      <c r="E269" s="2" t="s">
        <v>6466</v>
      </c>
      <c r="F269" s="2" t="s">
        <v>5115</v>
      </c>
      <c r="G269" s="2" t="s">
        <v>5022</v>
      </c>
      <c r="H269" s="2" t="s">
        <v>5023</v>
      </c>
      <c r="I269" s="2" t="s">
        <v>6467</v>
      </c>
      <c r="J269" s="2"/>
      <c r="K269" s="2"/>
      <c r="L269" s="2"/>
      <c r="M269" s="2"/>
      <c r="N269" s="2"/>
      <c r="O269" s="2"/>
      <c r="P269" s="2"/>
      <c r="Q269" s="2"/>
    </row>
    <row r="270" spans="1:17" x14ac:dyDescent="0.2">
      <c r="A270" s="2" t="s">
        <v>4717</v>
      </c>
      <c r="B270" s="2" t="s">
        <v>6468</v>
      </c>
      <c r="C270" s="2" t="s">
        <v>5523</v>
      </c>
      <c r="D270" s="2" t="s">
        <v>5147</v>
      </c>
      <c r="E270" s="2" t="s">
        <v>6469</v>
      </c>
      <c r="F270" s="2" t="s">
        <v>6470</v>
      </c>
      <c r="G270" s="2" t="s">
        <v>5022</v>
      </c>
      <c r="H270" s="2" t="s">
        <v>5023</v>
      </c>
      <c r="I270" s="2" t="s">
        <v>6471</v>
      </c>
      <c r="J270" s="2"/>
      <c r="K270" s="2"/>
      <c r="L270" s="2"/>
      <c r="M270" s="2"/>
      <c r="N270" s="2"/>
      <c r="O270" s="2"/>
      <c r="P270" s="2"/>
      <c r="Q270" s="2"/>
    </row>
    <row r="271" spans="1:17" x14ac:dyDescent="0.2">
      <c r="A271" s="2" t="s">
        <v>1085</v>
      </c>
      <c r="B271" s="2" t="s">
        <v>5840</v>
      </c>
      <c r="C271" s="2" t="s">
        <v>6472</v>
      </c>
      <c r="D271" s="2" t="s">
        <v>6473</v>
      </c>
      <c r="E271" s="2" t="s">
        <v>6474</v>
      </c>
      <c r="F271" s="2" t="s">
        <v>6475</v>
      </c>
      <c r="G271" s="2" t="s">
        <v>5022</v>
      </c>
      <c r="H271" s="2" t="s">
        <v>5023</v>
      </c>
      <c r="I271" s="2" t="s">
        <v>6476</v>
      </c>
      <c r="J271" s="2"/>
      <c r="K271" s="2"/>
      <c r="L271" s="2"/>
      <c r="M271" s="2" t="s">
        <v>6477</v>
      </c>
      <c r="N271" s="2"/>
      <c r="O271" s="2"/>
      <c r="P271" s="2"/>
      <c r="Q271" s="2"/>
    </row>
    <row r="272" spans="1:17" x14ac:dyDescent="0.2">
      <c r="A272" s="2" t="s">
        <v>4903</v>
      </c>
      <c r="B272" s="2" t="s">
        <v>6478</v>
      </c>
      <c r="C272" s="2" t="s">
        <v>5722</v>
      </c>
      <c r="D272" s="2" t="s">
        <v>5481</v>
      </c>
      <c r="E272" s="2" t="s">
        <v>6479</v>
      </c>
      <c r="F272" s="2" t="s">
        <v>6480</v>
      </c>
      <c r="G272" s="2" t="s">
        <v>5022</v>
      </c>
      <c r="H272" s="2" t="s">
        <v>5023</v>
      </c>
      <c r="I272" s="2" t="s">
        <v>6481</v>
      </c>
      <c r="J272" s="2"/>
      <c r="K272" s="2"/>
      <c r="L272" s="2"/>
      <c r="M272" s="2" t="s">
        <v>6482</v>
      </c>
      <c r="N272" s="2"/>
      <c r="O272" s="2"/>
      <c r="P272" s="2"/>
      <c r="Q272" s="2"/>
    </row>
    <row r="273" spans="1:17" x14ac:dyDescent="0.2">
      <c r="A273" s="2" t="s">
        <v>2826</v>
      </c>
      <c r="B273" s="2" t="s">
        <v>6483</v>
      </c>
      <c r="C273" s="2" t="s">
        <v>6484</v>
      </c>
      <c r="D273" s="2" t="s">
        <v>6485</v>
      </c>
      <c r="E273" s="2" t="s">
        <v>6486</v>
      </c>
      <c r="F273" s="2" t="s">
        <v>6487</v>
      </c>
      <c r="G273" s="2" t="s">
        <v>5022</v>
      </c>
      <c r="H273" s="2" t="s">
        <v>5023</v>
      </c>
      <c r="I273" s="2" t="s">
        <v>6488</v>
      </c>
      <c r="J273" s="2"/>
      <c r="K273" s="2"/>
      <c r="L273" s="2"/>
      <c r="M273" s="2"/>
      <c r="N273" s="2"/>
      <c r="O273" s="2"/>
      <c r="P273" s="2"/>
      <c r="Q273" s="2"/>
    </row>
    <row r="274" spans="1:17" x14ac:dyDescent="0.2">
      <c r="A274" s="2" t="s">
        <v>2401</v>
      </c>
      <c r="B274" s="2" t="s">
        <v>5379</v>
      </c>
      <c r="C274" s="2" t="s">
        <v>5633</v>
      </c>
      <c r="D274" s="2" t="s">
        <v>6489</v>
      </c>
      <c r="E274" s="2" t="s">
        <v>5114</v>
      </c>
      <c r="F274" s="2" t="s">
        <v>6490</v>
      </c>
      <c r="G274" s="2" t="s">
        <v>5022</v>
      </c>
      <c r="H274" s="2" t="s">
        <v>5023</v>
      </c>
      <c r="I274" s="2"/>
      <c r="J274" s="2"/>
      <c r="K274" s="2" t="s">
        <v>6491</v>
      </c>
      <c r="L274" s="2"/>
      <c r="M274" s="2"/>
      <c r="N274" s="2"/>
      <c r="O274" s="2"/>
      <c r="P274" s="2"/>
      <c r="Q274" s="2"/>
    </row>
    <row r="275" spans="1:17" x14ac:dyDescent="0.2">
      <c r="A275" s="2" t="s">
        <v>2713</v>
      </c>
      <c r="B275" s="2" t="s">
        <v>6492</v>
      </c>
      <c r="C275" s="2" t="s">
        <v>5339</v>
      </c>
      <c r="D275" s="2" t="s">
        <v>5119</v>
      </c>
      <c r="E275" s="2" t="s">
        <v>6493</v>
      </c>
      <c r="F275" s="2" t="s">
        <v>5059</v>
      </c>
      <c r="G275" s="2" t="s">
        <v>5022</v>
      </c>
      <c r="H275" s="2" t="s">
        <v>5023</v>
      </c>
      <c r="I275" s="2" t="s">
        <v>6494</v>
      </c>
      <c r="J275" s="2"/>
      <c r="K275" s="2"/>
      <c r="L275" s="2"/>
      <c r="M275" s="2" t="s">
        <v>6495</v>
      </c>
      <c r="N275" s="2"/>
      <c r="O275" s="2"/>
      <c r="P275" s="2"/>
      <c r="Q275" s="2"/>
    </row>
    <row r="276" spans="1:17" x14ac:dyDescent="0.2">
      <c r="A276" s="2" t="s">
        <v>302</v>
      </c>
      <c r="B276" s="2" t="s">
        <v>6496</v>
      </c>
      <c r="C276" s="2" t="s">
        <v>6497</v>
      </c>
      <c r="D276" s="2" t="s">
        <v>6498</v>
      </c>
      <c r="E276" s="2" t="s">
        <v>6499</v>
      </c>
      <c r="F276" s="2" t="s">
        <v>6500</v>
      </c>
      <c r="G276" s="2" t="s">
        <v>5022</v>
      </c>
      <c r="H276" s="2" t="s">
        <v>5023</v>
      </c>
      <c r="I276" s="2"/>
      <c r="J276" s="2"/>
      <c r="K276" s="2" t="s">
        <v>6501</v>
      </c>
      <c r="L276" s="2" t="s">
        <v>6502</v>
      </c>
      <c r="M276" s="2"/>
      <c r="N276" s="2"/>
      <c r="O276" s="2"/>
      <c r="P276" s="2"/>
      <c r="Q276" s="2"/>
    </row>
    <row r="277" spans="1:17" x14ac:dyDescent="0.2">
      <c r="A277" s="2" t="s">
        <v>1882</v>
      </c>
      <c r="B277" s="2" t="s">
        <v>6095</v>
      </c>
      <c r="C277" s="2" t="s">
        <v>6503</v>
      </c>
      <c r="D277" s="2" t="s">
        <v>6504</v>
      </c>
      <c r="E277" s="2" t="s">
        <v>6505</v>
      </c>
      <c r="F277" s="2" t="s">
        <v>6506</v>
      </c>
      <c r="G277" s="2" t="s">
        <v>5022</v>
      </c>
      <c r="H277" s="2" t="s">
        <v>5023</v>
      </c>
      <c r="I277" s="2"/>
      <c r="J277" s="2"/>
      <c r="K277" s="2" t="s">
        <v>6507</v>
      </c>
      <c r="L277" s="2"/>
      <c r="M277" s="2"/>
      <c r="N277" s="2"/>
      <c r="O277" s="2"/>
      <c r="P277" s="2"/>
      <c r="Q277" s="2"/>
    </row>
    <row r="278" spans="1:17" x14ac:dyDescent="0.2">
      <c r="A278" s="2" t="s">
        <v>260</v>
      </c>
      <c r="B278" s="2" t="s">
        <v>6508</v>
      </c>
      <c r="C278" s="2" t="s">
        <v>6367</v>
      </c>
      <c r="D278" s="2" t="s">
        <v>988</v>
      </c>
      <c r="E278" s="2" t="s">
        <v>6509</v>
      </c>
      <c r="F278" s="2" t="s">
        <v>6510</v>
      </c>
      <c r="G278" s="2" t="s">
        <v>5022</v>
      </c>
      <c r="H278" s="2" t="s">
        <v>5023</v>
      </c>
      <c r="I278" s="2" t="s">
        <v>6511</v>
      </c>
      <c r="J278" s="2"/>
      <c r="K278" s="2"/>
      <c r="L278" s="2"/>
      <c r="M278" s="2" t="s">
        <v>6512</v>
      </c>
      <c r="N278" s="2"/>
      <c r="O278" s="2"/>
      <c r="P278" s="2"/>
      <c r="Q278" s="2"/>
    </row>
    <row r="279" spans="1:17" x14ac:dyDescent="0.2">
      <c r="A279" s="2" t="s">
        <v>2220</v>
      </c>
      <c r="B279" s="2" t="s">
        <v>6513</v>
      </c>
      <c r="C279" s="2" t="s">
        <v>6514</v>
      </c>
      <c r="D279" s="2" t="s">
        <v>5780</v>
      </c>
      <c r="E279" s="2" t="s">
        <v>5094</v>
      </c>
      <c r="F279" s="2" t="s">
        <v>6440</v>
      </c>
      <c r="G279" s="2" t="s">
        <v>5022</v>
      </c>
      <c r="H279" s="2" t="s">
        <v>5023</v>
      </c>
      <c r="I279" s="2" t="s">
        <v>6515</v>
      </c>
      <c r="J279" s="2"/>
      <c r="K279" s="2"/>
      <c r="L279" s="2"/>
      <c r="M279" s="2" t="s">
        <v>6516</v>
      </c>
      <c r="N279" s="2"/>
      <c r="O279" s="2"/>
      <c r="P279" s="2"/>
      <c r="Q279" s="2"/>
    </row>
    <row r="280" spans="1:17" x14ac:dyDescent="0.2">
      <c r="A280" s="2" t="s">
        <v>1131</v>
      </c>
      <c r="B280" s="2" t="s">
        <v>6517</v>
      </c>
      <c r="C280" s="2" t="s">
        <v>5105</v>
      </c>
      <c r="D280" s="2" t="s">
        <v>6518</v>
      </c>
      <c r="E280" s="2" t="s">
        <v>5891</v>
      </c>
      <c r="F280" s="2" t="s">
        <v>6015</v>
      </c>
      <c r="G280" s="2" t="s">
        <v>5022</v>
      </c>
      <c r="H280" s="2" t="s">
        <v>5023</v>
      </c>
      <c r="I280" s="2" t="s">
        <v>6519</v>
      </c>
      <c r="J280" s="2"/>
      <c r="K280" s="2"/>
      <c r="L280" s="2"/>
      <c r="M280" s="2" t="s">
        <v>6520</v>
      </c>
      <c r="N280" s="2"/>
      <c r="O280" s="2"/>
      <c r="P280" s="2"/>
      <c r="Q280" s="2"/>
    </row>
    <row r="281" spans="1:17" x14ac:dyDescent="0.2">
      <c r="A281" s="2" t="s">
        <v>3929</v>
      </c>
      <c r="B281" s="2" t="s">
        <v>1374</v>
      </c>
      <c r="C281" s="2" t="s">
        <v>5947</v>
      </c>
      <c r="D281" s="2" t="s">
        <v>6521</v>
      </c>
      <c r="E281" s="2" t="s">
        <v>6522</v>
      </c>
      <c r="F281" s="2" t="s">
        <v>6523</v>
      </c>
      <c r="G281" s="2" t="s">
        <v>5022</v>
      </c>
      <c r="H281" s="2" t="s">
        <v>5023</v>
      </c>
      <c r="I281" s="2" t="s">
        <v>6524</v>
      </c>
      <c r="J281" s="2"/>
      <c r="K281" s="2"/>
      <c r="L281" s="2"/>
      <c r="M281" s="2" t="s">
        <v>6525</v>
      </c>
      <c r="N281" s="2"/>
      <c r="O281" s="2"/>
      <c r="P281" s="2"/>
      <c r="Q281" s="2"/>
    </row>
    <row r="282" spans="1:17" x14ac:dyDescent="0.2">
      <c r="A282" s="2" t="s">
        <v>782</v>
      </c>
      <c r="B282" s="2" t="s">
        <v>6526</v>
      </c>
      <c r="C282" s="2" t="s">
        <v>6527</v>
      </c>
      <c r="D282" s="2" t="s">
        <v>6528</v>
      </c>
      <c r="E282" s="2" t="s">
        <v>6529</v>
      </c>
      <c r="F282" s="2" t="s">
        <v>6530</v>
      </c>
      <c r="G282" s="2" t="s">
        <v>5022</v>
      </c>
      <c r="H282" s="2" t="s">
        <v>5023</v>
      </c>
      <c r="I282" s="2" t="s">
        <v>6531</v>
      </c>
      <c r="J282" s="2"/>
      <c r="K282" s="2"/>
      <c r="L282" s="2"/>
      <c r="M282" s="2" t="s">
        <v>6532</v>
      </c>
      <c r="N282" s="2"/>
      <c r="O282" s="2"/>
      <c r="P282" s="2"/>
      <c r="Q282" s="2"/>
    </row>
    <row r="283" spans="1:17" x14ac:dyDescent="0.2">
      <c r="A283" s="2" t="s">
        <v>331</v>
      </c>
      <c r="B283" s="2" t="s">
        <v>6079</v>
      </c>
      <c r="C283" s="2" t="s">
        <v>6533</v>
      </c>
      <c r="D283" s="2" t="s">
        <v>6534</v>
      </c>
      <c r="E283" s="2" t="s">
        <v>6535</v>
      </c>
      <c r="F283" s="2" t="s">
        <v>6536</v>
      </c>
      <c r="G283" s="2" t="s">
        <v>5022</v>
      </c>
      <c r="H283" s="2" t="s">
        <v>5023</v>
      </c>
      <c r="I283" s="2" t="s">
        <v>6537</v>
      </c>
      <c r="J283" s="2"/>
      <c r="K283" s="2"/>
      <c r="L283" s="2"/>
      <c r="M283" s="2"/>
      <c r="N283" s="2"/>
      <c r="O283" s="2"/>
      <c r="P283" s="2"/>
      <c r="Q283" s="2"/>
    </row>
    <row r="284" spans="1:17" x14ac:dyDescent="0.2">
      <c r="A284" s="2" t="s">
        <v>3595</v>
      </c>
      <c r="B284" s="2" t="s">
        <v>6538</v>
      </c>
      <c r="C284" s="2" t="s">
        <v>6539</v>
      </c>
      <c r="D284" s="2" t="s">
        <v>5299</v>
      </c>
      <c r="E284" s="2" t="s">
        <v>6540</v>
      </c>
      <c r="F284" s="2" t="s">
        <v>6541</v>
      </c>
      <c r="G284" s="2" t="s">
        <v>5022</v>
      </c>
      <c r="H284" s="2" t="s">
        <v>5023</v>
      </c>
      <c r="I284" s="2" t="s">
        <v>6542</v>
      </c>
      <c r="J284" s="2"/>
      <c r="K284" s="2"/>
      <c r="L284" s="2"/>
      <c r="M284" s="2" t="s">
        <v>6543</v>
      </c>
      <c r="N284" s="2"/>
      <c r="O284" s="2"/>
      <c r="P284" s="2"/>
      <c r="Q284" s="2"/>
    </row>
    <row r="285" spans="1:17" x14ac:dyDescent="0.2">
      <c r="A285" s="2" t="s">
        <v>282</v>
      </c>
      <c r="B285" s="2" t="s">
        <v>5432</v>
      </c>
      <c r="C285" s="2" t="s">
        <v>6544</v>
      </c>
      <c r="D285" s="2" t="s">
        <v>5159</v>
      </c>
      <c r="E285" s="2" t="s">
        <v>6545</v>
      </c>
      <c r="F285" s="2" t="s">
        <v>6546</v>
      </c>
      <c r="G285" s="2" t="s">
        <v>5022</v>
      </c>
      <c r="H285" s="2" t="s">
        <v>5023</v>
      </c>
      <c r="I285" s="2" t="s">
        <v>6547</v>
      </c>
      <c r="J285" s="2"/>
      <c r="K285" s="2"/>
      <c r="L285" s="2"/>
      <c r="M285" s="2"/>
      <c r="N285" s="2"/>
      <c r="O285" s="2"/>
      <c r="P285" s="2"/>
      <c r="Q285" s="2"/>
    </row>
    <row r="286" spans="1:17" x14ac:dyDescent="0.2">
      <c r="A286" s="2" t="s">
        <v>1799</v>
      </c>
      <c r="B286" s="2" t="s">
        <v>6548</v>
      </c>
      <c r="C286" s="2" t="s">
        <v>5345</v>
      </c>
      <c r="D286" s="2" t="s">
        <v>6549</v>
      </c>
      <c r="E286" s="2" t="s">
        <v>6550</v>
      </c>
      <c r="F286" s="2" t="s">
        <v>6551</v>
      </c>
      <c r="G286" s="2" t="s">
        <v>5022</v>
      </c>
      <c r="H286" s="2" t="s">
        <v>5023</v>
      </c>
      <c r="I286" s="2" t="s">
        <v>6552</v>
      </c>
      <c r="J286" s="2"/>
      <c r="K286" s="2"/>
      <c r="L286" s="2"/>
      <c r="M286" s="2"/>
      <c r="N286" s="2"/>
      <c r="O286" s="2"/>
      <c r="P286" s="2"/>
      <c r="Q286" s="2"/>
    </row>
    <row r="287" spans="1:17" x14ac:dyDescent="0.2">
      <c r="A287" s="2" t="s">
        <v>558</v>
      </c>
      <c r="B287" s="2" t="s">
        <v>4684</v>
      </c>
      <c r="C287" s="2" t="s">
        <v>5789</v>
      </c>
      <c r="D287" s="2" t="s">
        <v>6553</v>
      </c>
      <c r="E287" s="2" t="s">
        <v>5878</v>
      </c>
      <c r="F287" s="2" t="s">
        <v>6554</v>
      </c>
      <c r="G287" s="2" t="s">
        <v>5022</v>
      </c>
      <c r="H287" s="2" t="s">
        <v>5023</v>
      </c>
      <c r="I287" s="2" t="s">
        <v>6555</v>
      </c>
      <c r="J287" s="2"/>
      <c r="K287" s="2"/>
      <c r="L287" s="2"/>
      <c r="M287" s="2"/>
      <c r="N287" s="2"/>
      <c r="O287" s="2"/>
      <c r="P287" s="2"/>
      <c r="Q287" s="2"/>
    </row>
    <row r="288" spans="1:17" x14ac:dyDescent="0.2">
      <c r="A288" s="2" t="s">
        <v>3432</v>
      </c>
      <c r="B288" s="2" t="s">
        <v>6221</v>
      </c>
      <c r="C288" s="2" t="s">
        <v>6556</v>
      </c>
      <c r="D288" s="2" t="s">
        <v>5887</v>
      </c>
      <c r="E288" s="2" t="s">
        <v>5469</v>
      </c>
      <c r="F288" s="2" t="s">
        <v>6557</v>
      </c>
      <c r="G288" s="2" t="s">
        <v>5022</v>
      </c>
      <c r="H288" s="2" t="s">
        <v>5023</v>
      </c>
      <c r="I288" s="2" t="s">
        <v>6558</v>
      </c>
      <c r="J288" s="2"/>
      <c r="K288" s="2"/>
      <c r="L288" s="2"/>
      <c r="M288" s="2" t="s">
        <v>6559</v>
      </c>
      <c r="N288" s="2"/>
      <c r="O288" s="2"/>
      <c r="P288" s="2"/>
      <c r="Q288" s="2"/>
    </row>
    <row r="289" spans="1:17" x14ac:dyDescent="0.2">
      <c r="A289" s="2" t="s">
        <v>3879</v>
      </c>
      <c r="B289" s="2" t="s">
        <v>6560</v>
      </c>
      <c r="C289" s="2" t="s">
        <v>6561</v>
      </c>
      <c r="D289" s="2" t="s">
        <v>6562</v>
      </c>
      <c r="E289" s="2" t="s">
        <v>6563</v>
      </c>
      <c r="F289" s="2" t="s">
        <v>6564</v>
      </c>
      <c r="G289" s="2" t="s">
        <v>5022</v>
      </c>
      <c r="H289" s="2" t="s">
        <v>5023</v>
      </c>
      <c r="I289" s="2" t="s">
        <v>6565</v>
      </c>
      <c r="J289" s="2"/>
      <c r="K289" s="2"/>
      <c r="L289" s="2"/>
      <c r="M289" s="2" t="s">
        <v>6566</v>
      </c>
      <c r="N289" s="2"/>
      <c r="O289" s="2"/>
      <c r="P289" s="2"/>
      <c r="Q289" s="2"/>
    </row>
    <row r="290" spans="1:17" x14ac:dyDescent="0.2">
      <c r="A290" s="2" t="s">
        <v>2433</v>
      </c>
      <c r="B290" s="2" t="s">
        <v>6110</v>
      </c>
      <c r="C290" s="2" t="s">
        <v>6567</v>
      </c>
      <c r="D290" s="2" t="s">
        <v>6568</v>
      </c>
      <c r="E290" s="2" t="s">
        <v>6569</v>
      </c>
      <c r="F290" s="2" t="s">
        <v>6570</v>
      </c>
      <c r="G290" s="2" t="s">
        <v>5022</v>
      </c>
      <c r="H290" s="2" t="s">
        <v>5023</v>
      </c>
      <c r="I290" s="2"/>
      <c r="J290" s="2"/>
      <c r="K290" s="2" t="s">
        <v>6571</v>
      </c>
      <c r="L290" s="2"/>
      <c r="M290" s="2"/>
      <c r="N290" s="2"/>
      <c r="O290" s="2"/>
      <c r="P290" s="2"/>
      <c r="Q290" s="2"/>
    </row>
    <row r="291" spans="1:17" x14ac:dyDescent="0.2">
      <c r="A291" s="2" t="s">
        <v>2790</v>
      </c>
      <c r="B291" s="2" t="s">
        <v>6572</v>
      </c>
      <c r="C291" s="2" t="s">
        <v>6573</v>
      </c>
      <c r="D291" s="2" t="s">
        <v>6574</v>
      </c>
      <c r="E291" s="2" t="s">
        <v>6575</v>
      </c>
      <c r="F291" s="2" t="s">
        <v>6576</v>
      </c>
      <c r="G291" s="2" t="s">
        <v>5022</v>
      </c>
      <c r="H291" s="2" t="s">
        <v>5023</v>
      </c>
      <c r="I291" s="2"/>
      <c r="J291" s="2"/>
      <c r="K291" s="2" t="s">
        <v>6577</v>
      </c>
      <c r="L291" s="2"/>
      <c r="M291" s="2"/>
      <c r="N291" s="2"/>
      <c r="O291" s="2"/>
      <c r="P291" s="2"/>
      <c r="Q291" s="2"/>
    </row>
    <row r="292" spans="1:17" x14ac:dyDescent="0.2">
      <c r="A292" s="2" t="s">
        <v>3602</v>
      </c>
      <c r="B292" s="2" t="s">
        <v>6578</v>
      </c>
      <c r="C292" s="2" t="s">
        <v>6579</v>
      </c>
      <c r="D292" s="2" t="s">
        <v>6327</v>
      </c>
      <c r="E292" s="2" t="s">
        <v>6262</v>
      </c>
      <c r="F292" s="2" t="s">
        <v>6580</v>
      </c>
      <c r="G292" s="2" t="s">
        <v>5022</v>
      </c>
      <c r="H292" s="2" t="s">
        <v>5023</v>
      </c>
      <c r="I292" s="2" t="s">
        <v>6581</v>
      </c>
      <c r="J292" s="2"/>
      <c r="K292" s="2"/>
      <c r="L292" s="2"/>
      <c r="M292" s="2" t="s">
        <v>6582</v>
      </c>
      <c r="N292" s="2"/>
      <c r="O292" s="2"/>
      <c r="P292" s="2"/>
      <c r="Q292" s="2"/>
    </row>
    <row r="293" spans="1:17" x14ac:dyDescent="0.2">
      <c r="A293" s="2" t="s">
        <v>2244</v>
      </c>
      <c r="B293" s="2" t="s">
        <v>6583</v>
      </c>
      <c r="C293" s="2" t="s">
        <v>6584</v>
      </c>
      <c r="D293" s="2" t="s">
        <v>5329</v>
      </c>
      <c r="E293" s="2" t="s">
        <v>6585</v>
      </c>
      <c r="F293" s="2" t="s">
        <v>6586</v>
      </c>
      <c r="G293" s="2" t="s">
        <v>5022</v>
      </c>
      <c r="H293" s="2" t="s">
        <v>5023</v>
      </c>
      <c r="I293" s="2" t="s">
        <v>6587</v>
      </c>
      <c r="J293" s="2"/>
      <c r="K293" s="2"/>
      <c r="L293" s="2"/>
      <c r="M293" s="2" t="s">
        <v>6588</v>
      </c>
      <c r="N293" s="2"/>
      <c r="O293" s="2"/>
      <c r="P293" s="2"/>
      <c r="Q293" s="2"/>
    </row>
    <row r="294" spans="1:17" x14ac:dyDescent="0.2">
      <c r="A294" s="2" t="s">
        <v>3931</v>
      </c>
      <c r="B294" s="2" t="s">
        <v>6589</v>
      </c>
      <c r="C294" s="2" t="s">
        <v>5134</v>
      </c>
      <c r="D294" s="2" t="s">
        <v>5051</v>
      </c>
      <c r="E294" s="2" t="s">
        <v>6522</v>
      </c>
      <c r="F294" s="2" t="s">
        <v>6590</v>
      </c>
      <c r="G294" s="2" t="s">
        <v>5022</v>
      </c>
      <c r="H294" s="2" t="s">
        <v>5023</v>
      </c>
      <c r="I294" s="2" t="s">
        <v>6591</v>
      </c>
      <c r="J294" s="2"/>
      <c r="K294" s="2"/>
      <c r="L294" s="2"/>
      <c r="M294" s="2" t="s">
        <v>6592</v>
      </c>
      <c r="N294" s="2"/>
      <c r="O294" s="2"/>
      <c r="P294" s="2"/>
      <c r="Q294" s="2"/>
    </row>
    <row r="295" spans="1:17" x14ac:dyDescent="0.2">
      <c r="A295" s="2" t="s">
        <v>3207</v>
      </c>
      <c r="B295" s="2" t="s">
        <v>6153</v>
      </c>
      <c r="C295" s="2" t="s">
        <v>5895</v>
      </c>
      <c r="D295" s="2" t="s">
        <v>6593</v>
      </c>
      <c r="E295" s="2" t="s">
        <v>6594</v>
      </c>
      <c r="F295" s="2" t="s">
        <v>6595</v>
      </c>
      <c r="G295" s="2" t="s">
        <v>5022</v>
      </c>
      <c r="H295" s="2" t="s">
        <v>5023</v>
      </c>
      <c r="I295" s="2" t="s">
        <v>6596</v>
      </c>
      <c r="J295" s="2"/>
      <c r="K295" s="2"/>
      <c r="L295" s="2"/>
      <c r="M295" s="2"/>
      <c r="N295" s="2"/>
      <c r="O295" s="2"/>
      <c r="P295" s="2"/>
      <c r="Q295" s="2"/>
    </row>
    <row r="296" spans="1:17" x14ac:dyDescent="0.2">
      <c r="A296" s="2" t="s">
        <v>634</v>
      </c>
      <c r="B296" s="2" t="s">
        <v>6597</v>
      </c>
      <c r="C296" s="2" t="s">
        <v>6598</v>
      </c>
      <c r="D296" s="2" t="s">
        <v>5105</v>
      </c>
      <c r="E296" s="2" t="s">
        <v>6599</v>
      </c>
      <c r="F296" s="2" t="s">
        <v>6600</v>
      </c>
      <c r="G296" s="2" t="s">
        <v>5022</v>
      </c>
      <c r="H296" s="2" t="s">
        <v>5023</v>
      </c>
      <c r="I296" s="2" t="s">
        <v>6601</v>
      </c>
      <c r="J296" s="2"/>
      <c r="K296" s="2"/>
      <c r="L296" s="2"/>
      <c r="M296" s="2" t="s">
        <v>6602</v>
      </c>
      <c r="N296" s="2"/>
      <c r="O296" s="2"/>
      <c r="P296" s="2"/>
      <c r="Q296" s="2"/>
    </row>
    <row r="297" spans="1:17" x14ac:dyDescent="0.2">
      <c r="A297" s="2" t="s">
        <v>448</v>
      </c>
      <c r="B297" s="2" t="s">
        <v>6603</v>
      </c>
      <c r="C297" s="2" t="s">
        <v>6604</v>
      </c>
      <c r="D297" s="2" t="s">
        <v>5189</v>
      </c>
      <c r="E297" s="2" t="s">
        <v>6605</v>
      </c>
      <c r="F297" s="2" t="s">
        <v>6606</v>
      </c>
      <c r="G297" s="2" t="s">
        <v>5022</v>
      </c>
      <c r="H297" s="2" t="s">
        <v>5023</v>
      </c>
      <c r="I297" s="2" t="s">
        <v>6607</v>
      </c>
      <c r="J297" s="2"/>
      <c r="K297" s="2"/>
      <c r="L297" s="2"/>
      <c r="M297" s="2" t="s">
        <v>6608</v>
      </c>
      <c r="N297" s="2"/>
      <c r="O297" s="2"/>
      <c r="P297" s="2"/>
      <c r="Q297" s="2"/>
    </row>
    <row r="298" spans="1:17" x14ac:dyDescent="0.2">
      <c r="A298" s="2" t="s">
        <v>1533</v>
      </c>
      <c r="B298" s="2" t="s">
        <v>6609</v>
      </c>
      <c r="C298" s="2" t="s">
        <v>6610</v>
      </c>
      <c r="D298" s="2" t="s">
        <v>6611</v>
      </c>
      <c r="E298" s="2" t="s">
        <v>6612</v>
      </c>
      <c r="F298" s="2" t="s">
        <v>6613</v>
      </c>
      <c r="G298" s="2" t="s">
        <v>5022</v>
      </c>
      <c r="H298" s="2" t="s">
        <v>5023</v>
      </c>
      <c r="I298" s="2" t="s">
        <v>6614</v>
      </c>
      <c r="J298" s="2"/>
      <c r="K298" s="2"/>
      <c r="L298" s="2"/>
      <c r="M298" s="2" t="s">
        <v>6615</v>
      </c>
      <c r="N298" s="2"/>
      <c r="O298" s="2"/>
      <c r="P298" s="2"/>
      <c r="Q298" s="2"/>
    </row>
    <row r="299" spans="1:17" x14ac:dyDescent="0.2">
      <c r="A299" s="2" t="s">
        <v>1784</v>
      </c>
      <c r="B299" s="2" t="s">
        <v>6616</v>
      </c>
      <c r="C299" s="2" t="s">
        <v>5388</v>
      </c>
      <c r="D299" s="2" t="s">
        <v>6617</v>
      </c>
      <c r="E299" s="2" t="s">
        <v>6618</v>
      </c>
      <c r="F299" s="2" t="s">
        <v>6619</v>
      </c>
      <c r="G299" s="2" t="s">
        <v>5022</v>
      </c>
      <c r="H299" s="2" t="s">
        <v>5023</v>
      </c>
      <c r="I299" s="2"/>
      <c r="J299" s="2"/>
      <c r="K299" s="2" t="s">
        <v>6620</v>
      </c>
      <c r="L299" s="2"/>
      <c r="M299" s="2"/>
      <c r="N299" s="2"/>
      <c r="O299" s="2"/>
      <c r="P299" s="2"/>
      <c r="Q299" s="2"/>
    </row>
    <row r="300" spans="1:17" x14ac:dyDescent="0.2">
      <c r="A300" s="2" t="s">
        <v>4782</v>
      </c>
      <c r="B300" s="2" t="s">
        <v>6153</v>
      </c>
      <c r="C300" s="2" t="s">
        <v>6621</v>
      </c>
      <c r="D300" s="2" t="s">
        <v>6622</v>
      </c>
      <c r="E300" s="2" t="s">
        <v>6623</v>
      </c>
      <c r="F300" s="2" t="s">
        <v>6624</v>
      </c>
      <c r="G300" s="2" t="s">
        <v>5022</v>
      </c>
      <c r="H300" s="2" t="s">
        <v>5023</v>
      </c>
      <c r="I300" s="2" t="s">
        <v>6625</v>
      </c>
      <c r="J300" s="2"/>
      <c r="K300" s="2"/>
      <c r="L300" s="2"/>
      <c r="M300" s="2"/>
      <c r="N300" s="2"/>
      <c r="O300" s="2"/>
      <c r="P300" s="2"/>
      <c r="Q300" s="2"/>
    </row>
    <row r="301" spans="1:17" x14ac:dyDescent="0.2">
      <c r="A301" s="2" t="s">
        <v>311</v>
      </c>
      <c r="B301" s="2" t="s">
        <v>5061</v>
      </c>
      <c r="C301" s="2" t="s">
        <v>6574</v>
      </c>
      <c r="D301" s="2" t="s">
        <v>6626</v>
      </c>
      <c r="E301" s="2" t="s">
        <v>6627</v>
      </c>
      <c r="F301" s="2" t="s">
        <v>6628</v>
      </c>
      <c r="G301" s="2" t="s">
        <v>5022</v>
      </c>
      <c r="H301" s="2" t="s">
        <v>5023</v>
      </c>
      <c r="I301" s="2"/>
      <c r="J301" s="2"/>
      <c r="K301" s="2" t="s">
        <v>6629</v>
      </c>
      <c r="L301" s="2"/>
      <c r="M301" s="2"/>
      <c r="N301" s="2"/>
      <c r="O301" s="2"/>
      <c r="P301" s="2"/>
      <c r="Q301" s="2"/>
    </row>
    <row r="302" spans="1:17" x14ac:dyDescent="0.2">
      <c r="A302" s="2" t="s">
        <v>1876</v>
      </c>
      <c r="B302" s="2" t="s">
        <v>6630</v>
      </c>
      <c r="C302" s="2" t="s">
        <v>5051</v>
      </c>
      <c r="D302" s="2" t="s">
        <v>6631</v>
      </c>
      <c r="E302" s="2" t="s">
        <v>6632</v>
      </c>
      <c r="F302" s="2" t="s">
        <v>6633</v>
      </c>
      <c r="G302" s="2" t="s">
        <v>5022</v>
      </c>
      <c r="H302" s="2" t="s">
        <v>5023</v>
      </c>
      <c r="I302" s="2" t="s">
        <v>6634</v>
      </c>
      <c r="J302" s="2"/>
      <c r="K302" s="2"/>
      <c r="L302" s="2"/>
      <c r="M302" s="2" t="s">
        <v>6635</v>
      </c>
      <c r="N302" s="2"/>
      <c r="O302" s="2"/>
      <c r="P302" s="2"/>
      <c r="Q302" s="2"/>
    </row>
    <row r="303" spans="1:17" x14ac:dyDescent="0.2">
      <c r="A303" s="2" t="s">
        <v>758</v>
      </c>
      <c r="B303" s="2" t="s">
        <v>6636</v>
      </c>
      <c r="C303" s="2" t="s">
        <v>6637</v>
      </c>
      <c r="D303" s="2" t="s">
        <v>5473</v>
      </c>
      <c r="E303" s="2" t="s">
        <v>6638</v>
      </c>
      <c r="F303" s="2" t="s">
        <v>6639</v>
      </c>
      <c r="G303" s="2" t="s">
        <v>5022</v>
      </c>
      <c r="H303" s="2" t="s">
        <v>5023</v>
      </c>
      <c r="I303" s="2" t="s">
        <v>6640</v>
      </c>
      <c r="J303" s="2"/>
      <c r="K303" s="2"/>
      <c r="L303" s="2"/>
      <c r="M303" s="2" t="s">
        <v>6641</v>
      </c>
      <c r="N303" s="2"/>
      <c r="O303" s="2"/>
      <c r="P303" s="2"/>
      <c r="Q303" s="2"/>
    </row>
    <row r="304" spans="1:17" x14ac:dyDescent="0.2">
      <c r="A304" s="2" t="s">
        <v>1978</v>
      </c>
      <c r="B304" s="2" t="s">
        <v>6642</v>
      </c>
      <c r="C304" s="2" t="s">
        <v>5140</v>
      </c>
      <c r="D304" s="2" t="s">
        <v>6643</v>
      </c>
      <c r="E304" s="2" t="s">
        <v>6644</v>
      </c>
      <c r="F304" s="2" t="s">
        <v>6645</v>
      </c>
      <c r="G304" s="2" t="s">
        <v>5022</v>
      </c>
      <c r="H304" s="2" t="s">
        <v>5023</v>
      </c>
      <c r="I304" s="2"/>
      <c r="J304" s="2"/>
      <c r="K304" s="2" t="s">
        <v>6646</v>
      </c>
      <c r="L304" s="2"/>
      <c r="M304" s="2"/>
      <c r="N304" s="2"/>
      <c r="O304" s="2"/>
      <c r="P304" s="2"/>
      <c r="Q304" s="2"/>
    </row>
    <row r="305" spans="1:17" x14ac:dyDescent="0.2">
      <c r="A305" s="2" t="s">
        <v>3858</v>
      </c>
      <c r="B305" s="2" t="s">
        <v>6221</v>
      </c>
      <c r="C305" s="2" t="s">
        <v>6004</v>
      </c>
      <c r="D305" s="2" t="s">
        <v>6337</v>
      </c>
      <c r="E305" s="2" t="s">
        <v>6647</v>
      </c>
      <c r="F305" s="2" t="s">
        <v>5400</v>
      </c>
      <c r="G305" s="2" t="s">
        <v>5022</v>
      </c>
      <c r="H305" s="2" t="s">
        <v>5023</v>
      </c>
      <c r="I305" s="2" t="s">
        <v>6648</v>
      </c>
      <c r="J305" s="2"/>
      <c r="K305" s="2"/>
      <c r="L305" s="2"/>
      <c r="M305" s="2" t="s">
        <v>6649</v>
      </c>
      <c r="N305" s="2"/>
      <c r="O305" s="2"/>
      <c r="P305" s="2"/>
      <c r="Q305" s="2"/>
    </row>
    <row r="306" spans="1:17" x14ac:dyDescent="0.2">
      <c r="A306" s="2" t="s">
        <v>2901</v>
      </c>
      <c r="B306" s="2" t="s">
        <v>6650</v>
      </c>
      <c r="C306" s="2" t="s">
        <v>6651</v>
      </c>
      <c r="D306" s="2" t="s">
        <v>6652</v>
      </c>
      <c r="E306" s="2" t="s">
        <v>6653</v>
      </c>
      <c r="F306" s="2" t="s">
        <v>6654</v>
      </c>
      <c r="G306" s="2" t="s">
        <v>5022</v>
      </c>
      <c r="H306" s="2" t="s">
        <v>5023</v>
      </c>
      <c r="I306" s="2" t="s">
        <v>6655</v>
      </c>
      <c r="J306" s="2"/>
      <c r="K306" s="2"/>
      <c r="L306" s="2"/>
      <c r="M306" s="2"/>
      <c r="N306" s="2"/>
      <c r="O306" s="2"/>
      <c r="P306" s="2"/>
      <c r="Q306" s="2"/>
    </row>
    <row r="307" spans="1:17" x14ac:dyDescent="0.2">
      <c r="A307" s="2" t="s">
        <v>798</v>
      </c>
      <c r="B307" s="2" t="s">
        <v>6656</v>
      </c>
      <c r="C307" s="2" t="s">
        <v>5125</v>
      </c>
      <c r="D307" s="2" t="s">
        <v>6657</v>
      </c>
      <c r="E307" s="2" t="s">
        <v>6658</v>
      </c>
      <c r="F307" s="2" t="s">
        <v>6659</v>
      </c>
      <c r="G307" s="2" t="s">
        <v>5022</v>
      </c>
      <c r="H307" s="2" t="s">
        <v>5023</v>
      </c>
      <c r="I307" s="2" t="s">
        <v>6660</v>
      </c>
      <c r="J307" s="2"/>
      <c r="K307" s="2"/>
      <c r="L307" s="2"/>
      <c r="M307" s="2" t="s">
        <v>6661</v>
      </c>
      <c r="N307" s="2"/>
      <c r="O307" s="2"/>
      <c r="P307" s="2"/>
      <c r="Q307" s="2"/>
    </row>
    <row r="308" spans="1:17" x14ac:dyDescent="0.2">
      <c r="A308" s="2" t="s">
        <v>620</v>
      </c>
      <c r="B308" s="2" t="s">
        <v>4114</v>
      </c>
      <c r="C308" s="2" t="s">
        <v>6662</v>
      </c>
      <c r="D308" s="2" t="s">
        <v>5408</v>
      </c>
      <c r="E308" s="2" t="s">
        <v>6663</v>
      </c>
      <c r="F308" s="2" t="s">
        <v>6664</v>
      </c>
      <c r="G308" s="2" t="s">
        <v>5022</v>
      </c>
      <c r="H308" s="2" t="s">
        <v>5023</v>
      </c>
      <c r="I308" s="2" t="s">
        <v>6665</v>
      </c>
      <c r="J308" s="2"/>
      <c r="K308" s="2"/>
      <c r="L308" s="2"/>
      <c r="M308" s="2"/>
      <c r="N308" s="2"/>
      <c r="O308" s="2"/>
      <c r="P308" s="2"/>
      <c r="Q308" s="2"/>
    </row>
    <row r="309" spans="1:17" x14ac:dyDescent="0.2">
      <c r="A309" s="2" t="s">
        <v>824</v>
      </c>
      <c r="B309" s="2" t="s">
        <v>5557</v>
      </c>
      <c r="C309" s="2" t="s">
        <v>6004</v>
      </c>
      <c r="D309" s="2" t="s">
        <v>6666</v>
      </c>
      <c r="E309" s="2" t="s">
        <v>6667</v>
      </c>
      <c r="F309" s="2" t="s">
        <v>6668</v>
      </c>
      <c r="G309" s="2" t="s">
        <v>5022</v>
      </c>
      <c r="H309" s="2" t="s">
        <v>5023</v>
      </c>
      <c r="I309" s="2" t="s">
        <v>6669</v>
      </c>
      <c r="J309" s="2"/>
      <c r="K309" s="2"/>
      <c r="L309" s="2"/>
      <c r="M309" s="2" t="s">
        <v>6670</v>
      </c>
      <c r="N309" s="2"/>
      <c r="O309" s="2"/>
      <c r="P309" s="2"/>
      <c r="Q309" s="2"/>
    </row>
    <row r="310" spans="1:17" x14ac:dyDescent="0.2">
      <c r="A310" s="2" t="s">
        <v>608</v>
      </c>
      <c r="B310" s="2" t="s">
        <v>6671</v>
      </c>
      <c r="C310" s="2" t="s">
        <v>6449</v>
      </c>
      <c r="D310" s="2" t="s">
        <v>6449</v>
      </c>
      <c r="E310" s="2" t="s">
        <v>6672</v>
      </c>
      <c r="F310" s="2" t="s">
        <v>5325</v>
      </c>
      <c r="G310" s="2" t="s">
        <v>5022</v>
      </c>
      <c r="H310" s="2" t="s">
        <v>5023</v>
      </c>
      <c r="I310" s="2" t="s">
        <v>6673</v>
      </c>
      <c r="J310" s="2"/>
      <c r="K310" s="2"/>
      <c r="L310" s="2"/>
      <c r="M310" s="2" t="s">
        <v>6674</v>
      </c>
      <c r="N310" s="2"/>
      <c r="O310" s="2"/>
      <c r="P310" s="2"/>
      <c r="Q310" s="2"/>
    </row>
    <row r="311" spans="1:17" x14ac:dyDescent="0.2">
      <c r="A311" s="2" t="s">
        <v>1029</v>
      </c>
      <c r="B311" s="2" t="s">
        <v>5990</v>
      </c>
      <c r="C311" s="2" t="s">
        <v>6374</v>
      </c>
      <c r="D311" s="2" t="s">
        <v>5900</v>
      </c>
      <c r="E311" s="2" t="s">
        <v>5736</v>
      </c>
      <c r="F311" s="2" t="s">
        <v>6675</v>
      </c>
      <c r="G311" s="2" t="s">
        <v>5022</v>
      </c>
      <c r="H311" s="2" t="s">
        <v>5023</v>
      </c>
      <c r="I311" s="2" t="s">
        <v>6676</v>
      </c>
      <c r="J311" s="2"/>
      <c r="K311" s="2"/>
      <c r="L311" s="2"/>
      <c r="M311" s="2"/>
      <c r="N311" s="2"/>
      <c r="O311" s="2"/>
      <c r="P311" s="2"/>
      <c r="Q311" s="2"/>
    </row>
    <row r="312" spans="1:17" x14ac:dyDescent="0.2">
      <c r="A312" s="2" t="s">
        <v>2674</v>
      </c>
      <c r="B312" s="2" t="s">
        <v>6677</v>
      </c>
      <c r="C312" s="2" t="s">
        <v>6678</v>
      </c>
      <c r="D312" s="2" t="s">
        <v>5317</v>
      </c>
      <c r="E312" s="2" t="s">
        <v>6679</v>
      </c>
      <c r="F312" s="2" t="s">
        <v>6680</v>
      </c>
      <c r="G312" s="2" t="s">
        <v>5022</v>
      </c>
      <c r="H312" s="2" t="s">
        <v>5023</v>
      </c>
      <c r="I312" s="2" t="s">
        <v>6681</v>
      </c>
      <c r="J312" s="2"/>
      <c r="K312" s="2"/>
      <c r="L312" s="2"/>
      <c r="M312" s="2"/>
      <c r="N312" s="2"/>
      <c r="O312" s="2"/>
      <c r="P312" s="2"/>
      <c r="Q312" s="2"/>
    </row>
    <row r="313" spans="1:17" x14ac:dyDescent="0.2">
      <c r="A313" s="2" t="s">
        <v>1075</v>
      </c>
      <c r="B313" s="2" t="s">
        <v>6682</v>
      </c>
      <c r="C313" s="2" t="s">
        <v>5125</v>
      </c>
      <c r="D313" s="2" t="s">
        <v>6527</v>
      </c>
      <c r="E313" s="2" t="s">
        <v>6683</v>
      </c>
      <c r="F313" s="2" t="s">
        <v>6684</v>
      </c>
      <c r="G313" s="2" t="s">
        <v>5022</v>
      </c>
      <c r="H313" s="2" t="s">
        <v>5023</v>
      </c>
      <c r="I313" s="2"/>
      <c r="J313" s="2"/>
      <c r="K313" s="2" t="s">
        <v>6685</v>
      </c>
      <c r="L313" s="2"/>
      <c r="M313" s="2"/>
      <c r="N313" s="2"/>
      <c r="O313" s="2"/>
      <c r="P313" s="2"/>
      <c r="Q313" s="2"/>
    </row>
    <row r="314" spans="1:17" x14ac:dyDescent="0.2">
      <c r="A314" s="2" t="s">
        <v>1757</v>
      </c>
      <c r="B314" s="2" t="s">
        <v>6686</v>
      </c>
      <c r="C314" s="2" t="s">
        <v>6687</v>
      </c>
      <c r="D314" s="2" t="s">
        <v>5051</v>
      </c>
      <c r="E314" s="2" t="s">
        <v>6688</v>
      </c>
      <c r="F314" s="2" t="s">
        <v>6689</v>
      </c>
      <c r="G314" s="2" t="s">
        <v>5022</v>
      </c>
      <c r="H314" s="2" t="s">
        <v>5023</v>
      </c>
      <c r="I314" s="2" t="s">
        <v>6690</v>
      </c>
      <c r="J314" s="2"/>
      <c r="K314" s="2"/>
      <c r="L314" s="2"/>
      <c r="M314" s="2"/>
      <c r="N314" s="2"/>
      <c r="O314" s="2"/>
      <c r="P314" s="2"/>
      <c r="Q314" s="2"/>
    </row>
    <row r="315" spans="1:17" x14ac:dyDescent="0.2">
      <c r="A315" s="2" t="s">
        <v>3626</v>
      </c>
      <c r="B315" s="2" t="s">
        <v>5739</v>
      </c>
      <c r="C315" s="2" t="s">
        <v>5415</v>
      </c>
      <c r="D315" s="2" t="s">
        <v>5762</v>
      </c>
      <c r="E315" s="2" t="s">
        <v>6691</v>
      </c>
      <c r="F315" s="2" t="s">
        <v>6692</v>
      </c>
      <c r="G315" s="2" t="s">
        <v>5022</v>
      </c>
      <c r="H315" s="2" t="s">
        <v>5023</v>
      </c>
      <c r="I315" s="2" t="s">
        <v>6693</v>
      </c>
      <c r="J315" s="2"/>
      <c r="K315" s="2"/>
      <c r="L315" s="2"/>
      <c r="M315" s="2"/>
      <c r="N315" s="2"/>
      <c r="O315" s="2"/>
      <c r="P315" s="2"/>
      <c r="Q315" s="2"/>
    </row>
    <row r="316" spans="1:17" x14ac:dyDescent="0.2">
      <c r="A316" s="2" t="s">
        <v>2019</v>
      </c>
      <c r="B316" s="2" t="s">
        <v>6616</v>
      </c>
      <c r="C316" s="2" t="s">
        <v>6694</v>
      </c>
      <c r="D316" s="2" t="s">
        <v>5112</v>
      </c>
      <c r="E316" s="2" t="s">
        <v>5972</v>
      </c>
      <c r="F316" s="2" t="s">
        <v>5973</v>
      </c>
      <c r="G316" s="2" t="s">
        <v>5022</v>
      </c>
      <c r="H316" s="2" t="s">
        <v>5023</v>
      </c>
      <c r="I316" s="2" t="s">
        <v>6695</v>
      </c>
      <c r="J316" s="2"/>
      <c r="K316" s="2"/>
      <c r="L316" s="2"/>
      <c r="M316" s="2"/>
      <c r="N316" s="2"/>
      <c r="O316" s="2"/>
      <c r="P316" s="2"/>
      <c r="Q316" s="2"/>
    </row>
    <row r="317" spans="1:17" x14ac:dyDescent="0.2">
      <c r="A317" s="2" t="s">
        <v>1344</v>
      </c>
      <c r="B317" s="2" t="s">
        <v>6696</v>
      </c>
      <c r="C317" s="2" t="s">
        <v>5980</v>
      </c>
      <c r="D317" s="2" t="s">
        <v>6697</v>
      </c>
      <c r="E317" s="2" t="s">
        <v>6218</v>
      </c>
      <c r="F317" s="2" t="s">
        <v>6698</v>
      </c>
      <c r="G317" s="2" t="s">
        <v>5022</v>
      </c>
      <c r="H317" s="2" t="s">
        <v>5023</v>
      </c>
      <c r="I317" s="2" t="s">
        <v>6699</v>
      </c>
      <c r="J317" s="2"/>
      <c r="K317" s="2"/>
      <c r="L317" s="2"/>
      <c r="M317" s="2" t="s">
        <v>6700</v>
      </c>
      <c r="N317" s="2"/>
      <c r="O317" s="2"/>
      <c r="P317" s="2"/>
      <c r="Q317" s="2"/>
    </row>
    <row r="318" spans="1:17" x14ac:dyDescent="0.2">
      <c r="A318" s="2" t="s">
        <v>3937</v>
      </c>
      <c r="B318" s="2" t="s">
        <v>5032</v>
      </c>
      <c r="C318" s="2" t="s">
        <v>6701</v>
      </c>
      <c r="D318" s="2" t="s">
        <v>6702</v>
      </c>
      <c r="E318" s="2" t="s">
        <v>6703</v>
      </c>
      <c r="F318" s="2" t="s">
        <v>6704</v>
      </c>
      <c r="G318" s="2" t="s">
        <v>5022</v>
      </c>
      <c r="H318" s="2" t="s">
        <v>5023</v>
      </c>
      <c r="I318" s="2" t="s">
        <v>6705</v>
      </c>
      <c r="J318" s="2"/>
      <c r="K318" s="2"/>
      <c r="L318" s="2"/>
      <c r="M318" s="2"/>
      <c r="N318" s="2"/>
      <c r="O318" s="2"/>
      <c r="P318" s="2"/>
      <c r="Q318" s="2"/>
    </row>
    <row r="319" spans="1:17" x14ac:dyDescent="0.2">
      <c r="A319" s="2" t="s">
        <v>1858</v>
      </c>
      <c r="B319" s="2" t="s">
        <v>6706</v>
      </c>
      <c r="C319" s="2" t="s">
        <v>6707</v>
      </c>
      <c r="D319" s="2" t="s">
        <v>5140</v>
      </c>
      <c r="E319" s="2" t="s">
        <v>6708</v>
      </c>
      <c r="F319" s="2" t="s">
        <v>6709</v>
      </c>
      <c r="G319" s="2" t="s">
        <v>5022</v>
      </c>
      <c r="H319" s="2" t="s">
        <v>5023</v>
      </c>
      <c r="I319" s="2"/>
      <c r="J319" s="2"/>
      <c r="K319" s="2" t="s">
        <v>6710</v>
      </c>
      <c r="L319" s="2"/>
      <c r="M319" s="2" t="s">
        <v>6711</v>
      </c>
      <c r="N319" s="2"/>
      <c r="O319" s="2"/>
      <c r="P319" s="2"/>
      <c r="Q319" s="2"/>
    </row>
    <row r="320" spans="1:17" x14ac:dyDescent="0.2">
      <c r="A320" s="2" t="s">
        <v>1612</v>
      </c>
      <c r="B320" s="2" t="s">
        <v>5175</v>
      </c>
      <c r="C320" s="2" t="s">
        <v>6712</v>
      </c>
      <c r="D320" s="2" t="s">
        <v>5323</v>
      </c>
      <c r="E320" s="2" t="s">
        <v>6713</v>
      </c>
      <c r="F320" s="2" t="s">
        <v>6339</v>
      </c>
      <c r="G320" s="2" t="s">
        <v>5022</v>
      </c>
      <c r="H320" s="2" t="s">
        <v>5023</v>
      </c>
      <c r="I320" s="2" t="s">
        <v>6714</v>
      </c>
      <c r="J320" s="2"/>
      <c r="K320" s="2"/>
      <c r="L320" s="2"/>
      <c r="M320" s="2"/>
      <c r="N320" s="2"/>
      <c r="O320" s="2"/>
      <c r="P320" s="2"/>
      <c r="Q320" s="2"/>
    </row>
    <row r="321" spans="1:17" x14ac:dyDescent="0.2">
      <c r="A321" s="2" t="s">
        <v>208</v>
      </c>
      <c r="B321" s="2" t="s">
        <v>6132</v>
      </c>
      <c r="C321" s="2" t="s">
        <v>5159</v>
      </c>
      <c r="D321" s="2" t="s">
        <v>5374</v>
      </c>
      <c r="E321" s="2" t="s">
        <v>5141</v>
      </c>
      <c r="F321" s="2" t="s">
        <v>6715</v>
      </c>
      <c r="G321" s="2" t="s">
        <v>5022</v>
      </c>
      <c r="H321" s="2" t="s">
        <v>5023</v>
      </c>
      <c r="I321" s="2" t="s">
        <v>6716</v>
      </c>
      <c r="J321" s="2"/>
      <c r="K321" s="2"/>
      <c r="L321" s="2"/>
      <c r="M321" s="2"/>
      <c r="N321" s="2"/>
      <c r="O321" s="2"/>
      <c r="P321" s="2"/>
      <c r="Q321" s="2"/>
    </row>
    <row r="322" spans="1:17" x14ac:dyDescent="0.2">
      <c r="A322" s="2" t="s">
        <v>2927</v>
      </c>
      <c r="B322" s="2" t="s">
        <v>5660</v>
      </c>
      <c r="C322" s="2" t="s">
        <v>6717</v>
      </c>
      <c r="D322" s="2" t="s">
        <v>6300</v>
      </c>
      <c r="E322" s="2" t="s">
        <v>6718</v>
      </c>
      <c r="F322" s="2" t="s">
        <v>6719</v>
      </c>
      <c r="G322" s="2" t="s">
        <v>5022</v>
      </c>
      <c r="H322" s="2" t="s">
        <v>5023</v>
      </c>
      <c r="I322" s="2"/>
      <c r="J322" s="2"/>
      <c r="K322" s="2" t="s">
        <v>6720</v>
      </c>
      <c r="L322" s="2"/>
      <c r="M322" s="2"/>
      <c r="N322" s="2"/>
      <c r="O322" s="2"/>
      <c r="P322" s="2"/>
      <c r="Q322" s="2"/>
    </row>
    <row r="323" spans="1:17" x14ac:dyDescent="0.2">
      <c r="A323" s="2" t="s">
        <v>349</v>
      </c>
      <c r="B323" s="2" t="s">
        <v>6721</v>
      </c>
      <c r="C323" s="2" t="s">
        <v>5498</v>
      </c>
      <c r="D323" s="2" t="s">
        <v>6722</v>
      </c>
      <c r="E323" s="2" t="s">
        <v>6723</v>
      </c>
      <c r="F323" s="2" t="s">
        <v>6724</v>
      </c>
      <c r="G323" s="2" t="s">
        <v>5022</v>
      </c>
      <c r="H323" s="2" t="s">
        <v>5023</v>
      </c>
      <c r="I323" s="2" t="s">
        <v>6725</v>
      </c>
      <c r="J323" s="2"/>
      <c r="K323" s="2"/>
      <c r="L323" s="2"/>
      <c r="M323" s="2"/>
      <c r="N323" s="2"/>
      <c r="O323" s="2"/>
      <c r="P323" s="2"/>
      <c r="Q323" s="2"/>
    </row>
    <row r="324" spans="1:17" x14ac:dyDescent="0.2">
      <c r="A324" s="2" t="s">
        <v>2320</v>
      </c>
      <c r="B324" s="2" t="s">
        <v>6721</v>
      </c>
      <c r="C324" s="2" t="s">
        <v>6726</v>
      </c>
      <c r="D324" s="2" t="s">
        <v>5917</v>
      </c>
      <c r="E324" s="2" t="s">
        <v>6663</v>
      </c>
      <c r="F324" s="2" t="s">
        <v>6727</v>
      </c>
      <c r="G324" s="2" t="s">
        <v>5022</v>
      </c>
      <c r="H324" s="2" t="s">
        <v>5023</v>
      </c>
      <c r="I324" s="2"/>
      <c r="J324" s="2"/>
      <c r="K324" s="2" t="s">
        <v>6728</v>
      </c>
      <c r="L324" s="2"/>
      <c r="M324" s="2" t="s">
        <v>6729</v>
      </c>
      <c r="N324" s="2"/>
      <c r="O324" s="2"/>
      <c r="P324" s="2"/>
      <c r="Q324" s="2"/>
    </row>
    <row r="325" spans="1:17" x14ac:dyDescent="0.2">
      <c r="A325" s="2" t="s">
        <v>4683</v>
      </c>
      <c r="B325" s="2" t="s">
        <v>6730</v>
      </c>
      <c r="C325" s="2" t="s">
        <v>5467</v>
      </c>
      <c r="D325" s="2" t="s">
        <v>5467</v>
      </c>
      <c r="E325" s="2" t="s">
        <v>6731</v>
      </c>
      <c r="F325" s="2" t="s">
        <v>6732</v>
      </c>
      <c r="G325" s="2" t="s">
        <v>5022</v>
      </c>
      <c r="H325" s="2" t="s">
        <v>5023</v>
      </c>
      <c r="I325" s="2" t="s">
        <v>6733</v>
      </c>
      <c r="J325" s="2"/>
      <c r="K325" s="2"/>
      <c r="L325" s="2"/>
      <c r="M325" s="2" t="s">
        <v>6734</v>
      </c>
      <c r="N325" s="2"/>
      <c r="O325" s="2"/>
      <c r="P325" s="2"/>
      <c r="Q325" s="2"/>
    </row>
    <row r="326" spans="1:17" x14ac:dyDescent="0.2">
      <c r="A326" s="2" t="s">
        <v>3404</v>
      </c>
      <c r="B326" s="2" t="s">
        <v>6735</v>
      </c>
      <c r="C326" s="2" t="s">
        <v>5667</v>
      </c>
      <c r="D326" s="2" t="s">
        <v>6736</v>
      </c>
      <c r="E326" s="2" t="s">
        <v>6647</v>
      </c>
      <c r="F326" s="2" t="s">
        <v>6727</v>
      </c>
      <c r="G326" s="2" t="s">
        <v>5022</v>
      </c>
      <c r="H326" s="2" t="s">
        <v>5023</v>
      </c>
      <c r="I326" s="2" t="s">
        <v>6737</v>
      </c>
      <c r="J326" s="2"/>
      <c r="K326" s="2"/>
      <c r="L326" s="2"/>
      <c r="M326" s="2" t="s">
        <v>6738</v>
      </c>
      <c r="N326" s="2"/>
      <c r="O326" s="2"/>
      <c r="P326" s="2"/>
      <c r="Q326" s="2"/>
    </row>
    <row r="327" spans="1:17" x14ac:dyDescent="0.2">
      <c r="A327" s="2" t="s">
        <v>541</v>
      </c>
      <c r="B327" s="2" t="s">
        <v>6739</v>
      </c>
      <c r="C327" s="2" t="s">
        <v>5484</v>
      </c>
      <c r="D327" s="2" t="s">
        <v>6740</v>
      </c>
      <c r="E327" s="2" t="s">
        <v>5253</v>
      </c>
      <c r="F327" s="2" t="s">
        <v>6741</v>
      </c>
      <c r="G327" s="2" t="s">
        <v>5022</v>
      </c>
      <c r="H327" s="2" t="s">
        <v>5023</v>
      </c>
      <c r="I327" s="2" t="s">
        <v>6742</v>
      </c>
      <c r="J327" s="2"/>
      <c r="K327" s="2"/>
      <c r="L327" s="2"/>
      <c r="M327" s="2" t="s">
        <v>6743</v>
      </c>
      <c r="N327" s="2"/>
      <c r="O327" s="2"/>
      <c r="P327" s="2"/>
      <c r="Q327" s="2"/>
    </row>
    <row r="328" spans="1:17" x14ac:dyDescent="0.2">
      <c r="A328" s="2" t="s">
        <v>2659</v>
      </c>
      <c r="B328" s="2" t="s">
        <v>6744</v>
      </c>
      <c r="C328" s="2" t="s">
        <v>6514</v>
      </c>
      <c r="D328" s="2" t="s">
        <v>5282</v>
      </c>
      <c r="E328" s="2" t="s">
        <v>6745</v>
      </c>
      <c r="F328" s="2" t="s">
        <v>6746</v>
      </c>
      <c r="G328" s="2" t="s">
        <v>5022</v>
      </c>
      <c r="H328" s="2" t="s">
        <v>5023</v>
      </c>
      <c r="I328" s="2" t="s">
        <v>6747</v>
      </c>
      <c r="J328" s="2"/>
      <c r="K328" s="2"/>
      <c r="L328" s="2"/>
      <c r="M328" s="2" t="s">
        <v>6748</v>
      </c>
      <c r="N328" s="2"/>
      <c r="O328" s="2"/>
      <c r="P328" s="2"/>
      <c r="Q328" s="2"/>
    </row>
    <row r="329" spans="1:17" x14ac:dyDescent="0.2">
      <c r="A329" s="2" t="s">
        <v>4147</v>
      </c>
      <c r="B329" s="2" t="s">
        <v>5684</v>
      </c>
      <c r="C329" s="2" t="s">
        <v>6749</v>
      </c>
      <c r="D329" s="2" t="s">
        <v>6750</v>
      </c>
      <c r="E329" s="2" t="s">
        <v>6751</v>
      </c>
      <c r="F329" s="2" t="s">
        <v>6752</v>
      </c>
      <c r="G329" s="2" t="s">
        <v>5022</v>
      </c>
      <c r="H329" s="2" t="s">
        <v>5023</v>
      </c>
      <c r="I329" s="2" t="s">
        <v>6753</v>
      </c>
      <c r="J329" s="2"/>
      <c r="K329" s="2"/>
      <c r="L329" s="2"/>
      <c r="M329" s="2"/>
      <c r="N329" s="2"/>
      <c r="O329" s="2"/>
      <c r="P329" s="2"/>
      <c r="Q329" s="2"/>
    </row>
    <row r="330" spans="1:17" x14ac:dyDescent="0.2">
      <c r="A330" s="2" t="s">
        <v>3258</v>
      </c>
      <c r="B330" s="2" t="s">
        <v>6754</v>
      </c>
      <c r="C330" s="2" t="s">
        <v>6755</v>
      </c>
      <c r="D330" s="2" t="s">
        <v>5567</v>
      </c>
      <c r="E330" s="2" t="s">
        <v>6756</v>
      </c>
      <c r="F330" s="2" t="s">
        <v>6757</v>
      </c>
      <c r="G330" s="2" t="s">
        <v>5022</v>
      </c>
      <c r="H330" s="2" t="s">
        <v>5023</v>
      </c>
      <c r="I330" s="2"/>
      <c r="J330" s="2"/>
      <c r="K330" s="2" t="s">
        <v>6758</v>
      </c>
      <c r="L330" s="2"/>
      <c r="M330" s="2"/>
      <c r="N330" s="2"/>
      <c r="O330" s="2"/>
      <c r="P330" s="2"/>
      <c r="Q330" s="2"/>
    </row>
    <row r="331" spans="1:17" x14ac:dyDescent="0.2">
      <c r="A331" s="2" t="s">
        <v>1206</v>
      </c>
      <c r="B331" s="2" t="s">
        <v>6759</v>
      </c>
      <c r="C331" s="2" t="s">
        <v>6760</v>
      </c>
      <c r="D331" s="2" t="s">
        <v>5275</v>
      </c>
      <c r="E331" s="2" t="s">
        <v>6627</v>
      </c>
      <c r="F331" s="2" t="s">
        <v>6761</v>
      </c>
      <c r="G331" s="2" t="s">
        <v>5022</v>
      </c>
      <c r="H331" s="2" t="s">
        <v>5023</v>
      </c>
      <c r="I331" s="2" t="s">
        <v>6762</v>
      </c>
      <c r="J331" s="2"/>
      <c r="K331" s="2"/>
      <c r="L331" s="2"/>
      <c r="M331" s="2" t="s">
        <v>6763</v>
      </c>
      <c r="N331" s="2"/>
      <c r="O331" s="2"/>
      <c r="P331" s="2"/>
      <c r="Q331" s="2"/>
    </row>
    <row r="332" spans="1:17" x14ac:dyDescent="0.2">
      <c r="A332" s="2" t="s">
        <v>1692</v>
      </c>
      <c r="B332" s="2" t="s">
        <v>6764</v>
      </c>
      <c r="C332" s="2" t="s">
        <v>6598</v>
      </c>
      <c r="D332" s="2" t="s">
        <v>6765</v>
      </c>
      <c r="E332" s="2" t="s">
        <v>6766</v>
      </c>
      <c r="F332" s="2" t="s">
        <v>6767</v>
      </c>
      <c r="G332" s="2" t="s">
        <v>5022</v>
      </c>
      <c r="H332" s="2" t="s">
        <v>5023</v>
      </c>
      <c r="I332" s="2" t="s">
        <v>6768</v>
      </c>
      <c r="J332" s="2"/>
      <c r="K332" s="2"/>
      <c r="L332" s="2"/>
      <c r="M332" s="2"/>
      <c r="N332" s="2"/>
      <c r="O332" s="2"/>
      <c r="P332" s="2"/>
      <c r="Q332" s="2"/>
    </row>
    <row r="333" spans="1:17" x14ac:dyDescent="0.2">
      <c r="A333" s="2" t="s">
        <v>1213</v>
      </c>
      <c r="B333" s="2" t="s">
        <v>6769</v>
      </c>
      <c r="C333" s="2" t="s">
        <v>6770</v>
      </c>
      <c r="D333" s="2" t="s">
        <v>6305</v>
      </c>
      <c r="E333" s="2" t="s">
        <v>6771</v>
      </c>
      <c r="F333" s="2" t="s">
        <v>6124</v>
      </c>
      <c r="G333" s="2" t="s">
        <v>5022</v>
      </c>
      <c r="H333" s="2" t="s">
        <v>5023</v>
      </c>
      <c r="I333" s="2" t="s">
        <v>6772</v>
      </c>
      <c r="J333" s="2"/>
      <c r="K333" s="2"/>
      <c r="L333" s="2"/>
      <c r="M333" s="2" t="s">
        <v>6773</v>
      </c>
      <c r="N333" s="2"/>
      <c r="O333" s="2"/>
      <c r="P333" s="2"/>
      <c r="Q333" s="2"/>
    </row>
    <row r="334" spans="1:17" x14ac:dyDescent="0.2">
      <c r="A334" s="2" t="s">
        <v>2657</v>
      </c>
      <c r="B334" s="2" t="s">
        <v>6774</v>
      </c>
      <c r="C334" s="2" t="s">
        <v>6775</v>
      </c>
      <c r="D334" s="2" t="s">
        <v>6776</v>
      </c>
      <c r="E334" s="2" t="s">
        <v>6262</v>
      </c>
      <c r="F334" s="2" t="s">
        <v>6777</v>
      </c>
      <c r="G334" s="2" t="s">
        <v>5022</v>
      </c>
      <c r="H334" s="2" t="s">
        <v>5023</v>
      </c>
      <c r="I334" s="2" t="s">
        <v>6778</v>
      </c>
      <c r="J334" s="2"/>
      <c r="K334" s="2"/>
      <c r="L334" s="2"/>
      <c r="M334" s="2"/>
      <c r="N334" s="2"/>
      <c r="O334" s="2"/>
      <c r="P334" s="2"/>
      <c r="Q334" s="2"/>
    </row>
    <row r="335" spans="1:17" x14ac:dyDescent="0.2">
      <c r="A335" s="2" t="s">
        <v>2195</v>
      </c>
      <c r="B335" s="2" t="s">
        <v>5151</v>
      </c>
      <c r="C335" s="2" t="s">
        <v>6779</v>
      </c>
      <c r="D335" s="2" t="s">
        <v>6780</v>
      </c>
      <c r="E335" s="2" t="s">
        <v>5600</v>
      </c>
      <c r="F335" s="2" t="s">
        <v>6781</v>
      </c>
      <c r="G335" s="2" t="s">
        <v>5022</v>
      </c>
      <c r="H335" s="2" t="s">
        <v>5023</v>
      </c>
      <c r="I335" s="2" t="s">
        <v>6782</v>
      </c>
      <c r="J335" s="2"/>
      <c r="K335" s="2"/>
      <c r="L335" s="2"/>
      <c r="M335" s="2"/>
      <c r="N335" s="2"/>
      <c r="O335" s="2"/>
      <c r="P335" s="2"/>
      <c r="Q335" s="2"/>
    </row>
    <row r="336" spans="1:17" x14ac:dyDescent="0.2">
      <c r="A336" s="2" t="s">
        <v>4932</v>
      </c>
      <c r="B336" s="2" t="s">
        <v>5557</v>
      </c>
      <c r="C336" s="2" t="s">
        <v>6783</v>
      </c>
      <c r="D336" s="2" t="s">
        <v>5329</v>
      </c>
      <c r="E336" s="2" t="s">
        <v>6784</v>
      </c>
      <c r="F336" s="2" t="s">
        <v>6785</v>
      </c>
      <c r="G336" s="2" t="s">
        <v>5022</v>
      </c>
      <c r="H336" s="2" t="s">
        <v>5023</v>
      </c>
      <c r="I336" s="2" t="s">
        <v>6786</v>
      </c>
      <c r="J336" s="2"/>
      <c r="K336" s="2"/>
      <c r="L336" s="2"/>
      <c r="M336" s="2"/>
      <c r="N336" s="2"/>
      <c r="O336" s="2"/>
      <c r="P336" s="2"/>
      <c r="Q336" s="2"/>
    </row>
    <row r="337" spans="1:17" x14ac:dyDescent="0.2">
      <c r="A337" s="2" t="s">
        <v>3525</v>
      </c>
      <c r="B337" s="2" t="s">
        <v>6787</v>
      </c>
      <c r="C337" s="2" t="s">
        <v>6788</v>
      </c>
      <c r="D337" s="2" t="s">
        <v>6789</v>
      </c>
      <c r="E337" s="2" t="s">
        <v>6790</v>
      </c>
      <c r="F337" s="2" t="s">
        <v>6791</v>
      </c>
      <c r="G337" s="2" t="s">
        <v>5022</v>
      </c>
      <c r="H337" s="2" t="s">
        <v>5023</v>
      </c>
      <c r="I337" s="2" t="s">
        <v>6792</v>
      </c>
      <c r="J337" s="2"/>
      <c r="K337" s="2"/>
      <c r="L337" s="2"/>
      <c r="M337" s="2"/>
      <c r="N337" s="2"/>
      <c r="O337" s="2"/>
      <c r="P337" s="2"/>
      <c r="Q337" s="2"/>
    </row>
    <row r="338" spans="1:17" x14ac:dyDescent="0.2">
      <c r="A338" s="2" t="s">
        <v>1549</v>
      </c>
      <c r="B338" s="2" t="s">
        <v>6793</v>
      </c>
      <c r="C338" s="2" t="s">
        <v>5105</v>
      </c>
      <c r="D338" s="2" t="s">
        <v>5997</v>
      </c>
      <c r="E338" s="2" t="s">
        <v>6794</v>
      </c>
      <c r="F338" s="2" t="s">
        <v>6795</v>
      </c>
      <c r="G338" s="2" t="s">
        <v>5022</v>
      </c>
      <c r="H338" s="2" t="s">
        <v>5023</v>
      </c>
      <c r="I338" s="2" t="s">
        <v>6796</v>
      </c>
      <c r="J338" s="2"/>
      <c r="K338" s="2"/>
      <c r="L338" s="2"/>
      <c r="M338" s="2"/>
      <c r="N338" s="2"/>
      <c r="O338" s="2"/>
      <c r="P338" s="2"/>
      <c r="Q338" s="2"/>
    </row>
    <row r="339" spans="1:17" x14ac:dyDescent="0.2">
      <c r="A339" s="2" t="s">
        <v>1082</v>
      </c>
      <c r="B339" s="2" t="s">
        <v>6797</v>
      </c>
      <c r="C339" s="2" t="s">
        <v>5576</v>
      </c>
      <c r="D339" s="2" t="s">
        <v>6798</v>
      </c>
      <c r="E339" s="2" t="s">
        <v>6799</v>
      </c>
      <c r="F339" s="2" t="s">
        <v>6800</v>
      </c>
      <c r="G339" s="2" t="s">
        <v>5022</v>
      </c>
      <c r="H339" s="2" t="s">
        <v>5023</v>
      </c>
      <c r="I339" s="2" t="s">
        <v>6801</v>
      </c>
      <c r="J339" s="2"/>
      <c r="K339" s="2"/>
      <c r="L339" s="2"/>
      <c r="M339" s="2"/>
      <c r="N339" s="2"/>
      <c r="O339" s="2"/>
      <c r="P339" s="2"/>
      <c r="Q339" s="2"/>
    </row>
    <row r="340" spans="1:17" x14ac:dyDescent="0.2">
      <c r="A340" s="2" t="s">
        <v>1816</v>
      </c>
      <c r="B340" s="2" t="s">
        <v>6802</v>
      </c>
      <c r="C340" s="2" t="s">
        <v>5562</v>
      </c>
      <c r="D340" s="2" t="s">
        <v>5229</v>
      </c>
      <c r="E340" s="2" t="s">
        <v>6803</v>
      </c>
      <c r="F340" s="2" t="s">
        <v>5759</v>
      </c>
      <c r="G340" s="2" t="s">
        <v>5022</v>
      </c>
      <c r="H340" s="2" t="s">
        <v>5023</v>
      </c>
      <c r="I340" s="2" t="s">
        <v>6804</v>
      </c>
      <c r="J340" s="2"/>
      <c r="K340" s="2"/>
      <c r="L340" s="2"/>
      <c r="M340" s="2" t="s">
        <v>6805</v>
      </c>
      <c r="N340" s="2"/>
      <c r="O340" s="2"/>
      <c r="P340" s="2"/>
      <c r="Q340" s="2"/>
    </row>
    <row r="341" spans="1:17" x14ac:dyDescent="0.2">
      <c r="A341" s="2" t="s">
        <v>1116</v>
      </c>
      <c r="B341" s="2" t="s">
        <v>6806</v>
      </c>
      <c r="C341" s="2" t="s">
        <v>6807</v>
      </c>
      <c r="D341" s="2" t="s">
        <v>6808</v>
      </c>
      <c r="E341" s="2" t="s">
        <v>6251</v>
      </c>
      <c r="F341" s="2" t="s">
        <v>6809</v>
      </c>
      <c r="G341" s="2" t="s">
        <v>5022</v>
      </c>
      <c r="H341" s="2" t="s">
        <v>5023</v>
      </c>
      <c r="I341" s="2"/>
      <c r="J341" s="2"/>
      <c r="K341" s="2" t="s">
        <v>6810</v>
      </c>
      <c r="L341" s="2"/>
      <c r="M341" s="2"/>
      <c r="N341" s="2"/>
      <c r="O341" s="2"/>
      <c r="P341" s="2"/>
      <c r="Q341" s="2"/>
    </row>
    <row r="342" spans="1:17" x14ac:dyDescent="0.2">
      <c r="A342" s="2" t="s">
        <v>3283</v>
      </c>
      <c r="B342" s="2" t="s">
        <v>5739</v>
      </c>
      <c r="C342" s="2" t="s">
        <v>6811</v>
      </c>
      <c r="D342" s="2" t="s">
        <v>6143</v>
      </c>
      <c r="E342" s="2" t="s">
        <v>6812</v>
      </c>
      <c r="F342" s="2" t="s">
        <v>5759</v>
      </c>
      <c r="G342" s="2" t="s">
        <v>5022</v>
      </c>
      <c r="H342" s="2" t="s">
        <v>5023</v>
      </c>
      <c r="I342" s="2" t="s">
        <v>6813</v>
      </c>
      <c r="J342" s="2"/>
      <c r="K342" s="2"/>
      <c r="L342" s="2"/>
      <c r="M342" s="2" t="s">
        <v>6814</v>
      </c>
      <c r="N342" s="2"/>
      <c r="O342" s="2"/>
      <c r="P342" s="2"/>
      <c r="Q342" s="2"/>
    </row>
    <row r="343" spans="1:17" x14ac:dyDescent="0.2">
      <c r="A343" s="2" t="s">
        <v>1780</v>
      </c>
      <c r="B343" s="2" t="s">
        <v>6815</v>
      </c>
      <c r="C343" s="2" t="s">
        <v>6003</v>
      </c>
      <c r="D343" s="2" t="s">
        <v>6003</v>
      </c>
      <c r="E343" s="2" t="s">
        <v>6816</v>
      </c>
      <c r="F343" s="2" t="s">
        <v>6817</v>
      </c>
      <c r="G343" s="2" t="s">
        <v>5022</v>
      </c>
      <c r="H343" s="2" t="s">
        <v>5023</v>
      </c>
      <c r="I343" s="2" t="s">
        <v>6818</v>
      </c>
      <c r="J343" s="2"/>
      <c r="K343" s="2"/>
      <c r="L343" s="2"/>
      <c r="M343" s="2" t="s">
        <v>6819</v>
      </c>
      <c r="N343" s="2"/>
      <c r="O343" s="2"/>
      <c r="P343" s="2"/>
      <c r="Q343" s="2"/>
    </row>
    <row r="344" spans="1:17" x14ac:dyDescent="0.2">
      <c r="A344" s="2" t="s">
        <v>3354</v>
      </c>
      <c r="B344" s="2" t="s">
        <v>5038</v>
      </c>
      <c r="C344" s="2" t="s">
        <v>6820</v>
      </c>
      <c r="D344" s="2" t="s">
        <v>6821</v>
      </c>
      <c r="E344" s="2" t="s">
        <v>5594</v>
      </c>
      <c r="F344" s="2" t="s">
        <v>6554</v>
      </c>
      <c r="G344" s="2" t="s">
        <v>5022</v>
      </c>
      <c r="H344" s="2" t="s">
        <v>5023</v>
      </c>
      <c r="I344" s="2"/>
      <c r="J344" s="2"/>
      <c r="K344" s="2" t="s">
        <v>6822</v>
      </c>
      <c r="L344" s="2"/>
      <c r="M344" s="2"/>
      <c r="N344" s="2"/>
      <c r="O344" s="2"/>
      <c r="P344" s="2"/>
      <c r="Q344" s="2"/>
    </row>
    <row r="345" spans="1:17" x14ac:dyDescent="0.2">
      <c r="A345" s="2" t="s">
        <v>292</v>
      </c>
      <c r="B345" s="2" t="s">
        <v>6823</v>
      </c>
      <c r="C345" s="2" t="s">
        <v>6824</v>
      </c>
      <c r="D345" s="2" t="s">
        <v>6825</v>
      </c>
      <c r="E345" s="2" t="s">
        <v>6826</v>
      </c>
      <c r="F345" s="2" t="s">
        <v>5167</v>
      </c>
      <c r="G345" s="2" t="s">
        <v>5022</v>
      </c>
      <c r="H345" s="2" t="s">
        <v>5023</v>
      </c>
      <c r="I345" s="2" t="s">
        <v>6827</v>
      </c>
      <c r="J345" s="2"/>
      <c r="K345" s="2"/>
      <c r="L345" s="2"/>
      <c r="M345" s="2" t="s">
        <v>6828</v>
      </c>
      <c r="N345" s="2"/>
      <c r="O345" s="2"/>
      <c r="P345" s="2"/>
      <c r="Q345" s="2"/>
    </row>
    <row r="346" spans="1:17" x14ac:dyDescent="0.2">
      <c r="A346" s="2" t="s">
        <v>2743</v>
      </c>
      <c r="B346" s="2" t="s">
        <v>6829</v>
      </c>
      <c r="C346" s="2" t="s">
        <v>6830</v>
      </c>
      <c r="D346" s="2" t="s">
        <v>6831</v>
      </c>
      <c r="E346" s="2" t="s">
        <v>6832</v>
      </c>
      <c r="F346" s="2" t="s">
        <v>6833</v>
      </c>
      <c r="G346" s="2" t="s">
        <v>5022</v>
      </c>
      <c r="H346" s="2" t="s">
        <v>5023</v>
      </c>
      <c r="I346" s="2"/>
      <c r="J346" s="2"/>
      <c r="K346" s="2" t="s">
        <v>6834</v>
      </c>
      <c r="L346" s="2"/>
      <c r="M346" s="2"/>
      <c r="N346" s="2"/>
      <c r="O346" s="2"/>
      <c r="P346" s="2"/>
      <c r="Q346" s="2"/>
    </row>
    <row r="347" spans="1:17" x14ac:dyDescent="0.2">
      <c r="A347" s="2" t="s">
        <v>1292</v>
      </c>
      <c r="B347" s="2" t="s">
        <v>6835</v>
      </c>
      <c r="C347" s="2" t="s">
        <v>6836</v>
      </c>
      <c r="D347" s="2" t="s">
        <v>6836</v>
      </c>
      <c r="E347" s="2" t="s">
        <v>6837</v>
      </c>
      <c r="F347" s="2" t="s">
        <v>6838</v>
      </c>
      <c r="G347" s="2" t="s">
        <v>5022</v>
      </c>
      <c r="H347" s="2" t="s">
        <v>5023</v>
      </c>
      <c r="I347" s="2" t="s">
        <v>6839</v>
      </c>
      <c r="J347" s="2"/>
      <c r="K347" s="2"/>
      <c r="L347" s="2"/>
      <c r="M347" s="2" t="s">
        <v>6840</v>
      </c>
      <c r="N347" s="2"/>
      <c r="O347" s="2"/>
      <c r="P347" s="2"/>
      <c r="Q347" s="2"/>
    </row>
    <row r="348" spans="1:17" x14ac:dyDescent="0.2">
      <c r="A348" s="2" t="s">
        <v>327</v>
      </c>
      <c r="B348" s="2" t="s">
        <v>6110</v>
      </c>
      <c r="C348" s="2" t="s">
        <v>5735</v>
      </c>
      <c r="D348" s="2" t="s">
        <v>6841</v>
      </c>
      <c r="E348" s="2" t="s">
        <v>5294</v>
      </c>
      <c r="F348" s="2" t="s">
        <v>6842</v>
      </c>
      <c r="G348" s="2" t="s">
        <v>5022</v>
      </c>
      <c r="H348" s="2" t="s">
        <v>5023</v>
      </c>
      <c r="I348" s="2" t="s">
        <v>6843</v>
      </c>
      <c r="J348" s="2"/>
      <c r="K348" s="2"/>
      <c r="L348" s="2"/>
      <c r="M348" s="2" t="s">
        <v>6844</v>
      </c>
      <c r="N348" s="2"/>
      <c r="O348" s="2"/>
      <c r="P348" s="2"/>
      <c r="Q348" s="2"/>
    </row>
    <row r="349" spans="1:17" x14ac:dyDescent="0.2">
      <c r="A349" s="2" t="s">
        <v>3750</v>
      </c>
      <c r="B349" s="2" t="s">
        <v>6845</v>
      </c>
      <c r="C349" s="2" t="s">
        <v>5051</v>
      </c>
      <c r="D349" s="2" t="s">
        <v>5051</v>
      </c>
      <c r="E349" s="2" t="s">
        <v>6846</v>
      </c>
      <c r="F349" s="2" t="s">
        <v>6847</v>
      </c>
      <c r="G349" s="2" t="s">
        <v>5022</v>
      </c>
      <c r="H349" s="2" t="s">
        <v>5023</v>
      </c>
      <c r="I349" s="2" t="s">
        <v>6848</v>
      </c>
      <c r="J349" s="2"/>
      <c r="K349" s="2"/>
      <c r="L349" s="2"/>
      <c r="M349" s="2" t="s">
        <v>6849</v>
      </c>
      <c r="N349" s="2"/>
      <c r="O349" s="2"/>
      <c r="P349" s="2"/>
      <c r="Q349" s="2"/>
    </row>
    <row r="350" spans="1:17" x14ac:dyDescent="0.2">
      <c r="A350" s="2" t="s">
        <v>1168</v>
      </c>
      <c r="B350" s="2" t="s">
        <v>6127</v>
      </c>
      <c r="C350" s="2" t="s">
        <v>5380</v>
      </c>
      <c r="D350" s="2" t="s">
        <v>5623</v>
      </c>
      <c r="E350" s="2" t="s">
        <v>6850</v>
      </c>
      <c r="F350" s="2" t="s">
        <v>6851</v>
      </c>
      <c r="G350" s="2" t="s">
        <v>5022</v>
      </c>
      <c r="H350" s="2" t="s">
        <v>5023</v>
      </c>
      <c r="I350" s="2"/>
      <c r="J350" s="2"/>
      <c r="K350" s="2" t="s">
        <v>6852</v>
      </c>
      <c r="L350" s="2"/>
      <c r="M350" s="2"/>
      <c r="N350" s="2"/>
      <c r="O350" s="2"/>
      <c r="P350" s="2"/>
      <c r="Q350" s="2"/>
    </row>
    <row r="351" spans="1:17" x14ac:dyDescent="0.2">
      <c r="A351" s="2" t="s">
        <v>2465</v>
      </c>
      <c r="B351" s="2" t="s">
        <v>6682</v>
      </c>
      <c r="C351" s="2" t="s">
        <v>5623</v>
      </c>
      <c r="D351" s="2" t="s">
        <v>6448</v>
      </c>
      <c r="E351" s="2" t="s">
        <v>6853</v>
      </c>
      <c r="F351" s="2" t="s">
        <v>6854</v>
      </c>
      <c r="G351" s="2" t="s">
        <v>5022</v>
      </c>
      <c r="H351" s="2" t="s">
        <v>5023</v>
      </c>
      <c r="I351" s="2"/>
      <c r="J351" s="2"/>
      <c r="K351" s="2" t="s">
        <v>6855</v>
      </c>
      <c r="L351" s="2"/>
      <c r="M351" s="2"/>
      <c r="N351" s="2"/>
      <c r="O351" s="2"/>
      <c r="P351" s="2"/>
      <c r="Q351" s="2"/>
    </row>
    <row r="352" spans="1:17" x14ac:dyDescent="0.2">
      <c r="A352" s="2" t="s">
        <v>946</v>
      </c>
      <c r="B352" s="2" t="s">
        <v>5420</v>
      </c>
      <c r="C352" s="2" t="s">
        <v>5712</v>
      </c>
      <c r="D352" s="2" t="s">
        <v>5623</v>
      </c>
      <c r="E352" s="2" t="s">
        <v>6856</v>
      </c>
      <c r="F352" s="2" t="s">
        <v>6857</v>
      </c>
      <c r="G352" s="2" t="s">
        <v>5022</v>
      </c>
      <c r="H352" s="2" t="s">
        <v>5023</v>
      </c>
      <c r="I352" s="2"/>
      <c r="J352" s="2"/>
      <c r="K352" s="2" t="s">
        <v>6858</v>
      </c>
      <c r="L352" s="2"/>
      <c r="M352" s="2"/>
      <c r="N352" s="2"/>
      <c r="O352" s="2"/>
      <c r="P352" s="2"/>
      <c r="Q352" s="2"/>
    </row>
    <row r="353" spans="1:17" x14ac:dyDescent="0.2">
      <c r="A353" s="2" t="s">
        <v>1311</v>
      </c>
      <c r="B353" s="2" t="s">
        <v>6859</v>
      </c>
      <c r="C353" s="2" t="s">
        <v>6860</v>
      </c>
      <c r="D353" s="2" t="s">
        <v>6861</v>
      </c>
      <c r="E353" s="2" t="s">
        <v>5594</v>
      </c>
      <c r="F353" s="2" t="s">
        <v>6862</v>
      </c>
      <c r="G353" s="2" t="s">
        <v>5022</v>
      </c>
      <c r="H353" s="2" t="s">
        <v>5023</v>
      </c>
      <c r="I353" s="2" t="s">
        <v>6863</v>
      </c>
      <c r="J353" s="2"/>
      <c r="K353" s="2"/>
      <c r="L353" s="2"/>
      <c r="M353" s="2"/>
      <c r="N353" s="2"/>
      <c r="O353" s="2"/>
      <c r="P353" s="2"/>
      <c r="Q353" s="2"/>
    </row>
    <row r="354" spans="1:17" x14ac:dyDescent="0.2">
      <c r="A354" s="2" t="s">
        <v>1654</v>
      </c>
      <c r="B354" s="2" t="s">
        <v>5026</v>
      </c>
      <c r="C354" s="2" t="s">
        <v>5666</v>
      </c>
      <c r="D354" s="2" t="s">
        <v>6864</v>
      </c>
      <c r="E354" s="2" t="s">
        <v>6865</v>
      </c>
      <c r="F354" s="2" t="s">
        <v>6866</v>
      </c>
      <c r="G354" s="2" t="s">
        <v>5022</v>
      </c>
      <c r="H354" s="2" t="s">
        <v>5023</v>
      </c>
      <c r="I354" s="2" t="s">
        <v>6271</v>
      </c>
      <c r="J354" s="2"/>
      <c r="K354" s="2"/>
      <c r="L354" s="2"/>
      <c r="M354" s="2" t="s">
        <v>6867</v>
      </c>
      <c r="N354" s="2"/>
      <c r="O354" s="2"/>
      <c r="P354" s="2"/>
      <c r="Q354" s="2"/>
    </row>
    <row r="355" spans="1:17" x14ac:dyDescent="0.2">
      <c r="A355" s="2" t="s">
        <v>3174</v>
      </c>
      <c r="B355" s="2" t="s">
        <v>6868</v>
      </c>
      <c r="C355" s="2" t="s">
        <v>6869</v>
      </c>
      <c r="D355" s="2" t="s">
        <v>6870</v>
      </c>
      <c r="E355" s="2" t="s">
        <v>6871</v>
      </c>
      <c r="F355" s="2" t="s">
        <v>6872</v>
      </c>
      <c r="G355" s="2" t="s">
        <v>5022</v>
      </c>
      <c r="H355" s="2" t="s">
        <v>5023</v>
      </c>
      <c r="I355" s="2"/>
      <c r="J355" s="2"/>
      <c r="K355" s="2" t="s">
        <v>6873</v>
      </c>
      <c r="L355" s="2"/>
      <c r="M355" s="2"/>
      <c r="N355" s="2"/>
      <c r="O355" s="2"/>
      <c r="P355" s="2"/>
      <c r="Q355" s="2"/>
    </row>
    <row r="356" spans="1:17" x14ac:dyDescent="0.2">
      <c r="A356" s="2" t="s">
        <v>1506</v>
      </c>
      <c r="B356" s="2" t="s">
        <v>6874</v>
      </c>
      <c r="C356" s="2" t="s">
        <v>5189</v>
      </c>
      <c r="D356" s="2" t="s">
        <v>6875</v>
      </c>
      <c r="E356" s="2" t="s">
        <v>6876</v>
      </c>
      <c r="F356" s="2" t="s">
        <v>6877</v>
      </c>
      <c r="G356" s="2" t="s">
        <v>5022</v>
      </c>
      <c r="H356" s="2" t="s">
        <v>5023</v>
      </c>
      <c r="I356" s="2"/>
      <c r="J356" s="2"/>
      <c r="K356" s="2" t="s">
        <v>6878</v>
      </c>
      <c r="L356" s="2"/>
      <c r="M356" s="2"/>
      <c r="N356" s="2"/>
      <c r="O356" s="2"/>
      <c r="P356" s="2"/>
      <c r="Q356" s="2"/>
    </row>
    <row r="357" spans="1:17" x14ac:dyDescent="0.2">
      <c r="A357" s="2" t="s">
        <v>2394</v>
      </c>
      <c r="B357" s="2" t="s">
        <v>6879</v>
      </c>
      <c r="C357" s="2" t="s">
        <v>5511</v>
      </c>
      <c r="D357" s="2" t="s">
        <v>6880</v>
      </c>
      <c r="E357" s="2" t="s">
        <v>6881</v>
      </c>
      <c r="F357" s="2" t="s">
        <v>6882</v>
      </c>
      <c r="G357" s="2" t="s">
        <v>5022</v>
      </c>
      <c r="H357" s="2" t="s">
        <v>5023</v>
      </c>
      <c r="I357" s="2" t="s">
        <v>6883</v>
      </c>
      <c r="J357" s="2"/>
      <c r="K357" s="2"/>
      <c r="L357" s="2"/>
      <c r="M357" s="2"/>
      <c r="N357" s="2"/>
      <c r="O357" s="2"/>
      <c r="P357" s="2"/>
      <c r="Q357" s="2"/>
    </row>
    <row r="358" spans="1:17" x14ac:dyDescent="0.2">
      <c r="A358" s="2" t="s">
        <v>3211</v>
      </c>
      <c r="B358" s="2" t="s">
        <v>5085</v>
      </c>
      <c r="C358" s="2" t="s">
        <v>5223</v>
      </c>
      <c r="D358" s="2" t="s">
        <v>6884</v>
      </c>
      <c r="E358" s="2" t="s">
        <v>6885</v>
      </c>
      <c r="F358" s="2" t="s">
        <v>6886</v>
      </c>
      <c r="G358" s="2" t="s">
        <v>5022</v>
      </c>
      <c r="H358" s="2" t="s">
        <v>5023</v>
      </c>
      <c r="I358" s="2" t="s">
        <v>6887</v>
      </c>
      <c r="J358" s="2"/>
      <c r="K358" s="2"/>
      <c r="L358" s="2"/>
      <c r="M358" s="2" t="s">
        <v>6888</v>
      </c>
      <c r="N358" s="2"/>
      <c r="O358" s="2"/>
      <c r="P358" s="2"/>
      <c r="Q358" s="2"/>
    </row>
    <row r="359" spans="1:17" x14ac:dyDescent="0.2">
      <c r="A359" s="2" t="s">
        <v>3956</v>
      </c>
      <c r="B359" s="2" t="s">
        <v>6721</v>
      </c>
      <c r="C359" s="2" t="s">
        <v>6889</v>
      </c>
      <c r="D359" s="2" t="s">
        <v>6890</v>
      </c>
      <c r="E359" s="2" t="s">
        <v>6891</v>
      </c>
      <c r="F359" s="2" t="s">
        <v>6892</v>
      </c>
      <c r="G359" s="2" t="s">
        <v>5022</v>
      </c>
      <c r="H359" s="2" t="s">
        <v>5023</v>
      </c>
      <c r="I359" s="2" t="s">
        <v>6893</v>
      </c>
      <c r="J359" s="2"/>
      <c r="K359" s="2"/>
      <c r="L359" s="2"/>
      <c r="M359" s="2" t="s">
        <v>6894</v>
      </c>
      <c r="N359" s="2"/>
      <c r="O359" s="2"/>
      <c r="P359" s="2"/>
      <c r="Q359" s="2"/>
    </row>
    <row r="360" spans="1:17" x14ac:dyDescent="0.2">
      <c r="A360" s="2" t="s">
        <v>2141</v>
      </c>
      <c r="B360" s="2" t="s">
        <v>6895</v>
      </c>
      <c r="C360" s="2" t="s">
        <v>6896</v>
      </c>
      <c r="D360" s="2" t="s">
        <v>5678</v>
      </c>
      <c r="E360" s="2" t="s">
        <v>6897</v>
      </c>
      <c r="F360" s="2" t="s">
        <v>6898</v>
      </c>
      <c r="G360" s="2" t="s">
        <v>5022</v>
      </c>
      <c r="H360" s="2" t="s">
        <v>5023</v>
      </c>
      <c r="I360" s="2" t="s">
        <v>6899</v>
      </c>
      <c r="J360" s="2"/>
      <c r="K360" s="2"/>
      <c r="L360" s="2"/>
      <c r="M360" s="2" t="s">
        <v>6900</v>
      </c>
      <c r="N360" s="2"/>
      <c r="O360" s="2"/>
      <c r="P360" s="2"/>
      <c r="Q360" s="2"/>
    </row>
    <row r="361" spans="1:17" x14ac:dyDescent="0.2">
      <c r="A361" s="2" t="s">
        <v>3789</v>
      </c>
      <c r="B361" s="2" t="s">
        <v>5407</v>
      </c>
      <c r="C361" s="2" t="s">
        <v>6901</v>
      </c>
      <c r="D361" s="2" t="s">
        <v>6901</v>
      </c>
      <c r="E361" s="2" t="s">
        <v>5600</v>
      </c>
      <c r="F361" s="2" t="s">
        <v>6902</v>
      </c>
      <c r="G361" s="2" t="s">
        <v>5022</v>
      </c>
      <c r="H361" s="2" t="s">
        <v>5023</v>
      </c>
      <c r="I361" s="2" t="s">
        <v>6903</v>
      </c>
      <c r="J361" s="2"/>
      <c r="K361" s="2"/>
      <c r="L361" s="2"/>
      <c r="M361" s="2" t="s">
        <v>6904</v>
      </c>
      <c r="N361" s="2"/>
      <c r="O361" s="2"/>
      <c r="P361" s="2"/>
      <c r="Q361" s="2"/>
    </row>
    <row r="362" spans="1:17" x14ac:dyDescent="0.2">
      <c r="A362" s="2" t="s">
        <v>2792</v>
      </c>
      <c r="B362" s="2" t="s">
        <v>6905</v>
      </c>
      <c r="C362" s="2" t="s">
        <v>6906</v>
      </c>
      <c r="D362" s="2" t="s">
        <v>6907</v>
      </c>
      <c r="E362" s="2" t="s">
        <v>6908</v>
      </c>
      <c r="F362" s="2" t="s">
        <v>6909</v>
      </c>
      <c r="G362" s="2" t="s">
        <v>5022</v>
      </c>
      <c r="H362" s="2" t="s">
        <v>5023</v>
      </c>
      <c r="I362" s="2"/>
      <c r="J362" s="2"/>
      <c r="K362" s="2" t="s">
        <v>6910</v>
      </c>
      <c r="L362" s="2"/>
      <c r="M362" s="2"/>
      <c r="N362" s="2"/>
      <c r="O362" s="2"/>
      <c r="P362" s="2"/>
      <c r="Q362" s="2"/>
    </row>
    <row r="363" spans="1:17" x14ac:dyDescent="0.2">
      <c r="A363" s="2" t="s">
        <v>606</v>
      </c>
      <c r="B363" s="2" t="s">
        <v>5257</v>
      </c>
      <c r="C363" s="2" t="s">
        <v>6662</v>
      </c>
      <c r="D363" s="2" t="s">
        <v>6820</v>
      </c>
      <c r="E363" s="2" t="s">
        <v>6911</v>
      </c>
      <c r="F363" s="2" t="s">
        <v>6191</v>
      </c>
      <c r="G363" s="2" t="s">
        <v>5022</v>
      </c>
      <c r="H363" s="2" t="s">
        <v>5023</v>
      </c>
      <c r="I363" s="2" t="s">
        <v>6912</v>
      </c>
      <c r="J363" s="2"/>
      <c r="K363" s="2"/>
      <c r="L363" s="2"/>
      <c r="M363" s="2" t="s">
        <v>6913</v>
      </c>
      <c r="N363" s="2"/>
      <c r="O363" s="2"/>
      <c r="P363" s="2"/>
      <c r="Q363" s="2"/>
    </row>
    <row r="364" spans="1:17" x14ac:dyDescent="0.2">
      <c r="A364" s="2" t="s">
        <v>534</v>
      </c>
      <c r="B364" s="2" t="s">
        <v>6914</v>
      </c>
      <c r="C364" s="2" t="s">
        <v>6915</v>
      </c>
      <c r="D364" s="2" t="s">
        <v>6916</v>
      </c>
      <c r="E364" s="2" t="s">
        <v>6917</v>
      </c>
      <c r="F364" s="2" t="s">
        <v>5491</v>
      </c>
      <c r="G364" s="2" t="s">
        <v>5022</v>
      </c>
      <c r="H364" s="2" t="s">
        <v>5023</v>
      </c>
      <c r="I364" s="2" t="s">
        <v>6918</v>
      </c>
      <c r="J364" s="2"/>
      <c r="K364" s="2"/>
      <c r="L364" s="2"/>
      <c r="M364" s="2" t="s">
        <v>6919</v>
      </c>
      <c r="N364" s="2"/>
      <c r="O364" s="2"/>
      <c r="P364" s="2"/>
      <c r="Q364" s="2"/>
    </row>
    <row r="365" spans="1:17" x14ac:dyDescent="0.2">
      <c r="A365" s="2" t="s">
        <v>953</v>
      </c>
      <c r="B365" s="2" t="s">
        <v>6920</v>
      </c>
      <c r="C365" s="2" t="s">
        <v>6921</v>
      </c>
      <c r="D365" s="2" t="s">
        <v>6922</v>
      </c>
      <c r="E365" s="2" t="s">
        <v>6923</v>
      </c>
      <c r="F365" s="2" t="s">
        <v>5640</v>
      </c>
      <c r="G365" s="2" t="s">
        <v>5022</v>
      </c>
      <c r="H365" s="2" t="s">
        <v>5023</v>
      </c>
      <c r="I365" s="2" t="s">
        <v>6924</v>
      </c>
      <c r="J365" s="2"/>
      <c r="K365" s="2"/>
      <c r="L365" s="2"/>
      <c r="M365" s="2" t="s">
        <v>6925</v>
      </c>
      <c r="N365" s="2"/>
      <c r="O365" s="2"/>
      <c r="P365" s="2"/>
      <c r="Q365" s="2"/>
    </row>
    <row r="366" spans="1:17" x14ac:dyDescent="0.2">
      <c r="A366" s="2" t="s">
        <v>1627</v>
      </c>
      <c r="B366" s="2" t="s">
        <v>3152</v>
      </c>
      <c r="C366" s="2" t="s">
        <v>5212</v>
      </c>
      <c r="D366" s="2" t="s">
        <v>6779</v>
      </c>
      <c r="E366" s="2" t="s">
        <v>6926</v>
      </c>
      <c r="F366" s="2" t="s">
        <v>6927</v>
      </c>
      <c r="G366" s="2" t="s">
        <v>5022</v>
      </c>
      <c r="H366" s="2" t="s">
        <v>5023</v>
      </c>
      <c r="I366" s="2" t="s">
        <v>6928</v>
      </c>
      <c r="J366" s="2"/>
      <c r="K366" s="2"/>
      <c r="L366" s="2"/>
      <c r="M366" s="2" t="s">
        <v>6929</v>
      </c>
      <c r="N366" s="2"/>
      <c r="O366" s="2"/>
      <c r="P366" s="2"/>
      <c r="Q366" s="2"/>
    </row>
    <row r="367" spans="1:17" x14ac:dyDescent="0.2">
      <c r="A367" s="2" t="s">
        <v>2594</v>
      </c>
      <c r="B367" s="2" t="s">
        <v>6930</v>
      </c>
      <c r="C367" s="2" t="s">
        <v>2010</v>
      </c>
      <c r="D367" s="2" t="s">
        <v>6931</v>
      </c>
      <c r="E367" s="2" t="s">
        <v>6932</v>
      </c>
      <c r="F367" s="2" t="s">
        <v>6933</v>
      </c>
      <c r="G367" s="2" t="s">
        <v>5022</v>
      </c>
      <c r="H367" s="2" t="s">
        <v>5023</v>
      </c>
      <c r="I367" s="2" t="s">
        <v>6934</v>
      </c>
      <c r="J367" s="2"/>
      <c r="K367" s="2"/>
      <c r="L367" s="2"/>
      <c r="M367" s="2"/>
      <c r="N367" s="2"/>
      <c r="O367" s="2"/>
      <c r="P367" s="2"/>
      <c r="Q367" s="2"/>
    </row>
    <row r="368" spans="1:17" x14ac:dyDescent="0.2">
      <c r="A368" s="2" t="s">
        <v>4269</v>
      </c>
      <c r="B368" s="2" t="s">
        <v>6935</v>
      </c>
      <c r="C368" s="2" t="s">
        <v>5075</v>
      </c>
      <c r="D368" s="2" t="s">
        <v>6936</v>
      </c>
      <c r="E368" s="2" t="s">
        <v>6937</v>
      </c>
      <c r="F368" s="2" t="s">
        <v>6938</v>
      </c>
      <c r="G368" s="2" t="s">
        <v>5022</v>
      </c>
      <c r="H368" s="2" t="s">
        <v>5023</v>
      </c>
      <c r="I368" s="2" t="s">
        <v>6939</v>
      </c>
      <c r="J368" s="2"/>
      <c r="K368" s="2"/>
      <c r="L368" s="2"/>
      <c r="M368" s="2" t="s">
        <v>6940</v>
      </c>
      <c r="N368" s="2"/>
      <c r="O368" s="2"/>
      <c r="P368" s="2"/>
      <c r="Q368" s="2"/>
    </row>
    <row r="369" spans="1:17" x14ac:dyDescent="0.2">
      <c r="A369" s="2" t="s">
        <v>1264</v>
      </c>
      <c r="B369" s="2" t="s">
        <v>6572</v>
      </c>
      <c r="C369" s="2" t="s">
        <v>5645</v>
      </c>
      <c r="D369" s="2" t="s">
        <v>6941</v>
      </c>
      <c r="E369" s="2" t="s">
        <v>6942</v>
      </c>
      <c r="F369" s="2" t="s">
        <v>5439</v>
      </c>
      <c r="G369" s="2" t="s">
        <v>5022</v>
      </c>
      <c r="H369" s="2" t="s">
        <v>5023</v>
      </c>
      <c r="I369" s="2"/>
      <c r="J369" s="2"/>
      <c r="K369" s="2"/>
      <c r="L369" s="2" t="s">
        <v>6943</v>
      </c>
      <c r="M369" s="2" t="s">
        <v>6944</v>
      </c>
      <c r="N369" s="2"/>
      <c r="O369" s="2"/>
      <c r="P369" s="2"/>
      <c r="Q369" s="2"/>
    </row>
    <row r="370" spans="1:17" x14ac:dyDescent="0.2">
      <c r="A370" s="2" t="s">
        <v>3918</v>
      </c>
      <c r="B370" s="2" t="s">
        <v>6945</v>
      </c>
      <c r="C370" s="2" t="s">
        <v>6946</v>
      </c>
      <c r="D370" s="2" t="s">
        <v>6947</v>
      </c>
      <c r="E370" s="2" t="s">
        <v>6948</v>
      </c>
      <c r="F370" s="2" t="s">
        <v>6949</v>
      </c>
      <c r="G370" s="2" t="s">
        <v>5022</v>
      </c>
      <c r="H370" s="2" t="s">
        <v>5023</v>
      </c>
      <c r="I370" s="2" t="s">
        <v>6950</v>
      </c>
      <c r="J370" s="2"/>
      <c r="K370" s="2"/>
      <c r="L370" s="2"/>
      <c r="M370" s="2" t="s">
        <v>6951</v>
      </c>
      <c r="N370" s="2"/>
      <c r="O370" s="2"/>
      <c r="P370" s="2"/>
      <c r="Q370" s="2"/>
    </row>
    <row r="371" spans="1:17" x14ac:dyDescent="0.2">
      <c r="A371" s="2" t="s">
        <v>862</v>
      </c>
      <c r="B371" s="2" t="s">
        <v>5951</v>
      </c>
      <c r="C371" s="2" t="s">
        <v>5159</v>
      </c>
      <c r="D371" s="2" t="s">
        <v>6952</v>
      </c>
      <c r="E371" s="2" t="s">
        <v>6053</v>
      </c>
      <c r="F371" s="2" t="s">
        <v>6313</v>
      </c>
      <c r="G371" s="2" t="s">
        <v>5022</v>
      </c>
      <c r="H371" s="2" t="s">
        <v>5023</v>
      </c>
      <c r="I371" s="2" t="s">
        <v>6953</v>
      </c>
      <c r="J371" s="2"/>
      <c r="K371" s="2"/>
      <c r="L371" s="2"/>
      <c r="M371" s="2"/>
      <c r="N371" s="2"/>
      <c r="O371" s="2"/>
      <c r="P371" s="2"/>
      <c r="Q371" s="2"/>
    </row>
    <row r="372" spans="1:17" x14ac:dyDescent="0.2">
      <c r="A372" s="2" t="s">
        <v>2871</v>
      </c>
      <c r="B372" s="2" t="s">
        <v>5472</v>
      </c>
      <c r="C372" s="2" t="s">
        <v>6954</v>
      </c>
      <c r="D372" s="2" t="s">
        <v>6955</v>
      </c>
      <c r="E372" s="2" t="s">
        <v>6956</v>
      </c>
      <c r="F372" s="2" t="s">
        <v>6157</v>
      </c>
      <c r="G372" s="2" t="s">
        <v>5022</v>
      </c>
      <c r="H372" s="2" t="s">
        <v>5023</v>
      </c>
      <c r="I372" s="2"/>
      <c r="J372" s="2"/>
      <c r="K372" s="2" t="s">
        <v>6957</v>
      </c>
      <c r="L372" s="2"/>
      <c r="M372" s="2"/>
      <c r="N372" s="2"/>
      <c r="O372" s="2"/>
      <c r="P372" s="2"/>
      <c r="Q372" s="2"/>
    </row>
    <row r="373" spans="1:17" x14ac:dyDescent="0.2">
      <c r="A373" s="2" t="s">
        <v>1351</v>
      </c>
      <c r="B373" s="2" t="s">
        <v>6958</v>
      </c>
      <c r="C373" s="2" t="s">
        <v>6959</v>
      </c>
      <c r="D373" s="2" t="s">
        <v>6960</v>
      </c>
      <c r="E373" s="2" t="s">
        <v>6961</v>
      </c>
      <c r="F373" s="2" t="s">
        <v>6962</v>
      </c>
      <c r="G373" s="2" t="s">
        <v>5022</v>
      </c>
      <c r="H373" s="2" t="s">
        <v>5023</v>
      </c>
      <c r="I373" s="2" t="s">
        <v>6963</v>
      </c>
      <c r="J373" s="2"/>
      <c r="K373" s="2"/>
      <c r="L373" s="2"/>
      <c r="M373" s="2"/>
      <c r="N373" s="2"/>
      <c r="O373" s="2"/>
      <c r="P373" s="2"/>
      <c r="Q373" s="2"/>
    </row>
    <row r="374" spans="1:17" x14ac:dyDescent="0.2">
      <c r="A374" s="2" t="s">
        <v>3766</v>
      </c>
      <c r="B374" s="2" t="s">
        <v>6964</v>
      </c>
      <c r="C374" s="2" t="s">
        <v>6965</v>
      </c>
      <c r="D374" s="2" t="s">
        <v>6966</v>
      </c>
      <c r="E374" s="2" t="s">
        <v>6967</v>
      </c>
      <c r="F374" s="2" t="s">
        <v>6968</v>
      </c>
      <c r="G374" s="2" t="s">
        <v>5022</v>
      </c>
      <c r="H374" s="2" t="s">
        <v>5023</v>
      </c>
      <c r="I374" s="2" t="s">
        <v>6969</v>
      </c>
      <c r="J374" s="2"/>
      <c r="K374" s="2"/>
      <c r="L374" s="2"/>
      <c r="M374" s="2"/>
      <c r="N374" s="2"/>
      <c r="O374" s="2"/>
      <c r="P374" s="2"/>
      <c r="Q374" s="2"/>
    </row>
    <row r="375" spans="1:17" x14ac:dyDescent="0.2">
      <c r="A375" s="2" t="s">
        <v>4556</v>
      </c>
      <c r="B375" s="2" t="s">
        <v>6970</v>
      </c>
      <c r="C375" s="2" t="s">
        <v>6971</v>
      </c>
      <c r="D375" s="2" t="s">
        <v>5027</v>
      </c>
      <c r="E375" s="2" t="s">
        <v>6972</v>
      </c>
      <c r="F375" s="2" t="s">
        <v>6973</v>
      </c>
      <c r="G375" s="2" t="s">
        <v>5022</v>
      </c>
      <c r="H375" s="2" t="s">
        <v>5023</v>
      </c>
      <c r="I375" s="2" t="s">
        <v>6974</v>
      </c>
      <c r="J375" s="2"/>
      <c r="K375" s="2"/>
      <c r="L375" s="2"/>
      <c r="M375" s="2" t="s">
        <v>6975</v>
      </c>
      <c r="N375" s="2"/>
      <c r="O375" s="2"/>
      <c r="P375" s="2"/>
      <c r="Q375" s="2"/>
    </row>
    <row r="376" spans="1:17" x14ac:dyDescent="0.2">
      <c r="A376" s="2" t="s">
        <v>1178</v>
      </c>
      <c r="B376" s="2" t="s">
        <v>6976</v>
      </c>
      <c r="C376" s="2" t="s">
        <v>6977</v>
      </c>
      <c r="D376" s="2" t="s">
        <v>6977</v>
      </c>
      <c r="E376" s="2" t="s">
        <v>5736</v>
      </c>
      <c r="F376" s="2" t="s">
        <v>6978</v>
      </c>
      <c r="G376" s="2" t="s">
        <v>5022</v>
      </c>
      <c r="H376" s="2" t="s">
        <v>5023</v>
      </c>
      <c r="I376" s="2" t="s">
        <v>6979</v>
      </c>
      <c r="J376" s="2"/>
      <c r="K376" s="2"/>
      <c r="L376" s="2"/>
      <c r="M376" s="2"/>
      <c r="N376" s="2"/>
      <c r="O376" s="2"/>
      <c r="P376" s="2"/>
      <c r="Q376" s="2"/>
    </row>
    <row r="377" spans="1:17" x14ac:dyDescent="0.2">
      <c r="A377" s="2" t="s">
        <v>1096</v>
      </c>
      <c r="B377" s="2" t="s">
        <v>6013</v>
      </c>
      <c r="C377" s="2" t="s">
        <v>6096</v>
      </c>
      <c r="D377" s="2" t="s">
        <v>6097</v>
      </c>
      <c r="E377" s="2" t="s">
        <v>5399</v>
      </c>
      <c r="F377" s="2" t="s">
        <v>5570</v>
      </c>
      <c r="G377" s="2" t="s">
        <v>5022</v>
      </c>
      <c r="H377" s="2" t="s">
        <v>5023</v>
      </c>
      <c r="I377" s="2" t="s">
        <v>6980</v>
      </c>
      <c r="J377" s="2"/>
      <c r="K377" s="2"/>
      <c r="L377" s="2"/>
      <c r="M377" s="2" t="s">
        <v>6981</v>
      </c>
      <c r="N377" s="2"/>
      <c r="O377" s="2"/>
      <c r="P377" s="2"/>
      <c r="Q377" s="2"/>
    </row>
    <row r="378" spans="1:17" x14ac:dyDescent="0.2">
      <c r="A378" s="2" t="s">
        <v>2049</v>
      </c>
      <c r="B378" s="2" t="s">
        <v>5169</v>
      </c>
      <c r="C378" s="2" t="s">
        <v>6004</v>
      </c>
      <c r="D378" s="2" t="s">
        <v>6982</v>
      </c>
      <c r="E378" s="2" t="s">
        <v>6983</v>
      </c>
      <c r="F378" s="2" t="s">
        <v>6984</v>
      </c>
      <c r="G378" s="2" t="s">
        <v>5022</v>
      </c>
      <c r="H378" s="2" t="s">
        <v>5023</v>
      </c>
      <c r="I378" s="2" t="s">
        <v>6985</v>
      </c>
      <c r="J378" s="2"/>
      <c r="K378" s="2"/>
      <c r="L378" s="2"/>
      <c r="M378" s="2" t="s">
        <v>6986</v>
      </c>
      <c r="N378" s="2"/>
      <c r="O378" s="2"/>
      <c r="P378" s="2"/>
      <c r="Q378" s="2"/>
    </row>
    <row r="379" spans="1:17" x14ac:dyDescent="0.2">
      <c r="A379" s="2" t="s">
        <v>2273</v>
      </c>
      <c r="B379" s="2" t="s">
        <v>5951</v>
      </c>
      <c r="C379" s="2" t="s">
        <v>5159</v>
      </c>
      <c r="D379" s="2" t="s">
        <v>6112</v>
      </c>
      <c r="E379" s="2" t="s">
        <v>6987</v>
      </c>
      <c r="F379" s="2" t="s">
        <v>6988</v>
      </c>
      <c r="G379" s="2" t="s">
        <v>5022</v>
      </c>
      <c r="H379" s="2" t="s">
        <v>5023</v>
      </c>
      <c r="I379" s="2" t="s">
        <v>6989</v>
      </c>
      <c r="J379" s="2"/>
      <c r="K379" s="2"/>
      <c r="L379" s="2"/>
      <c r="M379" s="2"/>
      <c r="N379" s="2"/>
      <c r="O379" s="2"/>
      <c r="P379" s="2"/>
      <c r="Q379" s="2"/>
    </row>
    <row r="380" spans="1:17" x14ac:dyDescent="0.2">
      <c r="A380" s="2" t="s">
        <v>2521</v>
      </c>
      <c r="B380" s="2" t="s">
        <v>6990</v>
      </c>
      <c r="C380" s="2" t="s">
        <v>5217</v>
      </c>
      <c r="D380" s="2" t="s">
        <v>6841</v>
      </c>
      <c r="E380" s="2" t="s">
        <v>6991</v>
      </c>
      <c r="F380" s="2" t="s">
        <v>6992</v>
      </c>
      <c r="G380" s="2" t="s">
        <v>5022</v>
      </c>
      <c r="H380" s="2" t="s">
        <v>5023</v>
      </c>
      <c r="I380" s="2"/>
      <c r="J380" s="2"/>
      <c r="K380" s="2" t="s">
        <v>6993</v>
      </c>
      <c r="L380" s="2"/>
      <c r="M380" s="2"/>
      <c r="N380" s="2"/>
      <c r="O380" s="2"/>
      <c r="P380" s="2"/>
      <c r="Q380" s="2"/>
    </row>
    <row r="381" spans="1:17" x14ac:dyDescent="0.2">
      <c r="A381" s="2" t="s">
        <v>4682</v>
      </c>
      <c r="B381" s="2" t="s">
        <v>6994</v>
      </c>
      <c r="C381" s="2" t="s">
        <v>6995</v>
      </c>
      <c r="D381" s="2" t="s">
        <v>6996</v>
      </c>
      <c r="E381" s="2" t="s">
        <v>6997</v>
      </c>
      <c r="F381" s="2" t="s">
        <v>5709</v>
      </c>
      <c r="G381" s="2" t="s">
        <v>5022</v>
      </c>
      <c r="H381" s="2" t="s">
        <v>5023</v>
      </c>
      <c r="I381" s="2" t="s">
        <v>6998</v>
      </c>
      <c r="J381" s="2"/>
      <c r="K381" s="2"/>
      <c r="L381" s="2"/>
      <c r="M381" s="2"/>
      <c r="N381" s="2"/>
      <c r="O381" s="2"/>
      <c r="P381" s="2"/>
      <c r="Q381" s="2"/>
    </row>
    <row r="382" spans="1:17" x14ac:dyDescent="0.2">
      <c r="A382" s="2" t="s">
        <v>107</v>
      </c>
      <c r="B382" s="2" t="s">
        <v>6999</v>
      </c>
      <c r="C382" s="2" t="s">
        <v>7000</v>
      </c>
      <c r="D382" s="2" t="s">
        <v>7000</v>
      </c>
      <c r="E382" s="2" t="s">
        <v>6605</v>
      </c>
      <c r="F382" s="2" t="s">
        <v>7001</v>
      </c>
      <c r="G382" s="2" t="s">
        <v>5022</v>
      </c>
      <c r="H382" s="2" t="s">
        <v>5023</v>
      </c>
      <c r="I382" s="2" t="s">
        <v>7002</v>
      </c>
      <c r="J382" s="2"/>
      <c r="K382" s="2"/>
      <c r="L382" s="2"/>
      <c r="M382" s="2"/>
      <c r="N382" s="2"/>
      <c r="O382" s="2"/>
      <c r="P382" s="2"/>
      <c r="Q382" s="2"/>
    </row>
    <row r="383" spans="1:17" x14ac:dyDescent="0.2">
      <c r="A383" s="2" t="s">
        <v>1152</v>
      </c>
      <c r="B383" s="2" t="s">
        <v>7003</v>
      </c>
      <c r="C383" s="2" t="s">
        <v>7004</v>
      </c>
      <c r="D383" s="2" t="s">
        <v>7005</v>
      </c>
      <c r="E383" s="2" t="s">
        <v>5294</v>
      </c>
      <c r="F383" s="2" t="s">
        <v>7006</v>
      </c>
      <c r="G383" s="2" t="s">
        <v>5022</v>
      </c>
      <c r="H383" s="2" t="s">
        <v>5023</v>
      </c>
      <c r="I383" s="2" t="s">
        <v>7007</v>
      </c>
      <c r="J383" s="2"/>
      <c r="K383" s="2"/>
      <c r="L383" s="2"/>
      <c r="M383" s="2"/>
      <c r="N383" s="2"/>
      <c r="O383" s="2"/>
      <c r="P383" s="2"/>
      <c r="Q383" s="2"/>
    </row>
    <row r="384" spans="1:17" x14ac:dyDescent="0.2">
      <c r="A384" s="2" t="s">
        <v>4525</v>
      </c>
      <c r="B384" s="2" t="s">
        <v>3219</v>
      </c>
      <c r="C384" s="2" t="s">
        <v>7008</v>
      </c>
      <c r="D384" s="2" t="s">
        <v>7009</v>
      </c>
      <c r="E384" s="2" t="s">
        <v>7010</v>
      </c>
      <c r="F384" s="2" t="s">
        <v>7011</v>
      </c>
      <c r="G384" s="2" t="s">
        <v>5022</v>
      </c>
      <c r="H384" s="2" t="s">
        <v>5023</v>
      </c>
      <c r="I384" s="2" t="s">
        <v>7012</v>
      </c>
      <c r="J384" s="2"/>
      <c r="K384" s="2"/>
      <c r="L384" s="2"/>
      <c r="M384" s="2" t="s">
        <v>7013</v>
      </c>
      <c r="N384" s="2"/>
      <c r="O384" s="2"/>
      <c r="P384" s="2"/>
      <c r="Q384" s="2"/>
    </row>
    <row r="385" spans="1:17" x14ac:dyDescent="0.2">
      <c r="A385" s="2" t="s">
        <v>3101</v>
      </c>
      <c r="B385" s="2" t="s">
        <v>5132</v>
      </c>
      <c r="C385" s="2" t="s">
        <v>6916</v>
      </c>
      <c r="D385" s="2" t="s">
        <v>5224</v>
      </c>
      <c r="E385" s="2" t="s">
        <v>7014</v>
      </c>
      <c r="F385" s="2"/>
      <c r="G385" s="2" t="s">
        <v>5022</v>
      </c>
      <c r="H385" s="2" t="s">
        <v>5023</v>
      </c>
      <c r="I385" s="2" t="s">
        <v>7015</v>
      </c>
      <c r="J385" s="2"/>
      <c r="K385" s="2"/>
      <c r="L385" s="2"/>
      <c r="M385" s="2" t="s">
        <v>7016</v>
      </c>
      <c r="N385" s="2"/>
      <c r="O385" s="2"/>
      <c r="P385" s="2"/>
      <c r="Q385" s="2"/>
    </row>
    <row r="386" spans="1:17" x14ac:dyDescent="0.2">
      <c r="A386" s="2" t="s">
        <v>141</v>
      </c>
      <c r="B386" s="2" t="s">
        <v>6508</v>
      </c>
      <c r="C386" s="2" t="s">
        <v>5275</v>
      </c>
      <c r="D386" s="2" t="s">
        <v>7017</v>
      </c>
      <c r="E386" s="2" t="s">
        <v>7018</v>
      </c>
      <c r="F386" s="2" t="s">
        <v>7019</v>
      </c>
      <c r="G386" s="2" t="s">
        <v>5022</v>
      </c>
      <c r="H386" s="2" t="s">
        <v>5023</v>
      </c>
      <c r="I386" s="2" t="s">
        <v>7020</v>
      </c>
      <c r="J386" s="2"/>
      <c r="K386" s="2"/>
      <c r="L386" s="2"/>
      <c r="M386" s="2"/>
      <c r="N386" s="2"/>
      <c r="O386" s="2"/>
      <c r="P386" s="2"/>
      <c r="Q386" s="2"/>
    </row>
    <row r="387" spans="1:17" x14ac:dyDescent="0.2">
      <c r="A387" s="2" t="s">
        <v>4731</v>
      </c>
      <c r="B387" s="2" t="s">
        <v>7021</v>
      </c>
      <c r="C387" s="2" t="s">
        <v>6556</v>
      </c>
      <c r="D387" s="2" t="s">
        <v>5895</v>
      </c>
      <c r="E387" s="2" t="s">
        <v>7022</v>
      </c>
      <c r="F387" s="2" t="s">
        <v>7023</v>
      </c>
      <c r="G387" s="2" t="s">
        <v>5022</v>
      </c>
      <c r="H387" s="2" t="s">
        <v>5023</v>
      </c>
      <c r="I387" s="2" t="s">
        <v>7024</v>
      </c>
      <c r="J387" s="2"/>
      <c r="K387" s="2"/>
      <c r="L387" s="2"/>
      <c r="M387" s="2"/>
      <c r="N387" s="2"/>
      <c r="O387" s="2"/>
      <c r="P387" s="2"/>
      <c r="Q387" s="2"/>
    </row>
    <row r="388" spans="1:17" x14ac:dyDescent="0.2">
      <c r="A388" s="2" t="s">
        <v>3612</v>
      </c>
      <c r="B388" s="2" t="s">
        <v>6221</v>
      </c>
      <c r="C388" s="2" t="s">
        <v>5409</v>
      </c>
      <c r="D388" s="2" t="s">
        <v>7025</v>
      </c>
      <c r="E388" s="2" t="s">
        <v>7026</v>
      </c>
      <c r="F388" s="2" t="s">
        <v>7027</v>
      </c>
      <c r="G388" s="2" t="s">
        <v>5022</v>
      </c>
      <c r="H388" s="2" t="s">
        <v>5023</v>
      </c>
      <c r="I388" s="2" t="s">
        <v>7028</v>
      </c>
      <c r="J388" s="2"/>
      <c r="K388" s="2"/>
      <c r="L388" s="2"/>
      <c r="M388" s="2" t="s">
        <v>7029</v>
      </c>
      <c r="N388" s="2"/>
      <c r="O388" s="2"/>
      <c r="P388" s="2"/>
      <c r="Q388" s="2"/>
    </row>
    <row r="389" spans="1:17" x14ac:dyDescent="0.2">
      <c r="A389" s="2" t="s">
        <v>821</v>
      </c>
      <c r="B389" s="2" t="s">
        <v>7030</v>
      </c>
      <c r="C389" s="2" t="s">
        <v>5075</v>
      </c>
      <c r="D389" s="2" t="s">
        <v>7031</v>
      </c>
      <c r="E389" s="2" t="s">
        <v>7032</v>
      </c>
      <c r="F389" s="2" t="s">
        <v>7033</v>
      </c>
      <c r="G389" s="2" t="s">
        <v>5022</v>
      </c>
      <c r="H389" s="2" t="s">
        <v>5023</v>
      </c>
      <c r="I389" s="2" t="s">
        <v>7034</v>
      </c>
      <c r="J389" s="2"/>
      <c r="K389" s="2"/>
      <c r="L389" s="2"/>
      <c r="M389" s="2" t="s">
        <v>7035</v>
      </c>
      <c r="N389" s="2"/>
      <c r="O389" s="2"/>
      <c r="P389" s="2"/>
      <c r="Q389" s="2"/>
    </row>
    <row r="390" spans="1:17" x14ac:dyDescent="0.2">
      <c r="A390" s="2" t="s">
        <v>4500</v>
      </c>
      <c r="B390" s="2" t="s">
        <v>7036</v>
      </c>
      <c r="C390" s="2" t="s">
        <v>5705</v>
      </c>
      <c r="D390" s="2" t="s">
        <v>5076</v>
      </c>
      <c r="E390" s="2" t="s">
        <v>7037</v>
      </c>
      <c r="F390" s="2" t="s">
        <v>7038</v>
      </c>
      <c r="G390" s="2" t="s">
        <v>5022</v>
      </c>
      <c r="H390" s="2" t="s">
        <v>5023</v>
      </c>
      <c r="I390" s="2" t="s">
        <v>7039</v>
      </c>
      <c r="J390" s="2"/>
      <c r="K390" s="2"/>
      <c r="L390" s="2"/>
      <c r="M390" s="2" t="s">
        <v>7040</v>
      </c>
      <c r="N390" s="2"/>
      <c r="O390" s="2"/>
      <c r="P390" s="2"/>
      <c r="Q390" s="2"/>
    </row>
    <row r="391" spans="1:17" x14ac:dyDescent="0.2">
      <c r="A391" s="2" t="s">
        <v>2719</v>
      </c>
      <c r="B391" s="2" t="s">
        <v>3159</v>
      </c>
      <c r="C391" s="2" t="s">
        <v>5443</v>
      </c>
      <c r="D391" s="2" t="s">
        <v>7041</v>
      </c>
      <c r="E391" s="2" t="s">
        <v>7042</v>
      </c>
      <c r="F391" s="2" t="s">
        <v>7043</v>
      </c>
      <c r="G391" s="2" t="s">
        <v>5022</v>
      </c>
      <c r="H391" s="2" t="s">
        <v>5129</v>
      </c>
      <c r="I391" s="2"/>
      <c r="J391" s="2"/>
      <c r="K391" s="2" t="s">
        <v>7044</v>
      </c>
      <c r="L391" s="2"/>
      <c r="M391" s="2"/>
      <c r="N391" s="2"/>
      <c r="O391" s="2"/>
      <c r="P391" s="2"/>
      <c r="Q391" s="2"/>
    </row>
    <row r="392" spans="1:17" x14ac:dyDescent="0.2">
      <c r="A392" s="2" t="s">
        <v>4387</v>
      </c>
      <c r="B392" s="2" t="s">
        <v>7045</v>
      </c>
      <c r="C392" s="2" t="s">
        <v>7046</v>
      </c>
      <c r="D392" s="2" t="s">
        <v>7047</v>
      </c>
      <c r="E392" s="2" t="s">
        <v>5811</v>
      </c>
      <c r="F392" s="2" t="s">
        <v>7048</v>
      </c>
      <c r="G392" s="2" t="s">
        <v>5022</v>
      </c>
      <c r="H392" s="2" t="s">
        <v>5023</v>
      </c>
      <c r="I392" s="2" t="s">
        <v>7049</v>
      </c>
      <c r="J392" s="2"/>
      <c r="K392" s="2"/>
      <c r="L392" s="2"/>
      <c r="M392" s="2" t="s">
        <v>7050</v>
      </c>
      <c r="N392" s="2"/>
      <c r="O392" s="2"/>
      <c r="P392" s="2"/>
      <c r="Q392" s="2"/>
    </row>
    <row r="393" spans="1:17" x14ac:dyDescent="0.2">
      <c r="A393" s="2" t="s">
        <v>1080</v>
      </c>
      <c r="B393" s="2" t="s">
        <v>7051</v>
      </c>
      <c r="C393" s="2" t="s">
        <v>7052</v>
      </c>
      <c r="D393" s="2" t="s">
        <v>7052</v>
      </c>
      <c r="E393" s="2" t="s">
        <v>6816</v>
      </c>
      <c r="F393" s="2" t="s">
        <v>7053</v>
      </c>
      <c r="G393" s="2" t="s">
        <v>5022</v>
      </c>
      <c r="H393" s="2" t="s">
        <v>5023</v>
      </c>
      <c r="I393" s="2" t="s">
        <v>7054</v>
      </c>
      <c r="J393" s="2"/>
      <c r="K393" s="2"/>
      <c r="L393" s="2"/>
      <c r="M393" s="2"/>
      <c r="N393" s="2"/>
      <c r="O393" s="2"/>
      <c r="P393" s="2"/>
      <c r="Q393" s="2"/>
    </row>
    <row r="394" spans="1:17" x14ac:dyDescent="0.2">
      <c r="A394" s="2" t="s">
        <v>3664</v>
      </c>
      <c r="B394" s="2" t="s">
        <v>7055</v>
      </c>
      <c r="C394" s="2" t="s">
        <v>7056</v>
      </c>
      <c r="D394" s="2" t="s">
        <v>5877</v>
      </c>
      <c r="E394" s="2" t="s">
        <v>7057</v>
      </c>
      <c r="F394" s="2" t="s">
        <v>5202</v>
      </c>
      <c r="G394" s="2" t="s">
        <v>5022</v>
      </c>
      <c r="H394" s="2" t="s">
        <v>5023</v>
      </c>
      <c r="I394" s="2" t="s">
        <v>7058</v>
      </c>
      <c r="J394" s="2"/>
      <c r="K394" s="2"/>
      <c r="L394" s="2"/>
      <c r="M394" s="2"/>
      <c r="N394" s="2"/>
      <c r="O394" s="2"/>
      <c r="P394" s="2"/>
      <c r="Q394" s="2"/>
    </row>
    <row r="395" spans="1:17" x14ac:dyDescent="0.2">
      <c r="A395" s="2" t="s">
        <v>653</v>
      </c>
      <c r="B395" s="2" t="s">
        <v>6682</v>
      </c>
      <c r="C395" s="2" t="s">
        <v>5381</v>
      </c>
      <c r="D395" s="2" t="s">
        <v>7017</v>
      </c>
      <c r="E395" s="2" t="s">
        <v>7059</v>
      </c>
      <c r="F395" s="2" t="s">
        <v>5776</v>
      </c>
      <c r="G395" s="2" t="s">
        <v>5022</v>
      </c>
      <c r="H395" s="2" t="s">
        <v>5023</v>
      </c>
      <c r="I395" s="2" t="s">
        <v>7060</v>
      </c>
      <c r="J395" s="2"/>
      <c r="K395" s="2"/>
      <c r="L395" s="2"/>
      <c r="M395" s="2" t="s">
        <v>7061</v>
      </c>
      <c r="N395" s="2"/>
      <c r="O395" s="2"/>
      <c r="P395" s="2"/>
      <c r="Q395" s="2"/>
    </row>
    <row r="396" spans="1:17" x14ac:dyDescent="0.2">
      <c r="A396" s="2" t="s">
        <v>1529</v>
      </c>
      <c r="B396" s="2" t="s">
        <v>6153</v>
      </c>
      <c r="C396" s="2" t="s">
        <v>7062</v>
      </c>
      <c r="D396" s="2" t="s">
        <v>6143</v>
      </c>
      <c r="E396" s="2" t="s">
        <v>7063</v>
      </c>
      <c r="F396" s="2" t="s">
        <v>7064</v>
      </c>
      <c r="G396" s="2" t="s">
        <v>5022</v>
      </c>
      <c r="H396" s="2" t="s">
        <v>5023</v>
      </c>
      <c r="I396" s="2" t="s">
        <v>7065</v>
      </c>
      <c r="J396" s="2"/>
      <c r="K396" s="2"/>
      <c r="L396" s="2"/>
      <c r="M396" s="2" t="s">
        <v>7066</v>
      </c>
      <c r="N396" s="2"/>
      <c r="O396" s="2"/>
      <c r="P396" s="2"/>
      <c r="Q396" s="2"/>
    </row>
    <row r="397" spans="1:17" x14ac:dyDescent="0.2">
      <c r="A397" s="2" t="s">
        <v>2497</v>
      </c>
      <c r="B397" s="2" t="s">
        <v>7067</v>
      </c>
      <c r="C397" s="2" t="s">
        <v>7068</v>
      </c>
      <c r="D397" s="2" t="s">
        <v>7068</v>
      </c>
      <c r="E397" s="2" t="s">
        <v>5219</v>
      </c>
      <c r="F397" s="2" t="s">
        <v>7069</v>
      </c>
      <c r="G397" s="2" t="s">
        <v>5022</v>
      </c>
      <c r="H397" s="2" t="s">
        <v>5023</v>
      </c>
      <c r="I397" s="2"/>
      <c r="J397" s="2"/>
      <c r="K397" s="2" t="s">
        <v>7070</v>
      </c>
      <c r="L397" s="2"/>
      <c r="M397" s="2"/>
      <c r="N397" s="2"/>
      <c r="O397" s="2"/>
      <c r="P397" s="2"/>
      <c r="Q397" s="2"/>
    </row>
    <row r="398" spans="1:17" x14ac:dyDescent="0.2">
      <c r="A398" s="2" t="s">
        <v>1258</v>
      </c>
      <c r="B398" s="2" t="s">
        <v>7071</v>
      </c>
      <c r="C398" s="2" t="s">
        <v>7072</v>
      </c>
      <c r="D398" s="2" t="s">
        <v>5931</v>
      </c>
      <c r="E398" s="2" t="s">
        <v>7073</v>
      </c>
      <c r="F398" s="2" t="s">
        <v>7074</v>
      </c>
      <c r="G398" s="2" t="s">
        <v>5022</v>
      </c>
      <c r="H398" s="2" t="s">
        <v>5023</v>
      </c>
      <c r="I398" s="2" t="s">
        <v>7075</v>
      </c>
      <c r="J398" s="2"/>
      <c r="K398" s="2"/>
      <c r="L398" s="2"/>
      <c r="M398" s="2" t="s">
        <v>7076</v>
      </c>
      <c r="N398" s="2"/>
      <c r="O398" s="2"/>
      <c r="P398" s="2"/>
      <c r="Q398" s="2"/>
    </row>
    <row r="399" spans="1:17" x14ac:dyDescent="0.2">
      <c r="A399" s="2" t="s">
        <v>2679</v>
      </c>
      <c r="B399" s="2" t="s">
        <v>2345</v>
      </c>
      <c r="C399" s="2" t="s">
        <v>7077</v>
      </c>
      <c r="D399" s="2" t="s">
        <v>5027</v>
      </c>
      <c r="E399" s="2" t="s">
        <v>7078</v>
      </c>
      <c r="F399" s="2" t="s">
        <v>7079</v>
      </c>
      <c r="G399" s="2" t="s">
        <v>5022</v>
      </c>
      <c r="H399" s="2" t="s">
        <v>5023</v>
      </c>
      <c r="I399" s="2" t="s">
        <v>7080</v>
      </c>
      <c r="J399" s="2"/>
      <c r="K399" s="2"/>
      <c r="L399" s="2"/>
      <c r="M399" s="2" t="s">
        <v>7081</v>
      </c>
      <c r="N399" s="2"/>
      <c r="O399" s="2"/>
      <c r="P399" s="2"/>
      <c r="Q399" s="2"/>
    </row>
    <row r="400" spans="1:17" x14ac:dyDescent="0.2">
      <c r="A400" s="2" t="s">
        <v>814</v>
      </c>
      <c r="B400" s="2" t="s">
        <v>7082</v>
      </c>
      <c r="C400" s="2" t="s">
        <v>5940</v>
      </c>
      <c r="D400" s="2" t="s">
        <v>7083</v>
      </c>
      <c r="E400" s="2" t="s">
        <v>7084</v>
      </c>
      <c r="F400" s="2" t="s">
        <v>7085</v>
      </c>
      <c r="G400" s="2" t="s">
        <v>5022</v>
      </c>
      <c r="H400" s="2" t="s">
        <v>5023</v>
      </c>
      <c r="I400" s="2" t="s">
        <v>7086</v>
      </c>
      <c r="J400" s="2"/>
      <c r="K400" s="2"/>
      <c r="L400" s="2"/>
      <c r="M400" s="2" t="s">
        <v>7087</v>
      </c>
      <c r="N400" s="2"/>
      <c r="O400" s="2"/>
      <c r="P400" s="2"/>
      <c r="Q400" s="2"/>
    </row>
    <row r="401" spans="1:17" x14ac:dyDescent="0.2">
      <c r="A401" s="2" t="s">
        <v>800</v>
      </c>
      <c r="B401" s="2" t="s">
        <v>7088</v>
      </c>
      <c r="C401" s="2" t="s">
        <v>5493</v>
      </c>
      <c r="D401" s="2" t="s">
        <v>5189</v>
      </c>
      <c r="E401" s="2" t="s">
        <v>7089</v>
      </c>
      <c r="F401" s="2" t="s">
        <v>6909</v>
      </c>
      <c r="G401" s="2" t="s">
        <v>5022</v>
      </c>
      <c r="H401" s="2" t="s">
        <v>5023</v>
      </c>
      <c r="I401" s="2"/>
      <c r="J401" s="2"/>
      <c r="K401" s="2" t="s">
        <v>7090</v>
      </c>
      <c r="L401" s="2"/>
      <c r="M401" s="2"/>
      <c r="N401" s="2"/>
      <c r="O401" s="2"/>
      <c r="P401" s="2"/>
      <c r="Q401" s="2"/>
    </row>
    <row r="402" spans="1:17" x14ac:dyDescent="0.2">
      <c r="A402" s="2" t="s">
        <v>3486</v>
      </c>
      <c r="B402" s="2" t="s">
        <v>7091</v>
      </c>
      <c r="C402" s="2" t="s">
        <v>5050</v>
      </c>
      <c r="D402" s="2" t="s">
        <v>5677</v>
      </c>
      <c r="E402" s="2" t="s">
        <v>7092</v>
      </c>
      <c r="F402" s="2" t="s">
        <v>7093</v>
      </c>
      <c r="G402" s="2" t="s">
        <v>5022</v>
      </c>
      <c r="H402" s="2" t="s">
        <v>5023</v>
      </c>
      <c r="I402" s="2" t="s">
        <v>7094</v>
      </c>
      <c r="J402" s="2"/>
      <c r="K402" s="2"/>
      <c r="L402" s="2"/>
      <c r="M402" s="2" t="s">
        <v>7095</v>
      </c>
      <c r="N402" s="2"/>
      <c r="O402" s="2"/>
      <c r="P402" s="2"/>
      <c r="Q402" s="2"/>
    </row>
    <row r="403" spans="1:17" x14ac:dyDescent="0.2">
      <c r="A403" s="2" t="s">
        <v>2740</v>
      </c>
      <c r="B403" s="2" t="s">
        <v>7096</v>
      </c>
      <c r="C403" s="2" t="s">
        <v>7097</v>
      </c>
      <c r="D403" s="2" t="s">
        <v>7097</v>
      </c>
      <c r="E403" s="2" t="s">
        <v>7098</v>
      </c>
      <c r="F403" s="2" t="s">
        <v>6082</v>
      </c>
      <c r="G403" s="2" t="s">
        <v>5022</v>
      </c>
      <c r="H403" s="2" t="s">
        <v>5023</v>
      </c>
      <c r="I403" s="2"/>
      <c r="J403" s="2"/>
      <c r="K403" s="2" t="s">
        <v>7099</v>
      </c>
      <c r="L403" s="2"/>
      <c r="M403" s="2"/>
      <c r="N403" s="2"/>
      <c r="O403" s="2"/>
      <c r="P403" s="2"/>
      <c r="Q403" s="2"/>
    </row>
    <row r="404" spans="1:17" x14ac:dyDescent="0.2">
      <c r="A404" s="2" t="s">
        <v>3887</v>
      </c>
      <c r="B404" s="2" t="s">
        <v>7100</v>
      </c>
      <c r="C404" s="2" t="s">
        <v>6514</v>
      </c>
      <c r="D404" s="2" t="s">
        <v>6514</v>
      </c>
      <c r="E404" s="2" t="s">
        <v>7101</v>
      </c>
      <c r="F404" s="2" t="s">
        <v>7102</v>
      </c>
      <c r="G404" s="2" t="s">
        <v>5022</v>
      </c>
      <c r="H404" s="2" t="s">
        <v>5023</v>
      </c>
      <c r="I404" s="2" t="s">
        <v>7103</v>
      </c>
      <c r="J404" s="2"/>
      <c r="K404" s="2"/>
      <c r="L404" s="2"/>
      <c r="M404" s="2" t="s">
        <v>7104</v>
      </c>
      <c r="N404" s="2"/>
      <c r="O404" s="2"/>
      <c r="P404" s="2"/>
      <c r="Q404" s="2"/>
    </row>
    <row r="405" spans="1:17" x14ac:dyDescent="0.2">
      <c r="A405" s="2" t="s">
        <v>4785</v>
      </c>
      <c r="B405" s="2" t="s">
        <v>7105</v>
      </c>
      <c r="C405" s="2" t="s">
        <v>5906</v>
      </c>
      <c r="D405" s="2" t="s">
        <v>6916</v>
      </c>
      <c r="E405" s="2" t="s">
        <v>7106</v>
      </c>
      <c r="F405" s="2" t="s">
        <v>7107</v>
      </c>
      <c r="G405" s="2" t="s">
        <v>5022</v>
      </c>
      <c r="H405" s="2" t="s">
        <v>5023</v>
      </c>
      <c r="I405" s="2" t="s">
        <v>7108</v>
      </c>
      <c r="J405" s="2"/>
      <c r="K405" s="2"/>
      <c r="L405" s="2"/>
      <c r="M405" s="2"/>
      <c r="N405" s="2"/>
      <c r="O405" s="2"/>
      <c r="P405" s="2"/>
      <c r="Q405" s="2"/>
    </row>
    <row r="406" spans="1:17" x14ac:dyDescent="0.2">
      <c r="A406" s="2" t="s">
        <v>3620</v>
      </c>
      <c r="B406" s="2" t="s">
        <v>7109</v>
      </c>
      <c r="C406" s="2" t="s">
        <v>5827</v>
      </c>
      <c r="D406" s="2" t="s">
        <v>6143</v>
      </c>
      <c r="E406" s="2" t="s">
        <v>7110</v>
      </c>
      <c r="F406" s="2" t="s">
        <v>7111</v>
      </c>
      <c r="G406" s="2" t="s">
        <v>5022</v>
      </c>
      <c r="H406" s="2" t="s">
        <v>5023</v>
      </c>
      <c r="I406" s="2" t="s">
        <v>7112</v>
      </c>
      <c r="J406" s="2"/>
      <c r="K406" s="2"/>
      <c r="L406" s="2"/>
      <c r="M406" s="2" t="s">
        <v>7113</v>
      </c>
      <c r="N406" s="2"/>
      <c r="O406" s="2"/>
      <c r="P406" s="2"/>
      <c r="Q406" s="2"/>
    </row>
    <row r="407" spans="1:17" x14ac:dyDescent="0.2">
      <c r="A407" s="2" t="s">
        <v>2685</v>
      </c>
      <c r="B407" s="2" t="s">
        <v>7114</v>
      </c>
      <c r="C407" s="2" t="s">
        <v>5677</v>
      </c>
      <c r="D407" s="2" t="s">
        <v>5224</v>
      </c>
      <c r="E407" s="2" t="s">
        <v>7115</v>
      </c>
      <c r="F407" s="2" t="s">
        <v>6727</v>
      </c>
      <c r="G407" s="2" t="s">
        <v>5022</v>
      </c>
      <c r="H407" s="2" t="s">
        <v>5023</v>
      </c>
      <c r="I407" s="2" t="s">
        <v>7116</v>
      </c>
      <c r="J407" s="2"/>
      <c r="K407" s="2"/>
      <c r="L407" s="2"/>
      <c r="M407" s="2"/>
      <c r="N407" s="2"/>
      <c r="O407" s="2"/>
      <c r="P407" s="2"/>
      <c r="Q407" s="2"/>
    </row>
    <row r="408" spans="1:17" x14ac:dyDescent="0.2">
      <c r="A408" s="2" t="s">
        <v>3316</v>
      </c>
      <c r="B408" s="2" t="s">
        <v>5604</v>
      </c>
      <c r="C408" s="2" t="s">
        <v>6666</v>
      </c>
      <c r="D408" s="2" t="s">
        <v>5299</v>
      </c>
      <c r="E408" s="2" t="s">
        <v>7117</v>
      </c>
      <c r="F408" s="2" t="s">
        <v>7118</v>
      </c>
      <c r="G408" s="2" t="s">
        <v>5022</v>
      </c>
      <c r="H408" s="2" t="s">
        <v>5023</v>
      </c>
      <c r="I408" s="2" t="s">
        <v>7119</v>
      </c>
      <c r="J408" s="2"/>
      <c r="K408" s="2"/>
      <c r="L408" s="2"/>
      <c r="M408" s="2" t="s">
        <v>7120</v>
      </c>
      <c r="N408" s="2"/>
      <c r="O408" s="2"/>
      <c r="P408" s="2"/>
      <c r="Q408" s="2"/>
    </row>
    <row r="409" spans="1:17" x14ac:dyDescent="0.2">
      <c r="A409" s="2" t="s">
        <v>3636</v>
      </c>
      <c r="B409" s="2" t="s">
        <v>5169</v>
      </c>
      <c r="C409" s="2" t="s">
        <v>5235</v>
      </c>
      <c r="D409" s="2" t="s">
        <v>6931</v>
      </c>
      <c r="E409" s="2" t="s">
        <v>7121</v>
      </c>
      <c r="F409" s="2" t="s">
        <v>7122</v>
      </c>
      <c r="G409" s="2" t="s">
        <v>5022</v>
      </c>
      <c r="H409" s="2" t="s">
        <v>5023</v>
      </c>
      <c r="I409" s="2" t="s">
        <v>7123</v>
      </c>
      <c r="J409" s="2"/>
      <c r="K409" s="2"/>
      <c r="L409" s="2"/>
      <c r="M409" s="2"/>
      <c r="N409" s="2"/>
      <c r="O409" s="2"/>
      <c r="P409" s="2"/>
      <c r="Q409" s="2"/>
    </row>
    <row r="410" spans="1:17" x14ac:dyDescent="0.2">
      <c r="A410" s="2" t="s">
        <v>803</v>
      </c>
      <c r="B410" s="2" t="s">
        <v>7124</v>
      </c>
      <c r="C410" s="2" t="s">
        <v>7125</v>
      </c>
      <c r="D410" s="2" t="s">
        <v>5957</v>
      </c>
      <c r="E410" s="2" t="s">
        <v>7126</v>
      </c>
      <c r="F410" s="2" t="s">
        <v>7127</v>
      </c>
      <c r="G410" s="2" t="s">
        <v>5022</v>
      </c>
      <c r="H410" s="2" t="s">
        <v>5023</v>
      </c>
      <c r="I410" s="2"/>
      <c r="J410" s="2"/>
      <c r="K410" s="2" t="s">
        <v>7128</v>
      </c>
      <c r="L410" s="2"/>
      <c r="M410" s="2"/>
      <c r="N410" s="2"/>
      <c r="O410" s="2"/>
      <c r="P410" s="2"/>
      <c r="Q410" s="2"/>
    </row>
    <row r="411" spans="1:17" x14ac:dyDescent="0.2">
      <c r="A411" s="2" t="s">
        <v>4423</v>
      </c>
      <c r="B411" s="2" t="s">
        <v>6879</v>
      </c>
      <c r="C411" s="2" t="s">
        <v>7129</v>
      </c>
      <c r="D411" s="2" t="s">
        <v>7130</v>
      </c>
      <c r="E411" s="2" t="s">
        <v>7131</v>
      </c>
      <c r="F411" s="2" t="s">
        <v>7132</v>
      </c>
      <c r="G411" s="2" t="s">
        <v>5022</v>
      </c>
      <c r="H411" s="2" t="s">
        <v>5023</v>
      </c>
      <c r="I411" s="2" t="s">
        <v>7133</v>
      </c>
      <c r="J411" s="2"/>
      <c r="K411" s="2"/>
      <c r="L411" s="2"/>
      <c r="M411" s="2" t="s">
        <v>7134</v>
      </c>
      <c r="N411" s="2"/>
      <c r="O411" s="2"/>
      <c r="P411" s="2"/>
      <c r="Q411" s="2"/>
    </row>
    <row r="412" spans="1:17" x14ac:dyDescent="0.2">
      <c r="A412" s="2" t="s">
        <v>3866</v>
      </c>
      <c r="B412" s="2" t="s">
        <v>7135</v>
      </c>
      <c r="C412" s="2" t="s">
        <v>6292</v>
      </c>
      <c r="D412" s="2" t="s">
        <v>7136</v>
      </c>
      <c r="E412" s="2" t="s">
        <v>7137</v>
      </c>
      <c r="F412" s="2" t="s">
        <v>7138</v>
      </c>
      <c r="G412" s="2" t="s">
        <v>5022</v>
      </c>
      <c r="H412" s="2" t="s">
        <v>5023</v>
      </c>
      <c r="I412" s="2" t="s">
        <v>7139</v>
      </c>
      <c r="J412" s="2"/>
      <c r="K412" s="2"/>
      <c r="L412" s="2"/>
      <c r="M412" s="2" t="s">
        <v>7140</v>
      </c>
      <c r="N412" s="2"/>
      <c r="O412" s="2"/>
      <c r="P412" s="2"/>
      <c r="Q412" s="2"/>
    </row>
    <row r="413" spans="1:17" x14ac:dyDescent="0.2">
      <c r="A413" s="2" t="s">
        <v>549</v>
      </c>
      <c r="B413" s="2" t="s">
        <v>7141</v>
      </c>
      <c r="C413" s="2" t="s">
        <v>7142</v>
      </c>
      <c r="D413" s="2" t="s">
        <v>5644</v>
      </c>
      <c r="E413" s="2" t="s">
        <v>7143</v>
      </c>
      <c r="F413" s="2" t="s">
        <v>6072</v>
      </c>
      <c r="G413" s="2" t="s">
        <v>5022</v>
      </c>
      <c r="H413" s="2" t="s">
        <v>5023</v>
      </c>
      <c r="I413" s="2" t="s">
        <v>7144</v>
      </c>
      <c r="J413" s="2"/>
      <c r="K413" s="2"/>
      <c r="L413" s="2"/>
      <c r="M413" s="2"/>
      <c r="N413" s="2"/>
      <c r="O413" s="2"/>
      <c r="P413" s="2"/>
      <c r="Q413" s="2"/>
    </row>
    <row r="414" spans="1:17" x14ac:dyDescent="0.2">
      <c r="A414" s="2" t="s">
        <v>4366</v>
      </c>
      <c r="B414" s="2" t="s">
        <v>6326</v>
      </c>
      <c r="C414" s="2" t="s">
        <v>7145</v>
      </c>
      <c r="D414" s="2" t="s">
        <v>6383</v>
      </c>
      <c r="E414" s="2" t="s">
        <v>5554</v>
      </c>
      <c r="F414" s="2" t="s">
        <v>7146</v>
      </c>
      <c r="G414" s="2" t="s">
        <v>5022</v>
      </c>
      <c r="H414" s="2" t="s">
        <v>5023</v>
      </c>
      <c r="I414" s="2" t="s">
        <v>7147</v>
      </c>
      <c r="J414" s="2"/>
      <c r="K414" s="2"/>
      <c r="L414" s="2"/>
      <c r="M414" s="2"/>
      <c r="N414" s="2"/>
      <c r="O414" s="2"/>
      <c r="P414" s="2"/>
      <c r="Q414" s="2"/>
    </row>
    <row r="415" spans="1:17" x14ac:dyDescent="0.2">
      <c r="A415" s="2" t="s">
        <v>1583</v>
      </c>
      <c r="B415" s="2" t="s">
        <v>6459</v>
      </c>
      <c r="C415" s="2" t="s">
        <v>5762</v>
      </c>
      <c r="D415" s="2" t="s">
        <v>7148</v>
      </c>
      <c r="E415" s="2" t="s">
        <v>7149</v>
      </c>
      <c r="F415" s="2" t="s">
        <v>5542</v>
      </c>
      <c r="G415" s="2" t="s">
        <v>5022</v>
      </c>
      <c r="H415" s="2" t="s">
        <v>5023</v>
      </c>
      <c r="I415" s="2" t="s">
        <v>7150</v>
      </c>
      <c r="J415" s="2"/>
      <c r="K415" s="2"/>
      <c r="L415" s="2"/>
      <c r="M415" s="2" t="s">
        <v>7151</v>
      </c>
      <c r="N415" s="2"/>
      <c r="O415" s="2"/>
      <c r="P415" s="2"/>
      <c r="Q415" s="2"/>
    </row>
    <row r="416" spans="1:17" x14ac:dyDescent="0.2">
      <c r="A416" s="2" t="s">
        <v>2987</v>
      </c>
      <c r="B416" s="2" t="s">
        <v>7152</v>
      </c>
      <c r="C416" s="2" t="s">
        <v>7153</v>
      </c>
      <c r="D416" s="2" t="s">
        <v>5076</v>
      </c>
      <c r="E416" s="2" t="s">
        <v>7154</v>
      </c>
      <c r="F416" s="2" t="s">
        <v>7155</v>
      </c>
      <c r="G416" s="2" t="s">
        <v>5022</v>
      </c>
      <c r="H416" s="2" t="s">
        <v>5023</v>
      </c>
      <c r="I416" s="2" t="s">
        <v>7156</v>
      </c>
      <c r="J416" s="2"/>
      <c r="K416" s="2"/>
      <c r="L416" s="2"/>
      <c r="M416" s="2"/>
      <c r="N416" s="2"/>
      <c r="O416" s="2"/>
      <c r="P416" s="2"/>
      <c r="Q416" s="2"/>
    </row>
    <row r="417" spans="1:17" x14ac:dyDescent="0.2">
      <c r="A417" s="2" t="s">
        <v>3796</v>
      </c>
      <c r="B417" s="2" t="s">
        <v>6721</v>
      </c>
      <c r="C417" s="2" t="s">
        <v>5323</v>
      </c>
      <c r="D417" s="2" t="s">
        <v>5511</v>
      </c>
      <c r="E417" s="2" t="s">
        <v>7157</v>
      </c>
      <c r="F417" s="2" t="s">
        <v>7158</v>
      </c>
      <c r="G417" s="2" t="s">
        <v>5022</v>
      </c>
      <c r="H417" s="2" t="s">
        <v>5023</v>
      </c>
      <c r="I417" s="2" t="s">
        <v>7159</v>
      </c>
      <c r="J417" s="2"/>
      <c r="K417" s="2"/>
      <c r="L417" s="2"/>
      <c r="M417" s="2"/>
      <c r="N417" s="2"/>
      <c r="O417" s="2"/>
      <c r="P417" s="2"/>
      <c r="Q417" s="2"/>
    </row>
    <row r="418" spans="1:17" x14ac:dyDescent="0.2">
      <c r="A418" s="2" t="s">
        <v>3971</v>
      </c>
      <c r="B418" s="2" t="s">
        <v>7160</v>
      </c>
      <c r="C418" s="2" t="s">
        <v>7161</v>
      </c>
      <c r="D418" s="2" t="s">
        <v>7162</v>
      </c>
      <c r="E418" s="2" t="s">
        <v>7163</v>
      </c>
      <c r="F418" s="2" t="s">
        <v>6767</v>
      </c>
      <c r="G418" s="2" t="s">
        <v>5022</v>
      </c>
      <c r="H418" s="2" t="s">
        <v>5023</v>
      </c>
      <c r="I418" s="2" t="s">
        <v>7164</v>
      </c>
      <c r="J418" s="2"/>
      <c r="K418" s="2"/>
      <c r="L418" s="2"/>
      <c r="M418" s="2" t="s">
        <v>7165</v>
      </c>
      <c r="N418" s="2"/>
      <c r="O418" s="2"/>
      <c r="P418" s="2"/>
      <c r="Q418" s="2"/>
    </row>
    <row r="419" spans="1:17" x14ac:dyDescent="0.2">
      <c r="A419" s="2" t="s">
        <v>3240</v>
      </c>
      <c r="B419" s="2" t="s">
        <v>7166</v>
      </c>
      <c r="C419" s="2" t="s">
        <v>5644</v>
      </c>
      <c r="D419" s="2" t="s">
        <v>5957</v>
      </c>
      <c r="E419" s="2" t="s">
        <v>6312</v>
      </c>
      <c r="F419" s="2" t="s">
        <v>6746</v>
      </c>
      <c r="G419" s="2" t="s">
        <v>5022</v>
      </c>
      <c r="H419" s="2" t="s">
        <v>5023</v>
      </c>
      <c r="I419" s="2"/>
      <c r="J419" s="2"/>
      <c r="K419" s="2" t="s">
        <v>7167</v>
      </c>
      <c r="L419" s="2"/>
      <c r="M419" s="2"/>
      <c r="N419" s="2"/>
      <c r="O419" s="2"/>
      <c r="P419" s="2"/>
      <c r="Q419" s="2"/>
    </row>
    <row r="420" spans="1:17" x14ac:dyDescent="0.2">
      <c r="A420" s="2" t="s">
        <v>3719</v>
      </c>
      <c r="B420" s="2" t="s">
        <v>7168</v>
      </c>
      <c r="C420" s="2" t="s">
        <v>7169</v>
      </c>
      <c r="D420" s="2" t="s">
        <v>7169</v>
      </c>
      <c r="E420" s="2" t="s">
        <v>5469</v>
      </c>
      <c r="F420" s="2" t="s">
        <v>6978</v>
      </c>
      <c r="G420" s="2" t="s">
        <v>5022</v>
      </c>
      <c r="H420" s="2" t="s">
        <v>5023</v>
      </c>
      <c r="I420" s="2" t="s">
        <v>7170</v>
      </c>
      <c r="J420" s="2"/>
      <c r="K420" s="2"/>
      <c r="L420" s="2"/>
      <c r="M420" s="2"/>
      <c r="N420" s="2"/>
      <c r="O420" s="2"/>
      <c r="P420" s="2"/>
      <c r="Q420" s="2"/>
    </row>
    <row r="421" spans="1:17" x14ac:dyDescent="0.2">
      <c r="A421" s="2" t="s">
        <v>4463</v>
      </c>
      <c r="B421" s="2" t="s">
        <v>5779</v>
      </c>
      <c r="C421" s="2" t="s">
        <v>5546</v>
      </c>
      <c r="D421" s="2" t="s">
        <v>7171</v>
      </c>
      <c r="E421" s="2" t="s">
        <v>5410</v>
      </c>
      <c r="F421" s="2" t="s">
        <v>7172</v>
      </c>
      <c r="G421" s="2" t="s">
        <v>5022</v>
      </c>
      <c r="H421" s="2" t="s">
        <v>5023</v>
      </c>
      <c r="I421" s="2" t="s">
        <v>7173</v>
      </c>
      <c r="J421" s="2"/>
      <c r="K421" s="2"/>
      <c r="L421" s="2"/>
      <c r="M421" s="2" t="s">
        <v>7174</v>
      </c>
      <c r="N421" s="2"/>
      <c r="O421" s="2"/>
      <c r="P421" s="2"/>
      <c r="Q421" s="2"/>
    </row>
    <row r="422" spans="1:17" x14ac:dyDescent="0.2">
      <c r="A422" s="2" t="s">
        <v>1724</v>
      </c>
      <c r="B422" s="2" t="s">
        <v>7175</v>
      </c>
      <c r="C422" s="2" t="s">
        <v>7176</v>
      </c>
      <c r="D422" s="2" t="s">
        <v>7177</v>
      </c>
      <c r="E422" s="2" t="s">
        <v>7178</v>
      </c>
      <c r="F422" s="2" t="s">
        <v>7179</v>
      </c>
      <c r="G422" s="2" t="s">
        <v>5022</v>
      </c>
      <c r="H422" s="2" t="s">
        <v>5023</v>
      </c>
      <c r="I422" s="2" t="s">
        <v>7180</v>
      </c>
      <c r="J422" s="2"/>
      <c r="K422" s="2"/>
      <c r="L422" s="2"/>
      <c r="M422" s="2"/>
      <c r="N422" s="2"/>
      <c r="O422" s="2"/>
      <c r="P422" s="2"/>
      <c r="Q422" s="2"/>
    </row>
    <row r="423" spans="1:17" x14ac:dyDescent="0.2">
      <c r="A423" s="2" t="s">
        <v>564</v>
      </c>
      <c r="B423" s="2" t="s">
        <v>7181</v>
      </c>
      <c r="C423" s="2" t="s">
        <v>5911</v>
      </c>
      <c r="D423" s="2" t="s">
        <v>7182</v>
      </c>
      <c r="E423" s="2" t="s">
        <v>7183</v>
      </c>
      <c r="F423" s="2" t="s">
        <v>7184</v>
      </c>
      <c r="G423" s="2" t="s">
        <v>5022</v>
      </c>
      <c r="H423" s="2" t="s">
        <v>5023</v>
      </c>
      <c r="I423" s="2" t="s">
        <v>7185</v>
      </c>
      <c r="J423" s="2"/>
      <c r="K423" s="2"/>
      <c r="L423" s="2"/>
      <c r="M423" s="2"/>
      <c r="N423" s="2"/>
      <c r="O423" s="2"/>
      <c r="P423" s="2"/>
      <c r="Q423" s="2"/>
    </row>
    <row r="424" spans="1:17" x14ac:dyDescent="0.2">
      <c r="A424" s="2" t="s">
        <v>3007</v>
      </c>
      <c r="B424" s="2" t="s">
        <v>7186</v>
      </c>
      <c r="C424" s="2" t="s">
        <v>7187</v>
      </c>
      <c r="D424" s="2" t="s">
        <v>6460</v>
      </c>
      <c r="E424" s="2" t="s">
        <v>5811</v>
      </c>
      <c r="F424" s="2" t="s">
        <v>7188</v>
      </c>
      <c r="G424" s="2" t="s">
        <v>5022</v>
      </c>
      <c r="H424" s="2" t="s">
        <v>5023</v>
      </c>
      <c r="I424" s="2" t="s">
        <v>7189</v>
      </c>
      <c r="J424" s="2"/>
      <c r="K424" s="2"/>
      <c r="L424" s="2"/>
      <c r="M424" s="2"/>
      <c r="N424" s="2"/>
      <c r="O424" s="2"/>
      <c r="P424" s="2"/>
      <c r="Q424" s="2"/>
    </row>
    <row r="425" spans="1:17" x14ac:dyDescent="0.2">
      <c r="A425" s="2" t="s">
        <v>4228</v>
      </c>
      <c r="B425" s="2" t="s">
        <v>7190</v>
      </c>
      <c r="C425" s="2" t="s">
        <v>7191</v>
      </c>
      <c r="D425" s="2" t="s">
        <v>7192</v>
      </c>
      <c r="E425" s="2" t="s">
        <v>7193</v>
      </c>
      <c r="F425" s="2" t="s">
        <v>7194</v>
      </c>
      <c r="G425" s="2" t="s">
        <v>5022</v>
      </c>
      <c r="H425" s="2" t="s">
        <v>5023</v>
      </c>
      <c r="I425" s="2" t="s">
        <v>7195</v>
      </c>
      <c r="J425" s="2"/>
      <c r="K425" s="2"/>
      <c r="L425" s="2"/>
      <c r="M425" s="2" t="s">
        <v>7196</v>
      </c>
      <c r="N425" s="2"/>
      <c r="O425" s="2"/>
      <c r="P425" s="2"/>
      <c r="Q425" s="2"/>
    </row>
    <row r="426" spans="1:17" x14ac:dyDescent="0.2">
      <c r="A426" s="2" t="s">
        <v>4097</v>
      </c>
      <c r="B426" s="2" t="s">
        <v>7197</v>
      </c>
      <c r="C426" s="2" t="s">
        <v>5414</v>
      </c>
      <c r="D426" s="2" t="s">
        <v>5414</v>
      </c>
      <c r="E426" s="2" t="s">
        <v>7198</v>
      </c>
      <c r="F426" s="2" t="s">
        <v>6426</v>
      </c>
      <c r="G426" s="2" t="s">
        <v>5022</v>
      </c>
      <c r="H426" s="2" t="s">
        <v>5023</v>
      </c>
      <c r="I426" s="2" t="s">
        <v>7199</v>
      </c>
      <c r="J426" s="2"/>
      <c r="K426" s="2"/>
      <c r="L426" s="2"/>
      <c r="M426" s="2"/>
      <c r="N426" s="2"/>
      <c r="O426" s="2"/>
      <c r="P426" s="2"/>
      <c r="Q426" s="2"/>
    </row>
    <row r="427" spans="1:17" x14ac:dyDescent="0.2">
      <c r="A427" s="2" t="s">
        <v>1641</v>
      </c>
      <c r="B427" s="2" t="s">
        <v>7200</v>
      </c>
      <c r="C427" s="2" t="s">
        <v>5193</v>
      </c>
      <c r="D427" s="2" t="s">
        <v>7201</v>
      </c>
      <c r="E427" s="2" t="s">
        <v>5569</v>
      </c>
      <c r="F427" s="2" t="s">
        <v>7188</v>
      </c>
      <c r="G427" s="2" t="s">
        <v>5022</v>
      </c>
      <c r="H427" s="2" t="s">
        <v>5023</v>
      </c>
      <c r="I427" s="2" t="s">
        <v>7202</v>
      </c>
      <c r="J427" s="2"/>
      <c r="K427" s="2"/>
      <c r="L427" s="2"/>
      <c r="M427" s="2"/>
      <c r="N427" s="2"/>
      <c r="O427" s="2"/>
      <c r="P427" s="2"/>
      <c r="Q427" s="2"/>
    </row>
    <row r="428" spans="1:17" x14ac:dyDescent="0.2">
      <c r="A428" s="2" t="s">
        <v>3182</v>
      </c>
      <c r="B428" s="2" t="s">
        <v>7203</v>
      </c>
      <c r="C428" s="2" t="s">
        <v>7204</v>
      </c>
      <c r="D428" s="2" t="s">
        <v>5112</v>
      </c>
      <c r="E428" s="2" t="s">
        <v>7205</v>
      </c>
      <c r="F428" s="2" t="s">
        <v>5115</v>
      </c>
      <c r="G428" s="2" t="s">
        <v>5022</v>
      </c>
      <c r="H428" s="2" t="s">
        <v>5023</v>
      </c>
      <c r="I428" s="2"/>
      <c r="J428" s="2"/>
      <c r="K428" s="2" t="s">
        <v>7206</v>
      </c>
      <c r="L428" s="2"/>
      <c r="M428" s="2" t="s">
        <v>7207</v>
      </c>
      <c r="N428" s="2"/>
      <c r="O428" s="2"/>
      <c r="P428" s="2"/>
      <c r="Q428" s="2"/>
    </row>
    <row r="429" spans="1:17" x14ac:dyDescent="0.2">
      <c r="A429" s="2" t="s">
        <v>1277</v>
      </c>
      <c r="B429" s="2" t="s">
        <v>7208</v>
      </c>
      <c r="C429" s="2" t="s">
        <v>5381</v>
      </c>
      <c r="D429" s="2" t="s">
        <v>5713</v>
      </c>
      <c r="E429" s="2" t="s">
        <v>7209</v>
      </c>
      <c r="F429" s="2" t="s">
        <v>7210</v>
      </c>
      <c r="G429" s="2" t="s">
        <v>5022</v>
      </c>
      <c r="H429" s="2" t="s">
        <v>5023</v>
      </c>
      <c r="I429" s="2" t="s">
        <v>7211</v>
      </c>
      <c r="J429" s="2"/>
      <c r="K429" s="2"/>
      <c r="L429" s="2"/>
      <c r="M429" s="2"/>
      <c r="N429" s="2"/>
      <c r="O429" s="2"/>
      <c r="P429" s="2"/>
      <c r="Q429" s="2"/>
    </row>
    <row r="430" spans="1:17" x14ac:dyDescent="0.2">
      <c r="A430" s="2" t="s">
        <v>3960</v>
      </c>
      <c r="B430" s="2" t="s">
        <v>7212</v>
      </c>
      <c r="C430" s="2" t="s">
        <v>7213</v>
      </c>
      <c r="D430" s="2" t="s">
        <v>7214</v>
      </c>
      <c r="E430" s="2" t="s">
        <v>7215</v>
      </c>
      <c r="F430" s="2" t="s">
        <v>6368</v>
      </c>
      <c r="G430" s="2" t="s">
        <v>5022</v>
      </c>
      <c r="H430" s="2" t="s">
        <v>5023</v>
      </c>
      <c r="I430" s="2" t="s">
        <v>7216</v>
      </c>
      <c r="J430" s="2"/>
      <c r="K430" s="2"/>
      <c r="L430" s="2"/>
      <c r="M430" s="2" t="s">
        <v>7217</v>
      </c>
      <c r="N430" s="2"/>
      <c r="O430" s="2"/>
      <c r="P430" s="2"/>
      <c r="Q430" s="2"/>
    </row>
    <row r="431" spans="1:17" x14ac:dyDescent="0.2">
      <c r="A431" s="2" t="s">
        <v>1466</v>
      </c>
      <c r="B431" s="2" t="s">
        <v>6508</v>
      </c>
      <c r="C431" s="2" t="s">
        <v>5940</v>
      </c>
      <c r="D431" s="2" t="s">
        <v>5113</v>
      </c>
      <c r="E431" s="2" t="s">
        <v>6509</v>
      </c>
      <c r="F431" s="2" t="s">
        <v>7218</v>
      </c>
      <c r="G431" s="2" t="s">
        <v>5022</v>
      </c>
      <c r="H431" s="2" t="s">
        <v>5023</v>
      </c>
      <c r="I431" s="2" t="s">
        <v>7219</v>
      </c>
      <c r="J431" s="2"/>
      <c r="K431" s="2"/>
      <c r="L431" s="2"/>
      <c r="M431" s="2"/>
      <c r="N431" s="2"/>
      <c r="O431" s="2"/>
      <c r="P431" s="2"/>
      <c r="Q431" s="2"/>
    </row>
    <row r="432" spans="1:17" x14ac:dyDescent="0.2">
      <c r="A432" s="2" t="s">
        <v>1600</v>
      </c>
      <c r="B432" s="2" t="s">
        <v>7055</v>
      </c>
      <c r="C432" s="2" t="s">
        <v>5183</v>
      </c>
      <c r="D432" s="2" t="s">
        <v>7220</v>
      </c>
      <c r="E432" s="2" t="s">
        <v>7221</v>
      </c>
      <c r="F432" s="2" t="s">
        <v>7222</v>
      </c>
      <c r="G432" s="2" t="s">
        <v>5022</v>
      </c>
      <c r="H432" s="2" t="s">
        <v>5023</v>
      </c>
      <c r="I432" s="2" t="s">
        <v>7223</v>
      </c>
      <c r="J432" s="2"/>
      <c r="K432" s="2"/>
      <c r="L432" s="2"/>
      <c r="M432" s="2"/>
      <c r="N432" s="2"/>
      <c r="O432" s="2"/>
      <c r="P432" s="2"/>
      <c r="Q432" s="2"/>
    </row>
    <row r="433" spans="1:17" x14ac:dyDescent="0.2">
      <c r="A433" s="2" t="s">
        <v>475</v>
      </c>
      <c r="B433" s="2" t="s">
        <v>7224</v>
      </c>
      <c r="C433" s="2" t="s">
        <v>6544</v>
      </c>
      <c r="D433" s="2" t="s">
        <v>5159</v>
      </c>
      <c r="E433" s="2" t="s">
        <v>5891</v>
      </c>
      <c r="F433" s="2" t="s">
        <v>7225</v>
      </c>
      <c r="G433" s="2" t="s">
        <v>5022</v>
      </c>
      <c r="H433" s="2" t="s">
        <v>5023</v>
      </c>
      <c r="I433" s="2" t="s">
        <v>7226</v>
      </c>
      <c r="J433" s="2"/>
      <c r="K433" s="2"/>
      <c r="L433" s="2"/>
      <c r="M433" s="2" t="s">
        <v>7227</v>
      </c>
      <c r="N433" s="2"/>
      <c r="O433" s="2"/>
      <c r="P433" s="2"/>
      <c r="Q433" s="2"/>
    </row>
    <row r="434" spans="1:17" x14ac:dyDescent="0.2">
      <c r="A434" s="2" t="s">
        <v>2124</v>
      </c>
      <c r="B434" s="2" t="s">
        <v>7228</v>
      </c>
      <c r="C434" s="2" t="s">
        <v>7229</v>
      </c>
      <c r="D434" s="2" t="s">
        <v>6995</v>
      </c>
      <c r="E434" s="2" t="s">
        <v>7230</v>
      </c>
      <c r="F434" s="2" t="s">
        <v>7231</v>
      </c>
      <c r="G434" s="2" t="s">
        <v>5022</v>
      </c>
      <c r="H434" s="2" t="s">
        <v>5023</v>
      </c>
      <c r="I434" s="2" t="s">
        <v>7232</v>
      </c>
      <c r="J434" s="2"/>
      <c r="K434" s="2"/>
      <c r="L434" s="2"/>
      <c r="M434" s="2" t="s">
        <v>7233</v>
      </c>
      <c r="N434" s="2"/>
      <c r="O434" s="2"/>
      <c r="P434" s="2"/>
      <c r="Q434" s="2"/>
    </row>
    <row r="435" spans="1:17" x14ac:dyDescent="0.2">
      <c r="A435" s="2" t="s">
        <v>1373</v>
      </c>
      <c r="B435" s="2" t="s">
        <v>7234</v>
      </c>
      <c r="C435" s="2" t="s">
        <v>7031</v>
      </c>
      <c r="D435" s="2" t="s">
        <v>5414</v>
      </c>
      <c r="E435" s="2" t="s">
        <v>5531</v>
      </c>
      <c r="F435" s="2" t="s">
        <v>7235</v>
      </c>
      <c r="G435" s="2" t="s">
        <v>5022</v>
      </c>
      <c r="H435" s="2" t="s">
        <v>5023</v>
      </c>
      <c r="I435" s="2" t="s">
        <v>7236</v>
      </c>
      <c r="J435" s="2"/>
      <c r="K435" s="2"/>
      <c r="L435" s="2"/>
      <c r="M435" s="2" t="s">
        <v>7237</v>
      </c>
      <c r="N435" s="2"/>
      <c r="O435" s="2"/>
      <c r="P435" s="2"/>
      <c r="Q435" s="2"/>
    </row>
    <row r="436" spans="1:17" x14ac:dyDescent="0.2">
      <c r="A436" s="2" t="s">
        <v>1061</v>
      </c>
      <c r="B436" s="2" t="s">
        <v>6920</v>
      </c>
      <c r="C436" s="2" t="s">
        <v>6959</v>
      </c>
      <c r="D436" s="2" t="s">
        <v>7238</v>
      </c>
      <c r="E436" s="2" t="s">
        <v>5253</v>
      </c>
      <c r="F436" s="2" t="s">
        <v>7239</v>
      </c>
      <c r="G436" s="2" t="s">
        <v>5022</v>
      </c>
      <c r="H436" s="2" t="s">
        <v>5023</v>
      </c>
      <c r="I436" s="2" t="s">
        <v>7240</v>
      </c>
      <c r="J436" s="2"/>
      <c r="K436" s="2"/>
      <c r="L436" s="2"/>
      <c r="M436" s="2" t="s">
        <v>7241</v>
      </c>
      <c r="N436" s="2"/>
      <c r="O436" s="2"/>
      <c r="P436" s="2"/>
      <c r="Q436" s="2"/>
    </row>
    <row r="437" spans="1:17" x14ac:dyDescent="0.2">
      <c r="A437" s="2" t="s">
        <v>4587</v>
      </c>
      <c r="B437" s="2" t="s">
        <v>6459</v>
      </c>
      <c r="C437" s="2" t="s">
        <v>7242</v>
      </c>
      <c r="D437" s="2" t="s">
        <v>7243</v>
      </c>
      <c r="E437" s="2" t="s">
        <v>7193</v>
      </c>
      <c r="F437" s="2" t="s">
        <v>7244</v>
      </c>
      <c r="G437" s="2" t="s">
        <v>5022</v>
      </c>
      <c r="H437" s="2" t="s">
        <v>5023</v>
      </c>
      <c r="I437" s="2" t="s">
        <v>7245</v>
      </c>
      <c r="J437" s="2" t="s">
        <v>7246</v>
      </c>
      <c r="K437" s="2"/>
      <c r="L437" s="2"/>
      <c r="M437" s="2" t="s">
        <v>7247</v>
      </c>
      <c r="N437" s="2"/>
      <c r="O437" s="2"/>
      <c r="P437" s="2"/>
      <c r="Q437" s="2"/>
    </row>
    <row r="438" spans="1:17" x14ac:dyDescent="0.2">
      <c r="A438" s="2" t="s">
        <v>2164</v>
      </c>
      <c r="B438" s="2" t="s">
        <v>7248</v>
      </c>
      <c r="C438" s="2" t="s">
        <v>6449</v>
      </c>
      <c r="D438" s="2" t="s">
        <v>5275</v>
      </c>
      <c r="E438" s="2" t="s">
        <v>5714</v>
      </c>
      <c r="F438" s="2" t="s">
        <v>7249</v>
      </c>
      <c r="G438" s="2" t="s">
        <v>5022</v>
      </c>
      <c r="H438" s="2" t="s">
        <v>5023</v>
      </c>
      <c r="I438" s="2" t="s">
        <v>7250</v>
      </c>
      <c r="J438" s="2"/>
      <c r="K438" s="2"/>
      <c r="L438" s="2"/>
      <c r="M438" s="2"/>
      <c r="N438" s="2"/>
      <c r="O438" s="2"/>
      <c r="P438" s="2"/>
      <c r="Q438" s="2"/>
    </row>
    <row r="439" spans="1:17" x14ac:dyDescent="0.2">
      <c r="A439" s="2" t="s">
        <v>1148</v>
      </c>
      <c r="B439" s="2" t="s">
        <v>7251</v>
      </c>
      <c r="C439" s="2" t="s">
        <v>7252</v>
      </c>
      <c r="D439" s="2" t="s">
        <v>5269</v>
      </c>
      <c r="E439" s="2" t="s">
        <v>7253</v>
      </c>
      <c r="F439" s="2" t="s">
        <v>7254</v>
      </c>
      <c r="G439" s="2" t="s">
        <v>5022</v>
      </c>
      <c r="H439" s="2" t="s">
        <v>5122</v>
      </c>
      <c r="I439" s="2"/>
      <c r="J439" s="2"/>
      <c r="K439" s="2" t="s">
        <v>7255</v>
      </c>
      <c r="L439" s="2"/>
      <c r="M439" s="2"/>
      <c r="N439" s="2"/>
      <c r="O439" s="2"/>
      <c r="P439" s="2"/>
      <c r="Q439" s="2"/>
    </row>
    <row r="440" spans="1:17" x14ac:dyDescent="0.2">
      <c r="A440" s="2" t="s">
        <v>7256</v>
      </c>
      <c r="B440" s="2" t="s">
        <v>5561</v>
      </c>
      <c r="C440" s="2" t="s">
        <v>7257</v>
      </c>
      <c r="D440" s="2" t="s">
        <v>5790</v>
      </c>
      <c r="E440" s="2" t="s">
        <v>7258</v>
      </c>
      <c r="F440" s="2" t="s">
        <v>7259</v>
      </c>
      <c r="G440" s="2" t="s">
        <v>5022</v>
      </c>
      <c r="H440" s="2" t="s">
        <v>5023</v>
      </c>
      <c r="I440" s="2" t="s">
        <v>7260</v>
      </c>
      <c r="J440" s="2"/>
      <c r="K440" s="2"/>
      <c r="L440" s="2"/>
      <c r="M440" s="2" t="s">
        <v>7261</v>
      </c>
      <c r="N440" s="2"/>
      <c r="O440" s="2"/>
      <c r="P440" s="2"/>
      <c r="Q440" s="2"/>
    </row>
    <row r="441" spans="1:17" x14ac:dyDescent="0.2">
      <c r="A441" s="2" t="s">
        <v>3949</v>
      </c>
      <c r="B441" s="2" t="s">
        <v>3147</v>
      </c>
      <c r="C441" s="2" t="s">
        <v>7262</v>
      </c>
      <c r="D441" s="2" t="s">
        <v>5535</v>
      </c>
      <c r="E441" s="2" t="s">
        <v>5866</v>
      </c>
      <c r="F441" s="2" t="s">
        <v>6445</v>
      </c>
      <c r="G441" s="2" t="s">
        <v>5022</v>
      </c>
      <c r="H441" s="2" t="s">
        <v>5023</v>
      </c>
      <c r="I441" s="2" t="s">
        <v>7263</v>
      </c>
      <c r="J441" s="2"/>
      <c r="K441" s="2"/>
      <c r="L441" s="2"/>
      <c r="M441" s="2" t="s">
        <v>7264</v>
      </c>
      <c r="N441" s="2"/>
      <c r="O441" s="2"/>
      <c r="P441" s="2"/>
      <c r="Q441" s="2"/>
    </row>
    <row r="442" spans="1:17" x14ac:dyDescent="0.2">
      <c r="A442" s="2" t="s">
        <v>3158</v>
      </c>
      <c r="B442" s="2" t="s">
        <v>3159</v>
      </c>
      <c r="C442" s="2" t="s">
        <v>5223</v>
      </c>
      <c r="D442" s="2" t="s">
        <v>7265</v>
      </c>
      <c r="E442" s="2" t="s">
        <v>7266</v>
      </c>
      <c r="F442" s="2" t="s">
        <v>7267</v>
      </c>
      <c r="G442" s="2" t="s">
        <v>5022</v>
      </c>
      <c r="H442" s="2" t="s">
        <v>5023</v>
      </c>
      <c r="I442" s="2" t="s">
        <v>7268</v>
      </c>
      <c r="J442" s="2"/>
      <c r="K442" s="2"/>
      <c r="L442" s="2"/>
      <c r="M442" s="2" t="s">
        <v>7269</v>
      </c>
      <c r="N442" s="2"/>
      <c r="O442" s="2"/>
      <c r="P442" s="2"/>
      <c r="Q442" s="2"/>
    </row>
    <row r="443" spans="1:17" x14ac:dyDescent="0.2">
      <c r="A443" s="2" t="s">
        <v>2681</v>
      </c>
      <c r="B443" s="2" t="s">
        <v>7270</v>
      </c>
      <c r="C443" s="2" t="s">
        <v>7271</v>
      </c>
      <c r="D443" s="2" t="s">
        <v>7271</v>
      </c>
      <c r="E443" s="2" t="s">
        <v>7272</v>
      </c>
      <c r="F443" s="2" t="s">
        <v>7273</v>
      </c>
      <c r="G443" s="2" t="s">
        <v>5022</v>
      </c>
      <c r="H443" s="2" t="s">
        <v>5023</v>
      </c>
      <c r="I443" s="2" t="s">
        <v>7274</v>
      </c>
      <c r="J443" s="2"/>
      <c r="K443" s="2"/>
      <c r="L443" s="2"/>
      <c r="M443" s="2"/>
      <c r="N443" s="2"/>
      <c r="O443" s="2"/>
      <c r="P443" s="2"/>
      <c r="Q443" s="2"/>
    </row>
    <row r="444" spans="1:17" x14ac:dyDescent="0.2">
      <c r="A444" s="2" t="s">
        <v>2542</v>
      </c>
      <c r="B444" s="2" t="s">
        <v>6920</v>
      </c>
      <c r="C444" s="2" t="s">
        <v>7275</v>
      </c>
      <c r="D444" s="2" t="s">
        <v>5490</v>
      </c>
      <c r="E444" s="2" t="s">
        <v>6029</v>
      </c>
      <c r="F444" s="2" t="s">
        <v>7276</v>
      </c>
      <c r="G444" s="2" t="s">
        <v>5022</v>
      </c>
      <c r="H444" s="2" t="s">
        <v>5023</v>
      </c>
      <c r="I444" s="2"/>
      <c r="J444" s="2"/>
      <c r="K444" s="2" t="s">
        <v>7277</v>
      </c>
      <c r="L444" s="2"/>
      <c r="M444" s="2"/>
      <c r="N444" s="2"/>
      <c r="O444" s="2"/>
      <c r="P444" s="2"/>
      <c r="Q444" s="2"/>
    </row>
    <row r="445" spans="1:17" x14ac:dyDescent="0.2">
      <c r="A445" s="2" t="s">
        <v>4711</v>
      </c>
      <c r="B445" s="2" t="s">
        <v>5262</v>
      </c>
      <c r="C445" s="2" t="s">
        <v>5118</v>
      </c>
      <c r="D445" s="2" t="s">
        <v>7278</v>
      </c>
      <c r="E445" s="2" t="s">
        <v>7279</v>
      </c>
      <c r="F445" s="2" t="s">
        <v>7280</v>
      </c>
      <c r="G445" s="2" t="s">
        <v>5022</v>
      </c>
      <c r="H445" s="2" t="s">
        <v>5023</v>
      </c>
      <c r="I445" s="2" t="s">
        <v>7281</v>
      </c>
      <c r="J445" s="2"/>
      <c r="K445" s="2"/>
      <c r="L445" s="2"/>
      <c r="M445" s="2" t="s">
        <v>7282</v>
      </c>
      <c r="N445" s="2"/>
      <c r="O445" s="2"/>
      <c r="P445" s="2"/>
      <c r="Q445" s="2"/>
    </row>
    <row r="446" spans="1:17" x14ac:dyDescent="0.2">
      <c r="A446" s="2" t="s">
        <v>4351</v>
      </c>
      <c r="B446" s="2" t="s">
        <v>5344</v>
      </c>
      <c r="C446" s="2" t="s">
        <v>5562</v>
      </c>
      <c r="D446" s="2" t="s">
        <v>5051</v>
      </c>
      <c r="E446" s="2" t="s">
        <v>7283</v>
      </c>
      <c r="F446" s="2" t="s">
        <v>7284</v>
      </c>
      <c r="G446" s="2" t="s">
        <v>5022</v>
      </c>
      <c r="H446" s="2" t="s">
        <v>5023</v>
      </c>
      <c r="I446" s="2" t="s">
        <v>7285</v>
      </c>
      <c r="J446" s="2"/>
      <c r="K446" s="2"/>
      <c r="L446" s="2"/>
      <c r="M446" s="2"/>
      <c r="N446" s="2"/>
      <c r="O446" s="2"/>
      <c r="P446" s="2"/>
      <c r="Q446" s="2"/>
    </row>
    <row r="447" spans="1:17" x14ac:dyDescent="0.2">
      <c r="A447" s="2" t="s">
        <v>250</v>
      </c>
      <c r="B447" s="2" t="s">
        <v>6132</v>
      </c>
      <c r="C447" s="2" t="s">
        <v>7286</v>
      </c>
      <c r="D447" s="2" t="s">
        <v>7287</v>
      </c>
      <c r="E447" s="2" t="s">
        <v>5253</v>
      </c>
      <c r="F447" s="2" t="s">
        <v>7288</v>
      </c>
      <c r="G447" s="2" t="s">
        <v>5022</v>
      </c>
      <c r="H447" s="2" t="s">
        <v>5023</v>
      </c>
      <c r="I447" s="2" t="s">
        <v>7289</v>
      </c>
      <c r="J447" s="2"/>
      <c r="K447" s="2"/>
      <c r="L447" s="2"/>
      <c r="M447" s="2" t="s">
        <v>7290</v>
      </c>
      <c r="N447" s="2"/>
      <c r="O447" s="2"/>
      <c r="P447" s="2"/>
      <c r="Q447" s="2"/>
    </row>
    <row r="448" spans="1:17" x14ac:dyDescent="0.2">
      <c r="A448" s="2" t="s">
        <v>1331</v>
      </c>
      <c r="B448" s="2" t="s">
        <v>2284</v>
      </c>
      <c r="C448" s="2" t="s">
        <v>5240</v>
      </c>
      <c r="D448" s="2" t="s">
        <v>7291</v>
      </c>
      <c r="E448" s="2" t="s">
        <v>7292</v>
      </c>
      <c r="F448" s="2" t="s">
        <v>5089</v>
      </c>
      <c r="G448" s="2" t="s">
        <v>5022</v>
      </c>
      <c r="H448" s="2" t="s">
        <v>5023</v>
      </c>
      <c r="I448" s="2" t="s">
        <v>7293</v>
      </c>
      <c r="J448" s="2"/>
      <c r="K448" s="2"/>
      <c r="L448" s="2"/>
      <c r="M448" s="2"/>
      <c r="N448" s="2"/>
      <c r="O448" s="2"/>
      <c r="P448" s="2"/>
      <c r="Q448" s="2"/>
    </row>
    <row r="449" spans="1:17" x14ac:dyDescent="0.2">
      <c r="A449" s="2" t="s">
        <v>2866</v>
      </c>
      <c r="B449" s="2" t="s">
        <v>7294</v>
      </c>
      <c r="C449" s="2" t="s">
        <v>7295</v>
      </c>
      <c r="D449" s="2" t="s">
        <v>7295</v>
      </c>
      <c r="E449" s="2" t="s">
        <v>7296</v>
      </c>
      <c r="F449" s="2" t="s">
        <v>7297</v>
      </c>
      <c r="G449" s="2" t="s">
        <v>5022</v>
      </c>
      <c r="H449" s="2" t="s">
        <v>5023</v>
      </c>
      <c r="I449" s="2" t="s">
        <v>7298</v>
      </c>
      <c r="J449" s="2"/>
      <c r="K449" s="2"/>
      <c r="L449" s="2"/>
      <c r="M449" s="2" t="s">
        <v>7299</v>
      </c>
      <c r="N449" s="2"/>
      <c r="O449" s="2"/>
      <c r="P449" s="2"/>
      <c r="Q449" s="2"/>
    </row>
    <row r="450" spans="1:17" x14ac:dyDescent="0.2">
      <c r="A450" s="2" t="s">
        <v>4825</v>
      </c>
      <c r="B450" s="2" t="s">
        <v>7300</v>
      </c>
      <c r="C450" s="2" t="s">
        <v>5223</v>
      </c>
      <c r="D450" s="2" t="s">
        <v>6884</v>
      </c>
      <c r="E450" s="2" t="s">
        <v>7301</v>
      </c>
      <c r="F450" s="2" t="s">
        <v>7302</v>
      </c>
      <c r="G450" s="2" t="s">
        <v>5022</v>
      </c>
      <c r="H450" s="2" t="s">
        <v>5023</v>
      </c>
      <c r="I450" s="2" t="s">
        <v>7303</v>
      </c>
      <c r="J450" s="2"/>
      <c r="K450" s="2"/>
      <c r="L450" s="2"/>
      <c r="M450" s="2"/>
      <c r="N450" s="2"/>
      <c r="O450" s="2"/>
      <c r="P450" s="2"/>
      <c r="Q450" s="2"/>
    </row>
    <row r="451" spans="1:17" x14ac:dyDescent="0.2">
      <c r="A451" s="2" t="s">
        <v>3609</v>
      </c>
      <c r="B451" s="2" t="s">
        <v>7304</v>
      </c>
      <c r="C451" s="2" t="s">
        <v>5666</v>
      </c>
      <c r="D451" s="2" t="s">
        <v>5076</v>
      </c>
      <c r="E451" s="2" t="s">
        <v>7305</v>
      </c>
      <c r="F451" s="2" t="s">
        <v>7306</v>
      </c>
      <c r="G451" s="2" t="s">
        <v>5022</v>
      </c>
      <c r="H451" s="2" t="s">
        <v>5023</v>
      </c>
      <c r="I451" s="2" t="s">
        <v>7307</v>
      </c>
      <c r="J451" s="2"/>
      <c r="K451" s="2"/>
      <c r="L451" s="2"/>
      <c r="M451" s="2" t="s">
        <v>7308</v>
      </c>
      <c r="N451" s="2"/>
      <c r="O451" s="2"/>
      <c r="P451" s="2"/>
      <c r="Q451" s="2"/>
    </row>
    <row r="452" spans="1:17" x14ac:dyDescent="0.2">
      <c r="A452" s="2" t="s">
        <v>4485</v>
      </c>
      <c r="B452" s="2" t="s">
        <v>5604</v>
      </c>
      <c r="C452" s="2" t="s">
        <v>5358</v>
      </c>
      <c r="D452" s="2" t="s">
        <v>7309</v>
      </c>
      <c r="E452" s="2" t="s">
        <v>7310</v>
      </c>
      <c r="F452" s="2" t="s">
        <v>7311</v>
      </c>
      <c r="G452" s="2" t="s">
        <v>5022</v>
      </c>
      <c r="H452" s="2" t="s">
        <v>5023</v>
      </c>
      <c r="I452" s="2" t="s">
        <v>7312</v>
      </c>
      <c r="J452" s="2"/>
      <c r="K452" s="2"/>
      <c r="L452" s="2"/>
      <c r="M452" s="2" t="s">
        <v>7313</v>
      </c>
      <c r="N452" s="2"/>
      <c r="O452" s="2"/>
      <c r="P452" s="2"/>
      <c r="Q452" s="2"/>
    </row>
    <row r="453" spans="1:17" x14ac:dyDescent="0.2">
      <c r="A453" s="2" t="s">
        <v>4398</v>
      </c>
      <c r="B453" s="2" t="s">
        <v>7314</v>
      </c>
      <c r="C453" s="2" t="s">
        <v>6203</v>
      </c>
      <c r="D453" s="2" t="s">
        <v>6556</v>
      </c>
      <c r="E453" s="2" t="s">
        <v>7315</v>
      </c>
      <c r="F453" s="2" t="s">
        <v>6933</v>
      </c>
      <c r="G453" s="2" t="s">
        <v>5022</v>
      </c>
      <c r="H453" s="2" t="s">
        <v>5023</v>
      </c>
      <c r="I453" s="2" t="s">
        <v>7316</v>
      </c>
      <c r="J453" s="2"/>
      <c r="K453" s="2"/>
      <c r="L453" s="2"/>
      <c r="M453" s="2" t="s">
        <v>7317</v>
      </c>
      <c r="N453" s="2"/>
      <c r="O453" s="2"/>
      <c r="P453" s="2"/>
      <c r="Q453" s="2"/>
    </row>
    <row r="454" spans="1:17" x14ac:dyDescent="0.2">
      <c r="A454" s="2" t="s">
        <v>578</v>
      </c>
      <c r="B454" s="2" t="s">
        <v>7318</v>
      </c>
      <c r="C454" s="2" t="s">
        <v>7319</v>
      </c>
      <c r="D454" s="2" t="s">
        <v>7320</v>
      </c>
      <c r="E454" s="2" t="s">
        <v>5265</v>
      </c>
      <c r="F454" s="2" t="s">
        <v>7321</v>
      </c>
      <c r="G454" s="2" t="s">
        <v>5022</v>
      </c>
      <c r="H454" s="2" t="s">
        <v>5023</v>
      </c>
      <c r="I454" s="2" t="s">
        <v>7322</v>
      </c>
      <c r="J454" s="2"/>
      <c r="K454" s="2"/>
      <c r="L454" s="2"/>
      <c r="M454" s="2"/>
      <c r="N454" s="2"/>
      <c r="O454" s="2"/>
      <c r="P454" s="2"/>
      <c r="Q454" s="2"/>
    </row>
    <row r="455" spans="1:17" x14ac:dyDescent="0.2">
      <c r="A455" s="2" t="s">
        <v>3440</v>
      </c>
      <c r="B455" s="2" t="s">
        <v>7323</v>
      </c>
      <c r="C455" s="2" t="s">
        <v>7324</v>
      </c>
      <c r="D455" s="2" t="s">
        <v>7325</v>
      </c>
      <c r="E455" s="2" t="s">
        <v>7326</v>
      </c>
      <c r="F455" s="2" t="s">
        <v>7327</v>
      </c>
      <c r="G455" s="2" t="s">
        <v>5022</v>
      </c>
      <c r="H455" s="2" t="s">
        <v>5023</v>
      </c>
      <c r="I455" s="2" t="s">
        <v>7328</v>
      </c>
      <c r="J455" s="2"/>
      <c r="K455" s="2"/>
      <c r="L455" s="2"/>
      <c r="M455" s="2" t="s">
        <v>7329</v>
      </c>
      <c r="N455" s="2"/>
      <c r="O455" s="2"/>
      <c r="P455" s="2"/>
      <c r="Q455" s="2"/>
    </row>
    <row r="456" spans="1:17" x14ac:dyDescent="0.2">
      <c r="A456" s="2" t="s">
        <v>2984</v>
      </c>
      <c r="B456" s="2" t="s">
        <v>7330</v>
      </c>
      <c r="C456" s="2" t="s">
        <v>7331</v>
      </c>
      <c r="D456" s="2" t="s">
        <v>5498</v>
      </c>
      <c r="E456" s="2" t="s">
        <v>5438</v>
      </c>
      <c r="F456" s="2" t="s">
        <v>5366</v>
      </c>
      <c r="G456" s="2" t="s">
        <v>5022</v>
      </c>
      <c r="H456" s="2" t="s">
        <v>5023</v>
      </c>
      <c r="I456" s="2" t="s">
        <v>7332</v>
      </c>
      <c r="J456" s="2"/>
      <c r="K456" s="2"/>
      <c r="L456" s="2"/>
      <c r="M456" s="2"/>
      <c r="N456" s="2"/>
      <c r="O456" s="2"/>
      <c r="P456" s="2"/>
      <c r="Q456" s="2"/>
    </row>
    <row r="457" spans="1:17" x14ac:dyDescent="0.2">
      <c r="A457" s="2" t="s">
        <v>2309</v>
      </c>
      <c r="B457" s="2" t="s">
        <v>6578</v>
      </c>
      <c r="C457" s="2" t="s">
        <v>7333</v>
      </c>
      <c r="D457" s="2" t="s">
        <v>7334</v>
      </c>
      <c r="E457" s="2" t="s">
        <v>7149</v>
      </c>
      <c r="F457" s="2" t="s">
        <v>7335</v>
      </c>
      <c r="G457" s="2" t="s">
        <v>5022</v>
      </c>
      <c r="H457" s="2" t="s">
        <v>5023</v>
      </c>
      <c r="I457" s="2" t="s">
        <v>7336</v>
      </c>
      <c r="J457" s="2"/>
      <c r="K457" s="2"/>
      <c r="L457" s="2"/>
      <c r="M457" s="2" t="s">
        <v>7337</v>
      </c>
      <c r="N457" s="2"/>
      <c r="O457" s="2"/>
      <c r="P457" s="2"/>
      <c r="Q457" s="2"/>
    </row>
    <row r="458" spans="1:17" x14ac:dyDescent="0.2">
      <c r="A458" s="2" t="s">
        <v>343</v>
      </c>
      <c r="B458" s="2" t="s">
        <v>7338</v>
      </c>
      <c r="C458" s="2" t="s">
        <v>7339</v>
      </c>
      <c r="D458" s="2" t="s">
        <v>7340</v>
      </c>
      <c r="E458" s="2" t="s">
        <v>7341</v>
      </c>
      <c r="F458" s="2" t="s">
        <v>7342</v>
      </c>
      <c r="G458" s="2" t="s">
        <v>5022</v>
      </c>
      <c r="H458" s="2" t="s">
        <v>5023</v>
      </c>
      <c r="I458" s="2" t="s">
        <v>7343</v>
      </c>
      <c r="J458" s="2"/>
      <c r="K458" s="2"/>
      <c r="L458" s="2"/>
      <c r="M458" s="2" t="s">
        <v>7344</v>
      </c>
      <c r="N458" s="2"/>
      <c r="O458" s="2"/>
      <c r="P458" s="2"/>
      <c r="Q458" s="2"/>
    </row>
    <row r="459" spans="1:17" x14ac:dyDescent="0.2">
      <c r="A459" s="2" t="s">
        <v>1734</v>
      </c>
      <c r="B459" s="2" t="s">
        <v>6616</v>
      </c>
      <c r="C459" s="2" t="s">
        <v>6820</v>
      </c>
      <c r="D459" s="2" t="s">
        <v>5189</v>
      </c>
      <c r="E459" s="2" t="s">
        <v>7345</v>
      </c>
      <c r="F459" s="2" t="s">
        <v>7346</v>
      </c>
      <c r="G459" s="2" t="s">
        <v>5022</v>
      </c>
      <c r="H459" s="2" t="s">
        <v>5023</v>
      </c>
      <c r="I459" s="2"/>
      <c r="J459" s="2"/>
      <c r="K459" s="2" t="s">
        <v>7347</v>
      </c>
      <c r="L459" s="2"/>
      <c r="M459" s="2"/>
      <c r="N459" s="2"/>
      <c r="O459" s="2"/>
      <c r="P459" s="2"/>
      <c r="Q459" s="2"/>
    </row>
    <row r="460" spans="1:17" x14ac:dyDescent="0.2">
      <c r="A460" s="2" t="s">
        <v>4108</v>
      </c>
      <c r="B460" s="2" t="s">
        <v>6735</v>
      </c>
      <c r="C460" s="2" t="s">
        <v>7348</v>
      </c>
      <c r="D460" s="2" t="s">
        <v>6288</v>
      </c>
      <c r="E460" s="2" t="s">
        <v>7349</v>
      </c>
      <c r="F460" s="2" t="s">
        <v>7350</v>
      </c>
      <c r="G460" s="2" t="s">
        <v>5022</v>
      </c>
      <c r="H460" s="2" t="s">
        <v>5023</v>
      </c>
      <c r="I460" s="2" t="s">
        <v>7351</v>
      </c>
      <c r="J460" s="2"/>
      <c r="K460" s="2"/>
      <c r="L460" s="2"/>
      <c r="M460" s="2" t="s">
        <v>7352</v>
      </c>
      <c r="N460" s="2"/>
      <c r="O460" s="2"/>
      <c r="P460" s="2"/>
      <c r="Q460" s="2"/>
    </row>
    <row r="461" spans="1:17" x14ac:dyDescent="0.2">
      <c r="A461" s="2" t="s">
        <v>2692</v>
      </c>
      <c r="B461" s="2" t="s">
        <v>7353</v>
      </c>
      <c r="C461" s="2" t="s">
        <v>7354</v>
      </c>
      <c r="D461" s="2" t="s">
        <v>5075</v>
      </c>
      <c r="E461" s="2" t="s">
        <v>7355</v>
      </c>
      <c r="F461" s="2" t="s">
        <v>6269</v>
      </c>
      <c r="G461" s="2" t="s">
        <v>5022</v>
      </c>
      <c r="H461" s="2" t="s">
        <v>5023</v>
      </c>
      <c r="I461" s="2" t="s">
        <v>7356</v>
      </c>
      <c r="J461" s="2"/>
      <c r="K461" s="2"/>
      <c r="L461" s="2"/>
      <c r="M461" s="2"/>
      <c r="N461" s="2"/>
      <c r="O461" s="2"/>
      <c r="P461" s="2"/>
      <c r="Q461" s="2"/>
    </row>
    <row r="462" spans="1:17" x14ac:dyDescent="0.2">
      <c r="A462" s="2" t="s">
        <v>204</v>
      </c>
      <c r="B462" s="2" t="s">
        <v>7357</v>
      </c>
      <c r="C462" s="2" t="s">
        <v>5453</v>
      </c>
      <c r="D462" s="2" t="s">
        <v>7358</v>
      </c>
      <c r="E462" s="2" t="s">
        <v>5594</v>
      </c>
      <c r="F462" s="2" t="s">
        <v>7359</v>
      </c>
      <c r="G462" s="2" t="s">
        <v>5022</v>
      </c>
      <c r="H462" s="2" t="s">
        <v>5023</v>
      </c>
      <c r="I462" s="2" t="s">
        <v>7360</v>
      </c>
      <c r="J462" s="2"/>
      <c r="K462" s="2"/>
      <c r="L462" s="2"/>
      <c r="M462" s="2"/>
      <c r="N462" s="2"/>
      <c r="O462" s="2"/>
      <c r="P462" s="2"/>
      <c r="Q462" s="2"/>
    </row>
    <row r="463" spans="1:17" x14ac:dyDescent="0.2">
      <c r="A463" s="2" t="s">
        <v>4329</v>
      </c>
      <c r="B463" s="2" t="s">
        <v>7361</v>
      </c>
      <c r="C463" s="2" t="s">
        <v>7362</v>
      </c>
      <c r="D463" s="2" t="s">
        <v>5443</v>
      </c>
      <c r="E463" s="2" t="s">
        <v>5866</v>
      </c>
      <c r="F463" s="2" t="s">
        <v>7363</v>
      </c>
      <c r="G463" s="2" t="s">
        <v>5022</v>
      </c>
      <c r="H463" s="2" t="s">
        <v>5023</v>
      </c>
      <c r="I463" s="2" t="s">
        <v>7364</v>
      </c>
      <c r="J463" s="2"/>
      <c r="K463" s="2"/>
      <c r="L463" s="2"/>
      <c r="M463" s="2" t="s">
        <v>7365</v>
      </c>
      <c r="N463" s="2"/>
      <c r="O463" s="2"/>
      <c r="P463" s="2"/>
      <c r="Q463" s="2"/>
    </row>
    <row r="464" spans="1:17" x14ac:dyDescent="0.2">
      <c r="A464" s="2" t="s">
        <v>1922</v>
      </c>
      <c r="B464" s="2" t="s">
        <v>7366</v>
      </c>
      <c r="C464" s="2" t="s">
        <v>7367</v>
      </c>
      <c r="D464" s="2" t="s">
        <v>7368</v>
      </c>
      <c r="E464" s="2" t="s">
        <v>7369</v>
      </c>
      <c r="F464" s="2" t="s">
        <v>7370</v>
      </c>
      <c r="G464" s="2" t="s">
        <v>5022</v>
      </c>
      <c r="H464" s="2" t="s">
        <v>5023</v>
      </c>
      <c r="I464" s="2"/>
      <c r="J464" s="2"/>
      <c r="K464" s="2" t="s">
        <v>7371</v>
      </c>
      <c r="L464" s="2"/>
      <c r="M464" s="2"/>
      <c r="N464" s="2"/>
      <c r="O464" s="2"/>
      <c r="P464" s="2"/>
      <c r="Q464" s="2"/>
    </row>
    <row r="465" spans="1:17" x14ac:dyDescent="0.2">
      <c r="A465" s="2" t="s">
        <v>1895</v>
      </c>
      <c r="B465" s="2" t="s">
        <v>6132</v>
      </c>
      <c r="C465" s="2" t="s">
        <v>7372</v>
      </c>
      <c r="D465" s="2" t="s">
        <v>5473</v>
      </c>
      <c r="E465" s="2" t="s">
        <v>6545</v>
      </c>
      <c r="F465" s="2" t="s">
        <v>7373</v>
      </c>
      <c r="G465" s="2" t="s">
        <v>5022</v>
      </c>
      <c r="H465" s="2" t="s">
        <v>5023</v>
      </c>
      <c r="I465" s="2" t="s">
        <v>7374</v>
      </c>
      <c r="J465" s="2"/>
      <c r="K465" s="2"/>
      <c r="L465" s="2"/>
      <c r="M465" s="2"/>
      <c r="N465" s="2"/>
      <c r="O465" s="2"/>
      <c r="P465" s="2"/>
      <c r="Q465" s="2"/>
    </row>
    <row r="466" spans="1:17" x14ac:dyDescent="0.2">
      <c r="A466" s="2" t="s">
        <v>377</v>
      </c>
      <c r="B466" s="2" t="s">
        <v>7375</v>
      </c>
      <c r="C466" s="2" t="s">
        <v>7376</v>
      </c>
      <c r="D466" s="2" t="s">
        <v>6004</v>
      </c>
      <c r="E466" s="2" t="s">
        <v>6647</v>
      </c>
      <c r="F466" s="2" t="s">
        <v>6576</v>
      </c>
      <c r="G466" s="2" t="s">
        <v>5022</v>
      </c>
      <c r="H466" s="2" t="s">
        <v>5023</v>
      </c>
      <c r="I466" s="2" t="s">
        <v>7377</v>
      </c>
      <c r="J466" s="2"/>
      <c r="K466" s="2" t="s">
        <v>7377</v>
      </c>
      <c r="L466" s="2"/>
      <c r="M466" s="2" t="s">
        <v>7378</v>
      </c>
      <c r="N466" s="2"/>
      <c r="O466" s="2"/>
      <c r="P466" s="2"/>
      <c r="Q466" s="2"/>
    </row>
    <row r="467" spans="1:17" x14ac:dyDescent="0.2">
      <c r="A467" s="2" t="s">
        <v>200</v>
      </c>
      <c r="B467" s="2" t="s">
        <v>7208</v>
      </c>
      <c r="C467" s="2" t="s">
        <v>7379</v>
      </c>
      <c r="D467" s="2" t="s">
        <v>5287</v>
      </c>
      <c r="E467" s="2" t="s">
        <v>7380</v>
      </c>
      <c r="F467" s="2" t="s">
        <v>7381</v>
      </c>
      <c r="G467" s="2" t="s">
        <v>5022</v>
      </c>
      <c r="H467" s="2" t="s">
        <v>5023</v>
      </c>
      <c r="I467" s="2" t="s">
        <v>7382</v>
      </c>
      <c r="J467" s="2"/>
      <c r="K467" s="2"/>
      <c r="L467" s="2"/>
      <c r="M467" s="2" t="s">
        <v>7383</v>
      </c>
      <c r="N467" s="2"/>
      <c r="O467" s="2"/>
      <c r="P467" s="2"/>
      <c r="Q467" s="2"/>
    </row>
    <row r="468" spans="1:17" x14ac:dyDescent="0.2">
      <c r="A468" s="2" t="s">
        <v>3797</v>
      </c>
      <c r="B468" s="2" t="s">
        <v>7384</v>
      </c>
      <c r="C468" s="2" t="s">
        <v>7385</v>
      </c>
      <c r="D468" s="2" t="s">
        <v>7220</v>
      </c>
      <c r="E468" s="2" t="s">
        <v>6277</v>
      </c>
      <c r="F468" s="2" t="s">
        <v>5829</v>
      </c>
      <c r="G468" s="2" t="s">
        <v>5022</v>
      </c>
      <c r="H468" s="2" t="s">
        <v>5023</v>
      </c>
      <c r="I468" s="2" t="s">
        <v>7386</v>
      </c>
      <c r="J468" s="2"/>
      <c r="K468" s="2"/>
      <c r="L468" s="2"/>
      <c r="M468" s="2" t="s">
        <v>7387</v>
      </c>
      <c r="N468" s="2"/>
      <c r="O468" s="2"/>
      <c r="P468" s="2"/>
      <c r="Q468" s="2"/>
    </row>
    <row r="469" spans="1:17" x14ac:dyDescent="0.2">
      <c r="A469" s="2" t="s">
        <v>2689</v>
      </c>
      <c r="B469" s="2" t="s">
        <v>7055</v>
      </c>
      <c r="C469" s="2" t="s">
        <v>5705</v>
      </c>
      <c r="D469" s="2" t="s">
        <v>5299</v>
      </c>
      <c r="E469" s="2" t="s">
        <v>5312</v>
      </c>
      <c r="F469" s="2" t="s">
        <v>7388</v>
      </c>
      <c r="G469" s="2" t="s">
        <v>5022</v>
      </c>
      <c r="H469" s="2" t="s">
        <v>5023</v>
      </c>
      <c r="I469" s="2" t="s">
        <v>7389</v>
      </c>
      <c r="J469" s="2"/>
      <c r="K469" s="2"/>
      <c r="L469" s="2"/>
      <c r="M469" s="2" t="s">
        <v>7390</v>
      </c>
      <c r="N469" s="2"/>
      <c r="O469" s="2"/>
      <c r="P469" s="2"/>
      <c r="Q469" s="2"/>
    </row>
    <row r="470" spans="1:17" x14ac:dyDescent="0.2">
      <c r="A470" s="2" t="s">
        <v>771</v>
      </c>
      <c r="B470" s="2" t="s">
        <v>6508</v>
      </c>
      <c r="C470" s="2" t="s">
        <v>6820</v>
      </c>
      <c r="D470" s="2" t="s">
        <v>7391</v>
      </c>
      <c r="E470" s="2" t="s">
        <v>5569</v>
      </c>
      <c r="F470" s="2" t="s">
        <v>7392</v>
      </c>
      <c r="G470" s="2" t="s">
        <v>5022</v>
      </c>
      <c r="H470" s="2" t="s">
        <v>5023</v>
      </c>
      <c r="I470" s="2" t="s">
        <v>7393</v>
      </c>
      <c r="J470" s="2"/>
      <c r="K470" s="2"/>
      <c r="L470" s="2"/>
      <c r="M470" s="2" t="s">
        <v>7394</v>
      </c>
      <c r="N470" s="2"/>
      <c r="O470" s="2"/>
      <c r="P470" s="2"/>
      <c r="Q470" s="2"/>
    </row>
    <row r="471" spans="1:17" x14ac:dyDescent="0.2">
      <c r="A471" s="2" t="s">
        <v>4873</v>
      </c>
      <c r="B471" s="2" t="s">
        <v>7395</v>
      </c>
      <c r="C471" s="2" t="s">
        <v>7396</v>
      </c>
      <c r="D471" s="2" t="s">
        <v>5028</v>
      </c>
      <c r="E471" s="2" t="s">
        <v>7397</v>
      </c>
      <c r="F471" s="2" t="s">
        <v>7398</v>
      </c>
      <c r="G471" s="2" t="s">
        <v>5022</v>
      </c>
      <c r="H471" s="2" t="s">
        <v>5023</v>
      </c>
      <c r="I471" s="2" t="s">
        <v>7399</v>
      </c>
      <c r="J471" s="2"/>
      <c r="K471" s="2"/>
      <c r="L471" s="2"/>
      <c r="M471" s="2" t="s">
        <v>7400</v>
      </c>
      <c r="N471" s="2"/>
      <c r="O471" s="2"/>
      <c r="P471" s="2"/>
      <c r="Q471" s="2"/>
    </row>
    <row r="472" spans="1:17" x14ac:dyDescent="0.2">
      <c r="A472" s="2" t="s">
        <v>3390</v>
      </c>
      <c r="B472" s="2" t="s">
        <v>7401</v>
      </c>
      <c r="C472" s="2" t="s">
        <v>5392</v>
      </c>
      <c r="D472" s="2" t="s">
        <v>7402</v>
      </c>
      <c r="E472" s="2" t="s">
        <v>6881</v>
      </c>
      <c r="F472" s="2" t="s">
        <v>7403</v>
      </c>
      <c r="G472" s="2" t="s">
        <v>5022</v>
      </c>
      <c r="H472" s="2" t="s">
        <v>5023</v>
      </c>
      <c r="I472" s="2" t="s">
        <v>7404</v>
      </c>
      <c r="J472" s="2"/>
      <c r="K472" s="2"/>
      <c r="L472" s="2"/>
      <c r="M472" s="2" t="s">
        <v>7405</v>
      </c>
      <c r="N472" s="2"/>
      <c r="O472" s="2"/>
      <c r="P472" s="2"/>
      <c r="Q472" s="2"/>
    </row>
    <row r="473" spans="1:17" x14ac:dyDescent="0.2">
      <c r="A473" s="2" t="s">
        <v>3838</v>
      </c>
      <c r="B473" s="2" t="s">
        <v>5739</v>
      </c>
      <c r="C473" s="2" t="s">
        <v>6204</v>
      </c>
      <c r="D473" s="2" t="s">
        <v>5877</v>
      </c>
      <c r="E473" s="2" t="s">
        <v>5907</v>
      </c>
      <c r="F473" s="2" t="s">
        <v>7406</v>
      </c>
      <c r="G473" s="2" t="s">
        <v>5022</v>
      </c>
      <c r="H473" s="2" t="s">
        <v>5023</v>
      </c>
      <c r="I473" s="2" t="s">
        <v>7407</v>
      </c>
      <c r="J473" s="2"/>
      <c r="K473" s="2"/>
      <c r="L473" s="2"/>
      <c r="M473" s="2"/>
      <c r="N473" s="2"/>
      <c r="O473" s="2"/>
      <c r="P473" s="2"/>
      <c r="Q473" s="2"/>
    </row>
    <row r="474" spans="1:17" x14ac:dyDescent="0.2">
      <c r="A474" s="2" t="s">
        <v>1057</v>
      </c>
      <c r="B474" s="2" t="s">
        <v>2020</v>
      </c>
      <c r="C474" s="2" t="s">
        <v>5734</v>
      </c>
      <c r="D474" s="2" t="s">
        <v>6409</v>
      </c>
      <c r="E474" s="2" t="s">
        <v>7408</v>
      </c>
      <c r="F474" s="2" t="s">
        <v>7409</v>
      </c>
      <c r="G474" s="2" t="s">
        <v>5022</v>
      </c>
      <c r="H474" s="2" t="s">
        <v>5023</v>
      </c>
      <c r="I474" s="2" t="s">
        <v>7410</v>
      </c>
      <c r="J474" s="2"/>
      <c r="K474" s="2"/>
      <c r="L474" s="2"/>
      <c r="M474" s="2"/>
      <c r="N474" s="2"/>
      <c r="O474" s="2"/>
      <c r="P474" s="2"/>
      <c r="Q474" s="2"/>
    </row>
    <row r="475" spans="1:17" x14ac:dyDescent="0.2">
      <c r="A475" s="2" t="s">
        <v>736</v>
      </c>
      <c r="B475" s="2" t="s">
        <v>5636</v>
      </c>
      <c r="C475" s="2" t="s">
        <v>5644</v>
      </c>
      <c r="D475" s="2" t="s">
        <v>7411</v>
      </c>
      <c r="E475" s="2" t="s">
        <v>7149</v>
      </c>
      <c r="F475" s="2" t="s">
        <v>6059</v>
      </c>
      <c r="G475" s="2" t="s">
        <v>5022</v>
      </c>
      <c r="H475" s="2" t="s">
        <v>5023</v>
      </c>
      <c r="I475" s="2"/>
      <c r="J475" s="2"/>
      <c r="K475" s="2" t="s">
        <v>7412</v>
      </c>
      <c r="L475" s="2"/>
      <c r="M475" s="2"/>
      <c r="N475" s="2"/>
      <c r="O475" s="2"/>
      <c r="P475" s="2"/>
      <c r="Q475" s="2"/>
    </row>
    <row r="476" spans="1:17" x14ac:dyDescent="0.2">
      <c r="A476" s="2" t="s">
        <v>433</v>
      </c>
      <c r="B476" s="2" t="s">
        <v>7413</v>
      </c>
      <c r="C476" s="2" t="s">
        <v>7414</v>
      </c>
      <c r="D476" s="2" t="s">
        <v>5164</v>
      </c>
      <c r="E476" s="2" t="s">
        <v>7415</v>
      </c>
      <c r="F476" s="2" t="s">
        <v>6639</v>
      </c>
      <c r="G476" s="2" t="s">
        <v>5022</v>
      </c>
      <c r="H476" s="2" t="s">
        <v>5023</v>
      </c>
      <c r="I476" s="2" t="s">
        <v>7416</v>
      </c>
      <c r="J476" s="2"/>
      <c r="K476" s="2"/>
      <c r="L476" s="2"/>
      <c r="M476" s="2" t="s">
        <v>7417</v>
      </c>
      <c r="N476" s="2"/>
      <c r="O476" s="2"/>
      <c r="P476" s="2"/>
      <c r="Q476" s="2"/>
    </row>
    <row r="477" spans="1:17" x14ac:dyDescent="0.2">
      <c r="A477" s="2" t="s">
        <v>3260</v>
      </c>
      <c r="B477" s="2" t="s">
        <v>7418</v>
      </c>
      <c r="C477" s="2" t="s">
        <v>5481</v>
      </c>
      <c r="D477" s="2" t="s">
        <v>5229</v>
      </c>
      <c r="E477" s="2" t="s">
        <v>7419</v>
      </c>
      <c r="F477" s="2" t="s">
        <v>7420</v>
      </c>
      <c r="G477" s="2" t="s">
        <v>5022</v>
      </c>
      <c r="H477" s="2" t="s">
        <v>5023</v>
      </c>
      <c r="I477" s="2" t="s">
        <v>7421</v>
      </c>
      <c r="J477" s="2" t="s">
        <v>7422</v>
      </c>
      <c r="K477" s="2"/>
      <c r="L477" s="2"/>
      <c r="M477" s="2" t="s">
        <v>7423</v>
      </c>
      <c r="N477" s="2"/>
      <c r="O477" s="2"/>
      <c r="P477" s="2"/>
      <c r="Q477" s="2"/>
    </row>
    <row r="478" spans="1:17" x14ac:dyDescent="0.2">
      <c r="A478" s="2" t="s">
        <v>2100</v>
      </c>
      <c r="B478" s="2" t="s">
        <v>7424</v>
      </c>
      <c r="C478" s="2" t="s">
        <v>5051</v>
      </c>
      <c r="D478" s="2" t="s">
        <v>5051</v>
      </c>
      <c r="E478" s="2" t="s">
        <v>6223</v>
      </c>
      <c r="F478" s="2" t="s">
        <v>7425</v>
      </c>
      <c r="G478" s="2" t="s">
        <v>5022</v>
      </c>
      <c r="H478" s="2" t="s">
        <v>5023</v>
      </c>
      <c r="I478" s="2" t="s">
        <v>7426</v>
      </c>
      <c r="J478" s="2"/>
      <c r="K478" s="2"/>
      <c r="L478" s="2"/>
      <c r="M478" s="2"/>
      <c r="N478" s="2"/>
      <c r="O478" s="2"/>
      <c r="P478" s="2"/>
      <c r="Q478" s="2"/>
    </row>
    <row r="479" spans="1:17" x14ac:dyDescent="0.2">
      <c r="A479" s="2" t="s">
        <v>231</v>
      </c>
      <c r="B479" s="2" t="s">
        <v>5038</v>
      </c>
      <c r="C479" s="2" t="s">
        <v>1203</v>
      </c>
      <c r="D479" s="2" t="s">
        <v>7252</v>
      </c>
      <c r="E479" s="2" t="s">
        <v>7427</v>
      </c>
      <c r="F479" s="2" t="s">
        <v>7428</v>
      </c>
      <c r="G479" s="2" t="s">
        <v>5022</v>
      </c>
      <c r="H479" s="2" t="s">
        <v>5023</v>
      </c>
      <c r="I479" s="2" t="s">
        <v>7429</v>
      </c>
      <c r="J479" s="2"/>
      <c r="K479" s="2"/>
      <c r="L479" s="2"/>
      <c r="M479" s="2"/>
      <c r="N479" s="2"/>
      <c r="O479" s="2"/>
      <c r="P479" s="2"/>
      <c r="Q479" s="2"/>
    </row>
    <row r="480" spans="1:17" x14ac:dyDescent="0.2">
      <c r="A480" s="2" t="s">
        <v>3781</v>
      </c>
      <c r="B480" s="2" t="s">
        <v>6153</v>
      </c>
      <c r="C480" s="2" t="s">
        <v>5164</v>
      </c>
      <c r="D480" s="2" t="s">
        <v>5229</v>
      </c>
      <c r="E480" s="2" t="s">
        <v>7430</v>
      </c>
      <c r="F480" s="2" t="s">
        <v>7431</v>
      </c>
      <c r="G480" s="2" t="s">
        <v>5022</v>
      </c>
      <c r="H480" s="2" t="s">
        <v>5023</v>
      </c>
      <c r="I480" s="2" t="s">
        <v>7432</v>
      </c>
      <c r="J480" s="2"/>
      <c r="K480" s="2"/>
      <c r="L480" s="2"/>
      <c r="M480" s="2" t="s">
        <v>7433</v>
      </c>
      <c r="N480" s="2"/>
      <c r="O480" s="2"/>
      <c r="P480" s="2"/>
      <c r="Q480" s="2"/>
    </row>
    <row r="481" spans="1:17" x14ac:dyDescent="0.2">
      <c r="A481" s="2" t="s">
        <v>3335</v>
      </c>
      <c r="B481" s="2" t="s">
        <v>7434</v>
      </c>
      <c r="C481" s="2" t="s">
        <v>988</v>
      </c>
      <c r="D481" s="2" t="s">
        <v>988</v>
      </c>
      <c r="E481" s="2" t="s">
        <v>7435</v>
      </c>
      <c r="F481" s="2" t="s">
        <v>6984</v>
      </c>
      <c r="G481" s="2" t="s">
        <v>5022</v>
      </c>
      <c r="H481" s="2" t="s">
        <v>5023</v>
      </c>
      <c r="I481" s="2" t="s">
        <v>7436</v>
      </c>
      <c r="J481" s="2"/>
      <c r="K481" s="2"/>
      <c r="L481" s="2"/>
      <c r="M481" s="2" t="s">
        <v>7437</v>
      </c>
      <c r="N481" s="2"/>
      <c r="O481" s="2"/>
      <c r="P481" s="2"/>
      <c r="Q481" s="2"/>
    </row>
    <row r="482" spans="1:17" x14ac:dyDescent="0.2">
      <c r="A482" s="2" t="s">
        <v>3844</v>
      </c>
      <c r="B482" s="2" t="s">
        <v>3464</v>
      </c>
      <c r="C482" s="2" t="s">
        <v>5028</v>
      </c>
      <c r="D482" s="2" t="s">
        <v>7077</v>
      </c>
      <c r="E482" s="2" t="s">
        <v>7438</v>
      </c>
      <c r="F482" s="2" t="s">
        <v>6962</v>
      </c>
      <c r="G482" s="2" t="s">
        <v>5022</v>
      </c>
      <c r="H482" s="2" t="s">
        <v>5023</v>
      </c>
      <c r="I482" s="2" t="s">
        <v>7439</v>
      </c>
      <c r="J482" s="2"/>
      <c r="K482" s="2"/>
      <c r="L482" s="2"/>
      <c r="M482" s="2"/>
      <c r="N482" s="2"/>
      <c r="O482" s="2"/>
      <c r="P482" s="2"/>
      <c r="Q482" s="2"/>
    </row>
    <row r="483" spans="1:17" x14ac:dyDescent="0.2">
      <c r="A483" s="2" t="s">
        <v>1033</v>
      </c>
      <c r="B483" s="2" t="s">
        <v>7440</v>
      </c>
      <c r="C483" s="2" t="s">
        <v>5421</v>
      </c>
      <c r="D483" s="2" t="s">
        <v>5421</v>
      </c>
      <c r="E483" s="2" t="s">
        <v>7441</v>
      </c>
      <c r="F483" s="2" t="s">
        <v>7442</v>
      </c>
      <c r="G483" s="2" t="s">
        <v>5022</v>
      </c>
      <c r="H483" s="2" t="s">
        <v>5023</v>
      </c>
      <c r="I483" s="2" t="s">
        <v>7443</v>
      </c>
      <c r="J483" s="2"/>
      <c r="K483" s="2"/>
      <c r="L483" s="2"/>
      <c r="M483" s="2"/>
      <c r="N483" s="2"/>
      <c r="O483" s="2"/>
      <c r="P483" s="2"/>
      <c r="Q483" s="2"/>
    </row>
    <row r="484" spans="1:17" x14ac:dyDescent="0.2">
      <c r="A484" s="2" t="s">
        <v>572</v>
      </c>
      <c r="B484" s="2" t="s">
        <v>7444</v>
      </c>
      <c r="C484" s="2" t="s">
        <v>5936</v>
      </c>
      <c r="D484" s="2" t="s">
        <v>5577</v>
      </c>
      <c r="E484" s="2" t="s">
        <v>7445</v>
      </c>
      <c r="F484" s="2" t="s">
        <v>7446</v>
      </c>
      <c r="G484" s="2" t="s">
        <v>5022</v>
      </c>
      <c r="H484" s="2" t="s">
        <v>5023</v>
      </c>
      <c r="I484" s="2" t="s">
        <v>7447</v>
      </c>
      <c r="J484" s="2"/>
      <c r="K484" s="2"/>
      <c r="L484" s="2"/>
      <c r="M484" s="2" t="s">
        <v>7448</v>
      </c>
      <c r="N484" s="2"/>
      <c r="O484" s="2"/>
      <c r="P484" s="2"/>
      <c r="Q484" s="2"/>
    </row>
    <row r="485" spans="1:17" x14ac:dyDescent="0.2">
      <c r="A485" s="2" t="s">
        <v>4794</v>
      </c>
      <c r="B485" s="2" t="s">
        <v>5502</v>
      </c>
      <c r="C485" s="2" t="s">
        <v>7449</v>
      </c>
      <c r="D485" s="2" t="s">
        <v>7450</v>
      </c>
      <c r="E485" s="2" t="s">
        <v>7451</v>
      </c>
      <c r="F485" s="2" t="s">
        <v>7452</v>
      </c>
      <c r="G485" s="2" t="s">
        <v>5022</v>
      </c>
      <c r="H485" s="2" t="s">
        <v>5023</v>
      </c>
      <c r="I485" s="2" t="s">
        <v>7453</v>
      </c>
      <c r="J485" s="2"/>
      <c r="K485" s="2"/>
      <c r="L485" s="2"/>
      <c r="M485" s="2"/>
      <c r="N485" s="2"/>
      <c r="O485" s="2"/>
      <c r="P485" s="2"/>
      <c r="Q485" s="2"/>
    </row>
    <row r="486" spans="1:17" x14ac:dyDescent="0.2">
      <c r="A486" s="2" t="s">
        <v>2145</v>
      </c>
      <c r="B486" s="2" t="s">
        <v>7454</v>
      </c>
      <c r="C486" s="2" t="s">
        <v>7455</v>
      </c>
      <c r="D486" s="2" t="s">
        <v>7456</v>
      </c>
      <c r="E486" s="2" t="s">
        <v>7457</v>
      </c>
      <c r="F486" s="2" t="s">
        <v>6490</v>
      </c>
      <c r="G486" s="2" t="s">
        <v>5022</v>
      </c>
      <c r="H486" s="2" t="s">
        <v>5023</v>
      </c>
      <c r="I486" s="2" t="s">
        <v>7458</v>
      </c>
      <c r="J486" s="2"/>
      <c r="K486" s="2"/>
      <c r="L486" s="2"/>
      <c r="M486" s="2"/>
      <c r="N486" s="2"/>
      <c r="O486" s="2"/>
      <c r="P486" s="2"/>
      <c r="Q486" s="2"/>
    </row>
    <row r="487" spans="1:17" x14ac:dyDescent="0.2">
      <c r="A487" s="2" t="s">
        <v>726</v>
      </c>
      <c r="B487" s="2" t="s">
        <v>6447</v>
      </c>
      <c r="C487" s="2" t="s">
        <v>7459</v>
      </c>
      <c r="D487" s="2" t="s">
        <v>7460</v>
      </c>
      <c r="E487" s="2" t="s">
        <v>7461</v>
      </c>
      <c r="F487" s="2" t="s">
        <v>7462</v>
      </c>
      <c r="G487" s="2" t="s">
        <v>5022</v>
      </c>
      <c r="H487" s="2" t="s">
        <v>5023</v>
      </c>
      <c r="I487" s="2" t="s">
        <v>7463</v>
      </c>
      <c r="J487" s="2"/>
      <c r="K487" s="2"/>
      <c r="L487" s="2"/>
      <c r="M487" s="2" t="s">
        <v>7464</v>
      </c>
      <c r="N487" s="2"/>
      <c r="O487" s="2"/>
      <c r="P487" s="2"/>
      <c r="Q487" s="2"/>
    </row>
    <row r="488" spans="1:17" x14ac:dyDescent="0.2">
      <c r="A488" s="2" t="s">
        <v>411</v>
      </c>
      <c r="B488" s="2" t="s">
        <v>7465</v>
      </c>
      <c r="C488" s="2" t="s">
        <v>6473</v>
      </c>
      <c r="D488" s="2" t="s">
        <v>5159</v>
      </c>
      <c r="E488" s="2" t="s">
        <v>7466</v>
      </c>
      <c r="F488" s="2" t="s">
        <v>7467</v>
      </c>
      <c r="G488" s="2" t="s">
        <v>5022</v>
      </c>
      <c r="H488" s="2" t="s">
        <v>5023</v>
      </c>
      <c r="I488" s="2"/>
      <c r="J488" s="2"/>
      <c r="K488" s="2" t="s">
        <v>7468</v>
      </c>
      <c r="L488" s="2"/>
      <c r="M488" s="2"/>
      <c r="N488" s="2"/>
      <c r="O488" s="2"/>
      <c r="P488" s="2"/>
      <c r="Q488" s="2"/>
    </row>
    <row r="489" spans="1:17" x14ac:dyDescent="0.2">
      <c r="A489" s="2" t="s">
        <v>2749</v>
      </c>
      <c r="B489" s="2" t="s">
        <v>7469</v>
      </c>
      <c r="C489" s="2" t="s">
        <v>7470</v>
      </c>
      <c r="D489" s="2" t="s">
        <v>5458</v>
      </c>
      <c r="E489" s="2" t="s">
        <v>7471</v>
      </c>
      <c r="F489" s="2" t="s">
        <v>7273</v>
      </c>
      <c r="G489" s="2" t="s">
        <v>5022</v>
      </c>
      <c r="H489" s="2" t="s">
        <v>5023</v>
      </c>
      <c r="I489" s="2"/>
      <c r="J489" s="2"/>
      <c r="K489" s="2" t="s">
        <v>7472</v>
      </c>
      <c r="L489" s="2"/>
      <c r="M489" s="2"/>
      <c r="N489" s="2"/>
      <c r="O489" s="2"/>
      <c r="P489" s="2"/>
      <c r="Q489" s="2"/>
    </row>
    <row r="490" spans="1:17" x14ac:dyDescent="0.2">
      <c r="A490" s="2" t="s">
        <v>4091</v>
      </c>
      <c r="B490" s="2" t="s">
        <v>7473</v>
      </c>
      <c r="C490" s="2" t="s">
        <v>5282</v>
      </c>
      <c r="D490" s="2" t="s">
        <v>7153</v>
      </c>
      <c r="E490" s="2" t="s">
        <v>6917</v>
      </c>
      <c r="F490" s="2" t="s">
        <v>7474</v>
      </c>
      <c r="G490" s="2" t="s">
        <v>5022</v>
      </c>
      <c r="H490" s="2" t="s">
        <v>5023</v>
      </c>
      <c r="I490" s="2" t="s">
        <v>7475</v>
      </c>
      <c r="J490" s="2"/>
      <c r="K490" s="2"/>
      <c r="L490" s="2"/>
      <c r="M490" s="2"/>
      <c r="N490" s="2"/>
      <c r="O490" s="2"/>
      <c r="P490" s="2"/>
      <c r="Q490" s="2"/>
    </row>
    <row r="491" spans="1:17" x14ac:dyDescent="0.2">
      <c r="A491" s="2" t="s">
        <v>1202</v>
      </c>
      <c r="B491" s="2" t="s">
        <v>7476</v>
      </c>
      <c r="C491" s="2" t="s">
        <v>5841</v>
      </c>
      <c r="D491" s="2" t="s">
        <v>7477</v>
      </c>
      <c r="E491" s="2" t="s">
        <v>7478</v>
      </c>
      <c r="F491" s="2" t="s">
        <v>7479</v>
      </c>
      <c r="G491" s="2" t="s">
        <v>5022</v>
      </c>
      <c r="H491" s="2" t="s">
        <v>5023</v>
      </c>
      <c r="I491" s="2" t="s">
        <v>7480</v>
      </c>
      <c r="J491" s="2"/>
      <c r="K491" s="2"/>
      <c r="L491" s="2"/>
      <c r="M491" s="2" t="s">
        <v>7481</v>
      </c>
      <c r="N491" s="2"/>
      <c r="O491" s="2"/>
      <c r="P491" s="2"/>
      <c r="Q491" s="2"/>
    </row>
    <row r="492" spans="1:17" x14ac:dyDescent="0.2">
      <c r="A492" s="2" t="s">
        <v>3884</v>
      </c>
      <c r="B492" s="2" t="s">
        <v>7482</v>
      </c>
      <c r="C492" s="2" t="s">
        <v>7483</v>
      </c>
      <c r="D492" s="2" t="s">
        <v>5781</v>
      </c>
      <c r="E492" s="2" t="s">
        <v>7484</v>
      </c>
      <c r="F492" s="2" t="s">
        <v>6727</v>
      </c>
      <c r="G492" s="2" t="s">
        <v>5022</v>
      </c>
      <c r="H492" s="2" t="s">
        <v>5023</v>
      </c>
      <c r="I492" s="2" t="s">
        <v>7485</v>
      </c>
      <c r="J492" s="2"/>
      <c r="K492" s="2"/>
      <c r="L492" s="2"/>
      <c r="M492" s="2" t="s">
        <v>7486</v>
      </c>
      <c r="N492" s="2"/>
      <c r="O492" s="2"/>
      <c r="P492" s="2"/>
      <c r="Q492" s="2"/>
    </row>
    <row r="493" spans="1:17" x14ac:dyDescent="0.2">
      <c r="A493" s="2" t="s">
        <v>1898</v>
      </c>
      <c r="B493" s="2" t="s">
        <v>7487</v>
      </c>
      <c r="C493" s="2" t="s">
        <v>6880</v>
      </c>
      <c r="D493" s="2" t="s">
        <v>6880</v>
      </c>
      <c r="E493" s="2" t="s">
        <v>7488</v>
      </c>
      <c r="F493" s="2" t="s">
        <v>6376</v>
      </c>
      <c r="G493" s="2" t="s">
        <v>5022</v>
      </c>
      <c r="H493" s="2" t="s">
        <v>5023</v>
      </c>
      <c r="I493" s="2" t="s">
        <v>7489</v>
      </c>
      <c r="J493" s="2"/>
      <c r="K493" s="2"/>
      <c r="L493" s="2"/>
      <c r="M493" s="2"/>
      <c r="N493" s="2"/>
      <c r="O493" s="2"/>
      <c r="P493" s="2"/>
      <c r="Q493" s="2"/>
    </row>
    <row r="494" spans="1:17" x14ac:dyDescent="0.2">
      <c r="A494" s="2" t="s">
        <v>1377</v>
      </c>
      <c r="B494" s="2" t="s">
        <v>7490</v>
      </c>
      <c r="C494" s="2" t="s">
        <v>7491</v>
      </c>
      <c r="D494" s="2" t="s">
        <v>7492</v>
      </c>
      <c r="E494" s="2" t="s">
        <v>7493</v>
      </c>
      <c r="F494" s="2" t="s">
        <v>7359</v>
      </c>
      <c r="G494" s="2" t="s">
        <v>5022</v>
      </c>
      <c r="H494" s="2" t="s">
        <v>5023</v>
      </c>
      <c r="I494" s="2" t="s">
        <v>7494</v>
      </c>
      <c r="J494" s="2"/>
      <c r="K494" s="2"/>
      <c r="L494" s="2"/>
      <c r="M494" s="2" t="s">
        <v>7495</v>
      </c>
      <c r="N494" s="2"/>
      <c r="O494" s="2"/>
      <c r="P494" s="2"/>
      <c r="Q494" s="2"/>
    </row>
    <row r="495" spans="1:17" x14ac:dyDescent="0.2">
      <c r="A495" s="2" t="s">
        <v>2702</v>
      </c>
      <c r="B495" s="2" t="s">
        <v>6616</v>
      </c>
      <c r="C495" s="2" t="s">
        <v>7252</v>
      </c>
      <c r="D495" s="2" t="s">
        <v>6374</v>
      </c>
      <c r="E495" s="2" t="s">
        <v>7496</v>
      </c>
      <c r="F495" s="2" t="s">
        <v>6000</v>
      </c>
      <c r="G495" s="2" t="s">
        <v>5022</v>
      </c>
      <c r="H495" s="2" t="s">
        <v>5023</v>
      </c>
      <c r="I495" s="2"/>
      <c r="J495" s="2"/>
      <c r="K495" s="2" t="s">
        <v>7497</v>
      </c>
      <c r="L495" s="2"/>
      <c r="M495" s="2"/>
      <c r="N495" s="2"/>
      <c r="O495" s="2"/>
      <c r="P495" s="2"/>
      <c r="Q495" s="2"/>
    </row>
    <row r="496" spans="1:17" x14ac:dyDescent="0.2">
      <c r="A496" s="2" t="s">
        <v>4689</v>
      </c>
      <c r="B496" s="2" t="s">
        <v>5085</v>
      </c>
      <c r="C496" s="2" t="s">
        <v>7498</v>
      </c>
      <c r="D496" s="2" t="s">
        <v>7499</v>
      </c>
      <c r="E496" s="2" t="s">
        <v>7500</v>
      </c>
      <c r="F496" s="2" t="s">
        <v>7501</v>
      </c>
      <c r="G496" s="2" t="s">
        <v>5022</v>
      </c>
      <c r="H496" s="2" t="s">
        <v>5023</v>
      </c>
      <c r="I496" s="2" t="s">
        <v>7502</v>
      </c>
      <c r="J496" s="2"/>
      <c r="K496" s="2"/>
      <c r="L496" s="2"/>
      <c r="M496" s="2"/>
      <c r="N496" s="2"/>
      <c r="O496" s="2"/>
      <c r="P496" s="2"/>
      <c r="Q496" s="2"/>
    </row>
    <row r="497" spans="1:17" x14ac:dyDescent="0.2">
      <c r="A497" s="2" t="s">
        <v>589</v>
      </c>
      <c r="B497" s="2" t="s">
        <v>7503</v>
      </c>
      <c r="C497" s="2" t="s">
        <v>6527</v>
      </c>
      <c r="D497" s="2" t="s">
        <v>6528</v>
      </c>
      <c r="E497" s="2" t="s">
        <v>7504</v>
      </c>
      <c r="F497" s="2" t="s">
        <v>6675</v>
      </c>
      <c r="G497" s="2" t="s">
        <v>5022</v>
      </c>
      <c r="H497" s="2" t="s">
        <v>5023</v>
      </c>
      <c r="I497" s="2" t="s">
        <v>7505</v>
      </c>
      <c r="J497" s="2"/>
      <c r="K497" s="2"/>
      <c r="L497" s="2"/>
      <c r="M497" s="2" t="s">
        <v>7506</v>
      </c>
      <c r="N497" s="2"/>
      <c r="O497" s="2"/>
      <c r="P497" s="2"/>
      <c r="Q497" s="2"/>
    </row>
    <row r="498" spans="1:17" x14ac:dyDescent="0.2">
      <c r="A498" s="2" t="s">
        <v>2391</v>
      </c>
      <c r="B498" s="2" t="s">
        <v>6351</v>
      </c>
      <c r="C498" s="2" t="s">
        <v>7507</v>
      </c>
      <c r="D498" s="2" t="s">
        <v>7508</v>
      </c>
      <c r="E498" s="2" t="s">
        <v>7509</v>
      </c>
      <c r="F498" s="2" t="s">
        <v>7510</v>
      </c>
      <c r="G498" s="2" t="s">
        <v>5022</v>
      </c>
      <c r="H498" s="2" t="s">
        <v>5023</v>
      </c>
      <c r="I498" s="2"/>
      <c r="J498" s="2"/>
      <c r="K498" s="2" t="s">
        <v>7511</v>
      </c>
      <c r="L498" s="2"/>
      <c r="M498" s="2"/>
      <c r="N498" s="2"/>
      <c r="O498" s="2"/>
      <c r="P498" s="2"/>
      <c r="Q498" s="2"/>
    </row>
    <row r="499" spans="1:17" x14ac:dyDescent="0.2">
      <c r="A499" s="2" t="s">
        <v>949</v>
      </c>
      <c r="B499" s="2" t="s">
        <v>7512</v>
      </c>
      <c r="C499" s="2" t="s">
        <v>6830</v>
      </c>
      <c r="D499" s="2" t="s">
        <v>7513</v>
      </c>
      <c r="E499" s="2" t="s">
        <v>7514</v>
      </c>
      <c r="F499" s="2" t="s">
        <v>7515</v>
      </c>
      <c r="G499" s="2" t="s">
        <v>5022</v>
      </c>
      <c r="H499" s="2" t="s">
        <v>5023</v>
      </c>
      <c r="I499" s="2" t="s">
        <v>7516</v>
      </c>
      <c r="J499" s="2"/>
      <c r="K499" s="2"/>
      <c r="L499" s="2"/>
      <c r="M499" s="2" t="s">
        <v>7517</v>
      </c>
      <c r="N499" s="2"/>
      <c r="O499" s="2"/>
      <c r="P499" s="2"/>
      <c r="Q499" s="2"/>
    </row>
    <row r="500" spans="1:17" x14ac:dyDescent="0.2">
      <c r="A500" s="2" t="s">
        <v>3108</v>
      </c>
      <c r="B500" s="2" t="s">
        <v>5268</v>
      </c>
      <c r="C500" s="2" t="s">
        <v>7252</v>
      </c>
      <c r="D500" s="2" t="s">
        <v>6255</v>
      </c>
      <c r="E500" s="2" t="s">
        <v>7518</v>
      </c>
      <c r="F500" s="2" t="s">
        <v>7519</v>
      </c>
      <c r="G500" s="2" t="s">
        <v>5022</v>
      </c>
      <c r="H500" s="2" t="s">
        <v>5023</v>
      </c>
      <c r="I500" s="2"/>
      <c r="J500" s="2"/>
      <c r="K500" s="2" t="s">
        <v>7520</v>
      </c>
      <c r="L500" s="2"/>
      <c r="M500" s="2"/>
      <c r="N500" s="2"/>
      <c r="O500" s="2"/>
      <c r="P500" s="2"/>
      <c r="Q500" s="2"/>
    </row>
    <row r="501" spans="1:17" x14ac:dyDescent="0.2">
      <c r="A501" s="2" t="s">
        <v>766</v>
      </c>
      <c r="B501" s="2" t="s">
        <v>5291</v>
      </c>
      <c r="C501" s="2" t="s">
        <v>7252</v>
      </c>
      <c r="D501" s="2" t="s">
        <v>6448</v>
      </c>
      <c r="E501" s="2" t="s">
        <v>7521</v>
      </c>
      <c r="F501" s="2" t="s">
        <v>7522</v>
      </c>
      <c r="G501" s="2" t="s">
        <v>5022</v>
      </c>
      <c r="H501" s="2" t="s">
        <v>5023</v>
      </c>
      <c r="I501" s="2"/>
      <c r="J501" s="2"/>
      <c r="K501" s="2" t="s">
        <v>7523</v>
      </c>
      <c r="L501" s="2"/>
      <c r="M501" s="2"/>
      <c r="N501" s="2"/>
      <c r="O501" s="2"/>
      <c r="P501" s="2"/>
      <c r="Q501" s="2"/>
    </row>
    <row r="502" spans="1:17" x14ac:dyDescent="0.2">
      <c r="A502" s="2" t="s">
        <v>429</v>
      </c>
      <c r="B502" s="2" t="s">
        <v>7524</v>
      </c>
      <c r="C502" s="2" t="s">
        <v>6189</v>
      </c>
      <c r="D502" s="2" t="s">
        <v>7525</v>
      </c>
      <c r="E502" s="2" t="s">
        <v>6856</v>
      </c>
      <c r="F502" s="2" t="s">
        <v>7526</v>
      </c>
      <c r="G502" s="2" t="s">
        <v>5022</v>
      </c>
      <c r="H502" s="2" t="s">
        <v>5023</v>
      </c>
      <c r="I502" s="2" t="s">
        <v>7527</v>
      </c>
      <c r="J502" s="2"/>
      <c r="K502" s="2"/>
      <c r="L502" s="2"/>
      <c r="M502" s="2" t="s">
        <v>7528</v>
      </c>
      <c r="N502" s="2"/>
      <c r="O502" s="2"/>
      <c r="P502" s="2"/>
      <c r="Q502" s="2"/>
    </row>
    <row r="503" spans="1:17" x14ac:dyDescent="0.2">
      <c r="A503" s="2" t="s">
        <v>1481</v>
      </c>
      <c r="B503" s="2" t="s">
        <v>7529</v>
      </c>
      <c r="C503" s="2" t="s">
        <v>6820</v>
      </c>
      <c r="D503" s="2" t="s">
        <v>7530</v>
      </c>
      <c r="E503" s="2" t="s">
        <v>7531</v>
      </c>
      <c r="F503" s="2" t="s">
        <v>7532</v>
      </c>
      <c r="G503" s="2" t="s">
        <v>5022</v>
      </c>
      <c r="H503" s="2" t="s">
        <v>5023</v>
      </c>
      <c r="I503" s="2" t="s">
        <v>7533</v>
      </c>
      <c r="J503" s="2"/>
      <c r="K503" s="2"/>
      <c r="L503" s="2"/>
      <c r="M503" s="2"/>
      <c r="N503" s="2"/>
      <c r="O503" s="2"/>
      <c r="P503" s="2"/>
      <c r="Q503" s="2"/>
    </row>
    <row r="504" spans="1:17" x14ac:dyDescent="0.2">
      <c r="A504" s="2" t="s">
        <v>365</v>
      </c>
      <c r="B504" s="2" t="s">
        <v>7534</v>
      </c>
      <c r="C504" s="2" t="s">
        <v>5712</v>
      </c>
      <c r="D504" s="2" t="s">
        <v>7535</v>
      </c>
      <c r="E504" s="2" t="s">
        <v>7536</v>
      </c>
      <c r="F504" s="2" t="s">
        <v>7537</v>
      </c>
      <c r="G504" s="2" t="s">
        <v>5022</v>
      </c>
      <c r="H504" s="2" t="s">
        <v>5023</v>
      </c>
      <c r="I504" s="2" t="s">
        <v>7538</v>
      </c>
      <c r="J504" s="2"/>
      <c r="K504" s="2"/>
      <c r="L504" s="2"/>
      <c r="M504" s="2" t="s">
        <v>7539</v>
      </c>
      <c r="N504" s="2"/>
      <c r="O504" s="2"/>
      <c r="P504" s="2"/>
      <c r="Q504" s="2"/>
    </row>
    <row r="505" spans="1:17" x14ac:dyDescent="0.2">
      <c r="A505" s="2" t="s">
        <v>3985</v>
      </c>
      <c r="B505" s="2" t="s">
        <v>7540</v>
      </c>
      <c r="C505" s="2" t="s">
        <v>5409</v>
      </c>
      <c r="D505" s="2" t="s">
        <v>6160</v>
      </c>
      <c r="E505" s="2" t="s">
        <v>7541</v>
      </c>
      <c r="F505" s="2" t="s">
        <v>7542</v>
      </c>
      <c r="G505" s="2" t="s">
        <v>5022</v>
      </c>
      <c r="H505" s="2" t="s">
        <v>5023</v>
      </c>
      <c r="I505" s="2" t="s">
        <v>7543</v>
      </c>
      <c r="J505" s="2"/>
      <c r="K505" s="2"/>
      <c r="L505" s="2"/>
      <c r="M505" s="2" t="s">
        <v>7544</v>
      </c>
      <c r="N505" s="2"/>
      <c r="O505" s="2"/>
      <c r="P505" s="2"/>
      <c r="Q505" s="2"/>
    </row>
    <row r="506" spans="1:17" x14ac:dyDescent="0.2">
      <c r="A506" s="2" t="s">
        <v>4787</v>
      </c>
      <c r="B506" s="2" t="s">
        <v>7545</v>
      </c>
      <c r="C506" s="2" t="s">
        <v>5911</v>
      </c>
      <c r="D506" s="2" t="s">
        <v>6357</v>
      </c>
      <c r="E506" s="2" t="s">
        <v>5888</v>
      </c>
      <c r="F506" s="2" t="s">
        <v>7546</v>
      </c>
      <c r="G506" s="2" t="s">
        <v>5022</v>
      </c>
      <c r="H506" s="2" t="s">
        <v>5023</v>
      </c>
      <c r="I506" s="2" t="s">
        <v>7547</v>
      </c>
      <c r="J506" s="2"/>
      <c r="K506" s="2"/>
      <c r="L506" s="2"/>
      <c r="M506" s="2"/>
      <c r="N506" s="2"/>
      <c r="O506" s="2"/>
      <c r="P506" s="2"/>
      <c r="Q506" s="2"/>
    </row>
    <row r="507" spans="1:17" x14ac:dyDescent="0.2">
      <c r="A507" s="2" t="s">
        <v>4447</v>
      </c>
      <c r="B507" s="2" t="s">
        <v>7548</v>
      </c>
      <c r="C507" s="2" t="s">
        <v>7549</v>
      </c>
      <c r="D507" s="2" t="s">
        <v>7550</v>
      </c>
      <c r="E507" s="2" t="s">
        <v>7551</v>
      </c>
      <c r="F507" s="2" t="s">
        <v>7552</v>
      </c>
      <c r="G507" s="2" t="s">
        <v>5022</v>
      </c>
      <c r="H507" s="2" t="s">
        <v>5023</v>
      </c>
      <c r="I507" s="2" t="s">
        <v>7553</v>
      </c>
      <c r="J507" s="2"/>
      <c r="K507" s="2"/>
      <c r="L507" s="2"/>
      <c r="M507" s="2" t="s">
        <v>7554</v>
      </c>
      <c r="N507" s="2"/>
      <c r="O507" s="2"/>
      <c r="P507" s="2"/>
      <c r="Q507" s="2"/>
    </row>
    <row r="508" spans="1:17" x14ac:dyDescent="0.2">
      <c r="A508" s="2" t="s">
        <v>836</v>
      </c>
      <c r="B508" s="2" t="s">
        <v>7555</v>
      </c>
      <c r="C508" s="2" t="s">
        <v>7252</v>
      </c>
      <c r="D508" s="2" t="s">
        <v>7556</v>
      </c>
      <c r="E508" s="2" t="s">
        <v>7557</v>
      </c>
      <c r="F508" s="2" t="s">
        <v>7381</v>
      </c>
      <c r="G508" s="2" t="s">
        <v>5022</v>
      </c>
      <c r="H508" s="2" t="s">
        <v>5023</v>
      </c>
      <c r="I508" s="2" t="s">
        <v>7558</v>
      </c>
      <c r="J508" s="2"/>
      <c r="K508" s="2"/>
      <c r="L508" s="2"/>
      <c r="M508" s="2" t="s">
        <v>7559</v>
      </c>
      <c r="N508" s="2"/>
      <c r="O508" s="2"/>
      <c r="P508" s="2"/>
      <c r="Q508" s="2"/>
    </row>
    <row r="509" spans="1:17" x14ac:dyDescent="0.2">
      <c r="A509" s="2" t="s">
        <v>2030</v>
      </c>
      <c r="B509" s="2" t="s">
        <v>7560</v>
      </c>
      <c r="C509" s="2" t="s">
        <v>7561</v>
      </c>
      <c r="D509" s="2" t="s">
        <v>7562</v>
      </c>
      <c r="E509" s="2" t="s">
        <v>7563</v>
      </c>
      <c r="F509" s="2" t="s">
        <v>7259</v>
      </c>
      <c r="G509" s="2" t="s">
        <v>5022</v>
      </c>
      <c r="H509" s="2" t="s">
        <v>5023</v>
      </c>
      <c r="I509" s="2"/>
      <c r="J509" s="2"/>
      <c r="K509" s="2" t="s">
        <v>7564</v>
      </c>
      <c r="L509" s="2"/>
      <c r="M509" s="2"/>
      <c r="N509" s="2"/>
      <c r="O509" s="2"/>
      <c r="P509" s="2"/>
      <c r="Q509" s="2"/>
    </row>
    <row r="510" spans="1:17" x14ac:dyDescent="0.2">
      <c r="A510" s="2" t="s">
        <v>1004</v>
      </c>
      <c r="B510" s="2" t="s">
        <v>7565</v>
      </c>
      <c r="C510" s="2" t="s">
        <v>7004</v>
      </c>
      <c r="D510" s="2" t="s">
        <v>7566</v>
      </c>
      <c r="E510" s="2" t="s">
        <v>7567</v>
      </c>
      <c r="F510" s="2" t="s">
        <v>7568</v>
      </c>
      <c r="G510" s="2" t="s">
        <v>5022</v>
      </c>
      <c r="H510" s="2" t="s">
        <v>5023</v>
      </c>
      <c r="I510" s="2" t="s">
        <v>7569</v>
      </c>
      <c r="J510" s="2"/>
      <c r="K510" s="2"/>
      <c r="L510" s="2"/>
      <c r="M510" s="2"/>
      <c r="N510" s="2"/>
      <c r="O510" s="2"/>
      <c r="P510" s="2"/>
      <c r="Q510" s="2"/>
    </row>
    <row r="511" spans="1:17" x14ac:dyDescent="0.2">
      <c r="A511" s="2" t="s">
        <v>3552</v>
      </c>
      <c r="B511" s="2" t="s">
        <v>7570</v>
      </c>
      <c r="C511" s="2" t="s">
        <v>7571</v>
      </c>
      <c r="D511" s="2" t="s">
        <v>7572</v>
      </c>
      <c r="E511" s="2" t="s">
        <v>7573</v>
      </c>
      <c r="F511" s="2" t="s">
        <v>7574</v>
      </c>
      <c r="G511" s="2" t="s">
        <v>5022</v>
      </c>
      <c r="H511" s="2" t="s">
        <v>5023</v>
      </c>
      <c r="I511" s="2" t="s">
        <v>7575</v>
      </c>
      <c r="J511" s="2"/>
      <c r="K511" s="2"/>
      <c r="L511" s="2"/>
      <c r="M511" s="2" t="s">
        <v>7576</v>
      </c>
      <c r="N511" s="2"/>
      <c r="O511" s="2"/>
      <c r="P511" s="2"/>
      <c r="Q511" s="2"/>
    </row>
    <row r="512" spans="1:17" x14ac:dyDescent="0.2">
      <c r="A512" s="2" t="s">
        <v>4749</v>
      </c>
      <c r="B512" s="2" t="s">
        <v>7577</v>
      </c>
      <c r="C512" s="2" t="s">
        <v>7031</v>
      </c>
      <c r="D512" s="2" t="s">
        <v>7578</v>
      </c>
      <c r="E512" s="2" t="s">
        <v>6563</v>
      </c>
      <c r="F512" s="2" t="s">
        <v>7579</v>
      </c>
      <c r="G512" s="2" t="s">
        <v>5022</v>
      </c>
      <c r="H512" s="2" t="s">
        <v>5023</v>
      </c>
      <c r="I512" s="2" t="s">
        <v>7580</v>
      </c>
      <c r="J512" s="2"/>
      <c r="K512" s="2"/>
      <c r="L512" s="2"/>
      <c r="M512" s="2" t="s">
        <v>7581</v>
      </c>
      <c r="N512" s="2"/>
      <c r="O512" s="2"/>
      <c r="P512" s="2"/>
      <c r="Q512" s="2"/>
    </row>
    <row r="513" spans="1:17" x14ac:dyDescent="0.2">
      <c r="A513" s="2" t="s">
        <v>4492</v>
      </c>
      <c r="B513" s="2" t="s">
        <v>7582</v>
      </c>
      <c r="C513" s="2" t="s">
        <v>6004</v>
      </c>
      <c r="D513" s="2" t="s">
        <v>7583</v>
      </c>
      <c r="E513" s="2" t="s">
        <v>7584</v>
      </c>
      <c r="F513" s="2" t="s">
        <v>6523</v>
      </c>
      <c r="G513" s="2" t="s">
        <v>5022</v>
      </c>
      <c r="H513" s="2" t="s">
        <v>5023</v>
      </c>
      <c r="I513" s="2" t="s">
        <v>7585</v>
      </c>
      <c r="J513" s="2"/>
      <c r="K513" s="2"/>
      <c r="L513" s="2"/>
      <c r="M513" s="2" t="s">
        <v>7586</v>
      </c>
      <c r="N513" s="2"/>
      <c r="O513" s="2"/>
      <c r="P513" s="2"/>
      <c r="Q513" s="2"/>
    </row>
    <row r="514" spans="1:17" x14ac:dyDescent="0.2">
      <c r="A514" s="2" t="s">
        <v>167</v>
      </c>
      <c r="B514" s="2" t="s">
        <v>7587</v>
      </c>
      <c r="C514" s="2" t="s">
        <v>7588</v>
      </c>
      <c r="D514" s="2" t="s">
        <v>7589</v>
      </c>
      <c r="E514" s="2" t="s">
        <v>7590</v>
      </c>
      <c r="F514" s="2" t="s">
        <v>6809</v>
      </c>
      <c r="G514" s="2" t="s">
        <v>5022</v>
      </c>
      <c r="H514" s="2" t="s">
        <v>5023</v>
      </c>
      <c r="I514" s="2" t="s">
        <v>7591</v>
      </c>
      <c r="J514" s="2"/>
      <c r="K514" s="2"/>
      <c r="L514" s="2"/>
      <c r="M514" s="2"/>
      <c r="N514" s="2"/>
      <c r="O514" s="2"/>
      <c r="P514" s="2"/>
      <c r="Q514" s="2"/>
    </row>
    <row r="515" spans="1:17" x14ac:dyDescent="0.2">
      <c r="A515" s="2" t="s">
        <v>3086</v>
      </c>
      <c r="B515" s="2" t="s">
        <v>7592</v>
      </c>
      <c r="C515" s="2" t="s">
        <v>7593</v>
      </c>
      <c r="D515" s="2" t="s">
        <v>7594</v>
      </c>
      <c r="E515" s="2" t="s">
        <v>7595</v>
      </c>
      <c r="F515" s="2" t="s">
        <v>7596</v>
      </c>
      <c r="G515" s="2" t="s">
        <v>5022</v>
      </c>
      <c r="H515" s="2" t="s">
        <v>5023</v>
      </c>
      <c r="I515" s="2" t="s">
        <v>7597</v>
      </c>
      <c r="J515" s="2"/>
      <c r="K515" s="2"/>
      <c r="L515" s="2"/>
      <c r="M515" s="2" t="s">
        <v>7598</v>
      </c>
      <c r="N515" s="2"/>
      <c r="O515" s="2"/>
      <c r="P515" s="2"/>
      <c r="Q515" s="2"/>
    </row>
    <row r="516" spans="1:17" x14ac:dyDescent="0.2">
      <c r="A516" s="2" t="s">
        <v>3387</v>
      </c>
      <c r="B516" s="2" t="s">
        <v>7599</v>
      </c>
      <c r="C516" s="2" t="s">
        <v>7600</v>
      </c>
      <c r="D516" s="2" t="s">
        <v>5511</v>
      </c>
      <c r="E516" s="2" t="s">
        <v>7601</v>
      </c>
      <c r="F516" s="2" t="s">
        <v>7602</v>
      </c>
      <c r="G516" s="2" t="s">
        <v>5022</v>
      </c>
      <c r="H516" s="2" t="s">
        <v>5023</v>
      </c>
      <c r="I516" s="2" t="s">
        <v>7603</v>
      </c>
      <c r="J516" s="2"/>
      <c r="K516" s="2"/>
      <c r="L516" s="2"/>
      <c r="M516" s="2" t="s">
        <v>7604</v>
      </c>
      <c r="N516" s="2"/>
      <c r="O516" s="2"/>
      <c r="P516" s="2"/>
      <c r="Q516" s="2"/>
    </row>
    <row r="517" spans="1:17" x14ac:dyDescent="0.2">
      <c r="A517" s="2" t="s">
        <v>898</v>
      </c>
      <c r="B517" s="2" t="s">
        <v>7605</v>
      </c>
      <c r="C517" s="2" t="s">
        <v>6305</v>
      </c>
      <c r="D517" s="2" t="s">
        <v>7606</v>
      </c>
      <c r="E517" s="2" t="s">
        <v>7607</v>
      </c>
      <c r="F517" s="2" t="s">
        <v>7608</v>
      </c>
      <c r="G517" s="2" t="s">
        <v>5022</v>
      </c>
      <c r="H517" s="2" t="s">
        <v>5023</v>
      </c>
      <c r="I517" s="2"/>
      <c r="J517" s="2"/>
      <c r="K517" s="2" t="s">
        <v>7609</v>
      </c>
      <c r="L517" s="2"/>
      <c r="M517" s="2" t="s">
        <v>7610</v>
      </c>
      <c r="N517" s="2"/>
      <c r="O517" s="2"/>
      <c r="P517" s="2"/>
      <c r="Q517" s="2"/>
    </row>
    <row r="518" spans="1:17" x14ac:dyDescent="0.2">
      <c r="A518" s="2" t="s">
        <v>604</v>
      </c>
      <c r="B518" s="2" t="s">
        <v>7611</v>
      </c>
      <c r="C518" s="2" t="s">
        <v>7612</v>
      </c>
      <c r="D518" s="2" t="s">
        <v>7613</v>
      </c>
      <c r="E518" s="2" t="s">
        <v>6871</v>
      </c>
      <c r="F518" s="2" t="s">
        <v>5455</v>
      </c>
      <c r="G518" s="2" t="s">
        <v>5022</v>
      </c>
      <c r="H518" s="2" t="s">
        <v>5023</v>
      </c>
      <c r="I518" s="2" t="s">
        <v>7614</v>
      </c>
      <c r="J518" s="2"/>
      <c r="K518" s="2"/>
      <c r="L518" s="2"/>
      <c r="M518" s="2" t="s">
        <v>7615</v>
      </c>
      <c r="N518" s="2"/>
      <c r="O518" s="2"/>
      <c r="P518" s="2"/>
      <c r="Q518" s="2"/>
    </row>
    <row r="519" spans="1:17" x14ac:dyDescent="0.2">
      <c r="A519" s="2" t="s">
        <v>4054</v>
      </c>
      <c r="B519" s="2" t="s">
        <v>7616</v>
      </c>
      <c r="C519" s="2" t="s">
        <v>5118</v>
      </c>
      <c r="D519" s="2" t="s">
        <v>5780</v>
      </c>
      <c r="E519" s="2" t="s">
        <v>7617</v>
      </c>
      <c r="F519" s="2" t="s">
        <v>7602</v>
      </c>
      <c r="G519" s="2" t="s">
        <v>5022</v>
      </c>
      <c r="H519" s="2" t="s">
        <v>5023</v>
      </c>
      <c r="I519" s="2" t="s">
        <v>7618</v>
      </c>
      <c r="J519" s="2"/>
      <c r="K519" s="2"/>
      <c r="L519" s="2"/>
      <c r="M519" s="2"/>
      <c r="N519" s="2"/>
      <c r="O519" s="2"/>
      <c r="P519" s="2"/>
      <c r="Q519" s="2"/>
    </row>
    <row r="520" spans="1:17" x14ac:dyDescent="0.2">
      <c r="A520" s="2" t="s">
        <v>3751</v>
      </c>
      <c r="B520" s="2" t="s">
        <v>6221</v>
      </c>
      <c r="C520" s="2" t="s">
        <v>5480</v>
      </c>
      <c r="D520" s="2" t="s">
        <v>5428</v>
      </c>
      <c r="E520" s="2" t="s">
        <v>7619</v>
      </c>
      <c r="F520" s="2" t="s">
        <v>7620</v>
      </c>
      <c r="G520" s="2" t="s">
        <v>7621</v>
      </c>
      <c r="H520" s="2" t="s">
        <v>7622</v>
      </c>
      <c r="I520" s="2" t="s">
        <v>7623</v>
      </c>
      <c r="J520" s="2"/>
      <c r="K520" s="2"/>
      <c r="L520" s="2"/>
      <c r="M520" s="2" t="s">
        <v>7624</v>
      </c>
      <c r="N520" s="2"/>
      <c r="O520" s="2"/>
      <c r="P520" s="2"/>
      <c r="Q520" s="2"/>
    </row>
    <row r="521" spans="1:17" x14ac:dyDescent="0.2">
      <c r="A521" s="2" t="s">
        <v>506</v>
      </c>
      <c r="B521" s="2" t="s">
        <v>7625</v>
      </c>
      <c r="C521" s="2" t="s">
        <v>7626</v>
      </c>
      <c r="D521" s="2" t="s">
        <v>5039</v>
      </c>
      <c r="E521" s="2" t="s">
        <v>5294</v>
      </c>
      <c r="F521" s="2" t="s">
        <v>7335</v>
      </c>
      <c r="G521" s="2" t="s">
        <v>5022</v>
      </c>
      <c r="H521" s="2" t="s">
        <v>5023</v>
      </c>
      <c r="I521" s="2" t="s">
        <v>7627</v>
      </c>
      <c r="J521" s="2"/>
      <c r="K521" s="2"/>
      <c r="L521" s="2"/>
      <c r="M521" s="2" t="s">
        <v>7628</v>
      </c>
      <c r="N521" s="2"/>
      <c r="O521" s="2"/>
      <c r="P521" s="2"/>
      <c r="Q521" s="2"/>
    </row>
    <row r="522" spans="1:17" x14ac:dyDescent="0.2">
      <c r="A522" s="2" t="s">
        <v>2648</v>
      </c>
      <c r="B522" s="2" t="s">
        <v>7629</v>
      </c>
      <c r="C522" s="2" t="s">
        <v>7630</v>
      </c>
      <c r="D522" s="2" t="s">
        <v>7631</v>
      </c>
      <c r="E522" s="2" t="s">
        <v>7632</v>
      </c>
      <c r="F522" s="2" t="s">
        <v>7633</v>
      </c>
      <c r="G522" s="2" t="s">
        <v>5022</v>
      </c>
      <c r="H522" s="2" t="s">
        <v>5023</v>
      </c>
      <c r="I522" s="2" t="s">
        <v>7634</v>
      </c>
      <c r="J522" s="2"/>
      <c r="K522" s="2"/>
      <c r="L522" s="2"/>
      <c r="M522" s="2"/>
      <c r="N522" s="2"/>
      <c r="O522" s="2"/>
      <c r="P522" s="2"/>
      <c r="Q522" s="2"/>
    </row>
    <row r="523" spans="1:17" x14ac:dyDescent="0.2">
      <c r="A523" s="2" t="s">
        <v>1416</v>
      </c>
      <c r="B523" s="2" t="s">
        <v>7635</v>
      </c>
      <c r="C523" s="2" t="s">
        <v>7636</v>
      </c>
      <c r="D523" s="2" t="s">
        <v>5623</v>
      </c>
      <c r="E523" s="2" t="s">
        <v>5334</v>
      </c>
      <c r="F523" s="2" t="s">
        <v>5601</v>
      </c>
      <c r="G523" s="2" t="s">
        <v>5022</v>
      </c>
      <c r="H523" s="2" t="s">
        <v>5023</v>
      </c>
      <c r="I523" s="2" t="s">
        <v>7637</v>
      </c>
      <c r="J523" s="2"/>
      <c r="K523" s="2"/>
      <c r="L523" s="2"/>
      <c r="M523" s="2"/>
      <c r="N523" s="2"/>
      <c r="O523" s="2"/>
      <c r="P523" s="2"/>
      <c r="Q523" s="2"/>
    </row>
    <row r="524" spans="1:17" x14ac:dyDescent="0.2">
      <c r="A524" s="2" t="s">
        <v>79</v>
      </c>
      <c r="B524" s="2" t="s">
        <v>7638</v>
      </c>
      <c r="C524" s="2" t="s">
        <v>5510</v>
      </c>
      <c r="D524" s="2" t="s">
        <v>5409</v>
      </c>
      <c r="E524" s="2" t="s">
        <v>7509</v>
      </c>
      <c r="F524" s="2" t="s">
        <v>7639</v>
      </c>
      <c r="G524" s="2" t="s">
        <v>5022</v>
      </c>
      <c r="H524" s="2" t="s">
        <v>5023</v>
      </c>
      <c r="I524" s="2" t="s">
        <v>7640</v>
      </c>
      <c r="J524" s="2"/>
      <c r="K524" s="2"/>
      <c r="L524" s="2"/>
      <c r="M524" s="2"/>
      <c r="N524" s="2"/>
      <c r="O524" s="2"/>
      <c r="P524" s="2"/>
      <c r="Q524" s="2"/>
    </row>
    <row r="525" spans="1:17" x14ac:dyDescent="0.2">
      <c r="A525" s="2" t="s">
        <v>3547</v>
      </c>
      <c r="B525" s="2" t="s">
        <v>7641</v>
      </c>
      <c r="C525" s="2" t="s">
        <v>6292</v>
      </c>
      <c r="D525" s="2" t="s">
        <v>5535</v>
      </c>
      <c r="E525" s="2" t="s">
        <v>6262</v>
      </c>
      <c r="F525" s="2" t="s">
        <v>7642</v>
      </c>
      <c r="G525" s="2" t="s">
        <v>5022</v>
      </c>
      <c r="H525" s="2" t="s">
        <v>5023</v>
      </c>
      <c r="I525" s="2" t="s">
        <v>7643</v>
      </c>
      <c r="J525" s="2"/>
      <c r="K525" s="2"/>
      <c r="L525" s="2"/>
      <c r="M525" s="2" t="s">
        <v>7644</v>
      </c>
      <c r="N525" s="2"/>
      <c r="O525" s="2"/>
      <c r="P525" s="2"/>
      <c r="Q525" s="2"/>
    </row>
    <row r="526" spans="1:17" x14ac:dyDescent="0.2">
      <c r="A526" s="2" t="s">
        <v>2893</v>
      </c>
      <c r="B526" s="2" t="s">
        <v>7645</v>
      </c>
      <c r="C526" s="2" t="s">
        <v>7646</v>
      </c>
      <c r="D526" s="2" t="s">
        <v>7646</v>
      </c>
      <c r="E526" s="2" t="s">
        <v>7647</v>
      </c>
      <c r="F526" s="2"/>
      <c r="G526" s="2" t="s">
        <v>5022</v>
      </c>
      <c r="H526" s="2" t="s">
        <v>5023</v>
      </c>
      <c r="I526" s="2"/>
      <c r="J526" s="2"/>
      <c r="K526" s="2"/>
      <c r="L526" s="2"/>
      <c r="M526" s="2"/>
      <c r="N526" s="2"/>
      <c r="O526" s="2"/>
      <c r="P526" s="2"/>
      <c r="Q526" s="2"/>
    </row>
    <row r="527" spans="1:17" x14ac:dyDescent="0.2">
      <c r="A527" s="2" t="s">
        <v>864</v>
      </c>
      <c r="B527" s="2" t="s">
        <v>7648</v>
      </c>
      <c r="C527" s="2" t="s">
        <v>7649</v>
      </c>
      <c r="D527" s="2" t="s">
        <v>6337</v>
      </c>
      <c r="E527" s="2" t="s">
        <v>5242</v>
      </c>
      <c r="F527" s="2" t="s">
        <v>7650</v>
      </c>
      <c r="G527" s="2" t="s">
        <v>5022</v>
      </c>
      <c r="H527" s="2" t="s">
        <v>5023</v>
      </c>
      <c r="I527" s="2" t="s">
        <v>7651</v>
      </c>
      <c r="J527" s="2"/>
      <c r="K527" s="2"/>
      <c r="L527" s="2"/>
      <c r="M527" s="2" t="s">
        <v>7652</v>
      </c>
      <c r="N527" s="2"/>
      <c r="O527" s="2"/>
      <c r="P527" s="2"/>
      <c r="Q527" s="2"/>
    </row>
    <row r="528" spans="1:17" x14ac:dyDescent="0.2">
      <c r="A528" s="2" t="s">
        <v>3813</v>
      </c>
      <c r="B528" s="2" t="s">
        <v>7653</v>
      </c>
      <c r="C528" s="2" t="s">
        <v>5119</v>
      </c>
      <c r="D528" s="2" t="s">
        <v>7654</v>
      </c>
      <c r="E528" s="2" t="s">
        <v>5482</v>
      </c>
      <c r="F528" s="2" t="s">
        <v>6523</v>
      </c>
      <c r="G528" s="2" t="s">
        <v>5022</v>
      </c>
      <c r="H528" s="2" t="s">
        <v>5023</v>
      </c>
      <c r="I528" s="2" t="s">
        <v>7655</v>
      </c>
      <c r="J528" s="2"/>
      <c r="K528" s="2"/>
      <c r="L528" s="2"/>
      <c r="M528" s="2" t="s">
        <v>7656</v>
      </c>
      <c r="N528" s="2"/>
      <c r="O528" s="2"/>
      <c r="P528" s="2"/>
      <c r="Q528" s="2"/>
    </row>
    <row r="529" spans="1:17" x14ac:dyDescent="0.2">
      <c r="A529" s="2" t="s">
        <v>1325</v>
      </c>
      <c r="B529" s="2" t="s">
        <v>7657</v>
      </c>
      <c r="C529" s="2" t="s">
        <v>7658</v>
      </c>
      <c r="D529" s="2" t="s">
        <v>7659</v>
      </c>
      <c r="E529" s="2" t="s">
        <v>5114</v>
      </c>
      <c r="F529" s="2" t="s">
        <v>7660</v>
      </c>
      <c r="G529" s="2" t="s">
        <v>5022</v>
      </c>
      <c r="H529" s="2" t="s">
        <v>5023</v>
      </c>
      <c r="I529" s="2" t="s">
        <v>7661</v>
      </c>
      <c r="J529" s="2"/>
      <c r="K529" s="2"/>
      <c r="L529" s="2"/>
      <c r="M529" s="2" t="s">
        <v>7662</v>
      </c>
      <c r="N529" s="2"/>
      <c r="O529" s="2"/>
      <c r="P529" s="2"/>
      <c r="Q529" s="2"/>
    </row>
    <row r="530" spans="1:17" x14ac:dyDescent="0.2">
      <c r="A530" s="2" t="s">
        <v>2610</v>
      </c>
      <c r="B530" s="2" t="s">
        <v>7663</v>
      </c>
      <c r="C530" s="2" t="s">
        <v>5051</v>
      </c>
      <c r="D530" s="2" t="s">
        <v>5075</v>
      </c>
      <c r="E530" s="2" t="s">
        <v>7664</v>
      </c>
      <c r="F530" s="2" t="s">
        <v>7665</v>
      </c>
      <c r="G530" s="2" t="s">
        <v>5022</v>
      </c>
      <c r="H530" s="2" t="s">
        <v>5023</v>
      </c>
      <c r="I530" s="2" t="s">
        <v>7666</v>
      </c>
      <c r="J530" s="2"/>
      <c r="K530" s="2"/>
      <c r="L530" s="2"/>
      <c r="M530" s="2" t="s">
        <v>7667</v>
      </c>
      <c r="N530" s="2"/>
      <c r="O530" s="2"/>
      <c r="P530" s="2"/>
      <c r="Q530" s="2"/>
    </row>
    <row r="531" spans="1:17" x14ac:dyDescent="0.2">
      <c r="A531" s="2" t="s">
        <v>1108</v>
      </c>
      <c r="B531" s="2" t="s">
        <v>7668</v>
      </c>
      <c r="C531" s="2" t="s">
        <v>5217</v>
      </c>
      <c r="D531" s="2" t="s">
        <v>5991</v>
      </c>
      <c r="E531" s="2" t="s">
        <v>7669</v>
      </c>
      <c r="F531" s="2" t="s">
        <v>7670</v>
      </c>
      <c r="G531" s="2" t="s">
        <v>5022</v>
      </c>
      <c r="H531" s="2" t="s">
        <v>5023</v>
      </c>
      <c r="I531" s="2" t="s">
        <v>7671</v>
      </c>
      <c r="J531" s="2"/>
      <c r="K531" s="2"/>
      <c r="L531" s="2"/>
      <c r="M531" s="2" t="s">
        <v>7672</v>
      </c>
      <c r="N531" s="2"/>
      <c r="O531" s="2"/>
      <c r="P531" s="2"/>
      <c r="Q531" s="2"/>
    </row>
    <row r="532" spans="1:17" x14ac:dyDescent="0.2">
      <c r="A532" s="2" t="s">
        <v>495</v>
      </c>
      <c r="B532" s="2" t="s">
        <v>5739</v>
      </c>
      <c r="C532" s="2" t="s">
        <v>7673</v>
      </c>
      <c r="D532" s="2" t="s">
        <v>7674</v>
      </c>
      <c r="E532" s="2" t="s">
        <v>7675</v>
      </c>
      <c r="F532" s="2" t="s">
        <v>7676</v>
      </c>
      <c r="G532" s="2" t="s">
        <v>5022</v>
      </c>
      <c r="H532" s="2" t="s">
        <v>5023</v>
      </c>
      <c r="I532" s="2" t="s">
        <v>7677</v>
      </c>
      <c r="J532" s="2"/>
      <c r="K532" s="2"/>
      <c r="L532" s="2"/>
      <c r="M532" s="2"/>
      <c r="N532" s="2"/>
      <c r="O532" s="2"/>
      <c r="P532" s="2"/>
      <c r="Q532" s="2"/>
    </row>
    <row r="533" spans="1:17" x14ac:dyDescent="0.2">
      <c r="A533" s="2" t="s">
        <v>1266</v>
      </c>
      <c r="B533" s="2" t="s">
        <v>7678</v>
      </c>
      <c r="C533" s="2" t="s">
        <v>5473</v>
      </c>
      <c r="D533" s="2" t="s">
        <v>7679</v>
      </c>
      <c r="E533" s="2" t="s">
        <v>7680</v>
      </c>
      <c r="F533" s="2" t="s">
        <v>7681</v>
      </c>
      <c r="G533" s="2" t="s">
        <v>5022</v>
      </c>
      <c r="H533" s="2" t="s">
        <v>5023</v>
      </c>
      <c r="I533" s="2" t="s">
        <v>7682</v>
      </c>
      <c r="J533" s="2"/>
      <c r="K533" s="2"/>
      <c r="L533" s="2"/>
      <c r="M533" s="2" t="s">
        <v>7683</v>
      </c>
      <c r="N533" s="2"/>
      <c r="O533" s="2"/>
      <c r="P533" s="2"/>
      <c r="Q533" s="2"/>
    </row>
    <row r="534" spans="1:17" x14ac:dyDescent="0.2">
      <c r="A534" s="2" t="s">
        <v>3192</v>
      </c>
      <c r="B534" s="2" t="s">
        <v>6013</v>
      </c>
      <c r="C534" s="2" t="s">
        <v>7684</v>
      </c>
      <c r="D534" s="2" t="s">
        <v>7685</v>
      </c>
      <c r="E534" s="2" t="s">
        <v>7686</v>
      </c>
      <c r="F534" s="2" t="s">
        <v>7687</v>
      </c>
      <c r="G534" s="2" t="s">
        <v>5022</v>
      </c>
      <c r="H534" s="2" t="s">
        <v>5023</v>
      </c>
      <c r="I534" s="2"/>
      <c r="J534" s="2"/>
      <c r="K534" s="2" t="s">
        <v>7688</v>
      </c>
      <c r="L534" s="2"/>
      <c r="M534" s="2"/>
      <c r="N534" s="2"/>
      <c r="O534" s="2"/>
      <c r="P534" s="2"/>
      <c r="Q534" s="2"/>
    </row>
    <row r="535" spans="1:17" x14ac:dyDescent="0.2">
      <c r="A535" s="2" t="s">
        <v>2592</v>
      </c>
      <c r="B535" s="2" t="s">
        <v>7689</v>
      </c>
      <c r="C535" s="2" t="s">
        <v>5369</v>
      </c>
      <c r="D535" s="2" t="s">
        <v>7690</v>
      </c>
      <c r="E535" s="2" t="s">
        <v>7691</v>
      </c>
      <c r="F535" s="2" t="s">
        <v>7692</v>
      </c>
      <c r="G535" s="2" t="s">
        <v>5022</v>
      </c>
      <c r="H535" s="2" t="s">
        <v>5023</v>
      </c>
      <c r="I535" s="2" t="s">
        <v>7693</v>
      </c>
      <c r="J535" s="2"/>
      <c r="K535" s="2"/>
      <c r="L535" s="2"/>
      <c r="M535" s="2"/>
      <c r="N535" s="2"/>
      <c r="O535" s="2"/>
      <c r="P535" s="2"/>
      <c r="Q535" s="2"/>
    </row>
    <row r="536" spans="1:17" x14ac:dyDescent="0.2">
      <c r="A536" s="2" t="s">
        <v>1196</v>
      </c>
      <c r="B536" s="2" t="s">
        <v>5097</v>
      </c>
      <c r="C536" s="2" t="s">
        <v>7694</v>
      </c>
      <c r="D536" s="2" t="s">
        <v>7695</v>
      </c>
      <c r="E536" s="2" t="s">
        <v>7696</v>
      </c>
      <c r="F536" s="2" t="s">
        <v>7697</v>
      </c>
      <c r="G536" s="2" t="s">
        <v>5022</v>
      </c>
      <c r="H536" s="2" t="s">
        <v>5023</v>
      </c>
      <c r="I536" s="2" t="s">
        <v>7698</v>
      </c>
      <c r="J536" s="2"/>
      <c r="K536" s="2"/>
      <c r="L536" s="2"/>
      <c r="M536" s="2"/>
      <c r="N536" s="2"/>
      <c r="O536" s="2"/>
      <c r="P536" s="2"/>
      <c r="Q536" s="2"/>
    </row>
    <row r="537" spans="1:17" x14ac:dyDescent="0.2">
      <c r="A537" s="2" t="s">
        <v>839</v>
      </c>
      <c r="B537" s="2" t="s">
        <v>7699</v>
      </c>
      <c r="C537" s="2" t="s">
        <v>5218</v>
      </c>
      <c r="D537" s="2" t="s">
        <v>7700</v>
      </c>
      <c r="E537" s="2" t="s">
        <v>7701</v>
      </c>
      <c r="F537" s="2" t="s">
        <v>7702</v>
      </c>
      <c r="G537" s="2" t="s">
        <v>5022</v>
      </c>
      <c r="H537" s="2" t="s">
        <v>5023</v>
      </c>
      <c r="I537" s="2" t="s">
        <v>7703</v>
      </c>
      <c r="J537" s="2"/>
      <c r="K537" s="2"/>
      <c r="L537" s="2"/>
      <c r="M537" s="2"/>
      <c r="N537" s="2"/>
      <c r="O537" s="2"/>
      <c r="P537" s="2"/>
      <c r="Q537" s="2"/>
    </row>
    <row r="538" spans="1:17" x14ac:dyDescent="0.2">
      <c r="A538" s="2" t="s">
        <v>1939</v>
      </c>
      <c r="B538" s="2" t="s">
        <v>6326</v>
      </c>
      <c r="C538" s="2" t="s">
        <v>5895</v>
      </c>
      <c r="D538" s="2" t="s">
        <v>7704</v>
      </c>
      <c r="E538" s="2" t="s">
        <v>7705</v>
      </c>
      <c r="F538" s="2" t="s">
        <v>7706</v>
      </c>
      <c r="G538" s="2" t="s">
        <v>5022</v>
      </c>
      <c r="H538" s="2" t="s">
        <v>5023</v>
      </c>
      <c r="I538" s="2" t="s">
        <v>7707</v>
      </c>
      <c r="J538" s="2"/>
      <c r="K538" s="2"/>
      <c r="L538" s="2"/>
      <c r="M538" s="2" t="s">
        <v>7708</v>
      </c>
      <c r="N538" s="2"/>
      <c r="O538" s="2"/>
      <c r="P538" s="2"/>
      <c r="Q538" s="2"/>
    </row>
    <row r="539" spans="1:17" x14ac:dyDescent="0.2">
      <c r="A539" s="2" t="s">
        <v>4482</v>
      </c>
      <c r="B539" s="2" t="s">
        <v>7709</v>
      </c>
      <c r="C539" s="2" t="s">
        <v>6357</v>
      </c>
      <c r="D539" s="2" t="s">
        <v>5329</v>
      </c>
      <c r="E539" s="2" t="s">
        <v>7710</v>
      </c>
      <c r="F539" s="2" t="s">
        <v>7711</v>
      </c>
      <c r="G539" s="2" t="s">
        <v>5022</v>
      </c>
      <c r="H539" s="2" t="s">
        <v>5023</v>
      </c>
      <c r="I539" s="2" t="s">
        <v>7712</v>
      </c>
      <c r="J539" s="2"/>
      <c r="K539" s="2"/>
      <c r="L539" s="2"/>
      <c r="M539" s="2" t="s">
        <v>7713</v>
      </c>
      <c r="N539" s="2"/>
      <c r="O539" s="2"/>
      <c r="P539" s="2"/>
      <c r="Q539" s="2"/>
    </row>
    <row r="540" spans="1:17" x14ac:dyDescent="0.2">
      <c r="A540" s="2" t="s">
        <v>738</v>
      </c>
      <c r="B540" s="2" t="s">
        <v>7714</v>
      </c>
      <c r="C540" s="2" t="s">
        <v>6830</v>
      </c>
      <c r="D540" s="2" t="s">
        <v>7715</v>
      </c>
      <c r="E540" s="2" t="s">
        <v>5294</v>
      </c>
      <c r="F540" s="2" t="s">
        <v>7716</v>
      </c>
      <c r="G540" s="2" t="s">
        <v>5022</v>
      </c>
      <c r="H540" s="2" t="s">
        <v>5023</v>
      </c>
      <c r="I540" s="2"/>
      <c r="J540" s="2"/>
      <c r="K540" s="2" t="s">
        <v>7717</v>
      </c>
      <c r="L540" s="2"/>
      <c r="M540" s="2"/>
      <c r="N540" s="2"/>
      <c r="O540" s="2"/>
      <c r="P540" s="2"/>
      <c r="Q540" s="2"/>
    </row>
    <row r="541" spans="1:17" x14ac:dyDescent="0.2">
      <c r="A541" s="2" t="s">
        <v>4871</v>
      </c>
      <c r="B541" s="2" t="s">
        <v>7718</v>
      </c>
      <c r="C541" s="2" t="s">
        <v>7719</v>
      </c>
      <c r="D541" s="2" t="s">
        <v>5392</v>
      </c>
      <c r="E541" s="2" t="s">
        <v>7720</v>
      </c>
      <c r="F541" s="2" t="s">
        <v>7721</v>
      </c>
      <c r="G541" s="2" t="s">
        <v>5022</v>
      </c>
      <c r="H541" s="2" t="s">
        <v>5023</v>
      </c>
      <c r="I541" s="2" t="s">
        <v>7722</v>
      </c>
      <c r="J541" s="2"/>
      <c r="K541" s="2"/>
      <c r="L541" s="2"/>
      <c r="M541" s="2"/>
      <c r="N541" s="2"/>
      <c r="O541" s="2"/>
      <c r="P541" s="2"/>
      <c r="Q541" s="2"/>
    </row>
    <row r="542" spans="1:17" x14ac:dyDescent="0.2">
      <c r="A542" s="2" t="s">
        <v>1896</v>
      </c>
      <c r="B542" s="2" t="s">
        <v>7723</v>
      </c>
      <c r="C542" s="2" t="s">
        <v>7724</v>
      </c>
      <c r="D542" s="2" t="s">
        <v>5734</v>
      </c>
      <c r="E542" s="2" t="s">
        <v>7725</v>
      </c>
      <c r="F542" s="2" t="s">
        <v>7726</v>
      </c>
      <c r="G542" s="2" t="s">
        <v>5022</v>
      </c>
      <c r="H542" s="2" t="s">
        <v>5023</v>
      </c>
      <c r="I542" s="2" t="s">
        <v>7727</v>
      </c>
      <c r="J542" s="2"/>
      <c r="K542" s="2"/>
      <c r="L542" s="2"/>
      <c r="M542" s="2"/>
      <c r="N542" s="2"/>
      <c r="O542" s="2"/>
      <c r="P542" s="2"/>
      <c r="Q542" s="2"/>
    </row>
    <row r="543" spans="1:17" x14ac:dyDescent="0.2">
      <c r="A543" s="2" t="s">
        <v>314</v>
      </c>
      <c r="B543" s="2" t="s">
        <v>5257</v>
      </c>
      <c r="C543" s="2" t="s">
        <v>7728</v>
      </c>
      <c r="D543" s="2" t="s">
        <v>5217</v>
      </c>
      <c r="E543" s="2" t="s">
        <v>7729</v>
      </c>
      <c r="F543" s="2" t="s">
        <v>5354</v>
      </c>
      <c r="G543" s="2" t="s">
        <v>5022</v>
      </c>
      <c r="H543" s="2" t="s">
        <v>5023</v>
      </c>
      <c r="I543" s="2"/>
      <c r="J543" s="2"/>
      <c r="K543" s="2" t="s">
        <v>7730</v>
      </c>
      <c r="L543" s="2"/>
      <c r="M543" s="2"/>
      <c r="N543" s="2"/>
      <c r="O543" s="2"/>
      <c r="P543" s="2"/>
      <c r="Q543" s="2"/>
    </row>
    <row r="544" spans="1:17" x14ac:dyDescent="0.2">
      <c r="A544" s="2" t="s">
        <v>3584</v>
      </c>
      <c r="B544" s="2" t="s">
        <v>7731</v>
      </c>
      <c r="C544" s="2" t="s">
        <v>7732</v>
      </c>
      <c r="D544" s="2" t="s">
        <v>7733</v>
      </c>
      <c r="E544" s="2" t="s">
        <v>7734</v>
      </c>
      <c r="F544" s="2" t="s">
        <v>7735</v>
      </c>
      <c r="G544" s="2" t="s">
        <v>5022</v>
      </c>
      <c r="H544" s="2" t="s">
        <v>5023</v>
      </c>
      <c r="I544" s="2" t="s">
        <v>7736</v>
      </c>
      <c r="J544" s="2"/>
      <c r="K544" s="2"/>
      <c r="L544" s="2"/>
      <c r="M544" s="2" t="s">
        <v>7737</v>
      </c>
      <c r="N544" s="2"/>
      <c r="O544" s="2"/>
      <c r="P544" s="2"/>
      <c r="Q544" s="2"/>
    </row>
    <row r="545" spans="1:17" x14ac:dyDescent="0.2">
      <c r="A545" s="2" t="s">
        <v>3736</v>
      </c>
      <c r="B545" s="2" t="s">
        <v>6686</v>
      </c>
      <c r="C545" s="2" t="s">
        <v>7738</v>
      </c>
      <c r="D545" s="2" t="s">
        <v>7739</v>
      </c>
      <c r="E545" s="2" t="s">
        <v>7740</v>
      </c>
      <c r="F545" s="2" t="s">
        <v>6411</v>
      </c>
      <c r="G545" s="2" t="s">
        <v>5022</v>
      </c>
      <c r="H545" s="2" t="s">
        <v>5023</v>
      </c>
      <c r="I545" s="2" t="s">
        <v>7741</v>
      </c>
      <c r="J545" s="2"/>
      <c r="K545" s="2"/>
      <c r="L545" s="2"/>
      <c r="M545" s="2"/>
      <c r="N545" s="2"/>
      <c r="O545" s="2"/>
      <c r="P545" s="2"/>
      <c r="Q545" s="2"/>
    </row>
    <row r="546" spans="1:17" x14ac:dyDescent="0.2">
      <c r="A546" s="2" t="s">
        <v>871</v>
      </c>
      <c r="B546" s="2" t="s">
        <v>7742</v>
      </c>
      <c r="C546" s="2" t="s">
        <v>6112</v>
      </c>
      <c r="D546" s="2" t="s">
        <v>5997</v>
      </c>
      <c r="E546" s="2" t="s">
        <v>7743</v>
      </c>
      <c r="F546" s="2" t="s">
        <v>7744</v>
      </c>
      <c r="G546" s="2" t="s">
        <v>5022</v>
      </c>
      <c r="H546" s="2" t="s">
        <v>5023</v>
      </c>
      <c r="I546" s="2" t="s">
        <v>7745</v>
      </c>
      <c r="J546" s="2"/>
      <c r="K546" s="2"/>
      <c r="L546" s="2"/>
      <c r="M546" s="2" t="s">
        <v>7746</v>
      </c>
      <c r="N546" s="2"/>
      <c r="O546" s="2"/>
      <c r="P546" s="2"/>
      <c r="Q546" s="2"/>
    </row>
    <row r="547" spans="1:17" x14ac:dyDescent="0.2">
      <c r="A547" s="2" t="s">
        <v>2058</v>
      </c>
      <c r="B547" s="2" t="s">
        <v>5528</v>
      </c>
      <c r="C547" s="2" t="s">
        <v>5189</v>
      </c>
      <c r="D547" s="2" t="s">
        <v>5189</v>
      </c>
      <c r="E547" s="2" t="s">
        <v>7747</v>
      </c>
      <c r="F547" s="2" t="s">
        <v>7748</v>
      </c>
      <c r="G547" s="2" t="s">
        <v>5022</v>
      </c>
      <c r="H547" s="2" t="s">
        <v>5023</v>
      </c>
      <c r="I547" s="2"/>
      <c r="J547" s="2"/>
      <c r="K547" s="2" t="s">
        <v>7749</v>
      </c>
      <c r="L547" s="2"/>
      <c r="M547" s="2"/>
      <c r="N547" s="2"/>
      <c r="O547" s="2"/>
      <c r="P547" s="2"/>
      <c r="Q547" s="2"/>
    </row>
    <row r="548" spans="1:17" x14ac:dyDescent="0.2">
      <c r="A548" s="2" t="s">
        <v>929</v>
      </c>
      <c r="B548" s="2" t="s">
        <v>7750</v>
      </c>
      <c r="C548" s="2" t="s">
        <v>7659</v>
      </c>
      <c r="D548" s="2" t="s">
        <v>5493</v>
      </c>
      <c r="E548" s="2" t="s">
        <v>7751</v>
      </c>
      <c r="F548" s="2" t="s">
        <v>7346</v>
      </c>
      <c r="G548" s="2" t="s">
        <v>5022</v>
      </c>
      <c r="H548" s="2" t="s">
        <v>5023</v>
      </c>
      <c r="I548" s="2" t="s">
        <v>7752</v>
      </c>
      <c r="J548" s="2"/>
      <c r="K548" s="2"/>
      <c r="L548" s="2"/>
      <c r="M548" s="2"/>
      <c r="N548" s="2"/>
      <c r="O548" s="2"/>
      <c r="P548" s="2"/>
      <c r="Q548" s="2"/>
    </row>
    <row r="549" spans="1:17" x14ac:dyDescent="0.2">
      <c r="A549" s="2" t="s">
        <v>4499</v>
      </c>
      <c r="B549" s="2" t="s">
        <v>7753</v>
      </c>
      <c r="C549" s="2" t="s">
        <v>7483</v>
      </c>
      <c r="D549" s="2" t="s">
        <v>7754</v>
      </c>
      <c r="E549" s="2" t="s">
        <v>7755</v>
      </c>
      <c r="F549" s="2" t="s">
        <v>7756</v>
      </c>
      <c r="G549" s="2" t="s">
        <v>5022</v>
      </c>
      <c r="H549" s="2" t="s">
        <v>5023</v>
      </c>
      <c r="I549" s="2" t="s">
        <v>7757</v>
      </c>
      <c r="J549" s="2"/>
      <c r="K549" s="2"/>
      <c r="L549" s="2"/>
      <c r="M549" s="2"/>
      <c r="N549" s="2"/>
      <c r="O549" s="2"/>
      <c r="P549" s="2"/>
      <c r="Q549" s="2"/>
    </row>
    <row r="550" spans="1:17" x14ac:dyDescent="0.2">
      <c r="A550" s="2" t="s">
        <v>3189</v>
      </c>
      <c r="B550" s="2" t="s">
        <v>7758</v>
      </c>
      <c r="C550" s="2" t="s">
        <v>7759</v>
      </c>
      <c r="D550" s="2" t="s">
        <v>5966</v>
      </c>
      <c r="E550" s="2" t="s">
        <v>7760</v>
      </c>
      <c r="F550" s="2" t="s">
        <v>6719</v>
      </c>
      <c r="G550" s="2" t="s">
        <v>5022</v>
      </c>
      <c r="H550" s="2" t="s">
        <v>5023</v>
      </c>
      <c r="I550" s="2" t="s">
        <v>7761</v>
      </c>
      <c r="J550" s="2"/>
      <c r="K550" s="2"/>
      <c r="L550" s="2"/>
      <c r="M550" s="2" t="s">
        <v>7762</v>
      </c>
      <c r="N550" s="2"/>
      <c r="O550" s="2"/>
      <c r="P550" s="2"/>
      <c r="Q550" s="2"/>
    </row>
    <row r="551" spans="1:17" x14ac:dyDescent="0.2">
      <c r="A551" s="2" t="s">
        <v>1404</v>
      </c>
      <c r="B551" s="2" t="s">
        <v>6067</v>
      </c>
      <c r="C551" s="2" t="s">
        <v>5789</v>
      </c>
      <c r="D551" s="2" t="s">
        <v>7450</v>
      </c>
      <c r="E551" s="2" t="s">
        <v>5714</v>
      </c>
      <c r="F551" s="2" t="s">
        <v>7763</v>
      </c>
      <c r="G551" s="2" t="s">
        <v>5022</v>
      </c>
      <c r="H551" s="2" t="s">
        <v>5023</v>
      </c>
      <c r="I551" s="2" t="s">
        <v>7764</v>
      </c>
      <c r="J551" s="2" t="s">
        <v>7765</v>
      </c>
      <c r="K551" s="2"/>
      <c r="L551" s="2"/>
      <c r="M551" s="2"/>
      <c r="N551" s="2"/>
      <c r="O551" s="2"/>
      <c r="P551" s="2"/>
      <c r="Q551" s="2"/>
    </row>
    <row r="552" spans="1:17" x14ac:dyDescent="0.2">
      <c r="A552" s="2" t="s">
        <v>1221</v>
      </c>
      <c r="B552" s="2" t="s">
        <v>7766</v>
      </c>
      <c r="C552" s="2" t="s">
        <v>5269</v>
      </c>
      <c r="D552" s="2" t="s">
        <v>7767</v>
      </c>
      <c r="E552" s="2" t="s">
        <v>7768</v>
      </c>
      <c r="F552" s="2" t="s">
        <v>7769</v>
      </c>
      <c r="G552" s="2" t="s">
        <v>5022</v>
      </c>
      <c r="H552" s="2" t="s">
        <v>5023</v>
      </c>
      <c r="I552" s="2" t="s">
        <v>7770</v>
      </c>
      <c r="J552" s="2"/>
      <c r="K552" s="2"/>
      <c r="L552" s="2"/>
      <c r="M552" s="2"/>
      <c r="N552" s="2"/>
      <c r="O552" s="2"/>
      <c r="P552" s="2"/>
      <c r="Q552" s="2"/>
    </row>
    <row r="553" spans="1:17" x14ac:dyDescent="0.2">
      <c r="A553" s="2" t="s">
        <v>2764</v>
      </c>
      <c r="B553" s="2" t="s">
        <v>7771</v>
      </c>
      <c r="C553" s="2" t="s">
        <v>5323</v>
      </c>
      <c r="D553" s="2" t="s">
        <v>5880</v>
      </c>
      <c r="E553" s="2" t="s">
        <v>6145</v>
      </c>
      <c r="F553" s="2" t="s">
        <v>6146</v>
      </c>
      <c r="G553" s="2" t="s">
        <v>5022</v>
      </c>
      <c r="H553" s="2" t="s">
        <v>5023</v>
      </c>
      <c r="I553" s="2" t="s">
        <v>7772</v>
      </c>
      <c r="J553" s="2"/>
      <c r="K553" s="2"/>
      <c r="L553" s="2"/>
      <c r="M553" s="2"/>
      <c r="N553" s="2"/>
      <c r="O553" s="2"/>
      <c r="P553" s="2"/>
      <c r="Q553" s="2"/>
    </row>
    <row r="554" spans="1:17" x14ac:dyDescent="0.2">
      <c r="A554" s="2" t="s">
        <v>2585</v>
      </c>
      <c r="B554" s="2" t="s">
        <v>7773</v>
      </c>
      <c r="C554" s="2" t="s">
        <v>7774</v>
      </c>
      <c r="D554" s="2" t="s">
        <v>6261</v>
      </c>
      <c r="E554" s="2" t="s">
        <v>5094</v>
      </c>
      <c r="F554" s="2" t="s">
        <v>6546</v>
      </c>
      <c r="G554" s="2" t="s">
        <v>5022</v>
      </c>
      <c r="H554" s="2" t="s">
        <v>5023</v>
      </c>
      <c r="I554" s="2" t="s">
        <v>7775</v>
      </c>
      <c r="J554" s="2"/>
      <c r="K554" s="2"/>
      <c r="L554" s="2"/>
      <c r="M554" s="2"/>
      <c r="N554" s="2"/>
      <c r="O554" s="2"/>
      <c r="P554" s="2"/>
      <c r="Q554" s="2"/>
    </row>
    <row r="555" spans="1:17" x14ac:dyDescent="0.2">
      <c r="A555" s="2" t="s">
        <v>2045</v>
      </c>
      <c r="B555" s="2" t="s">
        <v>3159</v>
      </c>
      <c r="C555" s="2" t="s">
        <v>7776</v>
      </c>
      <c r="D555" s="2" t="s">
        <v>5056</v>
      </c>
      <c r="E555" s="2" t="s">
        <v>7777</v>
      </c>
      <c r="F555" s="2" t="s">
        <v>5692</v>
      </c>
      <c r="G555" s="2" t="s">
        <v>5022</v>
      </c>
      <c r="H555" s="2" t="s">
        <v>5023</v>
      </c>
      <c r="I555" s="2" t="s">
        <v>7778</v>
      </c>
      <c r="J555" s="2"/>
      <c r="K555" s="2"/>
      <c r="L555" s="2"/>
      <c r="M555" s="2" t="s">
        <v>7779</v>
      </c>
      <c r="N555" s="2"/>
      <c r="O555" s="2"/>
      <c r="P555" s="2"/>
      <c r="Q555" s="2"/>
    </row>
    <row r="556" spans="1:17" x14ac:dyDescent="0.2">
      <c r="A556" s="2" t="s">
        <v>913</v>
      </c>
      <c r="B556" s="2" t="s">
        <v>7490</v>
      </c>
      <c r="C556" s="2" t="s">
        <v>5193</v>
      </c>
      <c r="D556" s="2" t="s">
        <v>7724</v>
      </c>
      <c r="E556" s="2" t="s">
        <v>7780</v>
      </c>
      <c r="F556" s="2" t="s">
        <v>7781</v>
      </c>
      <c r="G556" s="2" t="s">
        <v>5022</v>
      </c>
      <c r="H556" s="2" t="s">
        <v>5023</v>
      </c>
      <c r="I556" s="2" t="s">
        <v>7782</v>
      </c>
      <c r="J556" s="2"/>
      <c r="K556" s="2"/>
      <c r="L556" s="2"/>
      <c r="M556" s="2" t="s">
        <v>7783</v>
      </c>
      <c r="N556" s="2"/>
      <c r="O556" s="2"/>
      <c r="P556" s="2"/>
      <c r="Q556" s="2"/>
    </row>
    <row r="557" spans="1:17" x14ac:dyDescent="0.2">
      <c r="A557" s="2" t="s">
        <v>4438</v>
      </c>
      <c r="B557" s="2" t="s">
        <v>5739</v>
      </c>
      <c r="C557" s="2" t="s">
        <v>5467</v>
      </c>
      <c r="D557" s="2" t="s">
        <v>5795</v>
      </c>
      <c r="E557" s="2" t="s">
        <v>7784</v>
      </c>
      <c r="F557" s="2" t="s">
        <v>5271</v>
      </c>
      <c r="G557" s="2" t="s">
        <v>5022</v>
      </c>
      <c r="H557" s="2" t="s">
        <v>5023</v>
      </c>
      <c r="I557" s="2" t="s">
        <v>7785</v>
      </c>
      <c r="J557" s="2"/>
      <c r="K557" s="2"/>
      <c r="L557" s="2"/>
      <c r="M557" s="2" t="s">
        <v>7786</v>
      </c>
      <c r="N557" s="2"/>
      <c r="O557" s="2"/>
      <c r="P557" s="2"/>
      <c r="Q557" s="2"/>
    </row>
    <row r="558" spans="1:17" x14ac:dyDescent="0.2">
      <c r="A558" s="2" t="s">
        <v>4445</v>
      </c>
      <c r="B558" s="2" t="s">
        <v>6221</v>
      </c>
      <c r="C558" s="2" t="s">
        <v>6678</v>
      </c>
      <c r="D558" s="2" t="s">
        <v>7787</v>
      </c>
      <c r="E558" s="2" t="s">
        <v>7788</v>
      </c>
      <c r="F558" s="2" t="s">
        <v>7789</v>
      </c>
      <c r="G558" s="2" t="s">
        <v>5022</v>
      </c>
      <c r="H558" s="2" t="s">
        <v>5023</v>
      </c>
      <c r="I558" s="2" t="s">
        <v>7790</v>
      </c>
      <c r="J558" s="2"/>
      <c r="K558" s="2"/>
      <c r="L558" s="2"/>
      <c r="M558" s="2" t="s">
        <v>7791</v>
      </c>
      <c r="N558" s="2"/>
      <c r="O558" s="2"/>
      <c r="P558" s="2"/>
      <c r="Q558" s="2"/>
    </row>
    <row r="559" spans="1:17" x14ac:dyDescent="0.2">
      <c r="A559" s="2" t="s">
        <v>272</v>
      </c>
      <c r="B559" s="2" t="s">
        <v>7792</v>
      </c>
      <c r="C559" s="2" t="s">
        <v>5463</v>
      </c>
      <c r="D559" s="2" t="s">
        <v>5645</v>
      </c>
      <c r="E559" s="2" t="s">
        <v>7793</v>
      </c>
      <c r="F559" s="2" t="s">
        <v>7794</v>
      </c>
      <c r="G559" s="2" t="s">
        <v>5022</v>
      </c>
      <c r="H559" s="2" t="s">
        <v>5023</v>
      </c>
      <c r="I559" s="2" t="s">
        <v>7795</v>
      </c>
      <c r="J559" s="2"/>
      <c r="K559" s="2"/>
      <c r="L559" s="2"/>
      <c r="M559" s="2" t="s">
        <v>7796</v>
      </c>
      <c r="N559" s="2"/>
      <c r="O559" s="2"/>
      <c r="P559" s="2"/>
      <c r="Q559" s="2"/>
    </row>
    <row r="560" spans="1:17" x14ac:dyDescent="0.2">
      <c r="A560" s="2" t="s">
        <v>1520</v>
      </c>
      <c r="B560" s="2" t="s">
        <v>5761</v>
      </c>
      <c r="C560" s="2" t="s">
        <v>7797</v>
      </c>
      <c r="D560" s="2" t="s">
        <v>5947</v>
      </c>
      <c r="E560" s="2" t="s">
        <v>7798</v>
      </c>
      <c r="F560" s="2" t="s">
        <v>7093</v>
      </c>
      <c r="G560" s="2" t="s">
        <v>5022</v>
      </c>
      <c r="H560" s="2" t="s">
        <v>5023</v>
      </c>
      <c r="I560" s="2" t="s">
        <v>7799</v>
      </c>
      <c r="J560" s="2"/>
      <c r="K560" s="2"/>
      <c r="L560" s="2"/>
      <c r="M560" s="2" t="s">
        <v>7800</v>
      </c>
      <c r="N560" s="2"/>
      <c r="O560" s="2"/>
      <c r="P560" s="2"/>
      <c r="Q560" s="2"/>
    </row>
    <row r="561" spans="1:17" x14ac:dyDescent="0.2">
      <c r="A561" s="2" t="s">
        <v>2212</v>
      </c>
      <c r="B561" s="2" t="s">
        <v>7801</v>
      </c>
      <c r="C561" s="2" t="s">
        <v>7802</v>
      </c>
      <c r="D561" s="2" t="s">
        <v>7802</v>
      </c>
      <c r="E561" s="2" t="s">
        <v>7803</v>
      </c>
      <c r="F561" s="2" t="s">
        <v>7804</v>
      </c>
      <c r="G561" s="2" t="s">
        <v>5022</v>
      </c>
      <c r="H561" s="2" t="s">
        <v>5023</v>
      </c>
      <c r="I561" s="2"/>
      <c r="J561" s="2"/>
      <c r="K561" s="2"/>
      <c r="L561" s="2"/>
      <c r="M561" s="2"/>
      <c r="N561" s="2"/>
      <c r="O561" s="2"/>
      <c r="P561" s="2"/>
      <c r="Q561" s="2"/>
    </row>
    <row r="562" spans="1:17" x14ac:dyDescent="0.2">
      <c r="A562" s="2" t="s">
        <v>2578</v>
      </c>
      <c r="B562" s="2" t="s">
        <v>7166</v>
      </c>
      <c r="C562" s="2" t="s">
        <v>5734</v>
      </c>
      <c r="D562" s="2" t="s">
        <v>5734</v>
      </c>
      <c r="E562" s="2" t="s">
        <v>5434</v>
      </c>
      <c r="F562" s="2" t="s">
        <v>7805</v>
      </c>
      <c r="G562" s="2" t="s">
        <v>5022</v>
      </c>
      <c r="H562" s="2" t="s">
        <v>5023</v>
      </c>
      <c r="I562" s="2"/>
      <c r="J562" s="2"/>
      <c r="K562" s="2" t="s">
        <v>7806</v>
      </c>
      <c r="L562" s="2"/>
      <c r="M562" s="2"/>
      <c r="N562" s="2"/>
      <c r="O562" s="2"/>
      <c r="P562" s="2"/>
      <c r="Q562" s="2"/>
    </row>
    <row r="563" spans="1:17" x14ac:dyDescent="0.2">
      <c r="A563" s="2" t="s">
        <v>4246</v>
      </c>
      <c r="B563" s="2" t="s">
        <v>6735</v>
      </c>
      <c r="C563" s="2" t="s">
        <v>5511</v>
      </c>
      <c r="D563" s="2" t="s">
        <v>7807</v>
      </c>
      <c r="E563" s="2" t="s">
        <v>7808</v>
      </c>
      <c r="F563" s="2" t="s">
        <v>7809</v>
      </c>
      <c r="G563" s="2" t="s">
        <v>5022</v>
      </c>
      <c r="H563" s="2" t="s">
        <v>5023</v>
      </c>
      <c r="I563" s="2" t="s">
        <v>7810</v>
      </c>
      <c r="J563" s="2"/>
      <c r="K563" s="2"/>
      <c r="L563" s="2"/>
      <c r="M563" s="2" t="s">
        <v>7811</v>
      </c>
      <c r="N563" s="2"/>
      <c r="O563" s="2"/>
      <c r="P563" s="2"/>
      <c r="Q563" s="2"/>
    </row>
    <row r="564" spans="1:17" x14ac:dyDescent="0.2">
      <c r="A564" s="2" t="s">
        <v>4341</v>
      </c>
      <c r="B564" s="2" t="s">
        <v>5826</v>
      </c>
      <c r="C564" s="2" t="s">
        <v>5306</v>
      </c>
      <c r="D564" s="2" t="s">
        <v>5887</v>
      </c>
      <c r="E564" s="2" t="s">
        <v>7812</v>
      </c>
      <c r="F564" s="2" t="s">
        <v>7813</v>
      </c>
      <c r="G564" s="2" t="s">
        <v>5022</v>
      </c>
      <c r="H564" s="2" t="s">
        <v>5023</v>
      </c>
      <c r="I564" s="2" t="s">
        <v>7814</v>
      </c>
      <c r="J564" s="2"/>
      <c r="K564" s="2"/>
      <c r="L564" s="2"/>
      <c r="M564" s="2"/>
      <c r="N564" s="2"/>
      <c r="O564" s="2"/>
      <c r="P564" s="2"/>
      <c r="Q564" s="2"/>
    </row>
    <row r="565" spans="1:17" x14ac:dyDescent="0.2">
      <c r="A565" s="2" t="s">
        <v>375</v>
      </c>
      <c r="B565" s="2" t="s">
        <v>6351</v>
      </c>
      <c r="C565" s="2" t="s">
        <v>7815</v>
      </c>
      <c r="D565" s="2" t="s">
        <v>5493</v>
      </c>
      <c r="E565" s="2" t="s">
        <v>6832</v>
      </c>
      <c r="F565" s="2" t="s">
        <v>7816</v>
      </c>
      <c r="G565" s="2" t="s">
        <v>5022</v>
      </c>
      <c r="H565" s="2" t="s">
        <v>5023</v>
      </c>
      <c r="I565" s="2"/>
      <c r="J565" s="2"/>
      <c r="K565" s="2" t="s">
        <v>7817</v>
      </c>
      <c r="L565" s="2"/>
      <c r="M565" s="2"/>
      <c r="N565" s="2"/>
      <c r="O565" s="2"/>
      <c r="P565" s="2"/>
      <c r="Q565" s="2"/>
    </row>
    <row r="566" spans="1:17" x14ac:dyDescent="0.2">
      <c r="A566" s="2" t="s">
        <v>596</v>
      </c>
      <c r="B566" s="2" t="s">
        <v>7818</v>
      </c>
      <c r="C566" s="2" t="s">
        <v>5275</v>
      </c>
      <c r="D566" s="2" t="s">
        <v>5134</v>
      </c>
      <c r="E566" s="2" t="s">
        <v>7819</v>
      </c>
      <c r="F566" s="2" t="s">
        <v>7273</v>
      </c>
      <c r="G566" s="2" t="s">
        <v>5022</v>
      </c>
      <c r="H566" s="2" t="s">
        <v>5023</v>
      </c>
      <c r="I566" s="2" t="s">
        <v>7820</v>
      </c>
      <c r="J566" s="2"/>
      <c r="K566" s="2"/>
      <c r="L566" s="2"/>
      <c r="M566" s="2"/>
      <c r="N566" s="2"/>
      <c r="O566" s="2"/>
      <c r="P566" s="2"/>
      <c r="Q566" s="2"/>
    </row>
    <row r="567" spans="1:17" x14ac:dyDescent="0.2">
      <c r="A567" s="2" t="s">
        <v>2015</v>
      </c>
      <c r="B567" s="2" t="s">
        <v>7821</v>
      </c>
      <c r="C567" s="2" t="s">
        <v>5363</v>
      </c>
      <c r="D567" s="2" t="s">
        <v>7822</v>
      </c>
      <c r="E567" s="2" t="s">
        <v>7823</v>
      </c>
      <c r="F567" s="2" t="s">
        <v>7824</v>
      </c>
      <c r="G567" s="2" t="s">
        <v>5022</v>
      </c>
      <c r="H567" s="2" t="s">
        <v>7825</v>
      </c>
      <c r="I567" s="2" t="s">
        <v>7826</v>
      </c>
      <c r="J567" s="2"/>
      <c r="K567" s="2"/>
      <c r="L567" s="2"/>
      <c r="M567" s="2"/>
      <c r="N567" s="2"/>
      <c r="O567" s="2"/>
      <c r="P567" s="2"/>
      <c r="Q567" s="2"/>
    </row>
    <row r="568" spans="1:17" x14ac:dyDescent="0.2">
      <c r="A568" s="2" t="s">
        <v>3835</v>
      </c>
      <c r="B568" s="2" t="s">
        <v>5502</v>
      </c>
      <c r="C568" s="2" t="s">
        <v>5164</v>
      </c>
      <c r="D568" s="2" t="s">
        <v>6327</v>
      </c>
      <c r="E568" s="2" t="s">
        <v>7827</v>
      </c>
      <c r="F568" s="2" t="s">
        <v>7828</v>
      </c>
      <c r="G568" s="2" t="s">
        <v>5022</v>
      </c>
      <c r="H568" s="2" t="s">
        <v>5023</v>
      </c>
      <c r="I568" s="2" t="s">
        <v>7829</v>
      </c>
      <c r="J568" s="2"/>
      <c r="K568" s="2"/>
      <c r="L568" s="2"/>
      <c r="M568" s="2"/>
      <c r="N568" s="2"/>
      <c r="O568" s="2"/>
      <c r="P568" s="2"/>
      <c r="Q568" s="2"/>
    </row>
    <row r="569" spans="1:17" x14ac:dyDescent="0.2">
      <c r="A569" s="2" t="s">
        <v>1470</v>
      </c>
      <c r="B569" s="2" t="s">
        <v>5561</v>
      </c>
      <c r="C569" s="2" t="s">
        <v>5443</v>
      </c>
      <c r="D569" s="2" t="s">
        <v>5443</v>
      </c>
      <c r="E569" s="2" t="s">
        <v>7830</v>
      </c>
      <c r="F569" s="2" t="s">
        <v>7346</v>
      </c>
      <c r="G569" s="2" t="s">
        <v>5022</v>
      </c>
      <c r="H569" s="2" t="s">
        <v>5023</v>
      </c>
      <c r="I569" s="2" t="s">
        <v>7831</v>
      </c>
      <c r="J569" s="2"/>
      <c r="K569" s="2"/>
      <c r="L569" s="2"/>
      <c r="M569" s="2"/>
      <c r="N569" s="2"/>
      <c r="O569" s="2"/>
      <c r="P569" s="2"/>
      <c r="Q569" s="2"/>
    </row>
    <row r="570" spans="1:17" x14ac:dyDescent="0.2">
      <c r="A570" s="2" t="s">
        <v>3001</v>
      </c>
      <c r="B570" s="2" t="s">
        <v>7304</v>
      </c>
      <c r="C570" s="2" t="s">
        <v>5147</v>
      </c>
      <c r="D570" s="2" t="s">
        <v>5282</v>
      </c>
      <c r="E570" s="2" t="s">
        <v>7832</v>
      </c>
      <c r="F570" s="2" t="s">
        <v>7833</v>
      </c>
      <c r="G570" s="2" t="s">
        <v>5022</v>
      </c>
      <c r="H570" s="2" t="s">
        <v>5023</v>
      </c>
      <c r="I570" s="2" t="s">
        <v>7834</v>
      </c>
      <c r="J570" s="2"/>
      <c r="K570" s="2"/>
      <c r="L570" s="2"/>
      <c r="M570" s="2" t="s">
        <v>7835</v>
      </c>
      <c r="N570" s="2"/>
      <c r="O570" s="2"/>
      <c r="P570" s="2"/>
      <c r="Q570" s="2"/>
    </row>
    <row r="571" spans="1:17" x14ac:dyDescent="0.2">
      <c r="A571" s="2" t="s">
        <v>1501</v>
      </c>
      <c r="B571" s="2" t="s">
        <v>7836</v>
      </c>
      <c r="C571" s="2" t="s">
        <v>7837</v>
      </c>
      <c r="D571" s="2" t="s">
        <v>7838</v>
      </c>
      <c r="E571" s="2" t="s">
        <v>7839</v>
      </c>
      <c r="F571" s="2" t="s">
        <v>7840</v>
      </c>
      <c r="G571" s="2" t="s">
        <v>5022</v>
      </c>
      <c r="H571" s="2" t="s">
        <v>5023</v>
      </c>
      <c r="I571" s="2" t="s">
        <v>7841</v>
      </c>
      <c r="J571" s="2"/>
      <c r="K571" s="2"/>
      <c r="L571" s="2"/>
      <c r="M571" s="2"/>
      <c r="N571" s="2"/>
      <c r="O571" s="2"/>
      <c r="P571" s="2"/>
      <c r="Q571" s="2"/>
    </row>
    <row r="572" spans="1:17" x14ac:dyDescent="0.2">
      <c r="A572" s="2" t="s">
        <v>531</v>
      </c>
      <c r="B572" s="2" t="s">
        <v>7842</v>
      </c>
      <c r="C572" s="2" t="s">
        <v>5552</v>
      </c>
      <c r="D572" s="2" t="s">
        <v>5678</v>
      </c>
      <c r="E572" s="2" t="s">
        <v>7843</v>
      </c>
      <c r="F572" s="2" t="s">
        <v>7813</v>
      </c>
      <c r="G572" s="2" t="s">
        <v>5022</v>
      </c>
      <c r="H572" s="2" t="s">
        <v>5023</v>
      </c>
      <c r="I572" s="2" t="s">
        <v>7844</v>
      </c>
      <c r="J572" s="2"/>
      <c r="K572" s="2"/>
      <c r="L572" s="2"/>
      <c r="M572" s="2" t="s">
        <v>7845</v>
      </c>
      <c r="N572" s="2"/>
      <c r="O572" s="2"/>
      <c r="P572" s="2"/>
      <c r="Q572" s="2"/>
    </row>
    <row r="573" spans="1:17" x14ac:dyDescent="0.2">
      <c r="A573" s="2" t="s">
        <v>4441</v>
      </c>
      <c r="B573" s="2" t="s">
        <v>5175</v>
      </c>
      <c r="C573" s="2" t="s">
        <v>5352</v>
      </c>
      <c r="D573" s="2" t="s">
        <v>5357</v>
      </c>
      <c r="E573" s="2" t="s">
        <v>7846</v>
      </c>
      <c r="F573" s="2" t="s">
        <v>7847</v>
      </c>
      <c r="G573" s="2" t="s">
        <v>5022</v>
      </c>
      <c r="H573" s="2" t="s">
        <v>5023</v>
      </c>
      <c r="I573" s="2" t="s">
        <v>7848</v>
      </c>
      <c r="J573" s="2"/>
      <c r="K573" s="2"/>
      <c r="L573" s="2"/>
      <c r="M573" s="2" t="s">
        <v>7849</v>
      </c>
      <c r="N573" s="2"/>
      <c r="O573" s="2"/>
      <c r="P573" s="2"/>
      <c r="Q573" s="2"/>
    </row>
    <row r="574" spans="1:17" x14ac:dyDescent="0.2">
      <c r="A574" s="2" t="s">
        <v>1706</v>
      </c>
      <c r="B574" s="2" t="s">
        <v>5038</v>
      </c>
      <c r="C574" s="2" t="s">
        <v>6960</v>
      </c>
      <c r="D574" s="2" t="s">
        <v>6960</v>
      </c>
      <c r="E574" s="2" t="s">
        <v>6098</v>
      </c>
      <c r="F574" s="2" t="s">
        <v>5653</v>
      </c>
      <c r="G574" s="2" t="s">
        <v>5022</v>
      </c>
      <c r="H574" s="2" t="s">
        <v>5023</v>
      </c>
      <c r="I574" s="2"/>
      <c r="J574" s="2"/>
      <c r="K574" s="2" t="s">
        <v>7850</v>
      </c>
      <c r="L574" s="2"/>
      <c r="M574" s="2"/>
      <c r="N574" s="2"/>
      <c r="O574" s="2"/>
      <c r="P574" s="2"/>
      <c r="Q574" s="2"/>
    </row>
    <row r="575" spans="1:17" x14ac:dyDescent="0.2">
      <c r="A575" s="2" t="s">
        <v>355</v>
      </c>
      <c r="B575" s="2" t="s">
        <v>7851</v>
      </c>
      <c r="C575" s="2" t="s">
        <v>6755</v>
      </c>
      <c r="D575" s="2" t="s">
        <v>5275</v>
      </c>
      <c r="E575" s="2" t="s">
        <v>7852</v>
      </c>
      <c r="F575" s="2" t="s">
        <v>7853</v>
      </c>
      <c r="G575" s="2" t="s">
        <v>5022</v>
      </c>
      <c r="H575" s="2" t="s">
        <v>5023</v>
      </c>
      <c r="I575" s="2"/>
      <c r="J575" s="2"/>
      <c r="K575" s="2" t="s">
        <v>7854</v>
      </c>
      <c r="L575" s="2"/>
      <c r="M575" s="2"/>
      <c r="N575" s="2"/>
      <c r="O575" s="2"/>
      <c r="P575" s="2"/>
      <c r="Q575" s="2"/>
    </row>
    <row r="576" spans="1:17" x14ac:dyDescent="0.2">
      <c r="A576" s="2" t="s">
        <v>2265</v>
      </c>
      <c r="B576" s="2" t="s">
        <v>6459</v>
      </c>
      <c r="C576" s="2" t="s">
        <v>5746</v>
      </c>
      <c r="D576" s="2" t="s">
        <v>7855</v>
      </c>
      <c r="E576" s="2" t="s">
        <v>7856</v>
      </c>
      <c r="F576" s="2" t="s">
        <v>7857</v>
      </c>
      <c r="G576" s="2" t="s">
        <v>5022</v>
      </c>
      <c r="H576" s="2" t="s">
        <v>5023</v>
      </c>
      <c r="I576" s="2" t="s">
        <v>7858</v>
      </c>
      <c r="J576" s="2"/>
      <c r="K576" s="2"/>
      <c r="L576" s="2"/>
      <c r="M576" s="2" t="s">
        <v>7859</v>
      </c>
      <c r="N576" s="2"/>
      <c r="O576" s="2"/>
      <c r="P576" s="2"/>
      <c r="Q576" s="2"/>
    </row>
    <row r="577" spans="1:17" x14ac:dyDescent="0.2">
      <c r="A577" s="2" t="s">
        <v>588</v>
      </c>
      <c r="B577" s="2" t="s">
        <v>7860</v>
      </c>
      <c r="C577" s="2" t="s">
        <v>5473</v>
      </c>
      <c r="D577" s="2" t="s">
        <v>7252</v>
      </c>
      <c r="E577" s="2" t="s">
        <v>6113</v>
      </c>
      <c r="F577" s="2" t="s">
        <v>7861</v>
      </c>
      <c r="G577" s="2" t="s">
        <v>5022</v>
      </c>
      <c r="H577" s="2" t="s">
        <v>5023</v>
      </c>
      <c r="I577" s="2" t="s">
        <v>7862</v>
      </c>
      <c r="J577" s="2"/>
      <c r="K577" s="2"/>
      <c r="L577" s="2"/>
      <c r="M577" s="2" t="s">
        <v>7863</v>
      </c>
      <c r="N577" s="2"/>
      <c r="O577" s="2"/>
      <c r="P577" s="2"/>
      <c r="Q577" s="2"/>
    </row>
    <row r="578" spans="1:17" x14ac:dyDescent="0.2">
      <c r="A578" s="2" t="s">
        <v>3573</v>
      </c>
      <c r="B578" s="2" t="s">
        <v>7401</v>
      </c>
      <c r="C578" s="2" t="s">
        <v>7243</v>
      </c>
      <c r="D578" s="2" t="s">
        <v>7654</v>
      </c>
      <c r="E578" s="2" t="s">
        <v>7864</v>
      </c>
      <c r="F578" s="2" t="s">
        <v>7865</v>
      </c>
      <c r="G578" s="2" t="s">
        <v>5022</v>
      </c>
      <c r="H578" s="2" t="s">
        <v>5023</v>
      </c>
      <c r="I578" s="2" t="s">
        <v>7866</v>
      </c>
      <c r="J578" s="2"/>
      <c r="K578" s="2"/>
      <c r="L578" s="2"/>
      <c r="M578" s="2" t="s">
        <v>7867</v>
      </c>
      <c r="N578" s="2"/>
      <c r="O578" s="2"/>
      <c r="P578" s="2"/>
      <c r="Q578" s="2"/>
    </row>
    <row r="579" spans="1:17" x14ac:dyDescent="0.2">
      <c r="A579" s="2" t="s">
        <v>3252</v>
      </c>
      <c r="B579" s="2" t="s">
        <v>7357</v>
      </c>
      <c r="C579" s="2" t="s">
        <v>7868</v>
      </c>
      <c r="D579" s="2" t="s">
        <v>5985</v>
      </c>
      <c r="E579" s="2" t="s">
        <v>7869</v>
      </c>
      <c r="F579" s="2" t="s">
        <v>7870</v>
      </c>
      <c r="G579" s="2" t="s">
        <v>5022</v>
      </c>
      <c r="H579" s="2" t="s">
        <v>5023</v>
      </c>
      <c r="I579" s="2"/>
      <c r="J579" s="2"/>
      <c r="K579" s="2" t="s">
        <v>7871</v>
      </c>
      <c r="L579" s="2"/>
      <c r="M579" s="2"/>
      <c r="N579" s="2"/>
      <c r="O579" s="2"/>
      <c r="P579" s="2"/>
      <c r="Q579" s="2"/>
    </row>
    <row r="580" spans="1:17" x14ac:dyDescent="0.2">
      <c r="A580" s="2" t="s">
        <v>2761</v>
      </c>
      <c r="B580" s="2" t="s">
        <v>7872</v>
      </c>
      <c r="C580" s="2" t="s">
        <v>6327</v>
      </c>
      <c r="D580" s="2" t="s">
        <v>6292</v>
      </c>
      <c r="E580" s="2" t="s">
        <v>7873</v>
      </c>
      <c r="F580" s="2" t="s">
        <v>6313</v>
      </c>
      <c r="G580" s="2" t="s">
        <v>5022</v>
      </c>
      <c r="H580" s="2" t="s">
        <v>5023</v>
      </c>
      <c r="I580" s="2" t="s">
        <v>7874</v>
      </c>
      <c r="J580" s="2"/>
      <c r="K580" s="2"/>
      <c r="L580" s="2"/>
      <c r="M580" s="2"/>
      <c r="N580" s="2"/>
      <c r="O580" s="2"/>
      <c r="P580" s="2"/>
      <c r="Q580" s="2"/>
    </row>
    <row r="581" spans="1:17" x14ac:dyDescent="0.2">
      <c r="A581" s="2" t="s">
        <v>2989</v>
      </c>
      <c r="B581" s="2" t="s">
        <v>7875</v>
      </c>
      <c r="C581" s="2" t="s">
        <v>6811</v>
      </c>
      <c r="D581" s="2" t="s">
        <v>5323</v>
      </c>
      <c r="E581" s="2" t="s">
        <v>7876</v>
      </c>
      <c r="F581" s="2" t="s">
        <v>7877</v>
      </c>
      <c r="G581" s="2" t="s">
        <v>5022</v>
      </c>
      <c r="H581" s="2" t="s">
        <v>5023</v>
      </c>
      <c r="I581" s="2" t="s">
        <v>7878</v>
      </c>
      <c r="J581" s="2"/>
      <c r="K581" s="2"/>
      <c r="L581" s="2"/>
      <c r="M581" s="2"/>
      <c r="N581" s="2"/>
      <c r="O581" s="2"/>
      <c r="P581" s="2"/>
      <c r="Q581" s="2"/>
    </row>
    <row r="582" spans="1:17" x14ac:dyDescent="0.2">
      <c r="A582" s="2" t="s">
        <v>1942</v>
      </c>
      <c r="B582" s="2" t="s">
        <v>7879</v>
      </c>
      <c r="C582" s="2" t="s">
        <v>7880</v>
      </c>
      <c r="D582" s="2" t="s">
        <v>7881</v>
      </c>
      <c r="E582" s="2" t="s">
        <v>6647</v>
      </c>
      <c r="F582" s="2" t="s">
        <v>7882</v>
      </c>
      <c r="G582" s="2" t="s">
        <v>5022</v>
      </c>
      <c r="H582" s="2" t="s">
        <v>5023</v>
      </c>
      <c r="I582" s="2" t="s">
        <v>7883</v>
      </c>
      <c r="J582" s="2"/>
      <c r="K582" s="2"/>
      <c r="L582" s="2"/>
      <c r="M582" s="2" t="s">
        <v>7884</v>
      </c>
      <c r="N582" s="2"/>
      <c r="O582" s="2"/>
      <c r="P582" s="2"/>
      <c r="Q582" s="2"/>
    </row>
    <row r="583" spans="1:17" x14ac:dyDescent="0.2">
      <c r="A583" s="2" t="s">
        <v>1844</v>
      </c>
      <c r="B583" s="2" t="s">
        <v>7885</v>
      </c>
      <c r="C583" s="2" t="s">
        <v>7886</v>
      </c>
      <c r="D583" s="2" t="s">
        <v>5677</v>
      </c>
      <c r="E583" s="2" t="s">
        <v>7887</v>
      </c>
      <c r="F583" s="2" t="s">
        <v>5354</v>
      </c>
      <c r="G583" s="2" t="s">
        <v>5022</v>
      </c>
      <c r="H583" s="2" t="s">
        <v>5023</v>
      </c>
      <c r="I583" s="2" t="s">
        <v>7888</v>
      </c>
      <c r="J583" s="2" t="s">
        <v>7889</v>
      </c>
      <c r="K583" s="2"/>
      <c r="L583" s="2"/>
      <c r="M583" s="2"/>
      <c r="N583" s="2"/>
      <c r="O583" s="2"/>
      <c r="P583" s="2"/>
      <c r="Q583" s="2"/>
    </row>
    <row r="584" spans="1:17" x14ac:dyDescent="0.2">
      <c r="A584" s="2" t="s">
        <v>1015</v>
      </c>
      <c r="B584" s="2" t="s">
        <v>7890</v>
      </c>
      <c r="C584" s="2" t="s">
        <v>6567</v>
      </c>
      <c r="D584" s="2" t="s">
        <v>6568</v>
      </c>
      <c r="E584" s="2" t="s">
        <v>7891</v>
      </c>
      <c r="F584" s="2" t="s">
        <v>7892</v>
      </c>
      <c r="G584" s="2" t="s">
        <v>5022</v>
      </c>
      <c r="H584" s="2" t="s">
        <v>5023</v>
      </c>
      <c r="I584" s="2" t="s">
        <v>7893</v>
      </c>
      <c r="J584" s="2"/>
      <c r="K584" s="2"/>
      <c r="L584" s="2"/>
      <c r="M584" s="2" t="s">
        <v>7894</v>
      </c>
      <c r="N584" s="2"/>
      <c r="O584" s="2"/>
      <c r="P584" s="2"/>
      <c r="Q584" s="2"/>
    </row>
    <row r="585" spans="1:17" x14ac:dyDescent="0.2">
      <c r="A585" s="2" t="s">
        <v>155</v>
      </c>
      <c r="B585" s="2" t="s">
        <v>7895</v>
      </c>
      <c r="C585" s="2" t="s">
        <v>5701</v>
      </c>
      <c r="D585" s="2" t="s">
        <v>5567</v>
      </c>
      <c r="E585" s="2" t="s">
        <v>5253</v>
      </c>
      <c r="F585" s="2" t="s">
        <v>6536</v>
      </c>
      <c r="G585" s="2" t="s">
        <v>5022</v>
      </c>
      <c r="H585" s="2" t="s">
        <v>5023</v>
      </c>
      <c r="I585" s="2" t="s">
        <v>7896</v>
      </c>
      <c r="J585" s="2"/>
      <c r="K585" s="2"/>
      <c r="L585" s="2"/>
      <c r="M585" s="2"/>
      <c r="N585" s="2"/>
      <c r="O585" s="2"/>
      <c r="P585" s="2"/>
      <c r="Q585" s="2"/>
    </row>
    <row r="586" spans="1:17" x14ac:dyDescent="0.2">
      <c r="A586" s="2" t="s">
        <v>1360</v>
      </c>
      <c r="B586" s="2" t="s">
        <v>7897</v>
      </c>
      <c r="C586" s="2" t="s">
        <v>7898</v>
      </c>
      <c r="D586" s="2" t="s">
        <v>5159</v>
      </c>
      <c r="E586" s="2" t="s">
        <v>7899</v>
      </c>
      <c r="F586" s="2" t="s">
        <v>7900</v>
      </c>
      <c r="G586" s="2" t="s">
        <v>5022</v>
      </c>
      <c r="H586" s="2" t="s">
        <v>5023</v>
      </c>
      <c r="I586" s="2" t="s">
        <v>7901</v>
      </c>
      <c r="J586" s="2"/>
      <c r="K586" s="2"/>
      <c r="L586" s="2"/>
      <c r="M586" s="2" t="s">
        <v>7902</v>
      </c>
      <c r="N586" s="2"/>
      <c r="O586" s="2"/>
      <c r="P586" s="2"/>
      <c r="Q586" s="2"/>
    </row>
    <row r="587" spans="1:17" x14ac:dyDescent="0.2">
      <c r="A587" s="2" t="s">
        <v>756</v>
      </c>
      <c r="B587" s="2" t="s">
        <v>6132</v>
      </c>
      <c r="C587" s="2" t="s">
        <v>5133</v>
      </c>
      <c r="D587" s="2" t="s">
        <v>5374</v>
      </c>
      <c r="E587" s="2" t="s">
        <v>7903</v>
      </c>
      <c r="F587" s="2" t="s">
        <v>7904</v>
      </c>
      <c r="G587" s="2" t="s">
        <v>5022</v>
      </c>
      <c r="H587" s="2" t="s">
        <v>5023</v>
      </c>
      <c r="I587" s="2" t="s">
        <v>7905</v>
      </c>
      <c r="J587" s="2"/>
      <c r="K587" s="2"/>
      <c r="L587" s="2"/>
      <c r="M587" s="2"/>
      <c r="N587" s="2"/>
      <c r="O587" s="2"/>
      <c r="P587" s="2"/>
      <c r="Q587" s="2"/>
    </row>
    <row r="588" spans="1:17" x14ac:dyDescent="0.2">
      <c r="A588" s="2" t="s">
        <v>622</v>
      </c>
      <c r="B588" s="2" t="s">
        <v>7906</v>
      </c>
      <c r="C588" s="2" t="s">
        <v>7907</v>
      </c>
      <c r="D588" s="2" t="s">
        <v>7908</v>
      </c>
      <c r="E588" s="2" t="s">
        <v>7909</v>
      </c>
      <c r="F588" s="2" t="s">
        <v>7910</v>
      </c>
      <c r="G588" s="2" t="s">
        <v>5022</v>
      </c>
      <c r="H588" s="2" t="s">
        <v>5023</v>
      </c>
      <c r="I588" s="2" t="s">
        <v>7911</v>
      </c>
      <c r="J588" s="2"/>
      <c r="K588" s="2"/>
      <c r="L588" s="2"/>
      <c r="M588" s="2" t="s">
        <v>7912</v>
      </c>
      <c r="N588" s="2"/>
      <c r="O588" s="2"/>
      <c r="P588" s="2"/>
      <c r="Q588" s="2"/>
    </row>
    <row r="589" spans="1:17" x14ac:dyDescent="0.2">
      <c r="A589" s="2" t="s">
        <v>4573</v>
      </c>
      <c r="B589" s="2" t="s">
        <v>6039</v>
      </c>
      <c r="C589" s="2" t="s">
        <v>5164</v>
      </c>
      <c r="D589" s="2" t="s">
        <v>5118</v>
      </c>
      <c r="E589" s="2" t="s">
        <v>6058</v>
      </c>
      <c r="F589" s="2" t="s">
        <v>5629</v>
      </c>
      <c r="G589" s="2" t="s">
        <v>5022</v>
      </c>
      <c r="H589" s="2" t="s">
        <v>5023</v>
      </c>
      <c r="I589" s="2" t="s">
        <v>7913</v>
      </c>
      <c r="J589" s="2"/>
      <c r="K589" s="2"/>
      <c r="L589" s="2"/>
      <c r="M589" s="2" t="s">
        <v>7914</v>
      </c>
      <c r="N589" s="2"/>
      <c r="O589" s="2"/>
      <c r="P589" s="2"/>
      <c r="Q589" s="2"/>
    </row>
    <row r="590" spans="1:17" x14ac:dyDescent="0.2">
      <c r="A590" s="2" t="s">
        <v>2234</v>
      </c>
      <c r="B590" s="2" t="s">
        <v>7915</v>
      </c>
      <c r="C590" s="2" t="s">
        <v>7916</v>
      </c>
      <c r="D590" s="2" t="s">
        <v>5678</v>
      </c>
      <c r="E590" s="2" t="s">
        <v>6550</v>
      </c>
      <c r="F590" s="2" t="s">
        <v>7917</v>
      </c>
      <c r="G590" s="2" t="s">
        <v>5022</v>
      </c>
      <c r="H590" s="2" t="s">
        <v>5023</v>
      </c>
      <c r="I590" s="2" t="s">
        <v>7918</v>
      </c>
      <c r="J590" s="2"/>
      <c r="K590" s="2"/>
      <c r="L590" s="2"/>
      <c r="M590" s="2" t="s">
        <v>7919</v>
      </c>
      <c r="N590" s="2"/>
      <c r="O590" s="2"/>
      <c r="P590" s="2"/>
      <c r="Q590" s="2"/>
    </row>
    <row r="591" spans="1:17" x14ac:dyDescent="0.2">
      <c r="A591" s="2" t="s">
        <v>1671</v>
      </c>
      <c r="B591" s="2" t="s">
        <v>7920</v>
      </c>
      <c r="C591" s="2" t="s">
        <v>7921</v>
      </c>
      <c r="D591" s="2" t="s">
        <v>5147</v>
      </c>
      <c r="E591" s="2" t="s">
        <v>7922</v>
      </c>
      <c r="F591" s="2" t="s">
        <v>7923</v>
      </c>
      <c r="G591" s="2" t="s">
        <v>5022</v>
      </c>
      <c r="H591" s="2" t="s">
        <v>5023</v>
      </c>
      <c r="I591" s="2" t="s">
        <v>7924</v>
      </c>
      <c r="J591" s="2"/>
      <c r="K591" s="2"/>
      <c r="L591" s="2"/>
      <c r="M591" s="2"/>
      <c r="N591" s="2"/>
      <c r="O591" s="2"/>
      <c r="P591" s="2"/>
      <c r="Q591" s="2"/>
    </row>
    <row r="592" spans="1:17" x14ac:dyDescent="0.2">
      <c r="A592" s="2" t="s">
        <v>1868</v>
      </c>
      <c r="B592" s="2" t="s">
        <v>7925</v>
      </c>
      <c r="C592" s="2" t="s">
        <v>5205</v>
      </c>
      <c r="D592" s="2" t="s">
        <v>5877</v>
      </c>
      <c r="E592" s="2" t="s">
        <v>6262</v>
      </c>
      <c r="F592" s="2" t="s">
        <v>6381</v>
      </c>
      <c r="G592" s="2" t="s">
        <v>5022</v>
      </c>
      <c r="H592" s="2" t="s">
        <v>5023</v>
      </c>
      <c r="I592" s="2" t="s">
        <v>7926</v>
      </c>
      <c r="J592" s="2"/>
      <c r="K592" s="2"/>
      <c r="L592" s="2"/>
      <c r="M592" s="2"/>
      <c r="N592" s="2"/>
      <c r="O592" s="2"/>
      <c r="P592" s="2"/>
      <c r="Q592" s="2"/>
    </row>
    <row r="593" spans="1:17" x14ac:dyDescent="0.2">
      <c r="A593" s="2" t="s">
        <v>3908</v>
      </c>
      <c r="B593" s="2" t="s">
        <v>7927</v>
      </c>
      <c r="C593" s="2" t="s">
        <v>5357</v>
      </c>
      <c r="D593" s="2" t="s">
        <v>5767</v>
      </c>
      <c r="E593" s="2" t="s">
        <v>7928</v>
      </c>
      <c r="F593" s="2" t="s">
        <v>5095</v>
      </c>
      <c r="G593" s="2" t="s">
        <v>5022</v>
      </c>
      <c r="H593" s="2" t="s">
        <v>5023</v>
      </c>
      <c r="I593" s="2" t="s">
        <v>7929</v>
      </c>
      <c r="J593" s="2"/>
      <c r="K593" s="2"/>
      <c r="L593" s="2"/>
      <c r="M593" s="2" t="s">
        <v>7930</v>
      </c>
      <c r="N593" s="2"/>
      <c r="O593" s="2"/>
      <c r="P593" s="2"/>
      <c r="Q593" s="2"/>
    </row>
    <row r="594" spans="1:17" x14ac:dyDescent="0.2">
      <c r="A594" s="2" t="s">
        <v>224</v>
      </c>
      <c r="B594" s="2" t="s">
        <v>7577</v>
      </c>
      <c r="C594" s="2" t="s">
        <v>5317</v>
      </c>
      <c r="D594" s="2" t="s">
        <v>6003</v>
      </c>
      <c r="E594" s="2" t="s">
        <v>7931</v>
      </c>
      <c r="F594" s="2" t="s">
        <v>7932</v>
      </c>
      <c r="G594" s="2" t="s">
        <v>5022</v>
      </c>
      <c r="H594" s="2" t="s">
        <v>5023</v>
      </c>
      <c r="I594" s="2" t="s">
        <v>7933</v>
      </c>
      <c r="J594" s="2"/>
      <c r="K594" s="2"/>
      <c r="L594" s="2"/>
      <c r="M594" s="2"/>
      <c r="N594" s="2"/>
      <c r="O594" s="2"/>
      <c r="P594" s="2"/>
      <c r="Q594" s="2"/>
    </row>
    <row r="595" spans="1:17" x14ac:dyDescent="0.2">
      <c r="A595" s="2" t="s">
        <v>742</v>
      </c>
      <c r="B595" s="2" t="s">
        <v>7934</v>
      </c>
      <c r="C595" s="2" t="s">
        <v>6995</v>
      </c>
      <c r="D595" s="2" t="s">
        <v>5147</v>
      </c>
      <c r="E595" s="2" t="s">
        <v>7935</v>
      </c>
      <c r="F595" s="2" t="s">
        <v>7936</v>
      </c>
      <c r="G595" s="2" t="s">
        <v>5022</v>
      </c>
      <c r="H595" s="2" t="s">
        <v>5023</v>
      </c>
      <c r="I595" s="2"/>
      <c r="J595" s="2"/>
      <c r="K595" s="2" t="s">
        <v>7937</v>
      </c>
      <c r="L595" s="2"/>
      <c r="M595" s="2"/>
      <c r="N595" s="2"/>
      <c r="O595" s="2"/>
      <c r="P595" s="2"/>
      <c r="Q595" s="2"/>
    </row>
    <row r="596" spans="1:17" x14ac:dyDescent="0.2">
      <c r="A596" s="2" t="s">
        <v>878</v>
      </c>
      <c r="B596" s="2" t="s">
        <v>7938</v>
      </c>
      <c r="C596" s="2" t="s">
        <v>5489</v>
      </c>
      <c r="D596" s="2" t="s">
        <v>7939</v>
      </c>
      <c r="E596" s="2" t="s">
        <v>7940</v>
      </c>
      <c r="F596" s="2" t="s">
        <v>7941</v>
      </c>
      <c r="G596" s="2" t="s">
        <v>5022</v>
      </c>
      <c r="H596" s="2" t="s">
        <v>5023</v>
      </c>
      <c r="I596" s="2" t="s">
        <v>7942</v>
      </c>
      <c r="J596" s="2"/>
      <c r="K596" s="2"/>
      <c r="L596" s="2"/>
      <c r="M596" s="2"/>
      <c r="N596" s="2"/>
      <c r="O596" s="2"/>
      <c r="P596" s="2"/>
      <c r="Q596" s="2"/>
    </row>
    <row r="597" spans="1:17" x14ac:dyDescent="0.2">
      <c r="A597" s="2" t="s">
        <v>2479</v>
      </c>
      <c r="B597" s="2" t="s">
        <v>7943</v>
      </c>
      <c r="C597" s="2" t="s">
        <v>7944</v>
      </c>
      <c r="D597" s="2" t="s">
        <v>7945</v>
      </c>
      <c r="E597" s="2" t="s">
        <v>7946</v>
      </c>
      <c r="F597" s="2" t="s">
        <v>7947</v>
      </c>
      <c r="G597" s="2" t="s">
        <v>5022</v>
      </c>
      <c r="H597" s="2" t="s">
        <v>5023</v>
      </c>
      <c r="I597" s="2" t="s">
        <v>7948</v>
      </c>
      <c r="J597" s="2"/>
      <c r="K597" s="2"/>
      <c r="L597" s="2"/>
      <c r="M597" s="2" t="s">
        <v>7949</v>
      </c>
      <c r="N597" s="2"/>
      <c r="O597" s="2"/>
      <c r="P597" s="2"/>
      <c r="Q597" s="2"/>
    </row>
    <row r="598" spans="1:17" x14ac:dyDescent="0.2">
      <c r="A598" s="2" t="s">
        <v>3321</v>
      </c>
      <c r="B598" s="2" t="s">
        <v>7950</v>
      </c>
      <c r="C598" s="2" t="s">
        <v>6419</v>
      </c>
      <c r="D598" s="2" t="s">
        <v>6337</v>
      </c>
      <c r="E598" s="2" t="s">
        <v>7951</v>
      </c>
      <c r="F598" s="2" t="s">
        <v>7952</v>
      </c>
      <c r="G598" s="2" t="s">
        <v>5022</v>
      </c>
      <c r="H598" s="2" t="s">
        <v>5023</v>
      </c>
      <c r="I598" s="2" t="s">
        <v>7953</v>
      </c>
      <c r="J598" s="2"/>
      <c r="K598" s="2"/>
      <c r="L598" s="2"/>
      <c r="M598" s="2" t="s">
        <v>7954</v>
      </c>
      <c r="N598" s="2"/>
      <c r="O598" s="2"/>
      <c r="P598" s="2"/>
      <c r="Q598" s="2"/>
    </row>
    <row r="599" spans="1:17" x14ac:dyDescent="0.2">
      <c r="A599" s="2" t="s">
        <v>2471</v>
      </c>
      <c r="B599" s="2" t="s">
        <v>7955</v>
      </c>
      <c r="C599" s="2" t="s">
        <v>7956</v>
      </c>
      <c r="D599" s="2" t="s">
        <v>7379</v>
      </c>
      <c r="E599" s="2" t="s">
        <v>7957</v>
      </c>
      <c r="F599" s="2" t="s">
        <v>7958</v>
      </c>
      <c r="G599" s="2" t="s">
        <v>5022</v>
      </c>
      <c r="H599" s="2" t="s">
        <v>5023</v>
      </c>
      <c r="I599" s="2"/>
      <c r="J599" s="2"/>
      <c r="K599" s="2" t="s">
        <v>7959</v>
      </c>
      <c r="L599" s="2"/>
      <c r="M599" s="2"/>
      <c r="N599" s="2"/>
      <c r="O599" s="2"/>
      <c r="P599" s="2"/>
      <c r="Q599" s="2"/>
    </row>
    <row r="600" spans="1:17" x14ac:dyDescent="0.2">
      <c r="A600" s="2" t="s">
        <v>4961</v>
      </c>
      <c r="B600" s="2" t="s">
        <v>3994</v>
      </c>
      <c r="C600" s="2" t="s">
        <v>5677</v>
      </c>
      <c r="D600" s="2" t="s">
        <v>5678</v>
      </c>
      <c r="E600" s="2" t="s">
        <v>7960</v>
      </c>
      <c r="F600" s="2" t="s">
        <v>7961</v>
      </c>
      <c r="G600" s="2" t="s">
        <v>5022</v>
      </c>
      <c r="H600" s="2" t="s">
        <v>5023</v>
      </c>
      <c r="I600" s="2" t="s">
        <v>7962</v>
      </c>
      <c r="J600" s="2"/>
      <c r="K600" s="2"/>
      <c r="L600" s="2"/>
      <c r="M600" s="2"/>
      <c r="N600" s="2"/>
      <c r="O600" s="2"/>
      <c r="P600" s="2"/>
      <c r="Q600" s="2"/>
    </row>
    <row r="601" spans="1:17" x14ac:dyDescent="0.2">
      <c r="A601" s="2" t="s">
        <v>3475</v>
      </c>
      <c r="B601" s="2" t="s">
        <v>7963</v>
      </c>
      <c r="C601" s="2" t="s">
        <v>5443</v>
      </c>
      <c r="D601" s="2" t="s">
        <v>5408</v>
      </c>
      <c r="E601" s="2" t="s">
        <v>6425</v>
      </c>
      <c r="F601" s="2" t="s">
        <v>7964</v>
      </c>
      <c r="G601" s="2" t="s">
        <v>5022</v>
      </c>
      <c r="H601" s="2" t="s">
        <v>5023</v>
      </c>
      <c r="I601" s="2" t="s">
        <v>7965</v>
      </c>
      <c r="J601" s="2"/>
      <c r="K601" s="2"/>
      <c r="L601" s="2"/>
      <c r="M601" s="2" t="s">
        <v>7966</v>
      </c>
      <c r="N601" s="2"/>
      <c r="O601" s="2"/>
      <c r="P601" s="2"/>
      <c r="Q601" s="2"/>
    </row>
    <row r="602" spans="1:17" x14ac:dyDescent="0.2">
      <c r="A602" s="2" t="s">
        <v>2007</v>
      </c>
      <c r="B602" s="2" t="s">
        <v>6464</v>
      </c>
      <c r="C602" s="2" t="s">
        <v>7967</v>
      </c>
      <c r="D602" s="2" t="s">
        <v>6870</v>
      </c>
      <c r="E602" s="2" t="s">
        <v>5891</v>
      </c>
      <c r="F602" s="2" t="s">
        <v>6619</v>
      </c>
      <c r="G602" s="2" t="s">
        <v>5022</v>
      </c>
      <c r="H602" s="2" t="s">
        <v>5023</v>
      </c>
      <c r="I602" s="2"/>
      <c r="J602" s="2"/>
      <c r="K602" s="2" t="s">
        <v>7968</v>
      </c>
      <c r="L602" s="2"/>
      <c r="M602" s="2" t="s">
        <v>7969</v>
      </c>
      <c r="N602" s="2"/>
      <c r="O602" s="2"/>
      <c r="P602" s="2"/>
      <c r="Q602" s="2"/>
    </row>
    <row r="603" spans="1:17" x14ac:dyDescent="0.2">
      <c r="A603" s="2" t="s">
        <v>1913</v>
      </c>
      <c r="B603" s="2" t="s">
        <v>7970</v>
      </c>
      <c r="C603" s="2" t="s">
        <v>5853</v>
      </c>
      <c r="D603" s="2" t="s">
        <v>6702</v>
      </c>
      <c r="E603" s="2" t="s">
        <v>7971</v>
      </c>
      <c r="F603" s="2" t="s">
        <v>7972</v>
      </c>
      <c r="G603" s="2" t="s">
        <v>5022</v>
      </c>
      <c r="H603" s="2" t="s">
        <v>5023</v>
      </c>
      <c r="I603" s="2" t="s">
        <v>7973</v>
      </c>
      <c r="J603" s="2"/>
      <c r="K603" s="2"/>
      <c r="L603" s="2"/>
      <c r="M603" s="2" t="s">
        <v>7974</v>
      </c>
      <c r="N603" s="2"/>
      <c r="O603" s="2"/>
      <c r="P603" s="2"/>
      <c r="Q603" s="2"/>
    </row>
    <row r="604" spans="1:17" x14ac:dyDescent="0.2">
      <c r="A604" s="2" t="s">
        <v>1050</v>
      </c>
      <c r="B604" s="2" t="s">
        <v>7975</v>
      </c>
      <c r="C604" s="2" t="s">
        <v>7976</v>
      </c>
      <c r="D604" s="2" t="s">
        <v>5218</v>
      </c>
      <c r="E604" s="2" t="s">
        <v>7751</v>
      </c>
      <c r="F604" s="2" t="s">
        <v>7977</v>
      </c>
      <c r="G604" s="2" t="s">
        <v>5022</v>
      </c>
      <c r="H604" s="2" t="s">
        <v>5023</v>
      </c>
      <c r="I604" s="2" t="s">
        <v>7978</v>
      </c>
      <c r="J604" s="2"/>
      <c r="K604" s="2"/>
      <c r="L604" s="2"/>
      <c r="M604" s="2" t="s">
        <v>7979</v>
      </c>
      <c r="N604" s="2"/>
      <c r="O604" s="2"/>
      <c r="P604" s="2"/>
      <c r="Q604" s="2"/>
    </row>
    <row r="605" spans="1:17" x14ac:dyDescent="0.2">
      <c r="A605" s="2" t="s">
        <v>2474</v>
      </c>
      <c r="B605" s="2" t="s">
        <v>3159</v>
      </c>
      <c r="C605" s="2" t="s">
        <v>5370</v>
      </c>
      <c r="D605" s="2" t="s">
        <v>6388</v>
      </c>
      <c r="E605" s="2" t="s">
        <v>7980</v>
      </c>
      <c r="F605" s="2" t="s">
        <v>7981</v>
      </c>
      <c r="G605" s="2" t="s">
        <v>5022</v>
      </c>
      <c r="H605" s="2" t="s">
        <v>5023</v>
      </c>
      <c r="I605" s="2" t="s">
        <v>7982</v>
      </c>
      <c r="J605" s="2"/>
      <c r="K605" s="2"/>
      <c r="L605" s="2"/>
      <c r="M605" s="2" t="s">
        <v>7983</v>
      </c>
      <c r="N605" s="2"/>
      <c r="O605" s="2"/>
      <c r="P605" s="2"/>
      <c r="Q605" s="2"/>
    </row>
    <row r="606" spans="1:17" x14ac:dyDescent="0.2">
      <c r="A606" s="2" t="s">
        <v>2241</v>
      </c>
      <c r="B606" s="2" t="s">
        <v>6759</v>
      </c>
      <c r="C606" s="2" t="s">
        <v>7984</v>
      </c>
      <c r="D606" s="2" t="s">
        <v>7985</v>
      </c>
      <c r="E606" s="2" t="s">
        <v>7986</v>
      </c>
      <c r="F606" s="2" t="s">
        <v>5929</v>
      </c>
      <c r="G606" s="2" t="s">
        <v>5022</v>
      </c>
      <c r="H606" s="2" t="s">
        <v>5023</v>
      </c>
      <c r="I606" s="2"/>
      <c r="J606" s="2"/>
      <c r="K606" s="2" t="s">
        <v>5930</v>
      </c>
      <c r="L606" s="2"/>
      <c r="M606" s="2"/>
      <c r="N606" s="2"/>
      <c r="O606" s="2"/>
      <c r="P606" s="2"/>
      <c r="Q606" s="2"/>
    </row>
    <row r="607" spans="1:17" x14ac:dyDescent="0.2">
      <c r="A607" s="2" t="s">
        <v>1142</v>
      </c>
      <c r="B607" s="2" t="s">
        <v>7987</v>
      </c>
      <c r="C607" s="2" t="s">
        <v>7988</v>
      </c>
      <c r="D607" s="2" t="s">
        <v>5991</v>
      </c>
      <c r="E607" s="2" t="s">
        <v>7989</v>
      </c>
      <c r="F607" s="2" t="s">
        <v>7853</v>
      </c>
      <c r="G607" s="2" t="s">
        <v>5022</v>
      </c>
      <c r="H607" s="2" t="s">
        <v>5023</v>
      </c>
      <c r="I607" s="2" t="s">
        <v>7990</v>
      </c>
      <c r="J607" s="2"/>
      <c r="K607" s="2"/>
      <c r="L607" s="2"/>
      <c r="M607" s="2"/>
      <c r="N607" s="2"/>
      <c r="O607" s="2"/>
      <c r="P607" s="2"/>
      <c r="Q607" s="2"/>
    </row>
    <row r="608" spans="1:17" x14ac:dyDescent="0.2">
      <c r="A608" s="2" t="s">
        <v>3854</v>
      </c>
      <c r="B608" s="2" t="s">
        <v>7991</v>
      </c>
      <c r="C608" s="2" t="s">
        <v>7630</v>
      </c>
      <c r="D608" s="2" t="s">
        <v>7630</v>
      </c>
      <c r="E608" s="2" t="s">
        <v>7992</v>
      </c>
      <c r="F608" s="2" t="s">
        <v>7993</v>
      </c>
      <c r="G608" s="2" t="s">
        <v>5022</v>
      </c>
      <c r="H608" s="2" t="s">
        <v>5023</v>
      </c>
      <c r="I608" s="2" t="s">
        <v>7994</v>
      </c>
      <c r="J608" s="2"/>
      <c r="K608" s="2"/>
      <c r="L608" s="2"/>
      <c r="M608" s="2" t="s">
        <v>7995</v>
      </c>
      <c r="N608" s="2"/>
      <c r="O608" s="2"/>
      <c r="P608" s="2"/>
      <c r="Q608" s="2"/>
    </row>
    <row r="609" spans="1:17" x14ac:dyDescent="0.2">
      <c r="A609" s="2" t="s">
        <v>1591</v>
      </c>
      <c r="B609" s="2" t="s">
        <v>7996</v>
      </c>
      <c r="C609" s="2" t="s">
        <v>5164</v>
      </c>
      <c r="D609" s="2" t="s">
        <v>6830</v>
      </c>
      <c r="E609" s="2" t="s">
        <v>7997</v>
      </c>
      <c r="F609" s="2" t="s">
        <v>7998</v>
      </c>
      <c r="G609" s="2" t="s">
        <v>5022</v>
      </c>
      <c r="H609" s="2" t="s">
        <v>5023</v>
      </c>
      <c r="I609" s="2" t="s">
        <v>7999</v>
      </c>
      <c r="J609" s="2"/>
      <c r="K609" s="2"/>
      <c r="L609" s="2"/>
      <c r="M609" s="2"/>
      <c r="N609" s="2"/>
      <c r="O609" s="2"/>
      <c r="P609" s="2"/>
      <c r="Q609" s="2"/>
    </row>
    <row r="610" spans="1:17" x14ac:dyDescent="0.2">
      <c r="A610" s="2" t="s">
        <v>2836</v>
      </c>
      <c r="B610" s="2" t="s">
        <v>8000</v>
      </c>
      <c r="C610" s="2" t="s">
        <v>8001</v>
      </c>
      <c r="D610" s="2" t="s">
        <v>8002</v>
      </c>
      <c r="E610" s="2" t="s">
        <v>5454</v>
      </c>
      <c r="F610" s="2" t="s">
        <v>7335</v>
      </c>
      <c r="G610" s="2" t="s">
        <v>5022</v>
      </c>
      <c r="H610" s="2" t="s">
        <v>5023</v>
      </c>
      <c r="I610" s="2"/>
      <c r="J610" s="2"/>
      <c r="K610" s="2" t="s">
        <v>8003</v>
      </c>
      <c r="L610" s="2"/>
      <c r="M610" s="2"/>
      <c r="N610" s="2"/>
      <c r="O610" s="2"/>
      <c r="P610" s="2"/>
      <c r="Q610" s="2"/>
    </row>
    <row r="611" spans="1:17" x14ac:dyDescent="0.2">
      <c r="A611" s="2" t="s">
        <v>681</v>
      </c>
      <c r="B611" s="2" t="s">
        <v>7699</v>
      </c>
      <c r="C611" s="2" t="s">
        <v>8004</v>
      </c>
      <c r="D611" s="2" t="s">
        <v>7252</v>
      </c>
      <c r="E611" s="2" t="s">
        <v>7509</v>
      </c>
      <c r="F611" s="2" t="s">
        <v>8005</v>
      </c>
      <c r="G611" s="2" t="s">
        <v>5022</v>
      </c>
      <c r="H611" s="2" t="s">
        <v>5023</v>
      </c>
      <c r="I611" s="2" t="s">
        <v>8006</v>
      </c>
      <c r="J611" s="2"/>
      <c r="K611" s="2"/>
      <c r="L611" s="2"/>
      <c r="M611" s="2" t="s">
        <v>8007</v>
      </c>
      <c r="N611" s="2"/>
      <c r="O611" s="2"/>
      <c r="P611" s="2"/>
      <c r="Q611" s="2"/>
    </row>
    <row r="612" spans="1:17" x14ac:dyDescent="0.2">
      <c r="A612" s="2" t="s">
        <v>2198</v>
      </c>
      <c r="B612" s="2" t="s">
        <v>5262</v>
      </c>
      <c r="C612" s="2" t="s">
        <v>5363</v>
      </c>
      <c r="D612" s="2" t="s">
        <v>8008</v>
      </c>
      <c r="E612" s="2" t="s">
        <v>8009</v>
      </c>
      <c r="F612" s="2" t="s">
        <v>8010</v>
      </c>
      <c r="G612" s="2" t="s">
        <v>5022</v>
      </c>
      <c r="H612" s="2" t="s">
        <v>5023</v>
      </c>
      <c r="I612" s="2" t="s">
        <v>8011</v>
      </c>
      <c r="J612" s="2"/>
      <c r="K612" s="2"/>
      <c r="L612" s="2"/>
      <c r="M612" s="2"/>
      <c r="N612" s="2"/>
      <c r="O612" s="2"/>
      <c r="P612" s="2"/>
      <c r="Q612" s="2"/>
    </row>
    <row r="613" spans="1:17" x14ac:dyDescent="0.2">
      <c r="A613" s="2" t="s">
        <v>4595</v>
      </c>
      <c r="B613" s="2" t="s">
        <v>3785</v>
      </c>
      <c r="C613" s="2" t="s">
        <v>8012</v>
      </c>
      <c r="D613" s="2" t="s">
        <v>8013</v>
      </c>
      <c r="E613" s="2" t="s">
        <v>8014</v>
      </c>
      <c r="F613" s="2" t="s">
        <v>8015</v>
      </c>
      <c r="G613" s="2" t="s">
        <v>5022</v>
      </c>
      <c r="H613" s="2" t="s">
        <v>5023</v>
      </c>
      <c r="I613" s="2" t="s">
        <v>8016</v>
      </c>
      <c r="J613" s="2"/>
      <c r="K613" s="2"/>
      <c r="L613" s="2"/>
      <c r="M613" s="2"/>
      <c r="N613" s="2"/>
      <c r="O613" s="2"/>
      <c r="P613" s="2"/>
      <c r="Q613" s="2"/>
    </row>
    <row r="614" spans="1:17" x14ac:dyDescent="0.2">
      <c r="A614" s="2" t="s">
        <v>1884</v>
      </c>
      <c r="B614" s="2" t="s">
        <v>8017</v>
      </c>
      <c r="C614" s="2" t="s">
        <v>8018</v>
      </c>
      <c r="D614" s="2" t="s">
        <v>8019</v>
      </c>
      <c r="E614" s="2" t="s">
        <v>8020</v>
      </c>
      <c r="F614" s="2" t="s">
        <v>8021</v>
      </c>
      <c r="G614" s="2" t="s">
        <v>5022</v>
      </c>
      <c r="H614" s="2" t="s">
        <v>5023</v>
      </c>
      <c r="I614" s="2" t="s">
        <v>8022</v>
      </c>
      <c r="J614" s="2"/>
      <c r="K614" s="2"/>
      <c r="L614" s="2"/>
      <c r="M614" s="2" t="s">
        <v>8023</v>
      </c>
      <c r="N614" s="2"/>
      <c r="O614" s="2"/>
      <c r="P614" s="2"/>
      <c r="Q614" s="2"/>
    </row>
    <row r="615" spans="1:17" x14ac:dyDescent="0.2">
      <c r="A615" s="2" t="s">
        <v>528</v>
      </c>
      <c r="B615" s="2" t="s">
        <v>8024</v>
      </c>
      <c r="C615" s="2" t="s">
        <v>5623</v>
      </c>
      <c r="D615" s="2" t="s">
        <v>5957</v>
      </c>
      <c r="E615" s="2" t="s">
        <v>8025</v>
      </c>
      <c r="F615" s="2" t="s">
        <v>7828</v>
      </c>
      <c r="G615" s="2" t="s">
        <v>5022</v>
      </c>
      <c r="H615" s="2" t="s">
        <v>5023</v>
      </c>
      <c r="I615" s="2" t="s">
        <v>8026</v>
      </c>
      <c r="J615" s="2"/>
      <c r="K615" s="2"/>
      <c r="L615" s="2"/>
      <c r="M615" s="2" t="s">
        <v>8027</v>
      </c>
      <c r="N615" s="2"/>
      <c r="O615" s="2"/>
      <c r="P615" s="2"/>
      <c r="Q615" s="2"/>
    </row>
    <row r="616" spans="1:17" x14ac:dyDescent="0.2">
      <c r="A616" s="2" t="s">
        <v>4890</v>
      </c>
      <c r="B616" s="2" t="s">
        <v>8028</v>
      </c>
      <c r="C616" s="2" t="s">
        <v>5414</v>
      </c>
      <c r="D616" s="2" t="s">
        <v>5363</v>
      </c>
      <c r="E616" s="2" t="s">
        <v>8029</v>
      </c>
      <c r="F616" s="2" t="s">
        <v>8030</v>
      </c>
      <c r="G616" s="2" t="s">
        <v>5022</v>
      </c>
      <c r="H616" s="2" t="s">
        <v>5023</v>
      </c>
      <c r="I616" s="2"/>
      <c r="J616" s="2"/>
      <c r="K616" s="2"/>
      <c r="L616" s="2"/>
      <c r="M616" s="2"/>
      <c r="N616" s="2"/>
      <c r="O616" s="2"/>
      <c r="P616" s="2"/>
      <c r="Q616" s="2"/>
    </row>
    <row r="617" spans="1:17" x14ac:dyDescent="0.2">
      <c r="A617" s="2" t="s">
        <v>3755</v>
      </c>
      <c r="B617" s="2" t="s">
        <v>3994</v>
      </c>
      <c r="C617" s="2" t="s">
        <v>5076</v>
      </c>
      <c r="D617" s="2" t="s">
        <v>5051</v>
      </c>
      <c r="E617" s="2" t="s">
        <v>8031</v>
      </c>
      <c r="F617" s="2" t="s">
        <v>8032</v>
      </c>
      <c r="G617" s="2" t="s">
        <v>5022</v>
      </c>
      <c r="H617" s="2" t="s">
        <v>5023</v>
      </c>
      <c r="I617" s="2" t="s">
        <v>8033</v>
      </c>
      <c r="J617" s="2"/>
      <c r="K617" s="2"/>
      <c r="L617" s="2"/>
      <c r="M617" s="2" t="s">
        <v>8034</v>
      </c>
      <c r="N617" s="2"/>
      <c r="O617" s="2"/>
      <c r="P617" s="2"/>
      <c r="Q617" s="2"/>
    </row>
    <row r="618" spans="1:17" x14ac:dyDescent="0.2">
      <c r="A618" s="2" t="s">
        <v>1297</v>
      </c>
      <c r="B618" s="2" t="s">
        <v>6572</v>
      </c>
      <c r="C618" s="2" t="s">
        <v>5125</v>
      </c>
      <c r="D618" s="2" t="s">
        <v>5159</v>
      </c>
      <c r="E618" s="2" t="s">
        <v>5891</v>
      </c>
      <c r="F618" s="2" t="s">
        <v>8035</v>
      </c>
      <c r="G618" s="2" t="s">
        <v>5022</v>
      </c>
      <c r="H618" s="2" t="s">
        <v>5023</v>
      </c>
      <c r="I618" s="2" t="s">
        <v>8036</v>
      </c>
      <c r="J618" s="2"/>
      <c r="K618" s="2"/>
      <c r="L618" s="2"/>
      <c r="M618" s="2"/>
      <c r="N618" s="2"/>
      <c r="O618" s="2"/>
      <c r="P618" s="2"/>
      <c r="Q618" s="2"/>
    </row>
    <row r="619" spans="1:17" x14ac:dyDescent="0.2">
      <c r="A619" s="2" t="s">
        <v>3482</v>
      </c>
      <c r="B619" s="2" t="s">
        <v>8037</v>
      </c>
      <c r="C619" s="2" t="s">
        <v>8038</v>
      </c>
      <c r="D619" s="2" t="s">
        <v>8039</v>
      </c>
      <c r="E619" s="2" t="s">
        <v>7832</v>
      </c>
      <c r="F619" s="2" t="s">
        <v>6006</v>
      </c>
      <c r="G619" s="2" t="s">
        <v>5022</v>
      </c>
      <c r="H619" s="2" t="s">
        <v>5023</v>
      </c>
      <c r="I619" s="2" t="s">
        <v>8040</v>
      </c>
      <c r="J619" s="2"/>
      <c r="K619" s="2"/>
      <c r="L619" s="2"/>
      <c r="M619" s="2" t="s">
        <v>8041</v>
      </c>
      <c r="N619" s="2"/>
      <c r="O619" s="2"/>
      <c r="P619" s="2"/>
      <c r="Q619" s="2"/>
    </row>
    <row r="620" spans="1:17" x14ac:dyDescent="0.2">
      <c r="A620" s="2" t="s">
        <v>575</v>
      </c>
      <c r="B620" s="2" t="s">
        <v>8042</v>
      </c>
      <c r="C620" s="2" t="s">
        <v>7252</v>
      </c>
      <c r="D620" s="2" t="s">
        <v>6568</v>
      </c>
      <c r="E620" s="2" t="s">
        <v>5450</v>
      </c>
      <c r="F620" s="2" t="s">
        <v>8043</v>
      </c>
      <c r="G620" s="2" t="s">
        <v>5022</v>
      </c>
      <c r="H620" s="2" t="s">
        <v>5023</v>
      </c>
      <c r="I620" s="2" t="s">
        <v>8044</v>
      </c>
      <c r="J620" s="2"/>
      <c r="K620" s="2"/>
      <c r="L620" s="2"/>
      <c r="M620" s="2" t="s">
        <v>8045</v>
      </c>
      <c r="N620" s="2"/>
      <c r="O620" s="2"/>
      <c r="P620" s="2"/>
      <c r="Q620" s="2"/>
    </row>
    <row r="621" spans="1:17" x14ac:dyDescent="0.2">
      <c r="A621" s="2" t="s">
        <v>3504</v>
      </c>
      <c r="B621" s="2" t="s">
        <v>5257</v>
      </c>
      <c r="C621" s="2" t="s">
        <v>8046</v>
      </c>
      <c r="D621" s="2" t="s">
        <v>5381</v>
      </c>
      <c r="E621" s="2" t="s">
        <v>5736</v>
      </c>
      <c r="F621" s="2" t="s">
        <v>7033</v>
      </c>
      <c r="G621" s="2" t="s">
        <v>5022</v>
      </c>
      <c r="H621" s="2" t="s">
        <v>5023</v>
      </c>
      <c r="I621" s="2"/>
      <c r="J621" s="2"/>
      <c r="K621" s="2" t="s">
        <v>8047</v>
      </c>
      <c r="L621" s="2"/>
      <c r="M621" s="2"/>
      <c r="N621" s="2"/>
      <c r="O621" s="2"/>
      <c r="P621" s="2"/>
      <c r="Q621" s="2"/>
    </row>
    <row r="622" spans="1:17" x14ac:dyDescent="0.2">
      <c r="A622" s="2" t="s">
        <v>4950</v>
      </c>
      <c r="B622" s="2" t="s">
        <v>5826</v>
      </c>
      <c r="C622" s="2" t="s">
        <v>8048</v>
      </c>
      <c r="D622" s="2" t="s">
        <v>8049</v>
      </c>
      <c r="E622" s="2" t="s">
        <v>5537</v>
      </c>
      <c r="F622" s="2" t="s">
        <v>8050</v>
      </c>
      <c r="G622" s="2" t="s">
        <v>5022</v>
      </c>
      <c r="H622" s="2" t="s">
        <v>5023</v>
      </c>
      <c r="I622" s="2" t="s">
        <v>8051</v>
      </c>
      <c r="J622" s="2"/>
      <c r="K622" s="2"/>
      <c r="L622" s="2"/>
      <c r="M622" s="2"/>
      <c r="N622" s="2"/>
      <c r="O622" s="2"/>
      <c r="P622" s="2"/>
      <c r="Q622" s="2"/>
    </row>
    <row r="623" spans="1:17" x14ac:dyDescent="0.2">
      <c r="A623" s="2" t="s">
        <v>3378</v>
      </c>
      <c r="B623" s="2" t="s">
        <v>4359</v>
      </c>
      <c r="C623" s="2" t="s">
        <v>8052</v>
      </c>
      <c r="D623" s="2" t="s">
        <v>8053</v>
      </c>
      <c r="E623" s="2" t="s">
        <v>8054</v>
      </c>
      <c r="F623" s="2" t="s">
        <v>8055</v>
      </c>
      <c r="G623" s="2" t="s">
        <v>5022</v>
      </c>
      <c r="H623" s="2" t="s">
        <v>5023</v>
      </c>
      <c r="I623" s="2" t="s">
        <v>8056</v>
      </c>
      <c r="J623" s="2"/>
      <c r="K623" s="2"/>
      <c r="L623" s="2"/>
      <c r="M623" s="2"/>
      <c r="N623" s="2"/>
      <c r="O623" s="2"/>
      <c r="P623" s="2"/>
      <c r="Q623" s="2"/>
    </row>
    <row r="624" spans="1:17" x14ac:dyDescent="0.2">
      <c r="A624" s="2" t="s">
        <v>2788</v>
      </c>
      <c r="B624" s="2" t="s">
        <v>8057</v>
      </c>
      <c r="C624" s="2" t="s">
        <v>8058</v>
      </c>
      <c r="D624" s="2" t="s">
        <v>8059</v>
      </c>
      <c r="E624" s="2" t="s">
        <v>8060</v>
      </c>
      <c r="F624" s="2" t="s">
        <v>8061</v>
      </c>
      <c r="G624" s="2" t="s">
        <v>5022</v>
      </c>
      <c r="H624" s="2" t="s">
        <v>5023</v>
      </c>
      <c r="I624" s="2"/>
      <c r="J624" s="2"/>
      <c r="K624" s="2" t="s">
        <v>8062</v>
      </c>
      <c r="L624" s="2"/>
      <c r="M624" s="2"/>
      <c r="N624" s="2"/>
      <c r="O624" s="2"/>
      <c r="P624" s="2"/>
      <c r="Q624" s="2"/>
    </row>
    <row r="625" spans="1:17" x14ac:dyDescent="0.2">
      <c r="A625" s="2" t="s">
        <v>3386</v>
      </c>
      <c r="B625" s="2" t="s">
        <v>8063</v>
      </c>
      <c r="C625" s="2" t="s">
        <v>8064</v>
      </c>
      <c r="D625" s="2" t="s">
        <v>8065</v>
      </c>
      <c r="E625" s="2" t="s">
        <v>8066</v>
      </c>
      <c r="F625" s="2" t="s">
        <v>6781</v>
      </c>
      <c r="G625" s="2" t="s">
        <v>5022</v>
      </c>
      <c r="H625" s="2" t="s">
        <v>5023</v>
      </c>
      <c r="I625" s="2" t="s">
        <v>8067</v>
      </c>
      <c r="J625" s="2"/>
      <c r="K625" s="2"/>
      <c r="L625" s="2"/>
      <c r="M625" s="2" t="s">
        <v>8068</v>
      </c>
      <c r="N625" s="2"/>
      <c r="O625" s="2"/>
      <c r="P625" s="2"/>
      <c r="Q625" s="2"/>
    </row>
    <row r="626" spans="1:17" x14ac:dyDescent="0.2">
      <c r="A626" s="2" t="s">
        <v>1227</v>
      </c>
      <c r="B626" s="2" t="s">
        <v>8069</v>
      </c>
      <c r="C626" s="2" t="s">
        <v>5241</v>
      </c>
      <c r="D626" s="2" t="s">
        <v>8070</v>
      </c>
      <c r="E626" s="2" t="s">
        <v>8071</v>
      </c>
      <c r="F626" s="2" t="s">
        <v>8072</v>
      </c>
      <c r="G626" s="2" t="s">
        <v>5022</v>
      </c>
      <c r="H626" s="2" t="s">
        <v>5023</v>
      </c>
      <c r="I626" s="2" t="s">
        <v>8073</v>
      </c>
      <c r="J626" s="2"/>
      <c r="K626" s="2"/>
      <c r="L626" s="2"/>
      <c r="M626" s="2"/>
      <c r="N626" s="2"/>
      <c r="O626" s="2"/>
      <c r="P626" s="2"/>
      <c r="Q626" s="2"/>
    </row>
    <row r="627" spans="1:17" x14ac:dyDescent="0.2">
      <c r="A627" s="2" t="s">
        <v>1649</v>
      </c>
      <c r="B627" s="2" t="s">
        <v>5604</v>
      </c>
      <c r="C627" s="2" t="s">
        <v>8074</v>
      </c>
      <c r="D627" s="2" t="s">
        <v>8075</v>
      </c>
      <c r="E627" s="2" t="s">
        <v>8076</v>
      </c>
      <c r="F627" s="2" t="s">
        <v>5089</v>
      </c>
      <c r="G627" s="2" t="s">
        <v>5022</v>
      </c>
      <c r="H627" s="2" t="s">
        <v>5023</v>
      </c>
      <c r="I627" s="2" t="s">
        <v>8077</v>
      </c>
      <c r="J627" s="2"/>
      <c r="K627" s="2"/>
      <c r="L627" s="2"/>
      <c r="M627" s="2" t="s">
        <v>8078</v>
      </c>
      <c r="N627" s="2"/>
      <c r="O627" s="2"/>
      <c r="P627" s="2"/>
      <c r="Q627" s="2"/>
    </row>
    <row r="628" spans="1:17" x14ac:dyDescent="0.2">
      <c r="A628" s="2" t="s">
        <v>3920</v>
      </c>
      <c r="B628" s="2" t="s">
        <v>8079</v>
      </c>
      <c r="C628" s="2" t="s">
        <v>8080</v>
      </c>
      <c r="D628" s="2" t="s">
        <v>5076</v>
      </c>
      <c r="E628" s="2" t="s">
        <v>5094</v>
      </c>
      <c r="F628" s="2" t="s">
        <v>6719</v>
      </c>
      <c r="G628" s="2" t="s">
        <v>5022</v>
      </c>
      <c r="H628" s="2" t="s">
        <v>5023</v>
      </c>
      <c r="I628" s="2" t="s">
        <v>8081</v>
      </c>
      <c r="J628" s="2"/>
      <c r="K628" s="2"/>
      <c r="L628" s="2"/>
      <c r="M628" s="2" t="s">
        <v>8082</v>
      </c>
      <c r="N628" s="2"/>
      <c r="O628" s="2"/>
      <c r="P628" s="2"/>
      <c r="Q628" s="2"/>
    </row>
    <row r="629" spans="1:17" x14ac:dyDescent="0.2">
      <c r="A629" s="2" t="s">
        <v>1042</v>
      </c>
      <c r="B629" s="2" t="s">
        <v>8083</v>
      </c>
      <c r="C629" s="2" t="s">
        <v>8084</v>
      </c>
      <c r="D629" s="2" t="s">
        <v>8085</v>
      </c>
      <c r="E629" s="2" t="s">
        <v>6251</v>
      </c>
      <c r="F629" s="2" t="s">
        <v>5266</v>
      </c>
      <c r="G629" s="2" t="s">
        <v>5022</v>
      </c>
      <c r="H629" s="2" t="s">
        <v>5023</v>
      </c>
      <c r="I629" s="2" t="s">
        <v>8086</v>
      </c>
      <c r="J629" s="2"/>
      <c r="K629" s="2"/>
      <c r="L629" s="2"/>
      <c r="M629" s="2" t="s">
        <v>8087</v>
      </c>
      <c r="N629" s="2"/>
      <c r="O629" s="2"/>
      <c r="P629" s="2"/>
      <c r="Q629" s="2"/>
    </row>
    <row r="630" spans="1:17" x14ac:dyDescent="0.2">
      <c r="A630" s="2" t="s">
        <v>3162</v>
      </c>
      <c r="B630" s="2" t="s">
        <v>8088</v>
      </c>
      <c r="C630" s="2" t="s">
        <v>8089</v>
      </c>
      <c r="D630" s="2" t="s">
        <v>5827</v>
      </c>
      <c r="E630" s="2" t="s">
        <v>8090</v>
      </c>
      <c r="F630" s="2" t="s">
        <v>8091</v>
      </c>
      <c r="G630" s="2" t="s">
        <v>5022</v>
      </c>
      <c r="H630" s="2" t="s">
        <v>5023</v>
      </c>
      <c r="I630" s="2" t="s">
        <v>8092</v>
      </c>
      <c r="J630" s="2"/>
      <c r="K630" s="2"/>
      <c r="L630" s="2"/>
      <c r="M630" s="2" t="s">
        <v>8093</v>
      </c>
      <c r="N630" s="2"/>
      <c r="O630" s="2"/>
      <c r="P630" s="2"/>
      <c r="Q630" s="2"/>
    </row>
    <row r="631" spans="1:17" x14ac:dyDescent="0.2">
      <c r="A631" s="2" t="s">
        <v>1730</v>
      </c>
      <c r="B631" s="2" t="s">
        <v>5379</v>
      </c>
      <c r="C631" s="2" t="s">
        <v>8094</v>
      </c>
      <c r="D631" s="2" t="s">
        <v>5126</v>
      </c>
      <c r="E631" s="2" t="s">
        <v>8095</v>
      </c>
      <c r="F631" s="2" t="s">
        <v>8096</v>
      </c>
      <c r="G631" s="2" t="s">
        <v>5022</v>
      </c>
      <c r="H631" s="2" t="s">
        <v>5023</v>
      </c>
      <c r="I631" s="2"/>
      <c r="J631" s="2"/>
      <c r="K631" s="2" t="s">
        <v>8097</v>
      </c>
      <c r="L631" s="2"/>
      <c r="M631" s="2"/>
      <c r="N631" s="2"/>
      <c r="O631" s="2"/>
      <c r="P631" s="2"/>
      <c r="Q631" s="2"/>
    </row>
    <row r="632" spans="1:17" x14ac:dyDescent="0.2">
      <c r="A632" s="2" t="s">
        <v>137</v>
      </c>
      <c r="B632" s="2" t="s">
        <v>7534</v>
      </c>
      <c r="C632" s="2" t="s">
        <v>8094</v>
      </c>
      <c r="D632" s="2" t="s">
        <v>5421</v>
      </c>
      <c r="E632" s="2" t="s">
        <v>7461</v>
      </c>
      <c r="F632" s="2" t="s">
        <v>8098</v>
      </c>
      <c r="G632" s="2" t="s">
        <v>5022</v>
      </c>
      <c r="H632" s="2" t="s">
        <v>5023</v>
      </c>
      <c r="I632" s="2" t="s">
        <v>8099</v>
      </c>
      <c r="J632" s="2"/>
      <c r="K632" s="2"/>
      <c r="L632" s="2"/>
      <c r="M632" s="2" t="s">
        <v>8100</v>
      </c>
      <c r="N632" s="2"/>
      <c r="O632" s="2"/>
      <c r="P632" s="2"/>
      <c r="Q632" s="2"/>
    </row>
    <row r="633" spans="1:17" x14ac:dyDescent="0.2">
      <c r="A633" s="2" t="s">
        <v>2448</v>
      </c>
      <c r="B633" s="2" t="s">
        <v>8101</v>
      </c>
      <c r="C633" s="2" t="s">
        <v>5489</v>
      </c>
      <c r="D633" s="2" t="s">
        <v>6014</v>
      </c>
      <c r="E633" s="2" t="s">
        <v>5253</v>
      </c>
      <c r="F633" s="2" t="s">
        <v>8102</v>
      </c>
      <c r="G633" s="2" t="s">
        <v>5022</v>
      </c>
      <c r="H633" s="2" t="s">
        <v>5023</v>
      </c>
      <c r="I633" s="2"/>
      <c r="J633" s="2"/>
      <c r="K633" s="2" t="s">
        <v>8103</v>
      </c>
      <c r="L633" s="2"/>
      <c r="M633" s="2"/>
      <c r="N633" s="2"/>
      <c r="O633" s="2"/>
      <c r="P633" s="2"/>
      <c r="Q633" s="2"/>
    </row>
    <row r="634" spans="1:17" x14ac:dyDescent="0.2">
      <c r="A634" s="2" t="s">
        <v>1192</v>
      </c>
      <c r="B634" s="2" t="s">
        <v>6572</v>
      </c>
      <c r="C634" s="2" t="s">
        <v>5380</v>
      </c>
      <c r="D634" s="2" t="s">
        <v>5623</v>
      </c>
      <c r="E634" s="2" t="s">
        <v>6166</v>
      </c>
      <c r="F634" s="2" t="s">
        <v>5220</v>
      </c>
      <c r="G634" s="2" t="s">
        <v>5022</v>
      </c>
      <c r="H634" s="2" t="s">
        <v>5023</v>
      </c>
      <c r="I634" s="2" t="s">
        <v>8104</v>
      </c>
      <c r="J634" s="2" t="s">
        <v>8105</v>
      </c>
      <c r="K634" s="2"/>
      <c r="L634" s="2"/>
      <c r="M634" s="2"/>
      <c r="N634" s="2"/>
      <c r="O634" s="2"/>
      <c r="P634" s="2"/>
      <c r="Q634" s="2"/>
    </row>
    <row r="635" spans="1:17" x14ac:dyDescent="0.2">
      <c r="A635" s="2" t="s">
        <v>4409</v>
      </c>
      <c r="B635" s="2" t="s">
        <v>5368</v>
      </c>
      <c r="C635" s="2" t="s">
        <v>5317</v>
      </c>
      <c r="D635" s="2" t="s">
        <v>8106</v>
      </c>
      <c r="E635" s="2" t="s">
        <v>8107</v>
      </c>
      <c r="F635" s="2" t="s">
        <v>8108</v>
      </c>
      <c r="G635" s="2" t="s">
        <v>5022</v>
      </c>
      <c r="H635" s="2" t="s">
        <v>5023</v>
      </c>
      <c r="I635" s="2" t="s">
        <v>8109</v>
      </c>
      <c r="J635" s="2"/>
      <c r="K635" s="2"/>
      <c r="L635" s="2"/>
      <c r="M635" s="2"/>
      <c r="N635" s="2"/>
      <c r="O635" s="2"/>
      <c r="P635" s="2"/>
      <c r="Q635" s="2"/>
    </row>
    <row r="636" spans="1:17" x14ac:dyDescent="0.2">
      <c r="A636" s="2" t="s">
        <v>2697</v>
      </c>
      <c r="B636" s="2" t="s">
        <v>8110</v>
      </c>
      <c r="C636" s="2" t="s">
        <v>6085</v>
      </c>
      <c r="D636" s="2" t="s">
        <v>5789</v>
      </c>
      <c r="E636" s="2" t="s">
        <v>8111</v>
      </c>
      <c r="F636" s="2" t="s">
        <v>5465</v>
      </c>
      <c r="G636" s="2" t="s">
        <v>5022</v>
      </c>
      <c r="H636" s="2" t="s">
        <v>5023</v>
      </c>
      <c r="I636" s="2" t="s">
        <v>8112</v>
      </c>
      <c r="J636" s="2"/>
      <c r="K636" s="2"/>
      <c r="L636" s="2"/>
      <c r="M636" s="2"/>
      <c r="N636" s="2"/>
      <c r="O636" s="2"/>
      <c r="P636" s="2"/>
      <c r="Q636" s="2"/>
    </row>
    <row r="637" spans="1:17" x14ac:dyDescent="0.2">
      <c r="A637" s="2" t="s">
        <v>4304</v>
      </c>
      <c r="B637" s="2" t="s">
        <v>8113</v>
      </c>
      <c r="C637" s="2" t="s">
        <v>5051</v>
      </c>
      <c r="D637" s="2" t="s">
        <v>7242</v>
      </c>
      <c r="E637" s="2" t="s">
        <v>8114</v>
      </c>
      <c r="F637" s="2" t="s">
        <v>8115</v>
      </c>
      <c r="G637" s="2" t="s">
        <v>5022</v>
      </c>
      <c r="H637" s="2" t="s">
        <v>5023</v>
      </c>
      <c r="I637" s="2" t="s">
        <v>8116</v>
      </c>
      <c r="J637" s="2"/>
      <c r="K637" s="2"/>
      <c r="L637" s="2"/>
      <c r="M637" s="2" t="s">
        <v>8117</v>
      </c>
      <c r="N637" s="2"/>
      <c r="O637" s="2"/>
      <c r="P637" s="2"/>
      <c r="Q637" s="2"/>
    </row>
    <row r="638" spans="1:17" x14ac:dyDescent="0.2">
      <c r="A638" s="2" t="s">
        <v>4233</v>
      </c>
      <c r="B638" s="2" t="s">
        <v>8118</v>
      </c>
      <c r="C638" s="2" t="s">
        <v>6137</v>
      </c>
      <c r="D638" s="2" t="s">
        <v>6946</v>
      </c>
      <c r="E638" s="2" t="s">
        <v>8119</v>
      </c>
      <c r="F638" s="2" t="s">
        <v>7769</v>
      </c>
      <c r="G638" s="2" t="s">
        <v>5022</v>
      </c>
      <c r="H638" s="2" t="s">
        <v>5023</v>
      </c>
      <c r="I638" s="2" t="s">
        <v>8120</v>
      </c>
      <c r="J638" s="2"/>
      <c r="K638" s="2"/>
      <c r="L638" s="2"/>
      <c r="M638" s="2"/>
      <c r="N638" s="2"/>
      <c r="O638" s="2"/>
      <c r="P638" s="2"/>
      <c r="Q638" s="2"/>
    </row>
    <row r="639" spans="1:17" x14ac:dyDescent="0.2">
      <c r="A639" s="2" t="s">
        <v>610</v>
      </c>
      <c r="B639" s="2" t="s">
        <v>6874</v>
      </c>
      <c r="C639" s="2" t="s">
        <v>8121</v>
      </c>
      <c r="D639" s="2" t="s">
        <v>8122</v>
      </c>
      <c r="E639" s="2" t="s">
        <v>5248</v>
      </c>
      <c r="F639" s="2" t="s">
        <v>5731</v>
      </c>
      <c r="G639" s="2" t="s">
        <v>5022</v>
      </c>
      <c r="H639" s="2" t="s">
        <v>5023</v>
      </c>
      <c r="I639" s="2" t="s">
        <v>8123</v>
      </c>
      <c r="J639" s="2"/>
      <c r="K639" s="2"/>
      <c r="L639" s="2"/>
      <c r="M639" s="2" t="s">
        <v>8124</v>
      </c>
      <c r="N639" s="2"/>
      <c r="O639" s="2"/>
      <c r="P639" s="2"/>
      <c r="Q639" s="2"/>
    </row>
    <row r="640" spans="1:17" x14ac:dyDescent="0.2">
      <c r="A640" s="2" t="s">
        <v>1648</v>
      </c>
      <c r="B640" s="2" t="s">
        <v>8125</v>
      </c>
      <c r="C640" s="2" t="s">
        <v>5205</v>
      </c>
      <c r="D640" s="2" t="s">
        <v>8126</v>
      </c>
      <c r="E640" s="2" t="s">
        <v>6917</v>
      </c>
      <c r="F640" s="2" t="s">
        <v>8127</v>
      </c>
      <c r="G640" s="2" t="s">
        <v>5022</v>
      </c>
      <c r="H640" s="2" t="s">
        <v>5023</v>
      </c>
      <c r="I640" s="2" t="s">
        <v>8128</v>
      </c>
      <c r="J640" s="2"/>
      <c r="K640" s="2"/>
      <c r="L640" s="2"/>
      <c r="M640" s="2"/>
      <c r="N640" s="2"/>
      <c r="O640" s="2"/>
      <c r="P640" s="2"/>
      <c r="Q640" s="2"/>
    </row>
    <row r="641" spans="1:17" x14ac:dyDescent="0.2">
      <c r="A641" s="2" t="s">
        <v>1098</v>
      </c>
      <c r="B641" s="2" t="s">
        <v>8101</v>
      </c>
      <c r="C641" s="2" t="s">
        <v>8129</v>
      </c>
      <c r="D641" s="2" t="s">
        <v>8130</v>
      </c>
      <c r="E641" s="2" t="s">
        <v>7780</v>
      </c>
      <c r="F641" s="2" t="s">
        <v>8131</v>
      </c>
      <c r="G641" s="2" t="s">
        <v>5022</v>
      </c>
      <c r="H641" s="2" t="s">
        <v>5023</v>
      </c>
      <c r="I641" s="2" t="s">
        <v>8132</v>
      </c>
      <c r="J641" s="2"/>
      <c r="K641" s="2"/>
      <c r="L641" s="2"/>
      <c r="M641" s="2"/>
      <c r="N641" s="2"/>
      <c r="O641" s="2"/>
      <c r="P641" s="2"/>
      <c r="Q641" s="2"/>
    </row>
    <row r="642" spans="1:17" x14ac:dyDescent="0.2">
      <c r="A642" s="2" t="s">
        <v>2868</v>
      </c>
      <c r="B642" s="2" t="s">
        <v>8133</v>
      </c>
      <c r="C642" s="2" t="s">
        <v>8048</v>
      </c>
      <c r="D642" s="2" t="s">
        <v>6337</v>
      </c>
      <c r="E642" s="2" t="s">
        <v>8076</v>
      </c>
      <c r="F642" s="2" t="s">
        <v>8134</v>
      </c>
      <c r="G642" s="2" t="s">
        <v>5022</v>
      </c>
      <c r="H642" s="2" t="s">
        <v>5023</v>
      </c>
      <c r="I642" s="2" t="s">
        <v>8135</v>
      </c>
      <c r="J642" s="2"/>
      <c r="K642" s="2"/>
      <c r="L642" s="2"/>
      <c r="M642" s="2"/>
      <c r="N642" s="2"/>
      <c r="O642" s="2"/>
      <c r="P642" s="2"/>
      <c r="Q642" s="2"/>
    </row>
    <row r="643" spans="1:17" x14ac:dyDescent="0.2">
      <c r="A643" s="2" t="s">
        <v>1787</v>
      </c>
      <c r="B643" s="2" t="s">
        <v>6127</v>
      </c>
      <c r="C643" s="2" t="s">
        <v>8136</v>
      </c>
      <c r="D643" s="2" t="s">
        <v>5241</v>
      </c>
      <c r="E643" s="2" t="s">
        <v>8137</v>
      </c>
      <c r="F643" s="2" t="s">
        <v>8138</v>
      </c>
      <c r="G643" s="2" t="s">
        <v>5022</v>
      </c>
      <c r="H643" s="2" t="s">
        <v>5023</v>
      </c>
      <c r="I643" s="2"/>
      <c r="J643" s="2"/>
      <c r="K643" s="2" t="s">
        <v>8139</v>
      </c>
      <c r="L643" s="2"/>
      <c r="M643" s="2"/>
      <c r="N643" s="2"/>
      <c r="O643" s="2"/>
      <c r="P643" s="2"/>
      <c r="Q643" s="2"/>
    </row>
    <row r="644" spans="1:17" x14ac:dyDescent="0.2">
      <c r="A644" s="2" t="s">
        <v>1392</v>
      </c>
      <c r="B644" s="2" t="s">
        <v>8140</v>
      </c>
      <c r="C644" s="2" t="s">
        <v>6567</v>
      </c>
      <c r="D644" s="2" t="s">
        <v>8141</v>
      </c>
      <c r="E644" s="2" t="s">
        <v>8142</v>
      </c>
      <c r="F644" s="2" t="s">
        <v>6580</v>
      </c>
      <c r="G644" s="2" t="s">
        <v>5022</v>
      </c>
      <c r="H644" s="2" t="s">
        <v>5023</v>
      </c>
      <c r="I644" s="2" t="s">
        <v>8143</v>
      </c>
      <c r="J644" s="2"/>
      <c r="K644" s="2"/>
      <c r="L644" s="2"/>
      <c r="M644" s="2" t="s">
        <v>8144</v>
      </c>
      <c r="N644" s="2"/>
      <c r="O644" s="2"/>
      <c r="P644" s="2"/>
      <c r="Q644" s="2"/>
    </row>
    <row r="645" spans="1:17" x14ac:dyDescent="0.2">
      <c r="A645" s="2" t="s">
        <v>2564</v>
      </c>
      <c r="B645" s="2" t="s">
        <v>8145</v>
      </c>
      <c r="C645" s="2" t="s">
        <v>8146</v>
      </c>
      <c r="D645" s="2" t="s">
        <v>6916</v>
      </c>
      <c r="E645" s="2" t="s">
        <v>8147</v>
      </c>
      <c r="F645" s="2" t="s">
        <v>5519</v>
      </c>
      <c r="G645" s="2" t="s">
        <v>5022</v>
      </c>
      <c r="H645" s="2" t="s">
        <v>5023</v>
      </c>
      <c r="I645" s="2" t="s">
        <v>8148</v>
      </c>
      <c r="J645" s="2"/>
      <c r="K645" s="2"/>
      <c r="L645" s="2"/>
      <c r="M645" s="2"/>
      <c r="N645" s="2"/>
      <c r="O645" s="2"/>
      <c r="P645" s="2"/>
      <c r="Q645" s="2"/>
    </row>
    <row r="646" spans="1:17" x14ac:dyDescent="0.2">
      <c r="A646" s="2" t="s">
        <v>2588</v>
      </c>
      <c r="B646" s="2" t="s">
        <v>8149</v>
      </c>
      <c r="C646" s="2" t="s">
        <v>8013</v>
      </c>
      <c r="D646" s="2" t="s">
        <v>5414</v>
      </c>
      <c r="E646" s="2" t="s">
        <v>8150</v>
      </c>
      <c r="F646" s="2" t="s">
        <v>8151</v>
      </c>
      <c r="G646" s="2" t="s">
        <v>5022</v>
      </c>
      <c r="H646" s="2" t="s">
        <v>5023</v>
      </c>
      <c r="I646" s="2" t="s">
        <v>8152</v>
      </c>
      <c r="J646" s="2"/>
      <c r="K646" s="2"/>
      <c r="L646" s="2"/>
      <c r="M646" s="2"/>
      <c r="N646" s="2"/>
      <c r="O646" s="2"/>
      <c r="P646" s="2"/>
      <c r="Q646" s="2"/>
    </row>
    <row r="647" spans="1:17" x14ac:dyDescent="0.2">
      <c r="A647" s="2" t="s">
        <v>1026</v>
      </c>
      <c r="B647" s="2" t="s">
        <v>8153</v>
      </c>
      <c r="C647" s="2" t="s">
        <v>5189</v>
      </c>
      <c r="D647" s="2" t="s">
        <v>5189</v>
      </c>
      <c r="E647" s="2" t="s">
        <v>6605</v>
      </c>
      <c r="F647" s="2" t="s">
        <v>8154</v>
      </c>
      <c r="G647" s="2" t="s">
        <v>5022</v>
      </c>
      <c r="H647" s="2" t="s">
        <v>5023</v>
      </c>
      <c r="I647" s="2" t="s">
        <v>8155</v>
      </c>
      <c r="J647" s="2"/>
      <c r="K647" s="2"/>
      <c r="L647" s="2"/>
      <c r="M647" s="2"/>
      <c r="N647" s="2"/>
      <c r="O647" s="2"/>
      <c r="P647" s="2"/>
      <c r="Q647" s="2"/>
    </row>
    <row r="648" spans="1:17" x14ac:dyDescent="0.2">
      <c r="A648" s="2" t="s">
        <v>722</v>
      </c>
      <c r="B648" s="2" t="s">
        <v>8156</v>
      </c>
      <c r="C648" s="2" t="s">
        <v>5133</v>
      </c>
      <c r="D648" s="2" t="s">
        <v>6028</v>
      </c>
      <c r="E648" s="2" t="s">
        <v>8157</v>
      </c>
      <c r="F648" s="2" t="s">
        <v>8158</v>
      </c>
      <c r="G648" s="2" t="s">
        <v>5022</v>
      </c>
      <c r="H648" s="2" t="s">
        <v>5023</v>
      </c>
      <c r="I648" s="2" t="s">
        <v>8159</v>
      </c>
      <c r="J648" s="2"/>
      <c r="K648" s="2"/>
      <c r="L648" s="2"/>
      <c r="M648" s="2" t="s">
        <v>8160</v>
      </c>
      <c r="N648" s="2"/>
      <c r="O648" s="2"/>
      <c r="P648" s="2"/>
      <c r="Q648" s="2"/>
    </row>
    <row r="649" spans="1:17" x14ac:dyDescent="0.2">
      <c r="A649" s="2" t="s">
        <v>956</v>
      </c>
      <c r="B649" s="2" t="s">
        <v>7699</v>
      </c>
      <c r="C649" s="2" t="s">
        <v>5484</v>
      </c>
      <c r="D649" s="2" t="s">
        <v>5484</v>
      </c>
      <c r="E649" s="2" t="s">
        <v>8161</v>
      </c>
      <c r="F649" s="2" t="s">
        <v>8162</v>
      </c>
      <c r="G649" s="2" t="s">
        <v>5022</v>
      </c>
      <c r="H649" s="2" t="s">
        <v>5023</v>
      </c>
      <c r="I649" s="2"/>
      <c r="J649" s="2"/>
      <c r="K649" s="2" t="s">
        <v>8163</v>
      </c>
      <c r="L649" s="2"/>
      <c r="M649" s="2"/>
      <c r="N649" s="2"/>
      <c r="O649" s="2"/>
      <c r="P649" s="2"/>
      <c r="Q649" s="2"/>
    </row>
    <row r="650" spans="1:17" x14ac:dyDescent="0.2">
      <c r="A650" s="2" t="s">
        <v>4673</v>
      </c>
      <c r="B650" s="2" t="s">
        <v>8164</v>
      </c>
      <c r="C650" s="2" t="s">
        <v>8165</v>
      </c>
      <c r="D650" s="2" t="s">
        <v>5183</v>
      </c>
      <c r="E650" s="2" t="s">
        <v>8166</v>
      </c>
      <c r="F650" s="2" t="s">
        <v>8167</v>
      </c>
      <c r="G650" s="2" t="s">
        <v>5022</v>
      </c>
      <c r="H650" s="2" t="s">
        <v>5023</v>
      </c>
      <c r="I650" s="2" t="s">
        <v>8168</v>
      </c>
      <c r="J650" s="2"/>
      <c r="K650" s="2"/>
      <c r="L650" s="2"/>
      <c r="M650" s="2"/>
      <c r="N650" s="2"/>
      <c r="O650" s="2"/>
      <c r="P650" s="2"/>
      <c r="Q650" s="2"/>
    </row>
    <row r="651" spans="1:17" x14ac:dyDescent="0.2">
      <c r="A651" s="2" t="s">
        <v>2430</v>
      </c>
      <c r="B651" s="2" t="s">
        <v>8169</v>
      </c>
      <c r="C651" s="2" t="s">
        <v>6820</v>
      </c>
      <c r="D651" s="2" t="s">
        <v>6820</v>
      </c>
      <c r="E651" s="2" t="s">
        <v>8170</v>
      </c>
      <c r="F651" s="2" t="s">
        <v>8171</v>
      </c>
      <c r="G651" s="2" t="s">
        <v>5022</v>
      </c>
      <c r="H651" s="2" t="s">
        <v>5023</v>
      </c>
      <c r="I651" s="2"/>
      <c r="J651" s="2"/>
      <c r="K651" s="2" t="s">
        <v>8172</v>
      </c>
      <c r="L651" s="2" t="s">
        <v>8173</v>
      </c>
      <c r="M651" s="2"/>
      <c r="N651" s="2"/>
      <c r="O651" s="2"/>
      <c r="P651" s="2"/>
      <c r="Q651" s="2"/>
    </row>
    <row r="652" spans="1:17" x14ac:dyDescent="0.2">
      <c r="A652" s="2" t="s">
        <v>569</v>
      </c>
      <c r="B652" s="2" t="s">
        <v>5457</v>
      </c>
      <c r="C652" s="2" t="s">
        <v>5644</v>
      </c>
      <c r="D652" s="2" t="s">
        <v>6941</v>
      </c>
      <c r="E652" s="2" t="s">
        <v>6826</v>
      </c>
      <c r="F652" s="2" t="s">
        <v>8174</v>
      </c>
      <c r="G652" s="2" t="s">
        <v>5022</v>
      </c>
      <c r="H652" s="2" t="s">
        <v>5023</v>
      </c>
      <c r="I652" s="2" t="s">
        <v>8175</v>
      </c>
      <c r="J652" s="2"/>
      <c r="K652" s="2"/>
      <c r="L652" s="2"/>
      <c r="M652" s="2" t="s">
        <v>8176</v>
      </c>
      <c r="N652" s="2"/>
      <c r="O652" s="2"/>
      <c r="P652" s="2"/>
      <c r="Q652" s="2"/>
    </row>
    <row r="653" spans="1:17" x14ac:dyDescent="0.2">
      <c r="A653" s="2" t="s">
        <v>275</v>
      </c>
      <c r="B653" s="2" t="s">
        <v>8177</v>
      </c>
      <c r="C653" s="2" t="s">
        <v>8178</v>
      </c>
      <c r="D653" s="2" t="s">
        <v>5251</v>
      </c>
      <c r="E653" s="2" t="s">
        <v>6942</v>
      </c>
      <c r="F653" s="2" t="s">
        <v>6576</v>
      </c>
      <c r="G653" s="2" t="s">
        <v>5022</v>
      </c>
      <c r="H653" s="2" t="s">
        <v>5023</v>
      </c>
      <c r="I653" s="2" t="s">
        <v>8179</v>
      </c>
      <c r="J653" s="2"/>
      <c r="K653" s="2"/>
      <c r="L653" s="2"/>
      <c r="M653" s="2"/>
      <c r="N653" s="2"/>
      <c r="O653" s="2"/>
      <c r="P653" s="2"/>
      <c r="Q653" s="2"/>
    </row>
    <row r="654" spans="1:17" x14ac:dyDescent="0.2">
      <c r="A654" s="2" t="s">
        <v>1504</v>
      </c>
      <c r="B654" s="2" t="s">
        <v>8180</v>
      </c>
      <c r="C654" s="2" t="s">
        <v>7535</v>
      </c>
      <c r="D654" s="2" t="s">
        <v>5449</v>
      </c>
      <c r="E654" s="2" t="s">
        <v>8181</v>
      </c>
      <c r="F654" s="2" t="s">
        <v>8182</v>
      </c>
      <c r="G654" s="2" t="s">
        <v>5022</v>
      </c>
      <c r="H654" s="2" t="s">
        <v>5023</v>
      </c>
      <c r="I654" s="2" t="s">
        <v>8183</v>
      </c>
      <c r="J654" s="2"/>
      <c r="K654" s="2"/>
      <c r="L654" s="2"/>
      <c r="M654" s="2"/>
      <c r="N654" s="2"/>
      <c r="O654" s="2"/>
      <c r="P654" s="2"/>
      <c r="Q654" s="2"/>
    </row>
    <row r="655" spans="1:17" x14ac:dyDescent="0.2">
      <c r="A655" s="2" t="s">
        <v>3606</v>
      </c>
      <c r="B655" s="2" t="s">
        <v>5151</v>
      </c>
      <c r="C655" s="2" t="s">
        <v>8184</v>
      </c>
      <c r="D655" s="2" t="s">
        <v>8185</v>
      </c>
      <c r="E655" s="2" t="s">
        <v>8186</v>
      </c>
      <c r="F655" s="2" t="s">
        <v>7381</v>
      </c>
      <c r="G655" s="2" t="s">
        <v>5022</v>
      </c>
      <c r="H655" s="2" t="s">
        <v>5023</v>
      </c>
      <c r="I655" s="2" t="s">
        <v>8187</v>
      </c>
      <c r="J655" s="2"/>
      <c r="K655" s="2"/>
      <c r="L655" s="2"/>
      <c r="M655" s="2"/>
      <c r="N655" s="2"/>
      <c r="O655" s="2"/>
      <c r="P655" s="2"/>
      <c r="Q655" s="2"/>
    </row>
    <row r="656" spans="1:17" x14ac:dyDescent="0.2">
      <c r="A656" s="2" t="s">
        <v>3649</v>
      </c>
      <c r="B656" s="2" t="s">
        <v>8188</v>
      </c>
      <c r="C656" s="2" t="s">
        <v>8189</v>
      </c>
      <c r="D656" s="2" t="s">
        <v>8190</v>
      </c>
      <c r="E656" s="2" t="s">
        <v>8191</v>
      </c>
      <c r="F656" s="2" t="s">
        <v>8192</v>
      </c>
      <c r="G656" s="2" t="s">
        <v>5022</v>
      </c>
      <c r="H656" s="2" t="s">
        <v>5023</v>
      </c>
      <c r="I656" s="2" t="s">
        <v>8193</v>
      </c>
      <c r="J656" s="2"/>
      <c r="K656" s="2"/>
      <c r="L656" s="2"/>
      <c r="M656" s="2" t="s">
        <v>8194</v>
      </c>
      <c r="N656" s="2"/>
      <c r="O656" s="2"/>
      <c r="P656" s="2"/>
      <c r="Q656" s="2"/>
    </row>
    <row r="657" spans="1:17" x14ac:dyDescent="0.2">
      <c r="A657" s="2" t="s">
        <v>973</v>
      </c>
      <c r="B657" s="2" t="s">
        <v>5111</v>
      </c>
      <c r="C657" s="2" t="s">
        <v>6568</v>
      </c>
      <c r="D657" s="2" t="s">
        <v>8195</v>
      </c>
      <c r="E657" s="2" t="s">
        <v>5464</v>
      </c>
      <c r="F657" s="2" t="s">
        <v>8196</v>
      </c>
      <c r="G657" s="2" t="s">
        <v>5022</v>
      </c>
      <c r="H657" s="2" t="s">
        <v>5023</v>
      </c>
      <c r="I657" s="2" t="s">
        <v>8197</v>
      </c>
      <c r="J657" s="2"/>
      <c r="K657" s="2"/>
      <c r="L657" s="2"/>
      <c r="M657" s="2"/>
      <c r="N657" s="2"/>
      <c r="O657" s="2"/>
      <c r="P657" s="2"/>
      <c r="Q657" s="2"/>
    </row>
    <row r="658" spans="1:17" x14ac:dyDescent="0.2">
      <c r="A658" s="2" t="s">
        <v>769</v>
      </c>
      <c r="B658" s="2" t="s">
        <v>7938</v>
      </c>
      <c r="C658" s="2" t="s">
        <v>5374</v>
      </c>
      <c r="D658" s="2" t="s">
        <v>8198</v>
      </c>
      <c r="E658" s="2" t="s">
        <v>8199</v>
      </c>
      <c r="F658" s="2" t="s">
        <v>6421</v>
      </c>
      <c r="G658" s="2" t="s">
        <v>5022</v>
      </c>
      <c r="H658" s="2" t="s">
        <v>5023</v>
      </c>
      <c r="I658" s="2"/>
      <c r="J658" s="2"/>
      <c r="K658" s="2" t="s">
        <v>8200</v>
      </c>
      <c r="L658" s="2"/>
      <c r="M658" s="2"/>
      <c r="N658" s="2"/>
      <c r="O658" s="2"/>
      <c r="P658" s="2"/>
      <c r="Q658" s="2"/>
    </row>
    <row r="659" spans="1:17" x14ac:dyDescent="0.2">
      <c r="A659" s="2" t="s">
        <v>4338</v>
      </c>
      <c r="B659" s="2" t="s">
        <v>8201</v>
      </c>
      <c r="C659" s="2" t="s">
        <v>5358</v>
      </c>
      <c r="D659" s="2" t="s">
        <v>5134</v>
      </c>
      <c r="E659" s="2" t="s">
        <v>8202</v>
      </c>
      <c r="F659" s="2" t="s">
        <v>8203</v>
      </c>
      <c r="G659" s="2" t="s">
        <v>5022</v>
      </c>
      <c r="H659" s="2" t="s">
        <v>5023</v>
      </c>
      <c r="I659" s="2" t="s">
        <v>8204</v>
      </c>
      <c r="J659" s="2"/>
      <c r="K659" s="2"/>
      <c r="L659" s="2"/>
      <c r="M659" s="2" t="s">
        <v>8205</v>
      </c>
      <c r="N659" s="2"/>
      <c r="O659" s="2"/>
      <c r="P659" s="2"/>
      <c r="Q659" s="2"/>
    </row>
    <row r="660" spans="1:17" x14ac:dyDescent="0.2">
      <c r="A660" s="2" t="s">
        <v>2922</v>
      </c>
      <c r="B660" s="2" t="s">
        <v>8206</v>
      </c>
      <c r="C660" s="2" t="s">
        <v>8207</v>
      </c>
      <c r="D660" s="2" t="s">
        <v>8094</v>
      </c>
      <c r="E660" s="2" t="s">
        <v>8208</v>
      </c>
      <c r="F660" s="2" t="s">
        <v>8209</v>
      </c>
      <c r="G660" s="2" t="s">
        <v>5022</v>
      </c>
      <c r="H660" s="2" t="s">
        <v>5023</v>
      </c>
      <c r="I660" s="2"/>
      <c r="J660" s="2"/>
      <c r="K660" s="2" t="s">
        <v>8210</v>
      </c>
      <c r="L660" s="2"/>
      <c r="M660" s="2"/>
      <c r="N660" s="2"/>
      <c r="O660" s="2"/>
      <c r="P660" s="2"/>
      <c r="Q660" s="2"/>
    </row>
    <row r="661" spans="1:17" x14ac:dyDescent="0.2">
      <c r="A661" s="2" t="s">
        <v>1425</v>
      </c>
      <c r="B661" s="2" t="s">
        <v>5660</v>
      </c>
      <c r="C661" s="2" t="s">
        <v>5997</v>
      </c>
      <c r="D661" s="2" t="s">
        <v>8211</v>
      </c>
      <c r="E661" s="2" t="s">
        <v>8212</v>
      </c>
      <c r="F661" s="2" t="s">
        <v>8213</v>
      </c>
      <c r="G661" s="2" t="s">
        <v>5022</v>
      </c>
      <c r="H661" s="2" t="s">
        <v>5023</v>
      </c>
      <c r="I661" s="2" t="s">
        <v>8214</v>
      </c>
      <c r="J661" s="2"/>
      <c r="K661" s="2"/>
      <c r="L661" s="2"/>
      <c r="M661" s="2"/>
      <c r="N661" s="2"/>
      <c r="O661" s="2"/>
      <c r="P661" s="2"/>
      <c r="Q661" s="2"/>
    </row>
    <row r="662" spans="1:17" x14ac:dyDescent="0.2">
      <c r="A662" s="2" t="s">
        <v>4285</v>
      </c>
      <c r="B662" s="2" t="s">
        <v>7304</v>
      </c>
      <c r="C662" s="2" t="s">
        <v>6004</v>
      </c>
      <c r="D662" s="2" t="s">
        <v>8215</v>
      </c>
      <c r="E662" s="2" t="s">
        <v>8216</v>
      </c>
      <c r="F662" s="2" t="s">
        <v>8217</v>
      </c>
      <c r="G662" s="2" t="s">
        <v>5022</v>
      </c>
      <c r="H662" s="2" t="s">
        <v>5023</v>
      </c>
      <c r="I662" s="2" t="s">
        <v>8218</v>
      </c>
      <c r="J662" s="2"/>
      <c r="K662" s="2"/>
      <c r="L662" s="2"/>
      <c r="M662" s="2" t="s">
        <v>8219</v>
      </c>
      <c r="N662" s="2"/>
      <c r="O662" s="2"/>
      <c r="P662" s="2"/>
      <c r="Q662" s="2"/>
    </row>
    <row r="663" spans="1:17" x14ac:dyDescent="0.2">
      <c r="A663" s="2" t="s">
        <v>819</v>
      </c>
      <c r="B663" s="2" t="s">
        <v>8220</v>
      </c>
      <c r="C663" s="2" t="s">
        <v>7589</v>
      </c>
      <c r="D663" s="2" t="s">
        <v>8221</v>
      </c>
      <c r="E663" s="2" t="s">
        <v>8222</v>
      </c>
      <c r="F663" s="2" t="s">
        <v>8223</v>
      </c>
      <c r="G663" s="2" t="s">
        <v>5022</v>
      </c>
      <c r="H663" s="2" t="s">
        <v>5023</v>
      </c>
      <c r="I663" s="2" t="s">
        <v>8224</v>
      </c>
      <c r="J663" s="2" t="s">
        <v>8225</v>
      </c>
      <c r="K663" s="2"/>
      <c r="L663" s="2"/>
      <c r="M663" s="2" t="s">
        <v>8226</v>
      </c>
      <c r="N663" s="2"/>
      <c r="O663" s="2"/>
      <c r="P663" s="2"/>
      <c r="Q663" s="2"/>
    </row>
    <row r="664" spans="1:17" x14ac:dyDescent="0.2">
      <c r="A664" s="2" t="s">
        <v>2608</v>
      </c>
      <c r="B664" s="2" t="s">
        <v>8227</v>
      </c>
      <c r="C664" s="2" t="s">
        <v>8013</v>
      </c>
      <c r="D664" s="2" t="s">
        <v>8013</v>
      </c>
      <c r="E664" s="2" t="s">
        <v>7632</v>
      </c>
      <c r="F664" s="2" t="s">
        <v>8228</v>
      </c>
      <c r="G664" s="2" t="s">
        <v>5022</v>
      </c>
      <c r="H664" s="2" t="s">
        <v>5023</v>
      </c>
      <c r="I664" s="2" t="s">
        <v>8229</v>
      </c>
      <c r="J664" s="2"/>
      <c r="K664" s="2"/>
      <c r="L664" s="2"/>
      <c r="M664" s="2"/>
      <c r="N664" s="2"/>
      <c r="O664" s="2"/>
      <c r="P664" s="2"/>
      <c r="Q664" s="2"/>
    </row>
    <row r="665" spans="1:17" x14ac:dyDescent="0.2">
      <c r="A665" s="2" t="s">
        <v>2971</v>
      </c>
      <c r="B665" s="2" t="s">
        <v>8230</v>
      </c>
      <c r="C665" s="2" t="s">
        <v>5329</v>
      </c>
      <c r="D665" s="2" t="s">
        <v>8231</v>
      </c>
      <c r="E665" s="2" t="s">
        <v>6420</v>
      </c>
      <c r="F665" s="2" t="s">
        <v>7388</v>
      </c>
      <c r="G665" s="2" t="s">
        <v>5022</v>
      </c>
      <c r="H665" s="2" t="s">
        <v>5023</v>
      </c>
      <c r="I665" s="2" t="s">
        <v>8232</v>
      </c>
      <c r="J665" s="2" t="s">
        <v>8233</v>
      </c>
      <c r="K665" s="2"/>
      <c r="L665" s="2"/>
      <c r="M665" s="2"/>
      <c r="N665" s="2"/>
      <c r="O665" s="2"/>
      <c r="P665" s="2"/>
      <c r="Q665" s="2"/>
    </row>
    <row r="666" spans="1:17" x14ac:dyDescent="0.2">
      <c r="A666" s="2" t="s">
        <v>4876</v>
      </c>
      <c r="B666" s="2" t="s">
        <v>7401</v>
      </c>
      <c r="C666" s="2" t="s">
        <v>8234</v>
      </c>
      <c r="D666" s="2" t="s">
        <v>5199</v>
      </c>
      <c r="E666" s="2" t="s">
        <v>5094</v>
      </c>
      <c r="F666" s="2" t="s">
        <v>8235</v>
      </c>
      <c r="G666" s="2" t="s">
        <v>5022</v>
      </c>
      <c r="H666" s="2" t="s">
        <v>5023</v>
      </c>
      <c r="I666" s="2" t="s">
        <v>8236</v>
      </c>
      <c r="J666" s="2"/>
      <c r="K666" s="2"/>
      <c r="L666" s="2"/>
      <c r="M666" s="2"/>
      <c r="N666" s="2"/>
      <c r="O666" s="2"/>
      <c r="P666" s="2"/>
      <c r="Q666" s="2"/>
    </row>
    <row r="667" spans="1:17" x14ac:dyDescent="0.2">
      <c r="A667" s="2" t="s">
        <v>1864</v>
      </c>
      <c r="B667" s="2" t="s">
        <v>8237</v>
      </c>
      <c r="C667" s="2" t="s">
        <v>5275</v>
      </c>
      <c r="D667" s="2" t="s">
        <v>5592</v>
      </c>
      <c r="E667" s="2" t="s">
        <v>5791</v>
      </c>
      <c r="F667" s="2" t="s">
        <v>8238</v>
      </c>
      <c r="G667" s="2" t="s">
        <v>5022</v>
      </c>
      <c r="H667" s="2" t="s">
        <v>5023</v>
      </c>
      <c r="I667" s="2"/>
      <c r="J667" s="2"/>
      <c r="K667" s="2" t="s">
        <v>8239</v>
      </c>
      <c r="L667" s="2"/>
      <c r="M667" s="2" t="s">
        <v>8240</v>
      </c>
      <c r="N667" s="2"/>
      <c r="O667" s="2"/>
      <c r="P667" s="2"/>
      <c r="Q667" s="2"/>
    </row>
    <row r="668" spans="1:17" x14ac:dyDescent="0.2">
      <c r="A668" s="2" t="s">
        <v>2109</v>
      </c>
      <c r="B668" s="2" t="s">
        <v>8241</v>
      </c>
      <c r="C668" s="2" t="s">
        <v>8242</v>
      </c>
      <c r="D668" s="2" t="s">
        <v>5998</v>
      </c>
      <c r="E668" s="2" t="s">
        <v>8243</v>
      </c>
      <c r="F668" s="2" t="s">
        <v>8244</v>
      </c>
      <c r="G668" s="2" t="s">
        <v>5022</v>
      </c>
      <c r="H668" s="2" t="s">
        <v>7825</v>
      </c>
      <c r="I668" s="2"/>
      <c r="J668" s="2"/>
      <c r="K668" s="2" t="s">
        <v>8245</v>
      </c>
      <c r="L668" s="2"/>
      <c r="M668" s="2"/>
      <c r="N668" s="2"/>
      <c r="O668" s="2"/>
      <c r="P668" s="2"/>
      <c r="Q668" s="2"/>
    </row>
    <row r="669" spans="1:17" x14ac:dyDescent="0.2">
      <c r="A669" s="2" t="s">
        <v>4186</v>
      </c>
      <c r="B669" s="2" t="s">
        <v>5356</v>
      </c>
      <c r="C669" s="2" t="s">
        <v>8246</v>
      </c>
      <c r="D669" s="2" t="s">
        <v>8247</v>
      </c>
      <c r="E669" s="2" t="s">
        <v>8248</v>
      </c>
      <c r="F669" s="2" t="s">
        <v>8249</v>
      </c>
      <c r="G669" s="2" t="s">
        <v>5022</v>
      </c>
      <c r="H669" s="2" t="s">
        <v>5023</v>
      </c>
      <c r="I669" s="2" t="s">
        <v>8250</v>
      </c>
      <c r="J669" s="2"/>
      <c r="K669" s="2"/>
      <c r="L669" s="2"/>
      <c r="M669" s="2" t="s">
        <v>8251</v>
      </c>
      <c r="N669" s="2"/>
      <c r="O669" s="2"/>
      <c r="P669" s="2"/>
      <c r="Q669" s="2"/>
    </row>
    <row r="670" spans="1:17" x14ac:dyDescent="0.2">
      <c r="A670" s="2" t="s">
        <v>2914</v>
      </c>
      <c r="B670" s="2" t="s">
        <v>5784</v>
      </c>
      <c r="C670" s="2" t="s">
        <v>5633</v>
      </c>
      <c r="D670" s="2" t="s">
        <v>6657</v>
      </c>
      <c r="E670" s="2" t="s">
        <v>8252</v>
      </c>
      <c r="F670" s="2" t="s">
        <v>5128</v>
      </c>
      <c r="G670" s="2" t="s">
        <v>5022</v>
      </c>
      <c r="H670" s="2" t="s">
        <v>5023</v>
      </c>
      <c r="I670" s="2"/>
      <c r="J670" s="2"/>
      <c r="K670" s="2" t="s">
        <v>8253</v>
      </c>
      <c r="L670" s="2"/>
      <c r="M670" s="2"/>
      <c r="N670" s="2"/>
      <c r="O670" s="2"/>
      <c r="P670" s="2"/>
      <c r="Q670" s="2"/>
    </row>
    <row r="671" spans="1:17" x14ac:dyDescent="0.2">
      <c r="A671" s="2" t="s">
        <v>3064</v>
      </c>
      <c r="B671" s="2" t="s">
        <v>5699</v>
      </c>
      <c r="C671" s="2" t="s">
        <v>8254</v>
      </c>
      <c r="D671" s="2" t="s">
        <v>8255</v>
      </c>
      <c r="E671" s="2" t="s">
        <v>5450</v>
      </c>
      <c r="F671" s="2" t="s">
        <v>6475</v>
      </c>
      <c r="G671" s="2" t="s">
        <v>5022</v>
      </c>
      <c r="H671" s="2" t="s">
        <v>5023</v>
      </c>
      <c r="I671" s="2"/>
      <c r="J671" s="2"/>
      <c r="K671" s="2" t="s">
        <v>8256</v>
      </c>
      <c r="L671" s="2"/>
      <c r="M671" s="2"/>
      <c r="N671" s="2"/>
      <c r="O671" s="2"/>
      <c r="P671" s="2"/>
      <c r="Q671" s="2"/>
    </row>
    <row r="672" spans="1:17" x14ac:dyDescent="0.2">
      <c r="A672" s="2" t="s">
        <v>1204</v>
      </c>
      <c r="B672" s="2" t="s">
        <v>5268</v>
      </c>
      <c r="C672" s="2" t="s">
        <v>5785</v>
      </c>
      <c r="D672" s="2" t="s">
        <v>8257</v>
      </c>
      <c r="E672" s="2" t="s">
        <v>8258</v>
      </c>
      <c r="F672" s="2" t="s">
        <v>7363</v>
      </c>
      <c r="G672" s="2" t="s">
        <v>5022</v>
      </c>
      <c r="H672" s="2" t="s">
        <v>5023</v>
      </c>
      <c r="I672" s="2" t="s">
        <v>8259</v>
      </c>
      <c r="J672" s="2"/>
      <c r="K672" s="2"/>
      <c r="L672" s="2"/>
      <c r="M672" s="2" t="s">
        <v>8260</v>
      </c>
      <c r="N672" s="2"/>
      <c r="O672" s="2"/>
      <c r="P672" s="2"/>
      <c r="Q672" s="2"/>
    </row>
    <row r="673" spans="1:17" x14ac:dyDescent="0.2">
      <c r="A673" s="2" t="s">
        <v>1721</v>
      </c>
      <c r="B673" s="2" t="s">
        <v>8261</v>
      </c>
      <c r="C673" s="2" t="s">
        <v>7898</v>
      </c>
      <c r="D673" s="2" t="s">
        <v>5458</v>
      </c>
      <c r="E673" s="2" t="s">
        <v>8262</v>
      </c>
      <c r="F673" s="2" t="s">
        <v>8263</v>
      </c>
      <c r="G673" s="2" t="s">
        <v>5022</v>
      </c>
      <c r="H673" s="2" t="s">
        <v>5023</v>
      </c>
      <c r="I673" s="2" t="s">
        <v>8264</v>
      </c>
      <c r="J673" s="2"/>
      <c r="K673" s="2"/>
      <c r="L673" s="2"/>
      <c r="M673" s="2"/>
      <c r="N673" s="2"/>
      <c r="O673" s="2"/>
      <c r="P673" s="2"/>
      <c r="Q673" s="2"/>
    </row>
    <row r="674" spans="1:17" x14ac:dyDescent="0.2">
      <c r="A674" s="2" t="s">
        <v>2486</v>
      </c>
      <c r="B674" s="2" t="s">
        <v>8265</v>
      </c>
      <c r="C674" s="2" t="s">
        <v>6305</v>
      </c>
      <c r="D674" s="2" t="s">
        <v>8266</v>
      </c>
      <c r="E674" s="2" t="s">
        <v>6605</v>
      </c>
      <c r="F674" s="2" t="s">
        <v>8267</v>
      </c>
      <c r="G674" s="2" t="s">
        <v>5022</v>
      </c>
      <c r="H674" s="2" t="s">
        <v>5023</v>
      </c>
      <c r="I674" s="2"/>
      <c r="J674" s="2"/>
      <c r="K674" s="2" t="s">
        <v>8268</v>
      </c>
      <c r="L674" s="2"/>
      <c r="M674" s="2"/>
      <c r="N674" s="2"/>
      <c r="O674" s="2"/>
      <c r="P674" s="2"/>
      <c r="Q674" s="2"/>
    </row>
    <row r="675" spans="1:17" x14ac:dyDescent="0.2">
      <c r="A675" s="2" t="s">
        <v>453</v>
      </c>
      <c r="B675" s="2" t="s">
        <v>8269</v>
      </c>
      <c r="C675" s="2" t="s">
        <v>6707</v>
      </c>
      <c r="D675" s="2" t="s">
        <v>8270</v>
      </c>
      <c r="E675" s="2" t="s">
        <v>8271</v>
      </c>
      <c r="F675" s="2" t="s">
        <v>8272</v>
      </c>
      <c r="G675" s="2" t="s">
        <v>5022</v>
      </c>
      <c r="H675" s="2" t="s">
        <v>5023</v>
      </c>
      <c r="I675" s="2" t="s">
        <v>8273</v>
      </c>
      <c r="J675" s="2"/>
      <c r="K675" s="2"/>
      <c r="L675" s="2"/>
      <c r="M675" s="2" t="s">
        <v>8274</v>
      </c>
      <c r="N675" s="2"/>
      <c r="O675" s="2"/>
      <c r="P675" s="2"/>
      <c r="Q675" s="2"/>
    </row>
    <row r="676" spans="1:17" x14ac:dyDescent="0.2">
      <c r="A676" s="2" t="s">
        <v>3170</v>
      </c>
      <c r="B676" s="2" t="s">
        <v>8275</v>
      </c>
      <c r="C676" s="2" t="s">
        <v>8276</v>
      </c>
      <c r="D676" s="2" t="s">
        <v>8277</v>
      </c>
      <c r="E676" s="2" t="s">
        <v>8278</v>
      </c>
      <c r="F676" s="2" t="s">
        <v>8021</v>
      </c>
      <c r="G676" s="2" t="s">
        <v>5022</v>
      </c>
      <c r="H676" s="2" t="s">
        <v>5023</v>
      </c>
      <c r="I676" s="2" t="s">
        <v>8279</v>
      </c>
      <c r="J676" s="2"/>
      <c r="K676" s="2"/>
      <c r="L676" s="2"/>
      <c r="M676" s="2" t="s">
        <v>8280</v>
      </c>
      <c r="N676" s="2"/>
      <c r="O676" s="2"/>
      <c r="P676" s="2"/>
      <c r="Q676" s="2"/>
    </row>
    <row r="677" spans="1:17" x14ac:dyDescent="0.2">
      <c r="A677" s="2" t="s">
        <v>2839</v>
      </c>
      <c r="B677" s="2" t="s">
        <v>8281</v>
      </c>
      <c r="C677" s="2" t="s">
        <v>5785</v>
      </c>
      <c r="D677" s="2" t="s">
        <v>5490</v>
      </c>
      <c r="E677" s="2" t="s">
        <v>7557</v>
      </c>
      <c r="F677" s="2" t="s">
        <v>8282</v>
      </c>
      <c r="G677" s="2" t="s">
        <v>5022</v>
      </c>
      <c r="H677" s="2" t="s">
        <v>5023</v>
      </c>
      <c r="I677" s="2"/>
      <c r="J677" s="2"/>
      <c r="K677" s="2" t="s">
        <v>8283</v>
      </c>
      <c r="L677" s="2"/>
      <c r="M677" s="2"/>
      <c r="N677" s="2"/>
      <c r="O677" s="2"/>
      <c r="P677" s="2"/>
      <c r="Q677" s="2"/>
    </row>
    <row r="678" spans="1:17" x14ac:dyDescent="0.2">
      <c r="A678" s="2" t="s">
        <v>2767</v>
      </c>
      <c r="B678" s="2" t="s">
        <v>7208</v>
      </c>
      <c r="C678" s="2" t="s">
        <v>5900</v>
      </c>
      <c r="D678" s="2" t="s">
        <v>6518</v>
      </c>
      <c r="E678" s="2" t="s">
        <v>8284</v>
      </c>
      <c r="F678" s="2" t="s">
        <v>8285</v>
      </c>
      <c r="G678" s="2" t="s">
        <v>5022</v>
      </c>
      <c r="H678" s="2" t="s">
        <v>5023</v>
      </c>
      <c r="I678" s="2"/>
      <c r="J678" s="2"/>
      <c r="K678" s="2" t="s">
        <v>8286</v>
      </c>
      <c r="L678" s="2"/>
      <c r="M678" s="2"/>
      <c r="N678" s="2"/>
      <c r="O678" s="2"/>
      <c r="P678" s="2"/>
      <c r="Q678" s="2"/>
    </row>
    <row r="679" spans="1:17" x14ac:dyDescent="0.2">
      <c r="A679" s="2" t="s">
        <v>2083</v>
      </c>
      <c r="B679" s="2" t="s">
        <v>8287</v>
      </c>
      <c r="C679" s="2" t="s">
        <v>7455</v>
      </c>
      <c r="D679" s="2" t="s">
        <v>6357</v>
      </c>
      <c r="E679" s="2" t="s">
        <v>8288</v>
      </c>
      <c r="F679" s="2" t="s">
        <v>8289</v>
      </c>
      <c r="G679" s="2" t="s">
        <v>5022</v>
      </c>
      <c r="H679" s="2" t="s">
        <v>5023</v>
      </c>
      <c r="I679" s="2" t="s">
        <v>8290</v>
      </c>
      <c r="J679" s="2"/>
      <c r="K679" s="2"/>
      <c r="L679" s="2"/>
      <c r="M679" s="2" t="s">
        <v>8291</v>
      </c>
      <c r="N679" s="2"/>
      <c r="O679" s="2"/>
      <c r="P679" s="2"/>
      <c r="Q679" s="2"/>
    </row>
    <row r="680" spans="1:17" x14ac:dyDescent="0.2">
      <c r="A680" s="2" t="s">
        <v>403</v>
      </c>
      <c r="B680" s="2" t="s">
        <v>6616</v>
      </c>
      <c r="C680" s="2" t="s">
        <v>5252</v>
      </c>
      <c r="D680" s="2" t="s">
        <v>5463</v>
      </c>
      <c r="E680" s="2" t="s">
        <v>5531</v>
      </c>
      <c r="F680" s="2" t="s">
        <v>8292</v>
      </c>
      <c r="G680" s="2" t="s">
        <v>5022</v>
      </c>
      <c r="H680" s="2" t="s">
        <v>5023</v>
      </c>
      <c r="I680" s="2" t="s">
        <v>8293</v>
      </c>
      <c r="J680" s="2"/>
      <c r="K680" s="2"/>
      <c r="L680" s="2"/>
      <c r="M680" s="2" t="s">
        <v>8294</v>
      </c>
      <c r="N680" s="2"/>
      <c r="O680" s="2"/>
      <c r="P680" s="2"/>
      <c r="Q680" s="2"/>
    </row>
    <row r="681" spans="1:17" x14ac:dyDescent="0.2">
      <c r="A681" s="2" t="s">
        <v>3727</v>
      </c>
      <c r="B681" s="2" t="s">
        <v>5604</v>
      </c>
      <c r="C681" s="2" t="s">
        <v>5408</v>
      </c>
      <c r="D681" s="2" t="s">
        <v>5677</v>
      </c>
      <c r="E681" s="2" t="s">
        <v>7198</v>
      </c>
      <c r="F681" s="2" t="s">
        <v>6036</v>
      </c>
      <c r="G681" s="2" t="s">
        <v>5022</v>
      </c>
      <c r="H681" s="2" t="s">
        <v>5023</v>
      </c>
      <c r="I681" s="2" t="s">
        <v>8295</v>
      </c>
      <c r="J681" s="2"/>
      <c r="K681" s="2"/>
      <c r="L681" s="2"/>
      <c r="M681" s="2"/>
      <c r="N681" s="2"/>
      <c r="O681" s="2"/>
      <c r="P681" s="2"/>
      <c r="Q681" s="2"/>
    </row>
    <row r="682" spans="1:17" x14ac:dyDescent="0.2">
      <c r="A682" s="2" t="s">
        <v>3997</v>
      </c>
      <c r="B682" s="2" t="s">
        <v>8296</v>
      </c>
      <c r="C682" s="2" t="s">
        <v>8297</v>
      </c>
      <c r="D682" s="2" t="s">
        <v>8298</v>
      </c>
      <c r="E682" s="2" t="s">
        <v>8299</v>
      </c>
      <c r="F682" s="2" t="s">
        <v>6613</v>
      </c>
      <c r="G682" s="2" t="s">
        <v>5022</v>
      </c>
      <c r="H682" s="2" t="s">
        <v>5023</v>
      </c>
      <c r="I682" s="2" t="s">
        <v>8300</v>
      </c>
      <c r="J682" s="2"/>
      <c r="K682" s="2"/>
      <c r="L682" s="2"/>
      <c r="M682" s="2" t="s">
        <v>8301</v>
      </c>
      <c r="N682" s="2"/>
      <c r="O682" s="2"/>
      <c r="P682" s="2"/>
      <c r="Q682" s="2"/>
    </row>
    <row r="683" spans="1:17" x14ac:dyDescent="0.2">
      <c r="A683" s="2" t="s">
        <v>1832</v>
      </c>
      <c r="B683" s="2" t="s">
        <v>8302</v>
      </c>
      <c r="C683" s="2" t="s">
        <v>8303</v>
      </c>
      <c r="D683" s="2" t="s">
        <v>5980</v>
      </c>
      <c r="E683" s="2" t="s">
        <v>8304</v>
      </c>
      <c r="F683" s="2" t="s">
        <v>8305</v>
      </c>
      <c r="G683" s="2" t="s">
        <v>5022</v>
      </c>
      <c r="H683" s="2" t="s">
        <v>5023</v>
      </c>
      <c r="I683" s="2"/>
      <c r="J683" s="2"/>
      <c r="K683" s="2" t="s">
        <v>8306</v>
      </c>
      <c r="L683" s="2"/>
      <c r="M683" s="2"/>
      <c r="N683" s="2"/>
      <c r="O683" s="2"/>
      <c r="P683" s="2"/>
      <c r="Q683" s="2"/>
    </row>
    <row r="684" spans="1:17" x14ac:dyDescent="0.2">
      <c r="A684" s="2" t="s">
        <v>958</v>
      </c>
      <c r="B684" s="2" t="s">
        <v>8307</v>
      </c>
      <c r="C684" s="2" t="s">
        <v>8308</v>
      </c>
      <c r="D684" s="2" t="s">
        <v>8121</v>
      </c>
      <c r="E684" s="2" t="s">
        <v>8309</v>
      </c>
      <c r="F684" s="2" t="s">
        <v>6025</v>
      </c>
      <c r="G684" s="2" t="s">
        <v>5022</v>
      </c>
      <c r="H684" s="2" t="s">
        <v>5023</v>
      </c>
      <c r="I684" s="2"/>
      <c r="J684" s="2"/>
      <c r="K684" s="2" t="s">
        <v>8310</v>
      </c>
      <c r="L684" s="2"/>
      <c r="M684" s="2" t="s">
        <v>8311</v>
      </c>
      <c r="N684" s="2"/>
      <c r="O684" s="2"/>
      <c r="P684" s="2"/>
      <c r="Q684" s="2"/>
    </row>
    <row r="685" spans="1:17" x14ac:dyDescent="0.2">
      <c r="A685" s="2" t="s">
        <v>3488</v>
      </c>
      <c r="B685" s="2" t="s">
        <v>8188</v>
      </c>
      <c r="C685" s="2" t="s">
        <v>7025</v>
      </c>
      <c r="D685" s="2" t="s">
        <v>8312</v>
      </c>
      <c r="E685" s="2" t="s">
        <v>8313</v>
      </c>
      <c r="F685" s="2" t="s">
        <v>8314</v>
      </c>
      <c r="G685" s="2" t="s">
        <v>5022</v>
      </c>
      <c r="H685" s="2" t="s">
        <v>5023</v>
      </c>
      <c r="I685" s="2" t="s">
        <v>8315</v>
      </c>
      <c r="J685" s="2"/>
      <c r="K685" s="2"/>
      <c r="L685" s="2"/>
      <c r="M685" s="2"/>
      <c r="N685" s="2"/>
      <c r="O685" s="2"/>
      <c r="P685" s="2"/>
      <c r="Q685" s="2"/>
    </row>
    <row r="686" spans="1:17" x14ac:dyDescent="0.2">
      <c r="A686" s="2" t="s">
        <v>1981</v>
      </c>
      <c r="B686" s="2" t="s">
        <v>5502</v>
      </c>
      <c r="C686" s="2" t="s">
        <v>5119</v>
      </c>
      <c r="D686" s="2" t="s">
        <v>6404</v>
      </c>
      <c r="E686" s="2" t="s">
        <v>8316</v>
      </c>
      <c r="F686" s="2" t="s">
        <v>5142</v>
      </c>
      <c r="G686" s="2" t="s">
        <v>5022</v>
      </c>
      <c r="H686" s="2" t="s">
        <v>5023</v>
      </c>
      <c r="I686" s="2" t="s">
        <v>8317</v>
      </c>
      <c r="J686" s="2"/>
      <c r="K686" s="2"/>
      <c r="L686" s="2"/>
      <c r="M686" s="2" t="s">
        <v>8318</v>
      </c>
      <c r="N686" s="2"/>
      <c r="O686" s="2"/>
      <c r="P686" s="2"/>
      <c r="Q686" s="2"/>
    </row>
    <row r="687" spans="1:17" x14ac:dyDescent="0.2">
      <c r="A687" s="2" t="s">
        <v>1023</v>
      </c>
      <c r="B687" s="2" t="s">
        <v>6759</v>
      </c>
      <c r="C687" s="2" t="s">
        <v>6820</v>
      </c>
      <c r="D687" s="2" t="s">
        <v>5189</v>
      </c>
      <c r="E687" s="2" t="s">
        <v>8319</v>
      </c>
      <c r="F687" s="2" t="s">
        <v>8320</v>
      </c>
      <c r="G687" s="2" t="s">
        <v>5022</v>
      </c>
      <c r="H687" s="2" t="s">
        <v>5023</v>
      </c>
      <c r="I687" s="2" t="s">
        <v>8321</v>
      </c>
      <c r="J687" s="2"/>
      <c r="K687" s="2"/>
      <c r="L687" s="2"/>
      <c r="M687" s="2" t="s">
        <v>8322</v>
      </c>
      <c r="N687" s="2"/>
      <c r="O687" s="2"/>
      <c r="P687" s="2"/>
      <c r="Q687" s="2"/>
    </row>
    <row r="688" spans="1:17" x14ac:dyDescent="0.2">
      <c r="A688" s="2" t="s">
        <v>2651</v>
      </c>
      <c r="B688" s="2" t="s">
        <v>8323</v>
      </c>
      <c r="C688" s="2" t="s">
        <v>5050</v>
      </c>
      <c r="D688" s="2" t="s">
        <v>5183</v>
      </c>
      <c r="E688" s="2" t="s">
        <v>5891</v>
      </c>
      <c r="F688" s="2" t="s">
        <v>8324</v>
      </c>
      <c r="G688" s="2" t="s">
        <v>5022</v>
      </c>
      <c r="H688" s="2" t="s">
        <v>5023</v>
      </c>
      <c r="I688" s="2" t="s">
        <v>8325</v>
      </c>
      <c r="J688" s="2"/>
      <c r="K688" s="2"/>
      <c r="L688" s="2"/>
      <c r="M688" s="2"/>
      <c r="N688" s="2"/>
      <c r="O688" s="2"/>
      <c r="P688" s="2"/>
      <c r="Q688" s="2"/>
    </row>
    <row r="689" spans="1:17" x14ac:dyDescent="0.2">
      <c r="A689" s="2" t="s">
        <v>3706</v>
      </c>
      <c r="B689" s="2" t="s">
        <v>8326</v>
      </c>
      <c r="C689" s="2" t="s">
        <v>8327</v>
      </c>
      <c r="D689" s="2" t="s">
        <v>6327</v>
      </c>
      <c r="E689" s="2" t="s">
        <v>8328</v>
      </c>
      <c r="F689" s="2" t="s">
        <v>8329</v>
      </c>
      <c r="G689" s="2" t="s">
        <v>5022</v>
      </c>
      <c r="H689" s="2" t="s">
        <v>5023</v>
      </c>
      <c r="I689" s="2" t="s">
        <v>8330</v>
      </c>
      <c r="J689" s="2"/>
      <c r="K689" s="2"/>
      <c r="L689" s="2"/>
      <c r="M689" s="2"/>
      <c r="N689" s="2"/>
      <c r="O689" s="2"/>
      <c r="P689" s="2"/>
      <c r="Q689" s="2"/>
    </row>
    <row r="690" spans="1:17" x14ac:dyDescent="0.2">
      <c r="A690" s="2" t="s">
        <v>4728</v>
      </c>
      <c r="B690" s="2" t="s">
        <v>6067</v>
      </c>
      <c r="C690" s="2" t="s">
        <v>8331</v>
      </c>
      <c r="D690" s="2" t="s">
        <v>8332</v>
      </c>
      <c r="E690" s="2" t="s">
        <v>8333</v>
      </c>
      <c r="F690" s="2" t="s">
        <v>6000</v>
      </c>
      <c r="G690" s="2" t="s">
        <v>5022</v>
      </c>
      <c r="H690" s="2" t="s">
        <v>5023</v>
      </c>
      <c r="I690" s="2" t="s">
        <v>8334</v>
      </c>
      <c r="J690" s="2"/>
      <c r="K690" s="2"/>
      <c r="L690" s="2"/>
      <c r="M690" s="2"/>
      <c r="N690" s="2"/>
      <c r="O690" s="2"/>
      <c r="P690" s="2"/>
      <c r="Q690" s="2"/>
    </row>
    <row r="691" spans="1:17" x14ac:dyDescent="0.2">
      <c r="A691" s="2" t="s">
        <v>4894</v>
      </c>
      <c r="B691" s="2" t="s">
        <v>2620</v>
      </c>
      <c r="C691" s="2" t="s">
        <v>8190</v>
      </c>
      <c r="D691" s="2" t="s">
        <v>8335</v>
      </c>
      <c r="E691" s="2" t="s">
        <v>8336</v>
      </c>
      <c r="F691" s="2" t="s">
        <v>6715</v>
      </c>
      <c r="G691" s="2" t="s">
        <v>5022</v>
      </c>
      <c r="H691" s="2" t="s">
        <v>5023</v>
      </c>
      <c r="I691" s="2" t="s">
        <v>8337</v>
      </c>
      <c r="J691" s="2"/>
      <c r="K691" s="2"/>
      <c r="L691" s="2"/>
      <c r="M691" s="2"/>
      <c r="N691" s="2"/>
      <c r="O691" s="2"/>
      <c r="P691" s="2"/>
      <c r="Q691" s="2"/>
    </row>
    <row r="692" spans="1:17" x14ac:dyDescent="0.2">
      <c r="A692" s="2" t="s">
        <v>3906</v>
      </c>
      <c r="B692" s="2" t="s">
        <v>8338</v>
      </c>
      <c r="C692" s="2" t="s">
        <v>6749</v>
      </c>
      <c r="D692" s="2" t="s">
        <v>6327</v>
      </c>
      <c r="E692" s="2" t="s">
        <v>8339</v>
      </c>
      <c r="F692" s="2" t="s">
        <v>8340</v>
      </c>
      <c r="G692" s="2" t="s">
        <v>5022</v>
      </c>
      <c r="H692" s="2" t="s">
        <v>5023</v>
      </c>
      <c r="I692" s="2" t="s">
        <v>8341</v>
      </c>
      <c r="J692" s="2"/>
      <c r="K692" s="2"/>
      <c r="L692" s="2"/>
      <c r="M692" s="2" t="s">
        <v>8342</v>
      </c>
      <c r="N692" s="2"/>
      <c r="O692" s="2"/>
      <c r="P692" s="2"/>
      <c r="Q692" s="2"/>
    </row>
    <row r="693" spans="1:17" x14ac:dyDescent="0.2">
      <c r="A693" s="2" t="s">
        <v>1498</v>
      </c>
      <c r="B693" s="2" t="s">
        <v>8343</v>
      </c>
      <c r="C693" s="2" t="s">
        <v>8344</v>
      </c>
      <c r="D693" s="2" t="s">
        <v>8345</v>
      </c>
      <c r="E693" s="2" t="s">
        <v>8346</v>
      </c>
      <c r="F693" s="2" t="s">
        <v>6124</v>
      </c>
      <c r="G693" s="2" t="s">
        <v>5022</v>
      </c>
      <c r="H693" s="2" t="s">
        <v>5023</v>
      </c>
      <c r="I693" s="2" t="s">
        <v>8347</v>
      </c>
      <c r="J693" s="2"/>
      <c r="K693" s="2"/>
      <c r="L693" s="2"/>
      <c r="M693" s="2"/>
      <c r="N693" s="2"/>
      <c r="O693" s="2"/>
      <c r="P693" s="2"/>
      <c r="Q693" s="2"/>
    </row>
    <row r="694" spans="1:17" x14ac:dyDescent="0.2">
      <c r="A694" s="2" t="s">
        <v>4580</v>
      </c>
      <c r="B694" s="2" t="s">
        <v>8296</v>
      </c>
      <c r="C694" s="2" t="s">
        <v>5306</v>
      </c>
      <c r="D694" s="2" t="s">
        <v>8348</v>
      </c>
      <c r="E694" s="2" t="s">
        <v>8349</v>
      </c>
      <c r="F694" s="2" t="s">
        <v>6206</v>
      </c>
      <c r="G694" s="2" t="s">
        <v>5022</v>
      </c>
      <c r="H694" s="2" t="s">
        <v>5023</v>
      </c>
      <c r="I694" s="2" t="s">
        <v>8350</v>
      </c>
      <c r="J694" s="2"/>
      <c r="K694" s="2"/>
      <c r="L694" s="2"/>
      <c r="M694" s="2" t="s">
        <v>8351</v>
      </c>
      <c r="N694" s="2"/>
      <c r="O694" s="2"/>
      <c r="P694" s="2"/>
      <c r="Q694" s="2"/>
    </row>
    <row r="695" spans="1:17" x14ac:dyDescent="0.2">
      <c r="A695" s="2" t="s">
        <v>192</v>
      </c>
      <c r="B695" s="2" t="s">
        <v>8352</v>
      </c>
      <c r="C695" s="2" t="s">
        <v>8353</v>
      </c>
      <c r="D695" s="2" t="s">
        <v>8354</v>
      </c>
      <c r="E695" s="2" t="s">
        <v>7607</v>
      </c>
      <c r="F695" s="2" t="s">
        <v>8355</v>
      </c>
      <c r="G695" s="2" t="s">
        <v>5022</v>
      </c>
      <c r="H695" s="2" t="s">
        <v>5023</v>
      </c>
      <c r="I695" s="2" t="s">
        <v>8356</v>
      </c>
      <c r="J695" s="2"/>
      <c r="K695" s="2"/>
      <c r="L695" s="2"/>
      <c r="M695" s="2" t="s">
        <v>8357</v>
      </c>
      <c r="N695" s="2"/>
      <c r="O695" s="2"/>
      <c r="P695" s="2"/>
      <c r="Q695" s="2"/>
    </row>
    <row r="696" spans="1:17" x14ac:dyDescent="0.2">
      <c r="A696" s="2" t="s">
        <v>1819</v>
      </c>
      <c r="B696" s="2" t="s">
        <v>8358</v>
      </c>
      <c r="C696" s="2" t="s">
        <v>8359</v>
      </c>
      <c r="D696" s="2" t="s">
        <v>5511</v>
      </c>
      <c r="E696" s="2" t="s">
        <v>5600</v>
      </c>
      <c r="F696" s="2" t="s">
        <v>8360</v>
      </c>
      <c r="G696" s="2" t="s">
        <v>5022</v>
      </c>
      <c r="H696" s="2" t="s">
        <v>5023</v>
      </c>
      <c r="I696" s="2" t="s">
        <v>8361</v>
      </c>
      <c r="J696" s="2"/>
      <c r="K696" s="2"/>
      <c r="L696" s="2"/>
      <c r="M696" s="2" t="s">
        <v>8362</v>
      </c>
      <c r="N696" s="2"/>
      <c r="O696" s="2"/>
      <c r="P696" s="2"/>
      <c r="Q696" s="2"/>
    </row>
    <row r="697" spans="1:17" x14ac:dyDescent="0.2">
      <c r="A697" s="2" t="s">
        <v>4628</v>
      </c>
      <c r="B697" s="2" t="s">
        <v>3464</v>
      </c>
      <c r="C697" s="2" t="s">
        <v>8363</v>
      </c>
      <c r="D697" s="2" t="s">
        <v>5906</v>
      </c>
      <c r="E697" s="2" t="s">
        <v>8364</v>
      </c>
      <c r="F697" s="2" t="s">
        <v>8365</v>
      </c>
      <c r="G697" s="2" t="s">
        <v>5022</v>
      </c>
      <c r="H697" s="2" t="s">
        <v>5023</v>
      </c>
      <c r="I697" s="2" t="s">
        <v>8366</v>
      </c>
      <c r="J697" s="2"/>
      <c r="K697" s="2"/>
      <c r="L697" s="2"/>
      <c r="M697" s="2"/>
      <c r="N697" s="2"/>
      <c r="O697" s="2"/>
      <c r="P697" s="2"/>
      <c r="Q697" s="2"/>
    </row>
    <row r="698" spans="1:17" x14ac:dyDescent="0.2">
      <c r="A698" s="2" t="s">
        <v>3946</v>
      </c>
      <c r="B698" s="2" t="s">
        <v>6459</v>
      </c>
      <c r="C698" s="2" t="s">
        <v>5323</v>
      </c>
      <c r="D698" s="2" t="s">
        <v>5409</v>
      </c>
      <c r="E698" s="2" t="s">
        <v>8367</v>
      </c>
      <c r="F698" s="2" t="s">
        <v>5570</v>
      </c>
      <c r="G698" s="2" t="s">
        <v>5022</v>
      </c>
      <c r="H698" s="2" t="s">
        <v>5023</v>
      </c>
      <c r="I698" s="2" t="s">
        <v>8368</v>
      </c>
      <c r="J698" s="2"/>
      <c r="K698" s="2"/>
      <c r="L698" s="2"/>
      <c r="M698" s="2" t="s">
        <v>8369</v>
      </c>
      <c r="N698" s="2"/>
      <c r="O698" s="2"/>
      <c r="P698" s="2"/>
      <c r="Q698" s="2"/>
    </row>
    <row r="699" spans="1:17" x14ac:dyDescent="0.2">
      <c r="A699" s="2" t="s">
        <v>1867</v>
      </c>
      <c r="B699" s="2" t="s">
        <v>8370</v>
      </c>
      <c r="C699" s="2" t="s">
        <v>5473</v>
      </c>
      <c r="D699" s="2" t="s">
        <v>8371</v>
      </c>
      <c r="E699" s="2" t="s">
        <v>8372</v>
      </c>
      <c r="F699" s="2" t="s">
        <v>8373</v>
      </c>
      <c r="G699" s="2" t="s">
        <v>5022</v>
      </c>
      <c r="H699" s="2" t="s">
        <v>5023</v>
      </c>
      <c r="I699" s="2"/>
      <c r="J699" s="2"/>
      <c r="K699" s="2" t="s">
        <v>8374</v>
      </c>
      <c r="L699" s="2"/>
      <c r="M699" s="2"/>
      <c r="N699" s="2"/>
      <c r="O699" s="2"/>
      <c r="P699" s="2"/>
      <c r="Q699" s="2"/>
    </row>
    <row r="700" spans="1:17" x14ac:dyDescent="0.2">
      <c r="A700" s="2" t="s">
        <v>307</v>
      </c>
      <c r="B700" s="2" t="s">
        <v>8375</v>
      </c>
      <c r="C700" s="2" t="s">
        <v>5193</v>
      </c>
      <c r="D700" s="2" t="s">
        <v>5374</v>
      </c>
      <c r="E700" s="2" t="s">
        <v>5294</v>
      </c>
      <c r="F700" s="2" t="s">
        <v>8376</v>
      </c>
      <c r="G700" s="2" t="s">
        <v>5022</v>
      </c>
      <c r="H700" s="2" t="s">
        <v>5023</v>
      </c>
      <c r="I700" s="2" t="s">
        <v>8377</v>
      </c>
      <c r="J700" s="2"/>
      <c r="K700" s="2"/>
      <c r="L700" s="2"/>
      <c r="M700" s="2"/>
      <c r="N700" s="2"/>
      <c r="O700" s="2"/>
      <c r="P700" s="2"/>
      <c r="Q700" s="2"/>
    </row>
    <row r="701" spans="1:17" x14ac:dyDescent="0.2">
      <c r="A701" s="2" t="s">
        <v>1622</v>
      </c>
      <c r="B701" s="2" t="s">
        <v>8378</v>
      </c>
      <c r="C701" s="2" t="s">
        <v>8379</v>
      </c>
      <c r="D701" s="2" t="s">
        <v>8380</v>
      </c>
      <c r="E701" s="2" t="s">
        <v>8381</v>
      </c>
      <c r="F701" s="2" t="s">
        <v>8382</v>
      </c>
      <c r="G701" s="2" t="s">
        <v>5022</v>
      </c>
      <c r="H701" s="2" t="s">
        <v>5023</v>
      </c>
      <c r="I701" s="2" t="s">
        <v>8383</v>
      </c>
      <c r="J701" s="2"/>
      <c r="K701" s="2"/>
      <c r="L701" s="2"/>
      <c r="M701" s="2" t="s">
        <v>8384</v>
      </c>
      <c r="N701" s="2"/>
      <c r="O701" s="2"/>
      <c r="P701" s="2"/>
      <c r="Q701" s="2"/>
    </row>
    <row r="702" spans="1:17" x14ac:dyDescent="0.2">
      <c r="A702" s="2" t="s">
        <v>2821</v>
      </c>
      <c r="B702" s="2" t="s">
        <v>8385</v>
      </c>
      <c r="C702" s="2" t="s">
        <v>8386</v>
      </c>
      <c r="D702" s="2" t="s">
        <v>8387</v>
      </c>
      <c r="E702" s="2" t="s">
        <v>8076</v>
      </c>
      <c r="F702" s="2" t="s">
        <v>8388</v>
      </c>
      <c r="G702" s="2" t="s">
        <v>5022</v>
      </c>
      <c r="H702" s="2" t="s">
        <v>5023</v>
      </c>
      <c r="I702" s="2" t="s">
        <v>8389</v>
      </c>
      <c r="J702" s="2" t="s">
        <v>8390</v>
      </c>
      <c r="K702" s="2"/>
      <c r="L702" s="2"/>
      <c r="M702" s="2" t="s">
        <v>8391</v>
      </c>
      <c r="N702" s="2"/>
      <c r="O702" s="2"/>
      <c r="P702" s="2"/>
      <c r="Q702" s="2"/>
    </row>
    <row r="703" spans="1:17" x14ac:dyDescent="0.2">
      <c r="A703" s="2" t="s">
        <v>2957</v>
      </c>
      <c r="B703" s="2" t="s">
        <v>8392</v>
      </c>
      <c r="C703" s="2" t="s">
        <v>8393</v>
      </c>
      <c r="D703" s="2" t="s">
        <v>5317</v>
      </c>
      <c r="E703" s="2" t="s">
        <v>8394</v>
      </c>
      <c r="F703" s="2" t="s">
        <v>8395</v>
      </c>
      <c r="G703" s="2" t="s">
        <v>5022</v>
      </c>
      <c r="H703" s="2" t="s">
        <v>5023</v>
      </c>
      <c r="I703" s="2" t="s">
        <v>8396</v>
      </c>
      <c r="J703" s="2"/>
      <c r="K703" s="2"/>
      <c r="L703" s="2"/>
      <c r="M703" s="2"/>
      <c r="N703" s="2"/>
      <c r="O703" s="2"/>
      <c r="P703" s="2"/>
      <c r="Q703" s="2"/>
    </row>
    <row r="704" spans="1:17" x14ac:dyDescent="0.2">
      <c r="A704" s="2" t="s">
        <v>536</v>
      </c>
      <c r="B704" s="2" t="s">
        <v>8397</v>
      </c>
      <c r="C704" s="2" t="s">
        <v>8398</v>
      </c>
      <c r="D704" s="2" t="s">
        <v>6299</v>
      </c>
      <c r="E704" s="2" t="s">
        <v>8399</v>
      </c>
      <c r="F704" s="2" t="s">
        <v>8400</v>
      </c>
      <c r="G704" s="2" t="s">
        <v>5022</v>
      </c>
      <c r="H704" s="2" t="s">
        <v>5023</v>
      </c>
      <c r="I704" s="2"/>
      <c r="J704" s="2"/>
      <c r="K704" s="2" t="s">
        <v>8401</v>
      </c>
      <c r="L704" s="2"/>
      <c r="M704" s="2"/>
      <c r="N704" s="2"/>
      <c r="O704" s="2"/>
      <c r="P704" s="2"/>
      <c r="Q704" s="2"/>
    </row>
    <row r="705" spans="1:17" x14ac:dyDescent="0.2">
      <c r="A705" s="2" t="s">
        <v>456</v>
      </c>
      <c r="B705" s="2" t="s">
        <v>8402</v>
      </c>
      <c r="C705" s="2" t="s">
        <v>8403</v>
      </c>
      <c r="D705" s="2" t="s">
        <v>6824</v>
      </c>
      <c r="E705" s="2" t="s">
        <v>8404</v>
      </c>
      <c r="F705" s="2" t="s">
        <v>8405</v>
      </c>
      <c r="G705" s="2" t="s">
        <v>5022</v>
      </c>
      <c r="H705" s="2" t="s">
        <v>5023</v>
      </c>
      <c r="I705" s="2"/>
      <c r="J705" s="2"/>
      <c r="K705" s="2" t="s">
        <v>8406</v>
      </c>
      <c r="L705" s="2"/>
      <c r="M705" s="2" t="s">
        <v>8407</v>
      </c>
      <c r="N705" s="2"/>
      <c r="O705" s="2"/>
      <c r="P705" s="2"/>
      <c r="Q705" s="2"/>
    </row>
    <row r="706" spans="1:17" x14ac:dyDescent="0.2">
      <c r="A706" s="2" t="s">
        <v>2201</v>
      </c>
      <c r="B706" s="2" t="s">
        <v>8408</v>
      </c>
      <c r="C706" s="2" t="s">
        <v>5810</v>
      </c>
      <c r="D706" s="2" t="s">
        <v>5147</v>
      </c>
      <c r="E706" s="2" t="s">
        <v>7435</v>
      </c>
      <c r="F706" s="2" t="s">
        <v>8409</v>
      </c>
      <c r="G706" s="2" t="s">
        <v>5022</v>
      </c>
      <c r="H706" s="2" t="s">
        <v>5023</v>
      </c>
      <c r="I706" s="2" t="s">
        <v>8410</v>
      </c>
      <c r="J706" s="2"/>
      <c r="K706" s="2"/>
      <c r="L706" s="2"/>
      <c r="M706" s="2"/>
      <c r="N706" s="2"/>
      <c r="O706" s="2"/>
      <c r="P706" s="2"/>
      <c r="Q706" s="2"/>
    </row>
    <row r="707" spans="1:17" x14ac:dyDescent="0.2">
      <c r="A707" s="2" t="s">
        <v>1836</v>
      </c>
      <c r="B707" s="2" t="s">
        <v>8411</v>
      </c>
      <c r="C707" s="2" t="s">
        <v>5317</v>
      </c>
      <c r="D707" s="2" t="s">
        <v>8412</v>
      </c>
      <c r="E707" s="2" t="s">
        <v>8413</v>
      </c>
      <c r="F707" s="2" t="s">
        <v>8414</v>
      </c>
      <c r="G707" s="2" t="s">
        <v>5022</v>
      </c>
      <c r="H707" s="2" t="s">
        <v>5023</v>
      </c>
      <c r="I707" s="2" t="s">
        <v>8415</v>
      </c>
      <c r="J707" s="2"/>
      <c r="K707" s="2"/>
      <c r="L707" s="2"/>
      <c r="M707" s="2" t="s">
        <v>8416</v>
      </c>
      <c r="N707" s="2"/>
      <c r="O707" s="2"/>
      <c r="P707" s="2"/>
      <c r="Q707" s="2"/>
    </row>
    <row r="708" spans="1:17" x14ac:dyDescent="0.2">
      <c r="A708" s="2" t="s">
        <v>1254</v>
      </c>
      <c r="B708" s="2" t="s">
        <v>8417</v>
      </c>
      <c r="C708" s="2" t="s">
        <v>8418</v>
      </c>
      <c r="D708" s="2" t="s">
        <v>5801</v>
      </c>
      <c r="E708" s="2" t="s">
        <v>8419</v>
      </c>
      <c r="F708" s="2" t="s">
        <v>8420</v>
      </c>
      <c r="G708" s="2" t="s">
        <v>5022</v>
      </c>
      <c r="H708" s="2" t="s">
        <v>5023</v>
      </c>
      <c r="I708" s="2" t="s">
        <v>8421</v>
      </c>
      <c r="J708" s="2"/>
      <c r="K708" s="2"/>
      <c r="L708" s="2"/>
      <c r="M708" s="2"/>
      <c r="N708" s="2"/>
      <c r="O708" s="2"/>
      <c r="P708" s="2"/>
      <c r="Q708" s="2"/>
    </row>
    <row r="709" spans="1:17" x14ac:dyDescent="0.2">
      <c r="A709" s="2" t="s">
        <v>1700</v>
      </c>
      <c r="B709" s="2" t="s">
        <v>6721</v>
      </c>
      <c r="C709" s="2" t="s">
        <v>8422</v>
      </c>
      <c r="D709" s="2" t="s">
        <v>6009</v>
      </c>
      <c r="E709" s="2" t="s">
        <v>8423</v>
      </c>
      <c r="F709" s="2" t="s">
        <v>6490</v>
      </c>
      <c r="G709" s="2" t="s">
        <v>5022</v>
      </c>
      <c r="H709" s="2" t="s">
        <v>5023</v>
      </c>
      <c r="I709" s="2" t="s">
        <v>8424</v>
      </c>
      <c r="J709" s="2"/>
      <c r="K709" s="2"/>
      <c r="L709" s="2"/>
      <c r="M709" s="2"/>
      <c r="N709" s="2"/>
      <c r="O709" s="2"/>
      <c r="P709" s="2"/>
      <c r="Q709" s="2"/>
    </row>
    <row r="710" spans="1:17" x14ac:dyDescent="0.2">
      <c r="A710" s="2" t="s">
        <v>2928</v>
      </c>
      <c r="B710" s="2" t="s">
        <v>8425</v>
      </c>
      <c r="C710" s="2" t="s">
        <v>8426</v>
      </c>
      <c r="D710" s="2" t="s">
        <v>8427</v>
      </c>
      <c r="E710" s="2" t="s">
        <v>8428</v>
      </c>
      <c r="F710" s="2" t="s">
        <v>8429</v>
      </c>
      <c r="G710" s="2" t="s">
        <v>5022</v>
      </c>
      <c r="H710" s="2" t="s">
        <v>5023</v>
      </c>
      <c r="I710" s="2" t="s">
        <v>8430</v>
      </c>
      <c r="J710" s="2"/>
      <c r="K710" s="2"/>
      <c r="L710" s="2"/>
      <c r="M710" s="2"/>
      <c r="N710" s="2"/>
      <c r="O710" s="2"/>
      <c r="P710" s="2"/>
      <c r="Q710" s="2"/>
    </row>
    <row r="711" spans="1:17" x14ac:dyDescent="0.2">
      <c r="A711" s="2" t="s">
        <v>1826</v>
      </c>
      <c r="B711" s="2" t="s">
        <v>8431</v>
      </c>
      <c r="C711" s="2" t="s">
        <v>5076</v>
      </c>
      <c r="D711" s="2" t="s">
        <v>8432</v>
      </c>
      <c r="E711" s="2" t="s">
        <v>8433</v>
      </c>
      <c r="F711" s="2" t="s">
        <v>8434</v>
      </c>
      <c r="G711" s="2" t="s">
        <v>5022</v>
      </c>
      <c r="H711" s="2" t="s">
        <v>5023</v>
      </c>
      <c r="I711" s="2" t="s">
        <v>8435</v>
      </c>
      <c r="J711" s="2"/>
      <c r="K711" s="2"/>
      <c r="L711" s="2"/>
      <c r="M711" s="2"/>
      <c r="N711" s="2"/>
      <c r="O711" s="2"/>
      <c r="P711" s="2"/>
      <c r="Q711" s="2"/>
    </row>
    <row r="712" spans="1:17" x14ac:dyDescent="0.2">
      <c r="A712" s="2" t="s">
        <v>1458</v>
      </c>
      <c r="B712" s="2" t="s">
        <v>8436</v>
      </c>
      <c r="C712" s="2" t="s">
        <v>8437</v>
      </c>
      <c r="D712" s="2" t="s">
        <v>7939</v>
      </c>
      <c r="E712" s="2" t="s">
        <v>5114</v>
      </c>
      <c r="F712" s="2" t="s">
        <v>7373</v>
      </c>
      <c r="G712" s="2" t="s">
        <v>5022</v>
      </c>
      <c r="H712" s="2" t="s">
        <v>5023</v>
      </c>
      <c r="I712" s="2" t="s">
        <v>8438</v>
      </c>
      <c r="J712" s="2"/>
      <c r="K712" s="2"/>
      <c r="L712" s="2"/>
      <c r="M712" s="2"/>
      <c r="N712" s="2"/>
      <c r="O712" s="2"/>
      <c r="P712" s="2"/>
      <c r="Q712" s="2"/>
    </row>
    <row r="713" spans="1:17" x14ac:dyDescent="0.2">
      <c r="A713" s="2" t="s">
        <v>2561</v>
      </c>
      <c r="B713" s="2" t="s">
        <v>8439</v>
      </c>
      <c r="C713" s="2" t="s">
        <v>5922</v>
      </c>
      <c r="D713" s="2" t="s">
        <v>5146</v>
      </c>
      <c r="E713" s="2" t="s">
        <v>5094</v>
      </c>
      <c r="F713" s="2" t="s">
        <v>7222</v>
      </c>
      <c r="G713" s="2" t="s">
        <v>5022</v>
      </c>
      <c r="H713" s="2" t="s">
        <v>5023</v>
      </c>
      <c r="I713" s="2" t="s">
        <v>8440</v>
      </c>
      <c r="J713" s="2"/>
      <c r="K713" s="2"/>
      <c r="L713" s="2"/>
      <c r="M713" s="2"/>
      <c r="N713" s="2"/>
      <c r="O713" s="2"/>
      <c r="P713" s="2"/>
      <c r="Q713" s="2"/>
    </row>
    <row r="714" spans="1:17" x14ac:dyDescent="0.2">
      <c r="A714" s="2" t="s">
        <v>2489</v>
      </c>
      <c r="B714" s="2" t="s">
        <v>8441</v>
      </c>
      <c r="C714" s="2" t="s">
        <v>6830</v>
      </c>
      <c r="D714" s="2" t="s">
        <v>8442</v>
      </c>
      <c r="E714" s="2" t="s">
        <v>5891</v>
      </c>
      <c r="F714" s="2" t="s">
        <v>8443</v>
      </c>
      <c r="G714" s="2" t="s">
        <v>5022</v>
      </c>
      <c r="H714" s="2" t="s">
        <v>5023</v>
      </c>
      <c r="I714" s="2"/>
      <c r="J714" s="2"/>
      <c r="K714" s="2" t="s">
        <v>8444</v>
      </c>
      <c r="L714" s="2"/>
      <c r="M714" s="2"/>
      <c r="N714" s="2"/>
      <c r="O714" s="2"/>
      <c r="P714" s="2"/>
      <c r="Q714" s="2"/>
    </row>
    <row r="715" spans="1:17" x14ac:dyDescent="0.2">
      <c r="A715" s="2" t="s">
        <v>1994</v>
      </c>
      <c r="B715" s="2" t="s">
        <v>1984</v>
      </c>
      <c r="C715" s="2" t="s">
        <v>6292</v>
      </c>
      <c r="D715" s="2" t="s">
        <v>8445</v>
      </c>
      <c r="E715" s="2" t="s">
        <v>8446</v>
      </c>
      <c r="F715" s="2" t="s">
        <v>8447</v>
      </c>
      <c r="G715" s="2" t="s">
        <v>5022</v>
      </c>
      <c r="H715" s="2" t="s">
        <v>5023</v>
      </c>
      <c r="I715" s="2" t="s">
        <v>8448</v>
      </c>
      <c r="J715" s="2"/>
      <c r="K715" s="2"/>
      <c r="L715" s="2"/>
      <c r="M715" s="2" t="s">
        <v>8449</v>
      </c>
      <c r="N715" s="2"/>
      <c r="O715" s="2"/>
      <c r="P715" s="2"/>
      <c r="Q715" s="2"/>
    </row>
    <row r="716" spans="1:17" x14ac:dyDescent="0.2">
      <c r="A716" s="2" t="s">
        <v>4323</v>
      </c>
      <c r="B716" s="2" t="s">
        <v>8450</v>
      </c>
      <c r="C716" s="2" t="s">
        <v>8451</v>
      </c>
      <c r="D716" s="2" t="s">
        <v>8452</v>
      </c>
      <c r="E716" s="2" t="s">
        <v>8339</v>
      </c>
      <c r="F716" s="2" t="s">
        <v>8453</v>
      </c>
      <c r="G716" s="2" t="s">
        <v>5022</v>
      </c>
      <c r="H716" s="2" t="s">
        <v>5023</v>
      </c>
      <c r="I716" s="2" t="s">
        <v>8454</v>
      </c>
      <c r="J716" s="2"/>
      <c r="K716" s="2"/>
      <c r="L716" s="2"/>
      <c r="M716" s="2" t="s">
        <v>8455</v>
      </c>
      <c r="N716" s="2"/>
      <c r="O716" s="2"/>
      <c r="P716" s="2"/>
      <c r="Q716" s="2"/>
    </row>
    <row r="717" spans="1:17" x14ac:dyDescent="0.2">
      <c r="A717" s="2" t="s">
        <v>2075</v>
      </c>
      <c r="B717" s="2" t="s">
        <v>8456</v>
      </c>
      <c r="C717" s="2" t="s">
        <v>8457</v>
      </c>
      <c r="D717" s="2" t="s">
        <v>6657</v>
      </c>
      <c r="E717" s="2" t="s">
        <v>8458</v>
      </c>
      <c r="F717" s="2" t="s">
        <v>8459</v>
      </c>
      <c r="G717" s="2" t="s">
        <v>5022</v>
      </c>
      <c r="H717" s="2" t="s">
        <v>5023</v>
      </c>
      <c r="I717" s="2"/>
      <c r="J717" s="2"/>
      <c r="K717" s="2" t="s">
        <v>8460</v>
      </c>
      <c r="L717" s="2"/>
      <c r="M717" s="2"/>
      <c r="N717" s="2"/>
      <c r="O717" s="2"/>
      <c r="P717" s="2"/>
      <c r="Q717" s="2"/>
    </row>
    <row r="718" spans="1:17" x14ac:dyDescent="0.2">
      <c r="A718" s="2" t="s">
        <v>4116</v>
      </c>
      <c r="B718" s="2" t="s">
        <v>6578</v>
      </c>
      <c r="C718" s="2" t="s">
        <v>8461</v>
      </c>
      <c r="D718" s="2" t="s">
        <v>8462</v>
      </c>
      <c r="E718" s="2" t="s">
        <v>7193</v>
      </c>
      <c r="F718" s="2" t="s">
        <v>8463</v>
      </c>
      <c r="G718" s="2" t="s">
        <v>5022</v>
      </c>
      <c r="H718" s="2" t="s">
        <v>5023</v>
      </c>
      <c r="I718" s="2" t="s">
        <v>8464</v>
      </c>
      <c r="J718" s="2"/>
      <c r="K718" s="2"/>
      <c r="L718" s="2"/>
      <c r="M718" s="2"/>
      <c r="N718" s="2"/>
      <c r="O718" s="2"/>
      <c r="P718" s="2"/>
      <c r="Q718" s="2"/>
    </row>
    <row r="719" spans="1:17" x14ac:dyDescent="0.2">
      <c r="A719" s="2" t="s">
        <v>2616</v>
      </c>
      <c r="B719" s="2" t="s">
        <v>8465</v>
      </c>
      <c r="C719" s="2" t="s">
        <v>5499</v>
      </c>
      <c r="D719" s="2" t="s">
        <v>8466</v>
      </c>
      <c r="E719" s="2" t="s">
        <v>6064</v>
      </c>
      <c r="F719" s="2" t="s">
        <v>8467</v>
      </c>
      <c r="G719" s="2" t="s">
        <v>5022</v>
      </c>
      <c r="H719" s="2" t="s">
        <v>5023</v>
      </c>
      <c r="I719" s="2"/>
      <c r="J719" s="2"/>
      <c r="K719" s="2"/>
      <c r="L719" s="2"/>
      <c r="M719" s="2"/>
      <c r="N719" s="2"/>
      <c r="O719" s="2"/>
      <c r="P719" s="2"/>
      <c r="Q719" s="2"/>
    </row>
    <row r="720" spans="1:17" x14ac:dyDescent="0.2">
      <c r="A720" s="2" t="s">
        <v>2384</v>
      </c>
      <c r="B720" s="2" t="s">
        <v>8468</v>
      </c>
      <c r="C720" s="2" t="s">
        <v>8469</v>
      </c>
      <c r="D720" s="2" t="s">
        <v>8470</v>
      </c>
      <c r="E720" s="2" t="s">
        <v>8471</v>
      </c>
      <c r="F720" s="2" t="s">
        <v>8472</v>
      </c>
      <c r="G720" s="2" t="s">
        <v>5022</v>
      </c>
      <c r="H720" s="2" t="s">
        <v>5023</v>
      </c>
      <c r="I720" s="2" t="s">
        <v>8473</v>
      </c>
      <c r="J720" s="2"/>
      <c r="K720" s="2"/>
      <c r="L720" s="2"/>
      <c r="M720" s="2" t="s">
        <v>8474</v>
      </c>
      <c r="N720" s="2"/>
      <c r="O720" s="2"/>
      <c r="P720" s="2"/>
      <c r="Q720" s="2"/>
    </row>
    <row r="721" spans="1:17" x14ac:dyDescent="0.2">
      <c r="A721" s="2" t="s">
        <v>1394</v>
      </c>
      <c r="B721" s="2" t="s">
        <v>7699</v>
      </c>
      <c r="C721" s="2" t="s">
        <v>8475</v>
      </c>
      <c r="D721" s="2" t="s">
        <v>8476</v>
      </c>
      <c r="E721" s="2" t="s">
        <v>5294</v>
      </c>
      <c r="F721" s="2" t="s">
        <v>8477</v>
      </c>
      <c r="G721" s="2" t="s">
        <v>5022</v>
      </c>
      <c r="H721" s="2" t="s">
        <v>5023</v>
      </c>
      <c r="I721" s="2" t="s">
        <v>8478</v>
      </c>
      <c r="J721" s="2"/>
      <c r="K721" s="2"/>
      <c r="L721" s="2"/>
      <c r="M721" s="2" t="s">
        <v>8479</v>
      </c>
      <c r="N721" s="2"/>
      <c r="O721" s="2"/>
      <c r="P721" s="2"/>
      <c r="Q721" s="2"/>
    </row>
    <row r="722" spans="1:17" x14ac:dyDescent="0.2">
      <c r="A722" s="2" t="s">
        <v>2403</v>
      </c>
      <c r="B722" s="2" t="s">
        <v>6110</v>
      </c>
      <c r="C722" s="2" t="s">
        <v>8480</v>
      </c>
      <c r="D722" s="2" t="s">
        <v>5287</v>
      </c>
      <c r="E722" s="2" t="s">
        <v>5891</v>
      </c>
      <c r="F722" s="2" t="s">
        <v>8481</v>
      </c>
      <c r="G722" s="2" t="s">
        <v>5022</v>
      </c>
      <c r="H722" s="2" t="s">
        <v>5023</v>
      </c>
      <c r="I722" s="2"/>
      <c r="J722" s="2"/>
      <c r="K722" s="2" t="s">
        <v>8482</v>
      </c>
      <c r="L722" s="2"/>
      <c r="M722" s="2"/>
      <c r="N722" s="2"/>
      <c r="O722" s="2"/>
      <c r="P722" s="2"/>
      <c r="Q722" s="2"/>
    </row>
    <row r="723" spans="1:17" x14ac:dyDescent="0.2">
      <c r="A723" s="2" t="s">
        <v>1113</v>
      </c>
      <c r="B723" s="2" t="s">
        <v>8343</v>
      </c>
      <c r="C723" s="2" t="s">
        <v>8483</v>
      </c>
      <c r="D723" s="2" t="s">
        <v>5734</v>
      </c>
      <c r="E723" s="2" t="s">
        <v>6766</v>
      </c>
      <c r="F723" s="2" t="s">
        <v>8484</v>
      </c>
      <c r="G723" s="2" t="s">
        <v>5022</v>
      </c>
      <c r="H723" s="2" t="s">
        <v>5023</v>
      </c>
      <c r="I723" s="2" t="s">
        <v>8485</v>
      </c>
      <c r="J723" s="2"/>
      <c r="K723" s="2"/>
      <c r="L723" s="2"/>
      <c r="M723" s="2" t="s">
        <v>8486</v>
      </c>
      <c r="N723" s="2"/>
      <c r="O723" s="2"/>
      <c r="P723" s="2"/>
      <c r="Q723" s="2"/>
    </row>
    <row r="724" spans="1:17" x14ac:dyDescent="0.2">
      <c r="A724" s="2" t="s">
        <v>4240</v>
      </c>
      <c r="B724" s="2" t="s">
        <v>6056</v>
      </c>
      <c r="C724" s="2" t="s">
        <v>5414</v>
      </c>
      <c r="D724" s="2" t="s">
        <v>8487</v>
      </c>
      <c r="E724" s="2" t="s">
        <v>8488</v>
      </c>
      <c r="F724" s="2" t="s">
        <v>8489</v>
      </c>
      <c r="G724" s="2" t="s">
        <v>5022</v>
      </c>
      <c r="H724" s="2" t="s">
        <v>5023</v>
      </c>
      <c r="I724" s="2" t="s">
        <v>8490</v>
      </c>
      <c r="J724" s="2"/>
      <c r="K724" s="2"/>
      <c r="L724" s="2"/>
      <c r="M724" s="2" t="s">
        <v>8491</v>
      </c>
      <c r="N724" s="2"/>
      <c r="O724" s="2"/>
      <c r="P724" s="2"/>
      <c r="Q724" s="2"/>
    </row>
    <row r="725" spans="1:17" x14ac:dyDescent="0.2">
      <c r="A725" s="2" t="s">
        <v>2558</v>
      </c>
      <c r="B725" s="2" t="s">
        <v>8492</v>
      </c>
      <c r="C725" s="2" t="s">
        <v>6960</v>
      </c>
      <c r="D725" s="2" t="s">
        <v>7125</v>
      </c>
      <c r="E725" s="2" t="s">
        <v>8493</v>
      </c>
      <c r="F725" s="2" t="s">
        <v>8494</v>
      </c>
      <c r="G725" s="2" t="s">
        <v>5022</v>
      </c>
      <c r="H725" s="2" t="s">
        <v>5023</v>
      </c>
      <c r="I725" s="2"/>
      <c r="J725" s="2"/>
      <c r="K725" s="2" t="s">
        <v>8495</v>
      </c>
      <c r="L725" s="2"/>
      <c r="M725" s="2"/>
      <c r="N725" s="2"/>
      <c r="O725" s="2"/>
      <c r="P725" s="2"/>
      <c r="Q725" s="2"/>
    </row>
    <row r="726" spans="1:17" x14ac:dyDescent="0.2">
      <c r="A726" s="2" t="s">
        <v>3963</v>
      </c>
      <c r="B726" s="2" t="s">
        <v>5310</v>
      </c>
      <c r="C726" s="2" t="s">
        <v>8496</v>
      </c>
      <c r="D726" s="2" t="s">
        <v>5076</v>
      </c>
      <c r="E726" s="2" t="s">
        <v>8497</v>
      </c>
      <c r="F726" s="2" t="s">
        <v>8498</v>
      </c>
      <c r="G726" s="2" t="s">
        <v>5022</v>
      </c>
      <c r="H726" s="2" t="s">
        <v>5023</v>
      </c>
      <c r="I726" s="2" t="s">
        <v>8499</v>
      </c>
      <c r="J726" s="2"/>
      <c r="K726" s="2"/>
      <c r="L726" s="2"/>
      <c r="M726" s="2" t="s">
        <v>8500</v>
      </c>
      <c r="N726" s="2"/>
      <c r="O726" s="2"/>
      <c r="P726" s="2"/>
      <c r="Q726" s="2"/>
    </row>
    <row r="727" spans="1:17" x14ac:dyDescent="0.2">
      <c r="A727" s="2" t="s">
        <v>3146</v>
      </c>
      <c r="B727" s="2" t="s">
        <v>8501</v>
      </c>
      <c r="C727" s="2" t="s">
        <v>8502</v>
      </c>
      <c r="D727" s="2" t="s">
        <v>6915</v>
      </c>
      <c r="E727" s="2" t="s">
        <v>8503</v>
      </c>
      <c r="F727" s="2" t="s">
        <v>8504</v>
      </c>
      <c r="G727" s="2" t="s">
        <v>5022</v>
      </c>
      <c r="H727" s="2" t="s">
        <v>5023</v>
      </c>
      <c r="I727" s="2" t="s">
        <v>8505</v>
      </c>
      <c r="J727" s="2"/>
      <c r="K727" s="2"/>
      <c r="L727" s="2"/>
      <c r="M727" s="2" t="s">
        <v>8506</v>
      </c>
      <c r="N727" s="2"/>
      <c r="O727" s="2"/>
      <c r="P727" s="2"/>
      <c r="Q727" s="2"/>
    </row>
    <row r="728" spans="1:17" x14ac:dyDescent="0.2">
      <c r="A728" s="2" t="s">
        <v>3982</v>
      </c>
      <c r="B728" s="2" t="s">
        <v>3147</v>
      </c>
      <c r="C728" s="2" t="s">
        <v>5414</v>
      </c>
      <c r="D728" s="2" t="s">
        <v>5076</v>
      </c>
      <c r="E728" s="2" t="s">
        <v>8507</v>
      </c>
      <c r="F728" s="2" t="s">
        <v>8508</v>
      </c>
      <c r="G728" s="2" t="s">
        <v>5022</v>
      </c>
      <c r="H728" s="2" t="s">
        <v>5023</v>
      </c>
      <c r="I728" s="2" t="s">
        <v>8509</v>
      </c>
      <c r="J728" s="2"/>
      <c r="K728" s="2"/>
      <c r="L728" s="2"/>
      <c r="M728" s="2" t="s">
        <v>8510</v>
      </c>
      <c r="N728" s="2"/>
      <c r="O728" s="2"/>
      <c r="P728" s="2"/>
      <c r="Q728" s="2"/>
    </row>
    <row r="729" spans="1:17" x14ac:dyDescent="0.2">
      <c r="A729" s="2" t="s">
        <v>3742</v>
      </c>
      <c r="B729" s="2" t="s">
        <v>8511</v>
      </c>
      <c r="C729" s="2" t="s">
        <v>5299</v>
      </c>
      <c r="D729" s="2" t="s">
        <v>5299</v>
      </c>
      <c r="E729" s="2" t="s">
        <v>8512</v>
      </c>
      <c r="F729" s="2" t="s">
        <v>5271</v>
      </c>
      <c r="G729" s="2" t="s">
        <v>5022</v>
      </c>
      <c r="H729" s="2" t="s">
        <v>5023</v>
      </c>
      <c r="I729" s="2" t="s">
        <v>8513</v>
      </c>
      <c r="J729" s="2"/>
      <c r="K729" s="2"/>
      <c r="L729" s="2"/>
      <c r="M729" s="2" t="s">
        <v>8514</v>
      </c>
      <c r="N729" s="2"/>
      <c r="O729" s="2"/>
      <c r="P729" s="2"/>
      <c r="Q729" s="2"/>
    </row>
    <row r="730" spans="1:17" x14ac:dyDescent="0.2">
      <c r="A730" s="2" t="s">
        <v>1190</v>
      </c>
      <c r="B730" s="2" t="s">
        <v>8515</v>
      </c>
      <c r="C730" s="2" t="s">
        <v>5414</v>
      </c>
      <c r="D730" s="2" t="s">
        <v>6722</v>
      </c>
      <c r="E730" s="2" t="s">
        <v>8516</v>
      </c>
      <c r="F730" s="2" t="s">
        <v>8517</v>
      </c>
      <c r="G730" s="2" t="s">
        <v>5022</v>
      </c>
      <c r="H730" s="2" t="s">
        <v>5023</v>
      </c>
      <c r="I730" s="2" t="s">
        <v>8518</v>
      </c>
      <c r="J730" s="2"/>
      <c r="K730" s="2"/>
      <c r="L730" s="2"/>
      <c r="M730" s="2" t="s">
        <v>8519</v>
      </c>
      <c r="N730" s="2"/>
      <c r="O730" s="2"/>
      <c r="P730" s="2"/>
      <c r="Q730" s="2"/>
    </row>
    <row r="731" spans="1:17" x14ac:dyDescent="0.2">
      <c r="A731" s="2" t="s">
        <v>4506</v>
      </c>
      <c r="B731" s="2" t="s">
        <v>5026</v>
      </c>
      <c r="C731" s="2" t="s">
        <v>5468</v>
      </c>
      <c r="D731" s="2" t="s">
        <v>8520</v>
      </c>
      <c r="E731" s="2" t="s">
        <v>8521</v>
      </c>
      <c r="F731" s="2" t="s">
        <v>8522</v>
      </c>
      <c r="G731" s="2" t="s">
        <v>5022</v>
      </c>
      <c r="H731" s="2" t="s">
        <v>5023</v>
      </c>
      <c r="I731" s="2"/>
      <c r="J731" s="2"/>
      <c r="K731" s="2" t="s">
        <v>8523</v>
      </c>
      <c r="L731" s="2"/>
      <c r="M731" s="2"/>
      <c r="N731" s="2"/>
      <c r="O731" s="2"/>
      <c r="P731" s="2"/>
      <c r="Q731" s="2"/>
    </row>
    <row r="732" spans="1:17" x14ac:dyDescent="0.2">
      <c r="A732" s="2" t="s">
        <v>4933</v>
      </c>
      <c r="B732" s="2" t="s">
        <v>8524</v>
      </c>
      <c r="C732" s="2" t="s">
        <v>5414</v>
      </c>
      <c r="D732" s="2" t="s">
        <v>5363</v>
      </c>
      <c r="E732" s="2" t="s">
        <v>8525</v>
      </c>
      <c r="F732" s="2" t="s">
        <v>8526</v>
      </c>
      <c r="G732" s="2" t="s">
        <v>5022</v>
      </c>
      <c r="H732" s="2" t="s">
        <v>5023</v>
      </c>
      <c r="I732" s="2" t="s">
        <v>8527</v>
      </c>
      <c r="J732" s="2"/>
      <c r="K732" s="2"/>
      <c r="L732" s="2"/>
      <c r="M732" s="2" t="s">
        <v>8528</v>
      </c>
      <c r="N732" s="2"/>
      <c r="O732" s="2"/>
      <c r="P732" s="2"/>
      <c r="Q732" s="2"/>
    </row>
    <row r="733" spans="1:17" x14ac:dyDescent="0.2">
      <c r="A733" s="2" t="s">
        <v>4034</v>
      </c>
      <c r="B733" s="2" t="s">
        <v>8326</v>
      </c>
      <c r="C733" s="2" t="s">
        <v>5147</v>
      </c>
      <c r="D733" s="2" t="s">
        <v>5649</v>
      </c>
      <c r="E733" s="2" t="s">
        <v>8529</v>
      </c>
      <c r="F733" s="2" t="s">
        <v>8530</v>
      </c>
      <c r="G733" s="2" t="s">
        <v>5022</v>
      </c>
      <c r="H733" s="2" t="s">
        <v>5023</v>
      </c>
      <c r="I733" s="2" t="s">
        <v>8531</v>
      </c>
      <c r="J733" s="2"/>
      <c r="K733" s="2"/>
      <c r="L733" s="2"/>
      <c r="M733" s="2"/>
      <c r="N733" s="2"/>
      <c r="O733" s="2"/>
      <c r="P733" s="2"/>
      <c r="Q733" s="2"/>
    </row>
    <row r="734" spans="1:17" x14ac:dyDescent="0.2">
      <c r="A734" s="2" t="s">
        <v>3026</v>
      </c>
      <c r="B734" s="2" t="s">
        <v>5660</v>
      </c>
      <c r="C734" s="2" t="s">
        <v>8532</v>
      </c>
      <c r="D734" s="2" t="s">
        <v>7535</v>
      </c>
      <c r="E734" s="2" t="s">
        <v>8212</v>
      </c>
      <c r="F734" s="2" t="s">
        <v>8533</v>
      </c>
      <c r="G734" s="2" t="s">
        <v>5022</v>
      </c>
      <c r="H734" s="2" t="s">
        <v>5023</v>
      </c>
      <c r="I734" s="2"/>
      <c r="J734" s="2"/>
      <c r="K734" s="2" t="s">
        <v>8534</v>
      </c>
      <c r="L734" s="2"/>
      <c r="M734" s="2"/>
      <c r="N734" s="2"/>
      <c r="O734" s="2"/>
      <c r="P734" s="2"/>
      <c r="Q734" s="2"/>
    </row>
    <row r="735" spans="1:17" x14ac:dyDescent="0.2">
      <c r="A735" s="2" t="s">
        <v>1299</v>
      </c>
      <c r="B735" s="2" t="s">
        <v>2020</v>
      </c>
      <c r="C735" s="2" t="s">
        <v>8532</v>
      </c>
      <c r="D735" s="2" t="s">
        <v>5712</v>
      </c>
      <c r="E735" s="2" t="s">
        <v>5135</v>
      </c>
      <c r="F735" s="2" t="s">
        <v>7941</v>
      </c>
      <c r="G735" s="2" t="s">
        <v>5022</v>
      </c>
      <c r="H735" s="2" t="s">
        <v>5023</v>
      </c>
      <c r="I735" s="2"/>
      <c r="J735" s="2"/>
      <c r="K735" s="2" t="s">
        <v>8535</v>
      </c>
      <c r="L735" s="2"/>
      <c r="M735" s="2"/>
      <c r="N735" s="2"/>
      <c r="O735" s="2"/>
      <c r="P735" s="2"/>
      <c r="Q735" s="2"/>
    </row>
    <row r="736" spans="1:17" x14ac:dyDescent="0.2">
      <c r="A736" s="2" t="s">
        <v>4314</v>
      </c>
      <c r="B736" s="2" t="s">
        <v>8536</v>
      </c>
      <c r="C736" s="2" t="s">
        <v>8537</v>
      </c>
      <c r="D736" s="2" t="s">
        <v>8538</v>
      </c>
      <c r="E736" s="2" t="s">
        <v>8539</v>
      </c>
      <c r="F736" s="2" t="s">
        <v>8540</v>
      </c>
      <c r="G736" s="2" t="s">
        <v>5022</v>
      </c>
      <c r="H736" s="2" t="s">
        <v>5023</v>
      </c>
      <c r="I736" s="2" t="s">
        <v>8541</v>
      </c>
      <c r="J736" s="2"/>
      <c r="K736" s="2"/>
      <c r="L736" s="2"/>
      <c r="M736" s="2" t="s">
        <v>8542</v>
      </c>
      <c r="N736" s="2"/>
      <c r="O736" s="2"/>
      <c r="P736" s="2"/>
      <c r="Q736" s="2"/>
    </row>
    <row r="737" spans="1:17" x14ac:dyDescent="0.2">
      <c r="A737" s="2" t="s">
        <v>1767</v>
      </c>
      <c r="B737" s="2" t="s">
        <v>8543</v>
      </c>
      <c r="C737" s="2" t="s">
        <v>8544</v>
      </c>
      <c r="D737" s="2" t="s">
        <v>6160</v>
      </c>
      <c r="E737" s="2" t="s">
        <v>8545</v>
      </c>
      <c r="F737" s="2" t="s">
        <v>8546</v>
      </c>
      <c r="G737" s="2" t="s">
        <v>5022</v>
      </c>
      <c r="H737" s="2" t="s">
        <v>5023</v>
      </c>
      <c r="I737" s="2" t="s">
        <v>8547</v>
      </c>
      <c r="J737" s="2"/>
      <c r="K737" s="2"/>
      <c r="L737" s="2"/>
      <c r="M737" s="2" t="s">
        <v>8548</v>
      </c>
      <c r="N737" s="2"/>
      <c r="O737" s="2"/>
      <c r="P737" s="2"/>
      <c r="Q737" s="2"/>
    </row>
    <row r="738" spans="1:17" x14ac:dyDescent="0.2">
      <c r="A738" s="2" t="s">
        <v>4345</v>
      </c>
      <c r="B738" s="2" t="s">
        <v>8549</v>
      </c>
      <c r="C738" s="2" t="s">
        <v>7593</v>
      </c>
      <c r="D738" s="2" t="s">
        <v>8550</v>
      </c>
      <c r="E738" s="2" t="s">
        <v>8551</v>
      </c>
      <c r="F738" s="2" t="s">
        <v>8552</v>
      </c>
      <c r="G738" s="2" t="s">
        <v>5022</v>
      </c>
      <c r="H738" s="2" t="s">
        <v>5023</v>
      </c>
      <c r="I738" s="2" t="s">
        <v>8553</v>
      </c>
      <c r="J738" s="2"/>
      <c r="K738" s="2"/>
      <c r="L738" s="2"/>
      <c r="M738" s="2"/>
      <c r="N738" s="2"/>
      <c r="O738" s="2"/>
      <c r="P738" s="2"/>
      <c r="Q738" s="2"/>
    </row>
    <row r="739" spans="1:17" x14ac:dyDescent="0.2">
      <c r="A739" s="2" t="s">
        <v>2779</v>
      </c>
      <c r="B739" s="2" t="s">
        <v>6084</v>
      </c>
      <c r="C739" s="2" t="s">
        <v>8554</v>
      </c>
      <c r="D739" s="2" t="s">
        <v>5317</v>
      </c>
      <c r="E739" s="2" t="s">
        <v>8555</v>
      </c>
      <c r="F739" s="2" t="s">
        <v>5202</v>
      </c>
      <c r="G739" s="2" t="s">
        <v>5022</v>
      </c>
      <c r="H739" s="2" t="s">
        <v>5023</v>
      </c>
      <c r="I739" s="2" t="s">
        <v>8556</v>
      </c>
      <c r="J739" s="2"/>
      <c r="K739" s="2"/>
      <c r="L739" s="2"/>
      <c r="M739" s="2"/>
      <c r="N739" s="2"/>
      <c r="O739" s="2"/>
      <c r="P739" s="2"/>
      <c r="Q739" s="2"/>
    </row>
    <row r="740" spans="1:17" x14ac:dyDescent="0.2">
      <c r="A740" s="2" t="s">
        <v>980</v>
      </c>
      <c r="B740" s="2" t="s">
        <v>8557</v>
      </c>
      <c r="C740" s="2" t="s">
        <v>6617</v>
      </c>
      <c r="D740" s="2" t="s">
        <v>5421</v>
      </c>
      <c r="E740" s="2" t="s">
        <v>8558</v>
      </c>
      <c r="F740" s="2" t="s">
        <v>8559</v>
      </c>
      <c r="G740" s="2" t="s">
        <v>5022</v>
      </c>
      <c r="H740" s="2" t="s">
        <v>5023</v>
      </c>
      <c r="I740" s="2"/>
      <c r="J740" s="2"/>
      <c r="K740" s="2" t="s">
        <v>8560</v>
      </c>
      <c r="L740" s="2"/>
      <c r="M740" s="2"/>
      <c r="N740" s="2"/>
      <c r="O740" s="2"/>
      <c r="P740" s="2"/>
      <c r="Q740" s="2"/>
    </row>
    <row r="741" spans="1:17" x14ac:dyDescent="0.2">
      <c r="A741" s="2" t="s">
        <v>360</v>
      </c>
      <c r="B741" s="2" t="s">
        <v>5864</v>
      </c>
      <c r="C741" s="2" t="s">
        <v>5392</v>
      </c>
      <c r="D741" s="2" t="s">
        <v>8561</v>
      </c>
      <c r="E741" s="2" t="s">
        <v>8562</v>
      </c>
      <c r="F741" s="2" t="s">
        <v>8563</v>
      </c>
      <c r="G741" s="2" t="s">
        <v>5022</v>
      </c>
      <c r="H741" s="2" t="s">
        <v>5023</v>
      </c>
      <c r="I741" s="2" t="s">
        <v>8564</v>
      </c>
      <c r="J741" s="2"/>
      <c r="K741" s="2"/>
      <c r="L741" s="2"/>
      <c r="M741" s="2"/>
      <c r="N741" s="2"/>
      <c r="O741" s="2"/>
      <c r="P741" s="2"/>
      <c r="Q741" s="2"/>
    </row>
    <row r="742" spans="1:17" x14ac:dyDescent="0.2">
      <c r="A742" s="2" t="s">
        <v>2602</v>
      </c>
      <c r="B742" s="2" t="s">
        <v>8565</v>
      </c>
      <c r="C742" s="2" t="s">
        <v>8566</v>
      </c>
      <c r="D742" s="2" t="s">
        <v>8567</v>
      </c>
      <c r="E742" s="2" t="s">
        <v>8568</v>
      </c>
      <c r="F742" s="2" t="s">
        <v>8569</v>
      </c>
      <c r="G742" s="2" t="s">
        <v>5022</v>
      </c>
      <c r="H742" s="2" t="s">
        <v>5023</v>
      </c>
      <c r="I742" s="2" t="s">
        <v>8570</v>
      </c>
      <c r="J742" s="2"/>
      <c r="K742" s="2"/>
      <c r="L742" s="2"/>
      <c r="M742" s="2"/>
      <c r="N742" s="2"/>
      <c r="O742" s="2"/>
      <c r="P742" s="2"/>
      <c r="Q742" s="2"/>
    </row>
    <row r="743" spans="1:17" x14ac:dyDescent="0.2">
      <c r="A743" s="2" t="s">
        <v>2556</v>
      </c>
      <c r="B743" s="2" t="s">
        <v>5660</v>
      </c>
      <c r="C743" s="2" t="s">
        <v>6014</v>
      </c>
      <c r="D743" s="2" t="s">
        <v>5189</v>
      </c>
      <c r="E743" s="2" t="s">
        <v>5891</v>
      </c>
      <c r="F743" s="2" t="s">
        <v>8481</v>
      </c>
      <c r="G743" s="2" t="s">
        <v>5022</v>
      </c>
      <c r="H743" s="2" t="s">
        <v>5023</v>
      </c>
      <c r="I743" s="2"/>
      <c r="J743" s="2"/>
      <c r="K743" s="2" t="s">
        <v>8571</v>
      </c>
      <c r="L743" s="2"/>
      <c r="M743" s="2" t="s">
        <v>8572</v>
      </c>
      <c r="N743" s="2"/>
      <c r="O743" s="2"/>
      <c r="P743" s="2"/>
      <c r="Q743" s="2"/>
    </row>
    <row r="744" spans="1:17" x14ac:dyDescent="0.2">
      <c r="A744" s="2" t="s">
        <v>1216</v>
      </c>
      <c r="B744" s="2" t="s">
        <v>5566</v>
      </c>
      <c r="C744" s="2" t="s">
        <v>8573</v>
      </c>
      <c r="D744" s="2" t="s">
        <v>5623</v>
      </c>
      <c r="E744" s="2" t="s">
        <v>8574</v>
      </c>
      <c r="F744" s="2" t="s">
        <v>6877</v>
      </c>
      <c r="G744" s="2" t="s">
        <v>5022</v>
      </c>
      <c r="H744" s="2" t="s">
        <v>5023</v>
      </c>
      <c r="I744" s="2" t="s">
        <v>8575</v>
      </c>
      <c r="J744" s="2"/>
      <c r="K744" s="2"/>
      <c r="L744" s="2"/>
      <c r="M744" s="2"/>
      <c r="N744" s="2"/>
      <c r="O744" s="2"/>
      <c r="P744" s="2"/>
      <c r="Q744" s="2"/>
    </row>
    <row r="745" spans="1:17" x14ac:dyDescent="0.2">
      <c r="A745" s="2" t="s">
        <v>1371</v>
      </c>
      <c r="B745" s="2" t="s">
        <v>8576</v>
      </c>
      <c r="C745" s="2" t="s">
        <v>8577</v>
      </c>
      <c r="D745" s="2" t="s">
        <v>8121</v>
      </c>
      <c r="E745" s="2" t="s">
        <v>8578</v>
      </c>
      <c r="F745" s="2" t="s">
        <v>8579</v>
      </c>
      <c r="G745" s="2" t="s">
        <v>5022</v>
      </c>
      <c r="H745" s="2" t="s">
        <v>5023</v>
      </c>
      <c r="I745" s="2" t="s">
        <v>8580</v>
      </c>
      <c r="J745" s="2"/>
      <c r="K745" s="2"/>
      <c r="L745" s="2"/>
      <c r="M745" s="2"/>
      <c r="N745" s="2"/>
      <c r="O745" s="2"/>
      <c r="P745" s="2"/>
      <c r="Q745" s="2"/>
    </row>
    <row r="746" spans="1:17" x14ac:dyDescent="0.2">
      <c r="A746" s="2" t="s">
        <v>4679</v>
      </c>
      <c r="B746" s="2" t="s">
        <v>8581</v>
      </c>
      <c r="C746" s="2" t="s">
        <v>8582</v>
      </c>
      <c r="D746" s="2" t="s">
        <v>5409</v>
      </c>
      <c r="E746" s="2" t="s">
        <v>8583</v>
      </c>
      <c r="F746" s="2" t="s">
        <v>8584</v>
      </c>
      <c r="G746" s="2" t="s">
        <v>5022</v>
      </c>
      <c r="H746" s="2" t="s">
        <v>5023</v>
      </c>
      <c r="I746" s="2" t="s">
        <v>8585</v>
      </c>
      <c r="J746" s="2"/>
      <c r="K746" s="2"/>
      <c r="L746" s="2"/>
      <c r="M746" s="2"/>
      <c r="N746" s="2"/>
      <c r="O746" s="2"/>
      <c r="P746" s="2"/>
      <c r="Q746" s="2"/>
    </row>
    <row r="747" spans="1:17" x14ac:dyDescent="0.2">
      <c r="A747" s="2" t="s">
        <v>3099</v>
      </c>
      <c r="B747" s="2" t="s">
        <v>8586</v>
      </c>
      <c r="C747" s="2" t="s">
        <v>5125</v>
      </c>
      <c r="D747" s="2" t="s">
        <v>5159</v>
      </c>
      <c r="E747" s="2" t="s">
        <v>7154</v>
      </c>
      <c r="F747" s="2" t="s">
        <v>8587</v>
      </c>
      <c r="G747" s="2" t="s">
        <v>5022</v>
      </c>
      <c r="H747" s="2" t="s">
        <v>5023</v>
      </c>
      <c r="I747" s="2"/>
      <c r="J747" s="2"/>
      <c r="K747" s="2" t="s">
        <v>8588</v>
      </c>
      <c r="L747" s="2"/>
      <c r="M747" s="2"/>
      <c r="N747" s="2"/>
      <c r="O747" s="2"/>
      <c r="P747" s="2"/>
      <c r="Q747" s="2"/>
    </row>
    <row r="748" spans="1:17" x14ac:dyDescent="0.2">
      <c r="A748" s="2" t="s">
        <v>2055</v>
      </c>
      <c r="B748" s="2" t="s">
        <v>8275</v>
      </c>
      <c r="C748" s="2" t="s">
        <v>5147</v>
      </c>
      <c r="D748" s="2" t="s">
        <v>7296</v>
      </c>
      <c r="E748" s="2" t="s">
        <v>5135</v>
      </c>
      <c r="F748" s="2" t="s">
        <v>6988</v>
      </c>
      <c r="G748" s="2" t="s">
        <v>5022</v>
      </c>
      <c r="H748" s="2" t="s">
        <v>5023</v>
      </c>
      <c r="I748" s="2" t="s">
        <v>8589</v>
      </c>
      <c r="J748" s="2"/>
      <c r="K748" s="2"/>
      <c r="L748" s="2"/>
      <c r="M748" s="2" t="s">
        <v>8590</v>
      </c>
      <c r="N748" s="2"/>
      <c r="O748" s="2"/>
      <c r="P748" s="2"/>
      <c r="Q748" s="2"/>
    </row>
    <row r="749" spans="1:17" x14ac:dyDescent="0.2">
      <c r="A749" s="2" t="s">
        <v>983</v>
      </c>
      <c r="B749" s="2" t="s">
        <v>8591</v>
      </c>
      <c r="C749" s="2" t="s">
        <v>8592</v>
      </c>
      <c r="D749" s="2" t="s">
        <v>5189</v>
      </c>
      <c r="E749" s="2" t="s">
        <v>5450</v>
      </c>
      <c r="F749" s="2" t="s">
        <v>8593</v>
      </c>
      <c r="G749" s="2" t="s">
        <v>5022</v>
      </c>
      <c r="H749" s="2" t="s">
        <v>5023</v>
      </c>
      <c r="I749" s="2" t="s">
        <v>8594</v>
      </c>
      <c r="J749" s="2"/>
      <c r="K749" s="2"/>
      <c r="L749" s="2"/>
      <c r="M749" s="2" t="s">
        <v>8595</v>
      </c>
      <c r="N749" s="2"/>
      <c r="O749" s="2"/>
      <c r="P749" s="2"/>
      <c r="Q749" s="2"/>
    </row>
    <row r="750" spans="1:17" x14ac:dyDescent="0.2">
      <c r="A750" s="2" t="s">
        <v>472</v>
      </c>
      <c r="B750" s="2" t="s">
        <v>8596</v>
      </c>
      <c r="C750" s="2" t="s">
        <v>5126</v>
      </c>
      <c r="D750" s="2" t="s">
        <v>6830</v>
      </c>
      <c r="E750" s="2" t="s">
        <v>8597</v>
      </c>
      <c r="F750" s="2" t="s">
        <v>5486</v>
      </c>
      <c r="G750" s="2" t="s">
        <v>5022</v>
      </c>
      <c r="H750" s="2" t="s">
        <v>5023</v>
      </c>
      <c r="I750" s="2" t="s">
        <v>8598</v>
      </c>
      <c r="J750" s="2"/>
      <c r="K750" s="2" t="s">
        <v>8599</v>
      </c>
      <c r="L750" s="2"/>
      <c r="M750" s="2"/>
      <c r="N750" s="2"/>
      <c r="O750" s="2"/>
      <c r="P750" s="2"/>
      <c r="Q750" s="2"/>
    </row>
    <row r="751" spans="1:17" x14ac:dyDescent="0.2">
      <c r="A751" s="2" t="s">
        <v>4644</v>
      </c>
      <c r="B751" s="2" t="s">
        <v>3152</v>
      </c>
      <c r="C751" s="2" t="s">
        <v>5877</v>
      </c>
      <c r="D751" s="2" t="s">
        <v>8600</v>
      </c>
      <c r="E751" s="2" t="s">
        <v>8601</v>
      </c>
      <c r="F751" s="2" t="s">
        <v>8602</v>
      </c>
      <c r="G751" s="2" t="s">
        <v>5022</v>
      </c>
      <c r="H751" s="2" t="s">
        <v>5023</v>
      </c>
      <c r="I751" s="2" t="s">
        <v>8603</v>
      </c>
      <c r="J751" s="2"/>
      <c r="K751" s="2"/>
      <c r="L751" s="2"/>
      <c r="M751" s="2" t="s">
        <v>8604</v>
      </c>
      <c r="N751" s="2"/>
      <c r="O751" s="2"/>
      <c r="P751" s="2"/>
      <c r="Q751" s="2"/>
    </row>
    <row r="752" spans="1:17" x14ac:dyDescent="0.2">
      <c r="A752" s="2" t="s">
        <v>128</v>
      </c>
      <c r="B752" s="2" t="s">
        <v>8605</v>
      </c>
      <c r="C752" s="2" t="s">
        <v>8573</v>
      </c>
      <c r="D752" s="2" t="s">
        <v>5517</v>
      </c>
      <c r="E752" s="2" t="s">
        <v>5114</v>
      </c>
      <c r="F752" s="2" t="s">
        <v>7972</v>
      </c>
      <c r="G752" s="2" t="s">
        <v>5022</v>
      </c>
      <c r="H752" s="2" t="s">
        <v>5023</v>
      </c>
      <c r="I752" s="2" t="s">
        <v>8606</v>
      </c>
      <c r="J752" s="2"/>
      <c r="K752" s="2"/>
      <c r="L752" s="2"/>
      <c r="M752" s="2" t="s">
        <v>8607</v>
      </c>
      <c r="N752" s="2"/>
      <c r="O752" s="2"/>
      <c r="P752" s="2"/>
      <c r="Q752" s="2"/>
    </row>
    <row r="753" spans="1:17" x14ac:dyDescent="0.2">
      <c r="A753" s="2" t="s">
        <v>3915</v>
      </c>
      <c r="B753" s="2" t="s">
        <v>8608</v>
      </c>
      <c r="C753" s="2" t="s">
        <v>8609</v>
      </c>
      <c r="D753" s="2" t="s">
        <v>8610</v>
      </c>
      <c r="E753" s="2" t="s">
        <v>8611</v>
      </c>
      <c r="F753" s="2" t="s">
        <v>8612</v>
      </c>
      <c r="G753" s="2" t="s">
        <v>5022</v>
      </c>
      <c r="H753" s="2" t="s">
        <v>5023</v>
      </c>
      <c r="I753" s="2" t="s">
        <v>8613</v>
      </c>
      <c r="J753" s="2"/>
      <c r="K753" s="2"/>
      <c r="L753" s="2"/>
      <c r="M753" s="2" t="s">
        <v>8614</v>
      </c>
      <c r="N753" s="2"/>
      <c r="O753" s="2"/>
      <c r="P753" s="2"/>
      <c r="Q753" s="2"/>
    </row>
    <row r="754" spans="1:17" x14ac:dyDescent="0.2">
      <c r="A754" s="2" t="s">
        <v>176</v>
      </c>
      <c r="B754" s="2" t="s">
        <v>8615</v>
      </c>
      <c r="C754" s="2" t="s">
        <v>5104</v>
      </c>
      <c r="D754" s="2" t="s">
        <v>5189</v>
      </c>
      <c r="E754" s="2" t="s">
        <v>6545</v>
      </c>
      <c r="F754" s="2" t="s">
        <v>7074</v>
      </c>
      <c r="G754" s="2" t="s">
        <v>5022</v>
      </c>
      <c r="H754" s="2" t="s">
        <v>5023</v>
      </c>
      <c r="I754" s="2" t="s">
        <v>8616</v>
      </c>
      <c r="J754" s="2"/>
      <c r="K754" s="2"/>
      <c r="L754" s="2"/>
      <c r="M754" s="2"/>
      <c r="N754" s="2"/>
      <c r="O754" s="2"/>
      <c r="P754" s="2"/>
      <c r="Q754" s="2"/>
    </row>
    <row r="755" spans="1:17" x14ac:dyDescent="0.2">
      <c r="A755" s="2" t="s">
        <v>4790</v>
      </c>
      <c r="B755" s="2" t="s">
        <v>8617</v>
      </c>
      <c r="C755" s="2" t="s">
        <v>6722</v>
      </c>
      <c r="D755" s="2" t="s">
        <v>8618</v>
      </c>
      <c r="E755" s="2" t="s">
        <v>8619</v>
      </c>
      <c r="F755" s="2" t="s">
        <v>8477</v>
      </c>
      <c r="G755" s="2" t="s">
        <v>5022</v>
      </c>
      <c r="H755" s="2" t="s">
        <v>5023</v>
      </c>
      <c r="I755" s="2" t="s">
        <v>8620</v>
      </c>
      <c r="J755" s="2"/>
      <c r="K755" s="2"/>
      <c r="L755" s="2"/>
      <c r="M755" s="2" t="s">
        <v>8621</v>
      </c>
      <c r="N755" s="2"/>
      <c r="O755" s="2"/>
      <c r="P755" s="2"/>
      <c r="Q755" s="2"/>
    </row>
    <row r="756" spans="1:17" x14ac:dyDescent="0.2">
      <c r="A756" s="2" t="s">
        <v>2341</v>
      </c>
      <c r="B756" s="2" t="s">
        <v>1984</v>
      </c>
      <c r="C756" s="2" t="s">
        <v>5316</v>
      </c>
      <c r="D756" s="2" t="s">
        <v>5317</v>
      </c>
      <c r="E756" s="2" t="s">
        <v>8622</v>
      </c>
      <c r="F756" s="2" t="s">
        <v>8623</v>
      </c>
      <c r="G756" s="2" t="s">
        <v>5022</v>
      </c>
      <c r="H756" s="2" t="s">
        <v>5023</v>
      </c>
      <c r="I756" s="2" t="s">
        <v>8624</v>
      </c>
      <c r="J756" s="2" t="s">
        <v>8625</v>
      </c>
      <c r="K756" s="2"/>
      <c r="L756" s="2"/>
      <c r="M756" s="2"/>
      <c r="N756" s="2"/>
      <c r="O756" s="2"/>
      <c r="P756" s="2"/>
      <c r="Q756" s="2"/>
    </row>
    <row r="757" spans="1:17" x14ac:dyDescent="0.2">
      <c r="A757" s="2" t="s">
        <v>3899</v>
      </c>
      <c r="B757" s="2" t="s">
        <v>8626</v>
      </c>
      <c r="C757" s="2" t="s">
        <v>5028</v>
      </c>
      <c r="D757" s="2" t="s">
        <v>7807</v>
      </c>
      <c r="E757" s="2" t="s">
        <v>6679</v>
      </c>
      <c r="F757" s="2" t="s">
        <v>5486</v>
      </c>
      <c r="G757" s="2" t="s">
        <v>5022</v>
      </c>
      <c r="H757" s="2" t="s">
        <v>5023</v>
      </c>
      <c r="I757" s="2" t="s">
        <v>8627</v>
      </c>
      <c r="J757" s="2"/>
      <c r="K757" s="2"/>
      <c r="L757" s="2"/>
      <c r="M757" s="2" t="s">
        <v>8628</v>
      </c>
      <c r="N757" s="2"/>
      <c r="O757" s="2"/>
      <c r="P757" s="2"/>
      <c r="Q757" s="2"/>
    </row>
    <row r="758" spans="1:17" x14ac:dyDescent="0.2">
      <c r="A758" s="2" t="s">
        <v>520</v>
      </c>
      <c r="B758" s="2" t="s">
        <v>8629</v>
      </c>
      <c r="C758" s="2" t="s">
        <v>8630</v>
      </c>
      <c r="D758" s="2" t="s">
        <v>8631</v>
      </c>
      <c r="E758" s="2" t="s">
        <v>8632</v>
      </c>
      <c r="F758" s="2" t="s">
        <v>8633</v>
      </c>
      <c r="G758" s="2" t="s">
        <v>5022</v>
      </c>
      <c r="H758" s="2" t="s">
        <v>5023</v>
      </c>
      <c r="I758" s="2" t="s">
        <v>8634</v>
      </c>
      <c r="J758" s="2"/>
      <c r="K758" s="2"/>
      <c r="L758" s="2"/>
      <c r="M758" s="2" t="s">
        <v>8635</v>
      </c>
      <c r="N758" s="2"/>
      <c r="O758" s="2"/>
      <c r="P758" s="2"/>
      <c r="Q758" s="2"/>
    </row>
    <row r="759" spans="1:17" x14ac:dyDescent="0.2">
      <c r="A759" s="2" t="s">
        <v>1677</v>
      </c>
      <c r="B759" s="2" t="s">
        <v>8636</v>
      </c>
      <c r="C759" s="2" t="s">
        <v>7807</v>
      </c>
      <c r="D759" s="2" t="s">
        <v>8637</v>
      </c>
      <c r="E759" s="2" t="s">
        <v>5769</v>
      </c>
      <c r="F759" s="2" t="s">
        <v>5823</v>
      </c>
      <c r="G759" s="2" t="s">
        <v>5022</v>
      </c>
      <c r="H759" s="2" t="s">
        <v>5023</v>
      </c>
      <c r="I759" s="2" t="s">
        <v>8638</v>
      </c>
      <c r="J759" s="2"/>
      <c r="K759" s="2"/>
      <c r="L759" s="2"/>
      <c r="M759" s="2"/>
      <c r="N759" s="2"/>
      <c r="O759" s="2"/>
      <c r="P759" s="2"/>
      <c r="Q759" s="2"/>
    </row>
    <row r="760" spans="1:17" x14ac:dyDescent="0.2">
      <c r="A760" s="2" t="s">
        <v>3278</v>
      </c>
      <c r="B760" s="2" t="s">
        <v>101</v>
      </c>
      <c r="C760" s="2" t="s">
        <v>8639</v>
      </c>
      <c r="D760" s="2" t="s">
        <v>5282</v>
      </c>
      <c r="E760" s="2" t="s">
        <v>8640</v>
      </c>
      <c r="F760" s="2"/>
      <c r="G760" s="2" t="s">
        <v>5022</v>
      </c>
      <c r="H760" s="2" t="s">
        <v>5023</v>
      </c>
      <c r="I760" s="2" t="s">
        <v>8641</v>
      </c>
      <c r="J760" s="2"/>
      <c r="K760" s="2"/>
      <c r="L760" s="2"/>
      <c r="M760" s="2" t="s">
        <v>8642</v>
      </c>
      <c r="N760" s="2"/>
      <c r="O760" s="2"/>
      <c r="P760" s="2"/>
      <c r="Q760" s="2"/>
    </row>
    <row r="761" spans="1:17" x14ac:dyDescent="0.2">
      <c r="A761" s="2" t="s">
        <v>4049</v>
      </c>
      <c r="B761" s="2" t="s">
        <v>5055</v>
      </c>
      <c r="C761" s="2" t="s">
        <v>7594</v>
      </c>
      <c r="D761" s="2" t="s">
        <v>8643</v>
      </c>
      <c r="E761" s="2" t="s">
        <v>8644</v>
      </c>
      <c r="F761" s="2" t="s">
        <v>8645</v>
      </c>
      <c r="G761" s="2" t="s">
        <v>5022</v>
      </c>
      <c r="H761" s="2" t="s">
        <v>5023</v>
      </c>
      <c r="I761" s="2" t="s">
        <v>8646</v>
      </c>
      <c r="J761" s="2"/>
      <c r="K761" s="2"/>
      <c r="L761" s="2"/>
      <c r="M761" s="2"/>
      <c r="N761" s="2"/>
      <c r="O761" s="2"/>
      <c r="P761" s="2"/>
      <c r="Q761" s="2"/>
    </row>
    <row r="762" spans="1:17" x14ac:dyDescent="0.2">
      <c r="A762" s="2" t="s">
        <v>3285</v>
      </c>
      <c r="B762" s="2" t="s">
        <v>8647</v>
      </c>
      <c r="C762" s="2" t="s">
        <v>5189</v>
      </c>
      <c r="D762" s="2" t="s">
        <v>5240</v>
      </c>
      <c r="E762" s="2" t="s">
        <v>8648</v>
      </c>
      <c r="F762" s="2" t="s">
        <v>8649</v>
      </c>
      <c r="G762" s="2" t="s">
        <v>5022</v>
      </c>
      <c r="H762" s="2" t="s">
        <v>5023</v>
      </c>
      <c r="I762" s="2"/>
      <c r="J762" s="2"/>
      <c r="K762" s="2" t="s">
        <v>8650</v>
      </c>
      <c r="L762" s="2"/>
      <c r="M762" s="2"/>
      <c r="N762" s="2"/>
      <c r="O762" s="2"/>
      <c r="P762" s="2"/>
      <c r="Q762" s="2"/>
    </row>
    <row r="763" spans="1:17" x14ac:dyDescent="0.2">
      <c r="A763" s="2" t="s">
        <v>3136</v>
      </c>
      <c r="B763" s="2" t="s">
        <v>5636</v>
      </c>
      <c r="C763" s="2" t="s">
        <v>5189</v>
      </c>
      <c r="D763" s="2" t="s">
        <v>8457</v>
      </c>
      <c r="E763" s="2" t="s">
        <v>5531</v>
      </c>
      <c r="F763" s="2" t="s">
        <v>8651</v>
      </c>
      <c r="G763" s="2" t="s">
        <v>5022</v>
      </c>
      <c r="H763" s="2" t="s">
        <v>5023</v>
      </c>
      <c r="I763" s="2"/>
      <c r="J763" s="2"/>
      <c r="K763" s="2" t="s">
        <v>8652</v>
      </c>
      <c r="L763" s="2"/>
      <c r="M763" s="2"/>
      <c r="N763" s="2"/>
      <c r="O763" s="2"/>
      <c r="P763" s="2"/>
      <c r="Q763" s="2"/>
    </row>
    <row r="764" spans="1:17" x14ac:dyDescent="0.2">
      <c r="A764" s="2" t="s">
        <v>977</v>
      </c>
      <c r="B764" s="2" t="s">
        <v>2481</v>
      </c>
      <c r="C764" s="2" t="s">
        <v>5217</v>
      </c>
      <c r="D764" s="2" t="s">
        <v>8121</v>
      </c>
      <c r="E764" s="2" t="s">
        <v>5294</v>
      </c>
      <c r="F764" s="2" t="s">
        <v>8653</v>
      </c>
      <c r="G764" s="2" t="s">
        <v>5022</v>
      </c>
      <c r="H764" s="2" t="s">
        <v>5023</v>
      </c>
      <c r="I764" s="2"/>
      <c r="J764" s="2"/>
      <c r="K764" s="2" t="s">
        <v>8654</v>
      </c>
      <c r="L764" s="2"/>
      <c r="M764" s="2"/>
      <c r="N764" s="2"/>
      <c r="O764" s="2"/>
      <c r="P764" s="2"/>
      <c r="Q764" s="2"/>
    </row>
    <row r="765" spans="1:17" x14ac:dyDescent="0.2">
      <c r="A765" s="2" t="s">
        <v>4037</v>
      </c>
      <c r="B765" s="2" t="s">
        <v>6686</v>
      </c>
      <c r="C765" s="2" t="s">
        <v>5369</v>
      </c>
      <c r="D765" s="2" t="s">
        <v>8655</v>
      </c>
      <c r="E765" s="2" t="s">
        <v>8656</v>
      </c>
      <c r="F765" s="2" t="s">
        <v>8657</v>
      </c>
      <c r="G765" s="2" t="s">
        <v>5022</v>
      </c>
      <c r="H765" s="2" t="s">
        <v>5023</v>
      </c>
      <c r="I765" s="2" t="s">
        <v>8658</v>
      </c>
      <c r="J765" s="2"/>
      <c r="K765" s="2"/>
      <c r="L765" s="2"/>
      <c r="M765" s="2" t="s">
        <v>8659</v>
      </c>
      <c r="N765" s="2"/>
      <c r="O765" s="2"/>
      <c r="P765" s="2"/>
      <c r="Q765" s="2"/>
    </row>
    <row r="766" spans="1:17" x14ac:dyDescent="0.2">
      <c r="A766" s="2" t="s">
        <v>4687</v>
      </c>
      <c r="B766" s="2" t="s">
        <v>8660</v>
      </c>
      <c r="C766" s="2" t="s">
        <v>8661</v>
      </c>
      <c r="D766" s="2" t="s">
        <v>5553</v>
      </c>
      <c r="E766" s="2" t="s">
        <v>5888</v>
      </c>
      <c r="F766" s="2" t="s">
        <v>8662</v>
      </c>
      <c r="G766" s="2" t="s">
        <v>5022</v>
      </c>
      <c r="H766" s="2" t="s">
        <v>5023</v>
      </c>
      <c r="I766" s="2" t="s">
        <v>8663</v>
      </c>
      <c r="J766" s="2"/>
      <c r="K766" s="2"/>
      <c r="L766" s="2"/>
      <c r="M766" s="2"/>
      <c r="N766" s="2"/>
      <c r="O766" s="2"/>
      <c r="P766" s="2"/>
      <c r="Q766" s="2"/>
    </row>
    <row r="767" spans="1:17" x14ac:dyDescent="0.2">
      <c r="A767" s="2" t="s">
        <v>687</v>
      </c>
      <c r="B767" s="2" t="s">
        <v>8664</v>
      </c>
      <c r="C767" s="2" t="s">
        <v>7535</v>
      </c>
      <c r="D767" s="2" t="s">
        <v>7589</v>
      </c>
      <c r="E767" s="2" t="s">
        <v>8665</v>
      </c>
      <c r="F767" s="2" t="s">
        <v>8666</v>
      </c>
      <c r="G767" s="2" t="s">
        <v>5022</v>
      </c>
      <c r="H767" s="2" t="s">
        <v>5023</v>
      </c>
      <c r="I767" s="2"/>
      <c r="J767" s="2"/>
      <c r="K767" s="2"/>
      <c r="L767" s="2"/>
      <c r="M767" s="2" t="s">
        <v>8667</v>
      </c>
      <c r="N767" s="2"/>
      <c r="O767" s="2"/>
      <c r="P767" s="2"/>
      <c r="Q767" s="2"/>
    </row>
    <row r="768" spans="1:17" x14ac:dyDescent="0.2">
      <c r="A768" s="2" t="s">
        <v>4812</v>
      </c>
      <c r="B768" s="2" t="s">
        <v>5368</v>
      </c>
      <c r="C768" s="2" t="s">
        <v>8146</v>
      </c>
      <c r="D768" s="2" t="s">
        <v>5051</v>
      </c>
      <c r="E768" s="2" t="s">
        <v>6262</v>
      </c>
      <c r="F768" s="2" t="s">
        <v>5797</v>
      </c>
      <c r="G768" s="2" t="s">
        <v>5022</v>
      </c>
      <c r="H768" s="2" t="s">
        <v>5023</v>
      </c>
      <c r="I768" s="2" t="s">
        <v>8668</v>
      </c>
      <c r="J768" s="2"/>
      <c r="K768" s="2"/>
      <c r="L768" s="2"/>
      <c r="M768" s="2"/>
      <c r="N768" s="2"/>
      <c r="O768" s="2"/>
      <c r="P768" s="2"/>
      <c r="Q768" s="2"/>
    </row>
    <row r="769" spans="1:17" x14ac:dyDescent="0.2">
      <c r="A769" s="2" t="s">
        <v>1237</v>
      </c>
      <c r="B769" s="2" t="s">
        <v>8647</v>
      </c>
      <c r="C769" s="2" t="s">
        <v>5517</v>
      </c>
      <c r="D769" s="2" t="s">
        <v>5997</v>
      </c>
      <c r="E769" s="2" t="s">
        <v>7557</v>
      </c>
      <c r="F769" s="2" t="s">
        <v>8669</v>
      </c>
      <c r="G769" s="2" t="s">
        <v>5022</v>
      </c>
      <c r="H769" s="2" t="s">
        <v>5023</v>
      </c>
      <c r="I769" s="2" t="s">
        <v>8670</v>
      </c>
      <c r="J769" s="2"/>
      <c r="K769" s="2"/>
      <c r="L769" s="2"/>
      <c r="M769" s="2"/>
      <c r="N769" s="2"/>
      <c r="O769" s="2"/>
      <c r="P769" s="2"/>
      <c r="Q769" s="2"/>
    </row>
    <row r="770" spans="1:17" x14ac:dyDescent="0.2">
      <c r="A770" s="2" t="s">
        <v>2304</v>
      </c>
      <c r="B770" s="2" t="s">
        <v>8671</v>
      </c>
      <c r="C770" s="2" t="s">
        <v>8672</v>
      </c>
      <c r="D770" s="2" t="s">
        <v>5428</v>
      </c>
      <c r="E770" s="2" t="s">
        <v>8673</v>
      </c>
      <c r="F770" s="2" t="s">
        <v>5532</v>
      </c>
      <c r="G770" s="2" t="s">
        <v>5022</v>
      </c>
      <c r="H770" s="2" t="s">
        <v>5023</v>
      </c>
      <c r="I770" s="2" t="s">
        <v>8674</v>
      </c>
      <c r="J770" s="2"/>
      <c r="K770" s="2"/>
      <c r="L770" s="2"/>
      <c r="M770" s="2" t="s">
        <v>8675</v>
      </c>
      <c r="N770" s="2"/>
      <c r="O770" s="2"/>
      <c r="P770" s="2"/>
      <c r="Q770" s="2"/>
    </row>
    <row r="771" spans="1:17" x14ac:dyDescent="0.2">
      <c r="A771" s="2" t="s">
        <v>4457</v>
      </c>
      <c r="B771" s="2" t="s">
        <v>8431</v>
      </c>
      <c r="C771" s="2" t="s">
        <v>5498</v>
      </c>
      <c r="D771" s="2" t="s">
        <v>8676</v>
      </c>
      <c r="E771" s="2" t="s">
        <v>8677</v>
      </c>
      <c r="F771" s="2" t="s">
        <v>8678</v>
      </c>
      <c r="G771" s="2" t="s">
        <v>5022</v>
      </c>
      <c r="H771" s="2" t="s">
        <v>5023</v>
      </c>
      <c r="I771" s="2" t="s">
        <v>8679</v>
      </c>
      <c r="J771" s="2"/>
      <c r="K771" s="2"/>
      <c r="L771" s="2"/>
      <c r="M771" s="2" t="s">
        <v>8680</v>
      </c>
      <c r="N771" s="2"/>
      <c r="O771" s="2"/>
      <c r="P771" s="2"/>
      <c r="Q771" s="2"/>
    </row>
    <row r="772" spans="1:17" x14ac:dyDescent="0.2">
      <c r="A772" s="2" t="s">
        <v>3110</v>
      </c>
      <c r="B772" s="2" t="s">
        <v>3351</v>
      </c>
      <c r="C772" s="2" t="s">
        <v>5853</v>
      </c>
      <c r="D772" s="2" t="s">
        <v>8681</v>
      </c>
      <c r="E772" s="2" t="s">
        <v>8682</v>
      </c>
      <c r="F772" s="2" t="s">
        <v>6968</v>
      </c>
      <c r="G772" s="2" t="s">
        <v>5022</v>
      </c>
      <c r="H772" s="2" t="s">
        <v>5023</v>
      </c>
      <c r="I772" s="2" t="s">
        <v>8683</v>
      </c>
      <c r="J772" s="2"/>
      <c r="K772" s="2"/>
      <c r="L772" s="2"/>
      <c r="M772" s="2" t="s">
        <v>8684</v>
      </c>
      <c r="N772" s="2"/>
      <c r="O772" s="2"/>
      <c r="P772" s="2"/>
      <c r="Q772" s="2"/>
    </row>
    <row r="773" spans="1:17" x14ac:dyDescent="0.2">
      <c r="A773" s="2" t="s">
        <v>415</v>
      </c>
      <c r="B773" s="2" t="s">
        <v>4359</v>
      </c>
      <c r="C773" s="2" t="s">
        <v>8685</v>
      </c>
      <c r="D773" s="2" t="s">
        <v>8686</v>
      </c>
      <c r="E773" s="2" t="s">
        <v>8687</v>
      </c>
      <c r="F773" s="2" t="s">
        <v>8688</v>
      </c>
      <c r="G773" s="2" t="s">
        <v>5022</v>
      </c>
      <c r="H773" s="2" t="s">
        <v>5023</v>
      </c>
      <c r="I773" s="2" t="s">
        <v>8689</v>
      </c>
      <c r="J773" s="2"/>
      <c r="K773" s="2"/>
      <c r="L773" s="2"/>
      <c r="M773" s="2" t="s">
        <v>8690</v>
      </c>
      <c r="N773" s="2"/>
      <c r="O773" s="2"/>
      <c r="P773" s="2"/>
      <c r="Q773" s="2"/>
    </row>
    <row r="774" spans="1:17" x14ac:dyDescent="0.2">
      <c r="A774" s="2" t="s">
        <v>1317</v>
      </c>
      <c r="B774" s="2" t="s">
        <v>8576</v>
      </c>
      <c r="C774" s="2" t="s">
        <v>6305</v>
      </c>
      <c r="D774" s="2" t="s">
        <v>6374</v>
      </c>
      <c r="E774" s="2" t="s">
        <v>5253</v>
      </c>
      <c r="F774" s="2" t="s">
        <v>5525</v>
      </c>
      <c r="G774" s="2" t="s">
        <v>5022</v>
      </c>
      <c r="H774" s="2" t="s">
        <v>5023</v>
      </c>
      <c r="I774" s="2" t="s">
        <v>8691</v>
      </c>
      <c r="J774" s="2"/>
      <c r="K774" s="2"/>
      <c r="L774" s="2"/>
      <c r="M774" s="2" t="s">
        <v>8692</v>
      </c>
      <c r="N774" s="2"/>
      <c r="O774" s="2"/>
      <c r="P774" s="2"/>
      <c r="Q774" s="2"/>
    </row>
    <row r="775" spans="1:17" x14ac:dyDescent="0.2">
      <c r="A775" s="2" t="s">
        <v>1631</v>
      </c>
      <c r="B775" s="2" t="s">
        <v>8693</v>
      </c>
      <c r="C775" s="2" t="s">
        <v>6702</v>
      </c>
      <c r="D775" s="2" t="s">
        <v>8694</v>
      </c>
      <c r="E775" s="2" t="s">
        <v>8695</v>
      </c>
      <c r="F775" s="2" t="s">
        <v>8696</v>
      </c>
      <c r="G775" s="2" t="s">
        <v>5022</v>
      </c>
      <c r="H775" s="2" t="s">
        <v>5023</v>
      </c>
      <c r="I775" s="2" t="s">
        <v>8697</v>
      </c>
      <c r="J775" s="2"/>
      <c r="K775" s="2"/>
      <c r="L775" s="2"/>
      <c r="M775" s="2" t="s">
        <v>8698</v>
      </c>
      <c r="N775" s="2"/>
      <c r="O775" s="2"/>
      <c r="P775" s="2"/>
      <c r="Q775" s="2"/>
    </row>
    <row r="776" spans="1:17" x14ac:dyDescent="0.2">
      <c r="A776" s="2" t="s">
        <v>513</v>
      </c>
      <c r="B776" s="2" t="s">
        <v>8269</v>
      </c>
      <c r="C776" s="2" t="s">
        <v>5611</v>
      </c>
      <c r="D776" s="2" t="s">
        <v>8699</v>
      </c>
      <c r="E776" s="2" t="s">
        <v>8700</v>
      </c>
      <c r="F776" s="2" t="s">
        <v>8701</v>
      </c>
      <c r="G776" s="2" t="s">
        <v>5022</v>
      </c>
      <c r="H776" s="2" t="s">
        <v>5023</v>
      </c>
      <c r="I776" s="2" t="s">
        <v>8702</v>
      </c>
      <c r="J776" s="2"/>
      <c r="K776" s="2"/>
      <c r="L776" s="2"/>
      <c r="M776" s="2" t="s">
        <v>8703</v>
      </c>
      <c r="N776" s="2"/>
      <c r="O776" s="2"/>
      <c r="P776" s="2"/>
      <c r="Q776" s="2"/>
    </row>
    <row r="777" spans="1:17" x14ac:dyDescent="0.2">
      <c r="A777" s="2" t="s">
        <v>1105</v>
      </c>
      <c r="B777" s="2" t="s">
        <v>5566</v>
      </c>
      <c r="C777" s="2" t="s">
        <v>5422</v>
      </c>
      <c r="D777" s="2" t="s">
        <v>7984</v>
      </c>
      <c r="E777" s="2" t="s">
        <v>8704</v>
      </c>
      <c r="F777" s="2" t="s">
        <v>8666</v>
      </c>
      <c r="G777" s="2" t="s">
        <v>5022</v>
      </c>
      <c r="H777" s="2" t="s">
        <v>5023</v>
      </c>
      <c r="I777" s="2" t="s">
        <v>8705</v>
      </c>
      <c r="J777" s="2"/>
      <c r="K777" s="2"/>
      <c r="L777" s="2"/>
      <c r="M777" s="2" t="s">
        <v>8706</v>
      </c>
      <c r="N777" s="2"/>
      <c r="O777" s="2"/>
      <c r="P777" s="2"/>
      <c r="Q777" s="2"/>
    </row>
    <row r="778" spans="1:17" x14ac:dyDescent="0.2">
      <c r="A778" s="2" t="s">
        <v>3452</v>
      </c>
      <c r="B778" s="2" t="s">
        <v>8707</v>
      </c>
      <c r="C778" s="2" t="s">
        <v>5677</v>
      </c>
      <c r="D778" s="2" t="s">
        <v>8708</v>
      </c>
      <c r="E778" s="2" t="s">
        <v>6550</v>
      </c>
      <c r="F778" s="2" t="s">
        <v>8709</v>
      </c>
      <c r="G778" s="2" t="s">
        <v>5022</v>
      </c>
      <c r="H778" s="2" t="s">
        <v>5023</v>
      </c>
      <c r="I778" s="2" t="s">
        <v>8710</v>
      </c>
      <c r="J778" s="2"/>
      <c r="K778" s="2"/>
      <c r="L778" s="2"/>
      <c r="M778" s="2" t="s">
        <v>8711</v>
      </c>
      <c r="N778" s="2"/>
      <c r="O778" s="2"/>
      <c r="P778" s="2"/>
      <c r="Q778" s="2"/>
    </row>
    <row r="779" spans="1:17" x14ac:dyDescent="0.2">
      <c r="A779" s="2" t="s">
        <v>3031</v>
      </c>
      <c r="B779" s="2" t="s">
        <v>7699</v>
      </c>
      <c r="C779" s="2" t="s">
        <v>6250</v>
      </c>
      <c r="D779" s="2" t="s">
        <v>8712</v>
      </c>
      <c r="E779" s="2" t="s">
        <v>8713</v>
      </c>
      <c r="F779" s="2" t="s">
        <v>8714</v>
      </c>
      <c r="G779" s="2" t="s">
        <v>5022</v>
      </c>
      <c r="H779" s="2" t="s">
        <v>5023</v>
      </c>
      <c r="I779" s="2"/>
      <c r="J779" s="2"/>
      <c r="K779" s="2" t="s">
        <v>8715</v>
      </c>
      <c r="L779" s="2"/>
      <c r="M779" s="2"/>
      <c r="N779" s="2"/>
      <c r="O779" s="2"/>
      <c r="P779" s="2"/>
      <c r="Q779" s="2"/>
    </row>
    <row r="780" spans="1:17" x14ac:dyDescent="0.2">
      <c r="A780" s="2" t="s">
        <v>2380</v>
      </c>
      <c r="B780" s="2" t="s">
        <v>8716</v>
      </c>
      <c r="C780" s="2" t="s">
        <v>5076</v>
      </c>
      <c r="D780" s="2" t="s">
        <v>8717</v>
      </c>
      <c r="E780" s="2" t="s">
        <v>8718</v>
      </c>
      <c r="F780" s="2" t="s">
        <v>6938</v>
      </c>
      <c r="G780" s="2" t="s">
        <v>5022</v>
      </c>
      <c r="H780" s="2" t="s">
        <v>5023</v>
      </c>
      <c r="I780" s="2" t="s">
        <v>8719</v>
      </c>
      <c r="J780" s="2"/>
      <c r="K780" s="2"/>
      <c r="L780" s="2"/>
      <c r="M780" s="2"/>
      <c r="N780" s="2"/>
      <c r="O780" s="2"/>
      <c r="P780" s="2"/>
      <c r="Q780" s="2"/>
    </row>
    <row r="781" spans="1:17" x14ac:dyDescent="0.2">
      <c r="A781" s="2" t="s">
        <v>4206</v>
      </c>
      <c r="B781" s="2" t="s">
        <v>7109</v>
      </c>
      <c r="C781" s="2" t="s">
        <v>5199</v>
      </c>
      <c r="D781" s="2" t="s">
        <v>8720</v>
      </c>
      <c r="E781" s="2" t="s">
        <v>8721</v>
      </c>
      <c r="F781" s="2" t="s">
        <v>8722</v>
      </c>
      <c r="G781" s="2" t="s">
        <v>5022</v>
      </c>
      <c r="H781" s="2" t="s">
        <v>5023</v>
      </c>
      <c r="I781" s="2" t="s">
        <v>8723</v>
      </c>
      <c r="J781" s="2"/>
      <c r="K781" s="2"/>
      <c r="L781" s="2"/>
      <c r="M781" s="2" t="s">
        <v>8724</v>
      </c>
      <c r="N781" s="2"/>
      <c r="O781" s="2"/>
      <c r="P781" s="2"/>
      <c r="Q781" s="2"/>
    </row>
    <row r="782" spans="1:17" x14ac:dyDescent="0.2">
      <c r="A782" s="2" t="s">
        <v>3118</v>
      </c>
      <c r="B782" s="2" t="s">
        <v>8725</v>
      </c>
      <c r="C782" s="2" t="s">
        <v>8726</v>
      </c>
      <c r="D782" s="2" t="s">
        <v>5081</v>
      </c>
      <c r="E782" s="2" t="s">
        <v>7157</v>
      </c>
      <c r="F782" s="2" t="s">
        <v>8727</v>
      </c>
      <c r="G782" s="2" t="s">
        <v>5022</v>
      </c>
      <c r="H782" s="2" t="s">
        <v>5023</v>
      </c>
      <c r="I782" s="2" t="s">
        <v>8728</v>
      </c>
      <c r="J782" s="2"/>
      <c r="K782" s="2"/>
      <c r="L782" s="2"/>
      <c r="M782" s="2" t="s">
        <v>8729</v>
      </c>
      <c r="N782" s="2"/>
      <c r="O782" s="2"/>
      <c r="P782" s="2"/>
      <c r="Q782" s="2"/>
    </row>
    <row r="783" spans="1:17" x14ac:dyDescent="0.2">
      <c r="A783" s="2" t="s">
        <v>4195</v>
      </c>
      <c r="B783" s="2" t="s">
        <v>8730</v>
      </c>
      <c r="C783" s="2" t="s">
        <v>7182</v>
      </c>
      <c r="D783" s="2" t="s">
        <v>5134</v>
      </c>
      <c r="E783" s="2" t="s">
        <v>8731</v>
      </c>
      <c r="F783" s="2" t="s">
        <v>8732</v>
      </c>
      <c r="G783" s="2" t="s">
        <v>5022</v>
      </c>
      <c r="H783" s="2" t="s">
        <v>5023</v>
      </c>
      <c r="I783" s="2" t="s">
        <v>8733</v>
      </c>
      <c r="J783" s="2" t="s">
        <v>8734</v>
      </c>
      <c r="K783" s="2"/>
      <c r="L783" s="2"/>
      <c r="M783" s="2" t="s">
        <v>8735</v>
      </c>
      <c r="N783" s="2"/>
      <c r="O783" s="2"/>
      <c r="P783" s="2"/>
      <c r="Q783" s="2"/>
    </row>
    <row r="784" spans="1:17" x14ac:dyDescent="0.2">
      <c r="A784" s="2" t="s">
        <v>4552</v>
      </c>
      <c r="B784" s="2" t="s">
        <v>8736</v>
      </c>
      <c r="C784" s="2" t="s">
        <v>6931</v>
      </c>
      <c r="D784" s="2" t="s">
        <v>8737</v>
      </c>
      <c r="E784" s="2" t="s">
        <v>2064</v>
      </c>
      <c r="F784" s="2" t="s">
        <v>8738</v>
      </c>
      <c r="G784" s="2" t="s">
        <v>5022</v>
      </c>
      <c r="H784" s="2" t="s">
        <v>5023</v>
      </c>
      <c r="I784" s="2" t="s">
        <v>8739</v>
      </c>
      <c r="J784" s="2"/>
      <c r="K784" s="2"/>
      <c r="L784" s="2"/>
      <c r="M784" s="2" t="s">
        <v>8740</v>
      </c>
      <c r="N784" s="2"/>
      <c r="O784" s="2"/>
      <c r="P784" s="2"/>
      <c r="Q784" s="2"/>
    </row>
    <row r="785" spans="1:17" x14ac:dyDescent="0.2">
      <c r="A785" s="2" t="s">
        <v>2098</v>
      </c>
      <c r="B785" s="2" t="s">
        <v>5379</v>
      </c>
      <c r="C785" s="2" t="s">
        <v>8741</v>
      </c>
      <c r="D785" s="2" t="s">
        <v>5611</v>
      </c>
      <c r="E785" s="2" t="s">
        <v>8161</v>
      </c>
      <c r="F785" s="2" t="s">
        <v>8742</v>
      </c>
      <c r="G785" s="2" t="s">
        <v>5022</v>
      </c>
      <c r="H785" s="2" t="s">
        <v>5023</v>
      </c>
      <c r="I785" s="2"/>
      <c r="J785" s="2"/>
      <c r="K785" s="2" t="s">
        <v>8743</v>
      </c>
      <c r="L785" s="2"/>
      <c r="M785" s="2"/>
      <c r="N785" s="2"/>
      <c r="O785" s="2"/>
      <c r="P785" s="2"/>
      <c r="Q785" s="2"/>
    </row>
    <row r="786" spans="1:17" x14ac:dyDescent="0.2">
      <c r="A786" s="2" t="s">
        <v>1919</v>
      </c>
      <c r="B786" s="2" t="s">
        <v>8744</v>
      </c>
      <c r="C786" s="2" t="s">
        <v>6449</v>
      </c>
      <c r="D786" s="2" t="s">
        <v>8745</v>
      </c>
      <c r="E786" s="2" t="s">
        <v>8746</v>
      </c>
      <c r="F786" s="2" t="s">
        <v>8472</v>
      </c>
      <c r="G786" s="2" t="s">
        <v>5022</v>
      </c>
      <c r="H786" s="2" t="s">
        <v>5023</v>
      </c>
      <c r="I786" s="2"/>
      <c r="J786" s="2"/>
      <c r="K786" s="2" t="s">
        <v>8747</v>
      </c>
      <c r="L786" s="2"/>
      <c r="M786" s="2"/>
      <c r="N786" s="2"/>
      <c r="O786" s="2"/>
      <c r="P786" s="2"/>
      <c r="Q786" s="2"/>
    </row>
    <row r="787" spans="1:17" x14ac:dyDescent="0.2">
      <c r="A787" s="2" t="s">
        <v>1363</v>
      </c>
      <c r="B787" s="2" t="s">
        <v>8748</v>
      </c>
      <c r="C787" s="2" t="s">
        <v>8749</v>
      </c>
      <c r="D787" s="2" t="s">
        <v>6498</v>
      </c>
      <c r="E787" s="2" t="s">
        <v>8750</v>
      </c>
      <c r="F787" s="2" t="s">
        <v>8751</v>
      </c>
      <c r="G787" s="2" t="s">
        <v>5022</v>
      </c>
      <c r="H787" s="2" t="s">
        <v>5023</v>
      </c>
      <c r="I787" s="2" t="s">
        <v>8752</v>
      </c>
      <c r="J787" s="2"/>
      <c r="K787" s="2"/>
      <c r="L787" s="2"/>
      <c r="M787" s="2"/>
      <c r="N787" s="2"/>
      <c r="O787" s="2"/>
      <c r="P787" s="2"/>
      <c r="Q787" s="2"/>
    </row>
    <row r="788" spans="1:17" x14ac:dyDescent="0.2">
      <c r="A788" s="2" t="s">
        <v>3868</v>
      </c>
      <c r="B788" s="2" t="s">
        <v>8753</v>
      </c>
      <c r="C788" s="2" t="s">
        <v>8676</v>
      </c>
      <c r="D788" s="2" t="s">
        <v>8676</v>
      </c>
      <c r="E788" s="2" t="s">
        <v>5283</v>
      </c>
      <c r="F788" s="2" t="s">
        <v>8754</v>
      </c>
      <c r="G788" s="2" t="s">
        <v>5022</v>
      </c>
      <c r="H788" s="2" t="s">
        <v>5023</v>
      </c>
      <c r="I788" s="2" t="s">
        <v>8755</v>
      </c>
      <c r="J788" s="2"/>
      <c r="K788" s="2"/>
      <c r="L788" s="2"/>
      <c r="M788" s="2" t="s">
        <v>8756</v>
      </c>
      <c r="N788" s="2"/>
      <c r="O788" s="2"/>
      <c r="P788" s="2"/>
      <c r="Q788" s="2"/>
    </row>
    <row r="789" spans="1:17" x14ac:dyDescent="0.2">
      <c r="A789" s="2" t="s">
        <v>2919</v>
      </c>
      <c r="B789" s="2" t="s">
        <v>7166</v>
      </c>
      <c r="C789" s="2" t="s">
        <v>5997</v>
      </c>
      <c r="D789" s="2" t="s">
        <v>8757</v>
      </c>
      <c r="E789" s="2" t="s">
        <v>8758</v>
      </c>
      <c r="F789" s="2" t="s">
        <v>8759</v>
      </c>
      <c r="G789" s="2" t="s">
        <v>5022</v>
      </c>
      <c r="H789" s="2" t="s">
        <v>5023</v>
      </c>
      <c r="I789" s="2"/>
      <c r="J789" s="2"/>
      <c r="K789" s="2" t="s">
        <v>8760</v>
      </c>
      <c r="L789" s="2"/>
      <c r="M789" s="2"/>
      <c r="N789" s="2"/>
      <c r="O789" s="2"/>
      <c r="P789" s="2"/>
      <c r="Q789" s="2"/>
    </row>
    <row r="790" spans="1:17" x14ac:dyDescent="0.2">
      <c r="A790" s="2" t="s">
        <v>158</v>
      </c>
      <c r="B790" s="2" t="s">
        <v>8761</v>
      </c>
      <c r="C790" s="2" t="s">
        <v>8762</v>
      </c>
      <c r="D790" s="2" t="s">
        <v>5189</v>
      </c>
      <c r="E790" s="2" t="s">
        <v>6410</v>
      </c>
      <c r="F790" s="2" t="s">
        <v>8763</v>
      </c>
      <c r="G790" s="2" t="s">
        <v>5022</v>
      </c>
      <c r="H790" s="2" t="s">
        <v>5023</v>
      </c>
      <c r="I790" s="2" t="s">
        <v>8764</v>
      </c>
      <c r="J790" s="2"/>
      <c r="K790" s="2"/>
      <c r="L790" s="2"/>
      <c r="M790" s="2" t="s">
        <v>8765</v>
      </c>
      <c r="N790" s="2"/>
      <c r="O790" s="2"/>
      <c r="P790" s="2"/>
      <c r="Q790" s="2"/>
    </row>
    <row r="791" spans="1:17" x14ac:dyDescent="0.2">
      <c r="A791" s="2" t="s">
        <v>1576</v>
      </c>
      <c r="B791" s="2" t="s">
        <v>1984</v>
      </c>
      <c r="C791" s="2" t="s">
        <v>8766</v>
      </c>
      <c r="D791" s="2" t="s">
        <v>8767</v>
      </c>
      <c r="E791" s="2" t="s">
        <v>8768</v>
      </c>
      <c r="F791" s="2" t="s">
        <v>8769</v>
      </c>
      <c r="G791" s="2" t="s">
        <v>5022</v>
      </c>
      <c r="H791" s="2" t="s">
        <v>5023</v>
      </c>
      <c r="I791" s="2" t="s">
        <v>8770</v>
      </c>
      <c r="J791" s="2"/>
      <c r="K791" s="2"/>
      <c r="L791" s="2"/>
      <c r="M791" s="2"/>
      <c r="N791" s="2"/>
      <c r="O791" s="2"/>
      <c r="P791" s="2"/>
      <c r="Q791" s="2"/>
    </row>
    <row r="792" spans="1:17" x14ac:dyDescent="0.2">
      <c r="A792" s="2" t="s">
        <v>238</v>
      </c>
      <c r="B792" s="2" t="s">
        <v>8771</v>
      </c>
      <c r="C792" s="2" t="s">
        <v>5801</v>
      </c>
      <c r="D792" s="2" t="s">
        <v>8772</v>
      </c>
      <c r="E792" s="2" t="s">
        <v>5891</v>
      </c>
      <c r="F792" s="2" t="s">
        <v>5435</v>
      </c>
      <c r="G792" s="2" t="s">
        <v>5022</v>
      </c>
      <c r="H792" s="2" t="s">
        <v>5023</v>
      </c>
      <c r="I792" s="2" t="s">
        <v>8773</v>
      </c>
      <c r="J792" s="2"/>
      <c r="K792" s="2"/>
      <c r="L792" s="2"/>
      <c r="M792" s="2"/>
      <c r="N792" s="2"/>
      <c r="O792" s="2"/>
      <c r="P792" s="2"/>
      <c r="Q792" s="2"/>
    </row>
    <row r="793" spans="1:17" x14ac:dyDescent="0.2">
      <c r="A793" s="2" t="s">
        <v>4190</v>
      </c>
      <c r="B793" s="2" t="s">
        <v>8774</v>
      </c>
      <c r="C793" s="2" t="s">
        <v>8775</v>
      </c>
      <c r="D793" s="2" t="s">
        <v>6383</v>
      </c>
      <c r="E793" s="2" t="s">
        <v>8776</v>
      </c>
      <c r="F793" s="2" t="s">
        <v>6692</v>
      </c>
      <c r="G793" s="2" t="s">
        <v>5022</v>
      </c>
      <c r="H793" s="2" t="s">
        <v>5023</v>
      </c>
      <c r="I793" s="2" t="s">
        <v>8777</v>
      </c>
      <c r="J793" s="2"/>
      <c r="K793" s="2"/>
      <c r="L793" s="2"/>
      <c r="M793" s="2"/>
      <c r="N793" s="2"/>
      <c r="O793" s="2"/>
      <c r="P793" s="2"/>
      <c r="Q793" s="2"/>
    </row>
    <row r="794" spans="1:17" x14ac:dyDescent="0.2">
      <c r="A794" s="2" t="s">
        <v>4691</v>
      </c>
      <c r="B794" s="2" t="s">
        <v>8778</v>
      </c>
      <c r="C794" s="2" t="s">
        <v>5229</v>
      </c>
      <c r="D794" s="2" t="s">
        <v>6327</v>
      </c>
      <c r="E794" s="2" t="s">
        <v>8779</v>
      </c>
      <c r="F794" s="2" t="s">
        <v>8780</v>
      </c>
      <c r="G794" s="2" t="s">
        <v>5022</v>
      </c>
      <c r="H794" s="2" t="s">
        <v>5023</v>
      </c>
      <c r="I794" s="2" t="s">
        <v>8781</v>
      </c>
      <c r="J794" s="2"/>
      <c r="K794" s="2"/>
      <c r="L794" s="2"/>
      <c r="M794" s="2" t="s">
        <v>8782</v>
      </c>
      <c r="N794" s="2"/>
      <c r="O794" s="2"/>
      <c r="P794" s="2"/>
      <c r="Q794" s="2"/>
    </row>
    <row r="795" spans="1:17" x14ac:dyDescent="0.2">
      <c r="A795" s="2" t="s">
        <v>2130</v>
      </c>
      <c r="B795" s="2" t="s">
        <v>5604</v>
      </c>
      <c r="C795" s="2" t="s">
        <v>8783</v>
      </c>
      <c r="D795" s="2" t="s">
        <v>8783</v>
      </c>
      <c r="E795" s="2" t="s">
        <v>8784</v>
      </c>
      <c r="F795" s="2" t="s">
        <v>8785</v>
      </c>
      <c r="G795" s="2" t="s">
        <v>5022</v>
      </c>
      <c r="H795" s="2" t="s">
        <v>5023</v>
      </c>
      <c r="I795" s="2" t="s">
        <v>8786</v>
      </c>
      <c r="J795" s="2"/>
      <c r="K795" s="2"/>
      <c r="L795" s="2"/>
      <c r="M795" s="2"/>
      <c r="N795" s="2"/>
      <c r="O795" s="2"/>
      <c r="P795" s="2"/>
      <c r="Q795" s="2"/>
    </row>
    <row r="796" spans="1:17" x14ac:dyDescent="0.2">
      <c r="A796" s="2" t="s">
        <v>581</v>
      </c>
      <c r="B796" s="2" t="s">
        <v>8787</v>
      </c>
      <c r="C796" s="2" t="s">
        <v>5269</v>
      </c>
      <c r="D796" s="2" t="s">
        <v>8788</v>
      </c>
      <c r="E796" s="2" t="s">
        <v>8789</v>
      </c>
      <c r="F796" s="2" t="s">
        <v>5513</v>
      </c>
      <c r="G796" s="2" t="s">
        <v>5022</v>
      </c>
      <c r="H796" s="2" t="s">
        <v>5023</v>
      </c>
      <c r="I796" s="2" t="s">
        <v>8790</v>
      </c>
      <c r="J796" s="2"/>
      <c r="K796" s="2"/>
      <c r="L796" s="2"/>
      <c r="M796" s="2" t="s">
        <v>8791</v>
      </c>
      <c r="N796" s="2"/>
      <c r="O796" s="2"/>
      <c r="P796" s="2"/>
      <c r="Q796" s="2"/>
    </row>
    <row r="797" spans="1:17" x14ac:dyDescent="0.2">
      <c r="A797" s="2" t="s">
        <v>1829</v>
      </c>
      <c r="B797" s="2" t="s">
        <v>7353</v>
      </c>
      <c r="C797" s="2" t="s">
        <v>5229</v>
      </c>
      <c r="D797" s="2" t="s">
        <v>8792</v>
      </c>
      <c r="E797" s="2" t="s">
        <v>8793</v>
      </c>
      <c r="F797" s="2" t="s">
        <v>8794</v>
      </c>
      <c r="G797" s="2" t="s">
        <v>5022</v>
      </c>
      <c r="H797" s="2" t="s">
        <v>5023</v>
      </c>
      <c r="I797" s="2" t="s">
        <v>8795</v>
      </c>
      <c r="J797" s="2"/>
      <c r="K797" s="2"/>
      <c r="L797" s="2"/>
      <c r="M797" s="2" t="s">
        <v>8796</v>
      </c>
      <c r="N797" s="2"/>
      <c r="O797" s="2"/>
      <c r="P797" s="2"/>
      <c r="Q797" s="2"/>
    </row>
    <row r="798" spans="1:17" x14ac:dyDescent="0.2">
      <c r="A798" s="2" t="s">
        <v>2785</v>
      </c>
      <c r="B798" s="2" t="s">
        <v>8797</v>
      </c>
      <c r="C798" s="2" t="s">
        <v>8798</v>
      </c>
      <c r="D798" s="2" t="s">
        <v>8019</v>
      </c>
      <c r="E798" s="2" t="s">
        <v>8799</v>
      </c>
      <c r="F798" s="2" t="s">
        <v>8800</v>
      </c>
      <c r="G798" s="2" t="s">
        <v>5022</v>
      </c>
      <c r="H798" s="2" t="s">
        <v>5023</v>
      </c>
      <c r="I798" s="2" t="s">
        <v>8801</v>
      </c>
      <c r="J798" s="2"/>
      <c r="K798" s="2"/>
      <c r="L798" s="2"/>
      <c r="M798" s="2"/>
      <c r="N798" s="2"/>
      <c r="O798" s="2"/>
      <c r="P798" s="2"/>
      <c r="Q798" s="2"/>
    </row>
    <row r="799" spans="1:17" x14ac:dyDescent="0.2">
      <c r="A799" s="2" t="s">
        <v>4079</v>
      </c>
      <c r="B799" s="2" t="s">
        <v>5604</v>
      </c>
      <c r="C799" s="2" t="s">
        <v>8380</v>
      </c>
      <c r="D799" s="2" t="s">
        <v>6726</v>
      </c>
      <c r="E799" s="2" t="s">
        <v>8166</v>
      </c>
      <c r="F799" s="2" t="s">
        <v>8802</v>
      </c>
      <c r="G799" s="2" t="s">
        <v>5022</v>
      </c>
      <c r="H799" s="2" t="s">
        <v>5023</v>
      </c>
      <c r="I799" s="2" t="s">
        <v>8803</v>
      </c>
      <c r="J799" s="2"/>
      <c r="K799" s="2"/>
      <c r="L799" s="2"/>
      <c r="M799" s="2"/>
      <c r="N799" s="2"/>
      <c r="O799" s="2"/>
      <c r="P799" s="2"/>
      <c r="Q799" s="2"/>
    </row>
    <row r="800" spans="1:17" x14ac:dyDescent="0.2">
      <c r="A800" s="2" t="s">
        <v>1954</v>
      </c>
      <c r="B800" s="2" t="s">
        <v>5373</v>
      </c>
      <c r="C800" s="2" t="s">
        <v>5931</v>
      </c>
      <c r="D800" s="2" t="s">
        <v>5241</v>
      </c>
      <c r="E800" s="2" t="s">
        <v>8804</v>
      </c>
      <c r="F800" s="2" t="s">
        <v>5861</v>
      </c>
      <c r="G800" s="2" t="s">
        <v>5022</v>
      </c>
      <c r="H800" s="2" t="s">
        <v>5023</v>
      </c>
      <c r="I800" s="2"/>
      <c r="J800" s="2"/>
      <c r="K800" s="2" t="s">
        <v>8805</v>
      </c>
      <c r="L800" s="2"/>
      <c r="M800" s="2"/>
      <c r="N800" s="2"/>
      <c r="O800" s="2"/>
      <c r="P800" s="2"/>
      <c r="Q800" s="2"/>
    </row>
    <row r="801" spans="1:17" x14ac:dyDescent="0.2">
      <c r="A801" s="2" t="s">
        <v>692</v>
      </c>
      <c r="B801" s="2" t="s">
        <v>8063</v>
      </c>
      <c r="C801" s="2" t="s">
        <v>8806</v>
      </c>
      <c r="D801" s="2" t="s">
        <v>6890</v>
      </c>
      <c r="E801" s="2" t="s">
        <v>8807</v>
      </c>
      <c r="F801" s="2" t="s">
        <v>8808</v>
      </c>
      <c r="G801" s="2" t="s">
        <v>5022</v>
      </c>
      <c r="H801" s="2" t="s">
        <v>5023</v>
      </c>
      <c r="I801" s="2" t="s">
        <v>8809</v>
      </c>
      <c r="J801" s="2"/>
      <c r="K801" s="2"/>
      <c r="L801" s="2"/>
      <c r="M801" s="2" t="s">
        <v>8810</v>
      </c>
      <c r="N801" s="2"/>
      <c r="O801" s="2"/>
      <c r="P801" s="2"/>
      <c r="Q801" s="2"/>
    </row>
    <row r="802" spans="1:17" x14ac:dyDescent="0.2">
      <c r="A802" s="2" t="s">
        <v>3018</v>
      </c>
      <c r="B802" s="2" t="s">
        <v>7401</v>
      </c>
      <c r="C802" s="2" t="s">
        <v>5852</v>
      </c>
      <c r="D802" s="2" t="s">
        <v>5369</v>
      </c>
      <c r="E802" s="2" t="s">
        <v>8339</v>
      </c>
      <c r="F802" s="2" t="s">
        <v>8811</v>
      </c>
      <c r="G802" s="2" t="s">
        <v>5022</v>
      </c>
      <c r="H802" s="2" t="s">
        <v>5023</v>
      </c>
      <c r="I802" s="2" t="s">
        <v>8812</v>
      </c>
      <c r="J802" s="2"/>
      <c r="K802" s="2"/>
      <c r="L802" s="2"/>
      <c r="M802" s="2" t="s">
        <v>8813</v>
      </c>
      <c r="N802" s="2"/>
      <c r="O802" s="2"/>
      <c r="P802" s="2"/>
      <c r="Q802" s="2"/>
    </row>
    <row r="803" spans="1:17" x14ac:dyDescent="0.2">
      <c r="A803" s="2" t="s">
        <v>336</v>
      </c>
      <c r="B803" s="2" t="s">
        <v>8814</v>
      </c>
      <c r="C803" s="2" t="s">
        <v>5112</v>
      </c>
      <c r="D803" s="2" t="s">
        <v>5611</v>
      </c>
      <c r="E803" s="2" t="s">
        <v>8815</v>
      </c>
      <c r="F803" s="2" t="s">
        <v>8816</v>
      </c>
      <c r="G803" s="2" t="s">
        <v>5022</v>
      </c>
      <c r="H803" s="2" t="s">
        <v>5023</v>
      </c>
      <c r="I803" s="2"/>
      <c r="J803" s="2"/>
      <c r="K803" s="2" t="s">
        <v>8817</v>
      </c>
      <c r="L803" s="2"/>
      <c r="M803" s="2"/>
      <c r="N803" s="2"/>
      <c r="O803" s="2"/>
      <c r="P803" s="2"/>
      <c r="Q803" s="2"/>
    </row>
    <row r="804" spans="1:17" x14ac:dyDescent="0.2">
      <c r="A804" s="2" t="s">
        <v>3429</v>
      </c>
      <c r="B804" s="2" t="s">
        <v>8818</v>
      </c>
      <c r="C804" s="2" t="s">
        <v>5498</v>
      </c>
      <c r="D804" s="2" t="s">
        <v>8819</v>
      </c>
      <c r="E804" s="2" t="s">
        <v>8820</v>
      </c>
      <c r="F804" s="2" t="s">
        <v>6684</v>
      </c>
      <c r="G804" s="2" t="s">
        <v>5022</v>
      </c>
      <c r="H804" s="2" t="s">
        <v>5023</v>
      </c>
      <c r="I804" s="2" t="s">
        <v>8821</v>
      </c>
      <c r="J804" s="2"/>
      <c r="K804" s="2"/>
      <c r="L804" s="2"/>
      <c r="M804" s="2" t="s">
        <v>8822</v>
      </c>
      <c r="N804" s="2"/>
      <c r="O804" s="2"/>
      <c r="P804" s="2"/>
      <c r="Q804" s="2"/>
    </row>
    <row r="805" spans="1:17" x14ac:dyDescent="0.2">
      <c r="A805" s="2" t="s">
        <v>2461</v>
      </c>
      <c r="B805" s="2" t="s">
        <v>8823</v>
      </c>
      <c r="C805" s="2" t="s">
        <v>8824</v>
      </c>
      <c r="D805" s="2" t="s">
        <v>6228</v>
      </c>
      <c r="E805" s="2" t="s">
        <v>8825</v>
      </c>
      <c r="F805" s="2" t="s">
        <v>8826</v>
      </c>
      <c r="G805" s="2" t="s">
        <v>5022</v>
      </c>
      <c r="H805" s="2" t="s">
        <v>5023</v>
      </c>
      <c r="I805" s="2" t="s">
        <v>8827</v>
      </c>
      <c r="J805" s="2"/>
      <c r="K805" s="2"/>
      <c r="L805" s="2"/>
      <c r="M805" s="2" t="s">
        <v>8828</v>
      </c>
      <c r="N805" s="2"/>
      <c r="O805" s="2"/>
      <c r="P805" s="2"/>
      <c r="Q805" s="2"/>
    </row>
    <row r="806" spans="1:17" x14ac:dyDescent="0.2">
      <c r="A806" s="2" t="s">
        <v>1926</v>
      </c>
      <c r="B806" s="2" t="s">
        <v>8829</v>
      </c>
      <c r="C806" s="2" t="s">
        <v>5789</v>
      </c>
      <c r="D806" s="2" t="s">
        <v>6553</v>
      </c>
      <c r="E806" s="2" t="s">
        <v>8830</v>
      </c>
      <c r="F806" s="2" t="s">
        <v>6767</v>
      </c>
      <c r="G806" s="2" t="s">
        <v>5022</v>
      </c>
      <c r="H806" s="2" t="s">
        <v>5023</v>
      </c>
      <c r="I806" s="2" t="s">
        <v>8831</v>
      </c>
      <c r="J806" s="2"/>
      <c r="K806" s="2"/>
      <c r="L806" s="2"/>
      <c r="M806" s="2" t="s">
        <v>8832</v>
      </c>
      <c r="N806" s="2"/>
      <c r="O806" s="2"/>
      <c r="P806" s="2"/>
      <c r="Q806" s="2"/>
    </row>
    <row r="807" spans="1:17" x14ac:dyDescent="0.2">
      <c r="A807" s="2" t="s">
        <v>3841</v>
      </c>
      <c r="B807" s="2" t="s">
        <v>6084</v>
      </c>
      <c r="C807" s="2" t="s">
        <v>8833</v>
      </c>
      <c r="D807" s="2" t="s">
        <v>8834</v>
      </c>
      <c r="E807" s="2" t="s">
        <v>8835</v>
      </c>
      <c r="F807" s="2" t="s">
        <v>5619</v>
      </c>
      <c r="G807" s="2" t="s">
        <v>5022</v>
      </c>
      <c r="H807" s="2" t="s">
        <v>5023</v>
      </c>
      <c r="I807" s="2" t="s">
        <v>8836</v>
      </c>
      <c r="J807" s="2"/>
      <c r="K807" s="2"/>
      <c r="L807" s="2"/>
      <c r="M807" s="2"/>
      <c r="N807" s="2"/>
      <c r="O807" s="2"/>
      <c r="P807" s="2"/>
      <c r="Q807" s="2"/>
    </row>
    <row r="808" spans="1:17" x14ac:dyDescent="0.2">
      <c r="A808" s="2" t="s">
        <v>4133</v>
      </c>
      <c r="B808" s="2" t="s">
        <v>8326</v>
      </c>
      <c r="C808" s="2" t="s">
        <v>8837</v>
      </c>
      <c r="D808" s="2" t="s">
        <v>5481</v>
      </c>
      <c r="E808" s="2" t="s">
        <v>6745</v>
      </c>
      <c r="F808" s="2" t="s">
        <v>8838</v>
      </c>
      <c r="G808" s="2" t="s">
        <v>5022</v>
      </c>
      <c r="H808" s="2" t="s">
        <v>5023</v>
      </c>
      <c r="I808" s="2" t="s">
        <v>8839</v>
      </c>
      <c r="J808" s="2"/>
      <c r="K808" s="2"/>
      <c r="L808" s="2"/>
      <c r="M808" s="2"/>
      <c r="N808" s="2"/>
      <c r="O808" s="2"/>
      <c r="P808" s="2"/>
      <c r="Q808" s="2"/>
    </row>
    <row r="809" spans="1:17" x14ac:dyDescent="0.2">
      <c r="A809" s="2" t="s">
        <v>2335</v>
      </c>
      <c r="B809" s="2" t="s">
        <v>8840</v>
      </c>
      <c r="C809" s="2" t="s">
        <v>8841</v>
      </c>
      <c r="D809" s="2" t="s">
        <v>8842</v>
      </c>
      <c r="E809" s="2" t="s">
        <v>8843</v>
      </c>
      <c r="F809" s="2" t="s">
        <v>8091</v>
      </c>
      <c r="G809" s="2" t="s">
        <v>5022</v>
      </c>
      <c r="H809" s="2" t="s">
        <v>5023</v>
      </c>
      <c r="I809" s="2" t="s">
        <v>8844</v>
      </c>
      <c r="J809" s="2"/>
      <c r="K809" s="2"/>
      <c r="L809" s="2"/>
      <c r="M809" s="2" t="s">
        <v>8845</v>
      </c>
      <c r="N809" s="2"/>
      <c r="O809" s="2"/>
      <c r="P809" s="2"/>
      <c r="Q809" s="2"/>
    </row>
    <row r="810" spans="1:17" x14ac:dyDescent="0.2">
      <c r="A810" s="2" t="s">
        <v>4523</v>
      </c>
      <c r="B810" s="2" t="s">
        <v>8431</v>
      </c>
      <c r="C810" s="2" t="s">
        <v>8846</v>
      </c>
      <c r="D810" s="2" t="s">
        <v>5323</v>
      </c>
      <c r="E810" s="2" t="s">
        <v>8673</v>
      </c>
      <c r="F810" s="2" t="s">
        <v>8847</v>
      </c>
      <c r="G810" s="2" t="s">
        <v>5022</v>
      </c>
      <c r="H810" s="2" t="s">
        <v>5023</v>
      </c>
      <c r="I810" s="2" t="s">
        <v>8848</v>
      </c>
      <c r="J810" s="2"/>
      <c r="K810" s="2"/>
      <c r="L810" s="2"/>
      <c r="M810" s="2" t="s">
        <v>8849</v>
      </c>
      <c r="N810" s="2"/>
      <c r="O810" s="2"/>
      <c r="P810" s="2"/>
      <c r="Q810" s="2"/>
    </row>
    <row r="811" spans="1:17" x14ac:dyDescent="0.2">
      <c r="A811" s="2" t="s">
        <v>3184</v>
      </c>
      <c r="B811" s="2" t="s">
        <v>8850</v>
      </c>
      <c r="C811" s="2" t="s">
        <v>8190</v>
      </c>
      <c r="D811" s="2" t="s">
        <v>8851</v>
      </c>
      <c r="E811" s="2" t="s">
        <v>8852</v>
      </c>
      <c r="F811" s="2" t="s">
        <v>8853</v>
      </c>
      <c r="G811" s="2" t="s">
        <v>5022</v>
      </c>
      <c r="H811" s="2" t="s">
        <v>5023</v>
      </c>
      <c r="I811" s="2" t="s">
        <v>8854</v>
      </c>
      <c r="J811" s="2"/>
      <c r="K811" s="2"/>
      <c r="L811" s="2"/>
      <c r="M811" s="2"/>
      <c r="N811" s="2"/>
      <c r="O811" s="2"/>
      <c r="P811" s="2"/>
      <c r="Q811" s="2"/>
    </row>
    <row r="812" spans="1:17" x14ac:dyDescent="0.2">
      <c r="A812" s="2" t="s">
        <v>3421</v>
      </c>
      <c r="B812" s="2" t="s">
        <v>6310</v>
      </c>
      <c r="C812" s="2" t="s">
        <v>5235</v>
      </c>
      <c r="D812" s="2" t="s">
        <v>5050</v>
      </c>
      <c r="E812" s="2" t="s">
        <v>8855</v>
      </c>
      <c r="F812" s="2" t="s">
        <v>8856</v>
      </c>
      <c r="G812" s="2" t="s">
        <v>5022</v>
      </c>
      <c r="H812" s="2" t="s">
        <v>5023</v>
      </c>
      <c r="I812" s="2" t="s">
        <v>8857</v>
      </c>
      <c r="J812" s="2"/>
      <c r="K812" s="2"/>
      <c r="L812" s="2"/>
      <c r="M812" s="2" t="s">
        <v>8858</v>
      </c>
      <c r="N812" s="2"/>
      <c r="O812" s="2"/>
      <c r="P812" s="2"/>
      <c r="Q812" s="2"/>
    </row>
    <row r="813" spans="1:17" x14ac:dyDescent="0.2">
      <c r="A813" s="2" t="s">
        <v>3084</v>
      </c>
      <c r="B813" s="2" t="s">
        <v>8859</v>
      </c>
      <c r="C813" s="2" t="s">
        <v>8860</v>
      </c>
      <c r="D813" s="2" t="s">
        <v>8861</v>
      </c>
      <c r="E813" s="2" t="s">
        <v>8862</v>
      </c>
      <c r="F813" s="2" t="s">
        <v>8863</v>
      </c>
      <c r="G813" s="2" t="s">
        <v>5022</v>
      </c>
      <c r="H813" s="2" t="s">
        <v>5023</v>
      </c>
      <c r="I813" s="2" t="s">
        <v>8864</v>
      </c>
      <c r="J813" s="2"/>
      <c r="K813" s="2"/>
      <c r="L813" s="2"/>
      <c r="M813" s="2"/>
      <c r="N813" s="2"/>
      <c r="O813" s="2"/>
      <c r="P813" s="2"/>
      <c r="Q813" s="2"/>
    </row>
    <row r="814" spans="1:17" x14ac:dyDescent="0.2">
      <c r="A814" s="2" t="s">
        <v>4160</v>
      </c>
      <c r="B814" s="2" t="s">
        <v>8296</v>
      </c>
      <c r="C814" s="2" t="s">
        <v>6388</v>
      </c>
      <c r="D814" s="2" t="s">
        <v>5649</v>
      </c>
      <c r="E814" s="2" t="s">
        <v>8865</v>
      </c>
      <c r="F814" s="2" t="s">
        <v>8866</v>
      </c>
      <c r="G814" s="2" t="s">
        <v>5022</v>
      </c>
      <c r="H814" s="2" t="s">
        <v>5023</v>
      </c>
      <c r="I814" s="2" t="s">
        <v>8867</v>
      </c>
      <c r="J814" s="2"/>
      <c r="K814" s="2"/>
      <c r="L814" s="2"/>
      <c r="M814" s="2"/>
      <c r="N814" s="2"/>
      <c r="O814" s="2"/>
      <c r="P814" s="2"/>
      <c r="Q814" s="2"/>
    </row>
    <row r="815" spans="1:17" x14ac:dyDescent="0.2">
      <c r="A815" s="2" t="s">
        <v>2733</v>
      </c>
      <c r="B815" s="2" t="s">
        <v>8281</v>
      </c>
      <c r="C815" s="2" t="s">
        <v>8868</v>
      </c>
      <c r="D815" s="2" t="s">
        <v>6643</v>
      </c>
      <c r="E815" s="2" t="s">
        <v>8869</v>
      </c>
      <c r="F815" s="2" t="s">
        <v>8870</v>
      </c>
      <c r="G815" s="2" t="s">
        <v>5022</v>
      </c>
      <c r="H815" s="2" t="s">
        <v>5023</v>
      </c>
      <c r="I815" s="2"/>
      <c r="J815" s="2"/>
      <c r="K815" s="2" t="s">
        <v>8871</v>
      </c>
      <c r="L815" s="2"/>
      <c r="M815" s="2"/>
      <c r="N815" s="2"/>
      <c r="O815" s="2"/>
      <c r="P815" s="2"/>
      <c r="Q815" s="2"/>
    </row>
    <row r="816" spans="1:17" x14ac:dyDescent="0.2">
      <c r="A816" s="2" t="s">
        <v>4368</v>
      </c>
      <c r="B816" s="2" t="s">
        <v>8636</v>
      </c>
      <c r="C816" s="2" t="s">
        <v>6916</v>
      </c>
      <c r="D816" s="2" t="s">
        <v>6086</v>
      </c>
      <c r="E816" s="2" t="s">
        <v>8114</v>
      </c>
      <c r="F816" s="2" t="s">
        <v>8872</v>
      </c>
      <c r="G816" s="2" t="s">
        <v>5022</v>
      </c>
      <c r="H816" s="2" t="s">
        <v>5023</v>
      </c>
      <c r="I816" s="2" t="s">
        <v>8873</v>
      </c>
      <c r="J816" s="2"/>
      <c r="K816" s="2"/>
      <c r="L816" s="2"/>
      <c r="M816" s="2" t="s">
        <v>8874</v>
      </c>
      <c r="N816" s="2"/>
      <c r="O816" s="2"/>
      <c r="P816" s="2"/>
      <c r="Q816" s="2"/>
    </row>
    <row r="817" spans="1:17" x14ac:dyDescent="0.2">
      <c r="A817" s="2" t="s">
        <v>805</v>
      </c>
      <c r="B817" s="2" t="s">
        <v>8875</v>
      </c>
      <c r="C817" s="2" t="s">
        <v>6755</v>
      </c>
      <c r="D817" s="2" t="s">
        <v>8876</v>
      </c>
      <c r="E817" s="2" t="s">
        <v>7743</v>
      </c>
      <c r="F817" s="2" t="s">
        <v>7744</v>
      </c>
      <c r="G817" s="2" t="s">
        <v>5022</v>
      </c>
      <c r="H817" s="2" t="s">
        <v>5023</v>
      </c>
      <c r="I817" s="2" t="s">
        <v>8877</v>
      </c>
      <c r="J817" s="2"/>
      <c r="K817" s="2"/>
      <c r="L817" s="2"/>
      <c r="M817" s="2" t="s">
        <v>8878</v>
      </c>
      <c r="N817" s="2"/>
      <c r="O817" s="2"/>
      <c r="P817" s="2"/>
      <c r="Q817" s="2"/>
    </row>
    <row r="818" spans="1:17" x14ac:dyDescent="0.2">
      <c r="A818" s="2" t="s">
        <v>1129</v>
      </c>
      <c r="B818" s="2" t="s">
        <v>6132</v>
      </c>
      <c r="C818" s="2" t="s">
        <v>6461</v>
      </c>
      <c r="D818" s="2" t="s">
        <v>7719</v>
      </c>
      <c r="E818" s="2" t="s">
        <v>8879</v>
      </c>
      <c r="F818" s="2" t="s">
        <v>7805</v>
      </c>
      <c r="G818" s="2" t="s">
        <v>5022</v>
      </c>
      <c r="H818" s="2" t="s">
        <v>5023</v>
      </c>
      <c r="I818" s="2" t="s">
        <v>8880</v>
      </c>
      <c r="J818" s="2"/>
      <c r="K818" s="2"/>
      <c r="L818" s="2"/>
      <c r="M818" s="2" t="s">
        <v>8881</v>
      </c>
      <c r="N818" s="2"/>
      <c r="O818" s="2"/>
      <c r="P818" s="2"/>
      <c r="Q818" s="2"/>
    </row>
    <row r="819" spans="1:17" x14ac:dyDescent="0.2">
      <c r="A819" s="2" t="s">
        <v>1013</v>
      </c>
      <c r="B819" s="2" t="s">
        <v>5528</v>
      </c>
      <c r="C819" s="2" t="s">
        <v>8882</v>
      </c>
      <c r="D819" s="2" t="s">
        <v>5573</v>
      </c>
      <c r="E819" s="2" t="s">
        <v>8883</v>
      </c>
      <c r="F819" s="2" t="s">
        <v>8884</v>
      </c>
      <c r="G819" s="2" t="s">
        <v>5022</v>
      </c>
      <c r="H819" s="2" t="s">
        <v>5023</v>
      </c>
      <c r="I819" s="2"/>
      <c r="J819" s="2"/>
      <c r="K819" s="2" t="s">
        <v>8885</v>
      </c>
      <c r="L819" s="2"/>
      <c r="M819" s="2"/>
      <c r="N819" s="2"/>
      <c r="O819" s="2"/>
      <c r="P819" s="2"/>
      <c r="Q819" s="2"/>
    </row>
    <row r="820" spans="1:17" x14ac:dyDescent="0.2">
      <c r="A820" s="2" t="s">
        <v>247</v>
      </c>
      <c r="B820" s="2" t="s">
        <v>8886</v>
      </c>
      <c r="C820" s="2" t="s">
        <v>8887</v>
      </c>
      <c r="D820" s="2" t="s">
        <v>5459</v>
      </c>
      <c r="E820" s="2" t="s">
        <v>8212</v>
      </c>
      <c r="F820" s="2" t="s">
        <v>7479</v>
      </c>
      <c r="G820" s="2" t="s">
        <v>5022</v>
      </c>
      <c r="H820" s="2" t="s">
        <v>5023</v>
      </c>
      <c r="I820" s="2" t="s">
        <v>8888</v>
      </c>
      <c r="J820" s="2"/>
      <c r="K820" s="2"/>
      <c r="L820" s="2"/>
      <c r="M820" s="2" t="s">
        <v>8889</v>
      </c>
      <c r="N820" s="2"/>
      <c r="O820" s="2"/>
      <c r="P820" s="2"/>
      <c r="Q820" s="2"/>
    </row>
    <row r="821" spans="1:17" x14ac:dyDescent="0.2">
      <c r="A821" s="2" t="s">
        <v>2397</v>
      </c>
      <c r="B821" s="2" t="s">
        <v>8890</v>
      </c>
      <c r="C821" s="2" t="s">
        <v>6337</v>
      </c>
      <c r="D821" s="2" t="s">
        <v>8837</v>
      </c>
      <c r="E821" s="2" t="s">
        <v>8891</v>
      </c>
      <c r="F821" s="2" t="s">
        <v>8892</v>
      </c>
      <c r="G821" s="2" t="s">
        <v>5022</v>
      </c>
      <c r="H821" s="2" t="s">
        <v>5023</v>
      </c>
      <c r="I821" s="2" t="s">
        <v>8893</v>
      </c>
      <c r="J821" s="2"/>
      <c r="K821" s="2"/>
      <c r="L821" s="2"/>
      <c r="M821" s="2" t="s">
        <v>8894</v>
      </c>
      <c r="N821" s="2"/>
      <c r="O821" s="2"/>
      <c r="P821" s="2"/>
      <c r="Q821" s="2"/>
    </row>
    <row r="822" spans="1:17" x14ac:dyDescent="0.2">
      <c r="A822" s="2" t="s">
        <v>3966</v>
      </c>
      <c r="B822" s="2" t="s">
        <v>8895</v>
      </c>
      <c r="C822" s="2" t="s">
        <v>8896</v>
      </c>
      <c r="D822" s="2" t="s">
        <v>5170</v>
      </c>
      <c r="E822" s="2" t="s">
        <v>8897</v>
      </c>
      <c r="F822" s="2" t="s">
        <v>8898</v>
      </c>
      <c r="G822" s="2" t="s">
        <v>5022</v>
      </c>
      <c r="H822" s="2" t="s">
        <v>5023</v>
      </c>
      <c r="I822" s="2" t="s">
        <v>8899</v>
      </c>
      <c r="J822" s="2"/>
      <c r="K822" s="2"/>
      <c r="L822" s="2"/>
      <c r="M822" s="2" t="s">
        <v>8900</v>
      </c>
      <c r="N822" s="2"/>
      <c r="O822" s="2"/>
      <c r="P822" s="2"/>
      <c r="Q822" s="2"/>
    </row>
    <row r="823" spans="1:17" x14ac:dyDescent="0.2">
      <c r="A823" s="2" t="s">
        <v>629</v>
      </c>
      <c r="B823" s="2" t="s">
        <v>6464</v>
      </c>
      <c r="C823" s="2" t="s">
        <v>5125</v>
      </c>
      <c r="D823" s="2" t="s">
        <v>8901</v>
      </c>
      <c r="E823" s="2" t="s">
        <v>8902</v>
      </c>
      <c r="F823" s="2" t="s">
        <v>5128</v>
      </c>
      <c r="G823" s="2" t="s">
        <v>5022</v>
      </c>
      <c r="H823" s="2" t="s">
        <v>5023</v>
      </c>
      <c r="I823" s="2"/>
      <c r="J823" s="2"/>
      <c r="K823" s="2" t="s">
        <v>8903</v>
      </c>
      <c r="L823" s="2"/>
      <c r="M823" s="2"/>
      <c r="N823" s="2"/>
      <c r="O823" s="2"/>
      <c r="P823" s="2"/>
      <c r="Q823" s="2"/>
    </row>
    <row r="824" spans="1:17" x14ac:dyDescent="0.2">
      <c r="A824" s="2" t="s">
        <v>852</v>
      </c>
      <c r="B824" s="2" t="s">
        <v>5291</v>
      </c>
      <c r="C824" s="2" t="s">
        <v>8904</v>
      </c>
      <c r="D824" s="2" t="s">
        <v>5734</v>
      </c>
      <c r="E824" s="2" t="s">
        <v>8905</v>
      </c>
      <c r="F824" s="2" t="s">
        <v>8906</v>
      </c>
      <c r="G824" s="2" t="s">
        <v>5022</v>
      </c>
      <c r="H824" s="2" t="s">
        <v>5023</v>
      </c>
      <c r="I824" s="2" t="s">
        <v>8907</v>
      </c>
      <c r="J824" s="2"/>
      <c r="K824" s="2"/>
      <c r="L824" s="2"/>
      <c r="M824" s="2"/>
      <c r="N824" s="2"/>
      <c r="O824" s="2"/>
      <c r="P824" s="2"/>
      <c r="Q824" s="2"/>
    </row>
    <row r="825" spans="1:17" x14ac:dyDescent="0.2">
      <c r="A825" s="2" t="s">
        <v>4487</v>
      </c>
      <c r="B825" s="2" t="s">
        <v>8326</v>
      </c>
      <c r="C825" s="2" t="s">
        <v>8908</v>
      </c>
      <c r="D825" s="2" t="s">
        <v>5323</v>
      </c>
      <c r="E825" s="2" t="s">
        <v>8909</v>
      </c>
      <c r="F825" s="2" t="s">
        <v>8678</v>
      </c>
      <c r="G825" s="2" t="s">
        <v>5022</v>
      </c>
      <c r="H825" s="2" t="s">
        <v>5023</v>
      </c>
      <c r="I825" s="2" t="s">
        <v>8910</v>
      </c>
      <c r="J825" s="2"/>
      <c r="K825" s="2"/>
      <c r="L825" s="2"/>
      <c r="M825" s="2" t="s">
        <v>8911</v>
      </c>
      <c r="N825" s="2"/>
      <c r="O825" s="2"/>
      <c r="P825" s="2"/>
      <c r="Q825" s="2"/>
    </row>
    <row r="826" spans="1:17" x14ac:dyDescent="0.2">
      <c r="A826" s="2" t="s">
        <v>1890</v>
      </c>
      <c r="B826" s="2" t="s">
        <v>8912</v>
      </c>
      <c r="C826" s="2" t="s">
        <v>6521</v>
      </c>
      <c r="D826" s="2" t="s">
        <v>5164</v>
      </c>
      <c r="E826" s="2" t="s">
        <v>8913</v>
      </c>
      <c r="F826" s="2" t="s">
        <v>8914</v>
      </c>
      <c r="G826" s="2" t="s">
        <v>5022</v>
      </c>
      <c r="H826" s="2" t="s">
        <v>5023</v>
      </c>
      <c r="I826" s="2" t="s">
        <v>8915</v>
      </c>
      <c r="J826" s="2"/>
      <c r="K826" s="2"/>
      <c r="L826" s="2"/>
      <c r="M826" s="2" t="s">
        <v>8916</v>
      </c>
      <c r="N826" s="2"/>
      <c r="O826" s="2"/>
      <c r="P826" s="2"/>
      <c r="Q826" s="2"/>
    </row>
    <row r="827" spans="1:17" x14ac:dyDescent="0.2">
      <c r="A827" s="2" t="s">
        <v>883</v>
      </c>
      <c r="B827" s="2" t="s">
        <v>8917</v>
      </c>
      <c r="C827" s="2" t="s">
        <v>6556</v>
      </c>
      <c r="D827" s="2" t="s">
        <v>8918</v>
      </c>
      <c r="E827" s="2" t="s">
        <v>8919</v>
      </c>
      <c r="F827" s="2" t="s">
        <v>8811</v>
      </c>
      <c r="G827" s="2" t="s">
        <v>5022</v>
      </c>
      <c r="H827" s="2" t="s">
        <v>5023</v>
      </c>
      <c r="I827" s="2" t="s">
        <v>8920</v>
      </c>
      <c r="J827" s="2"/>
      <c r="K827" s="2"/>
      <c r="L827" s="2"/>
      <c r="M827" s="2"/>
      <c r="N827" s="2"/>
      <c r="O827" s="2"/>
      <c r="P827" s="2"/>
      <c r="Q827" s="2"/>
    </row>
    <row r="828" spans="1:17" x14ac:dyDescent="0.2">
      <c r="A828" s="2" t="s">
        <v>1183</v>
      </c>
      <c r="B828" s="2" t="s">
        <v>8921</v>
      </c>
      <c r="C828" s="2" t="s">
        <v>6922</v>
      </c>
      <c r="D828" s="2" t="s">
        <v>8475</v>
      </c>
      <c r="E828" s="2" t="s">
        <v>8922</v>
      </c>
      <c r="F828" s="2" t="s">
        <v>8923</v>
      </c>
      <c r="G828" s="2" t="s">
        <v>5022</v>
      </c>
      <c r="H828" s="2" t="s">
        <v>5023</v>
      </c>
      <c r="I828" s="2" t="s">
        <v>8924</v>
      </c>
      <c r="J828" s="2"/>
      <c r="K828" s="2"/>
      <c r="L828" s="2"/>
      <c r="M828" s="2"/>
      <c r="N828" s="2"/>
      <c r="O828" s="2"/>
      <c r="P828" s="2"/>
      <c r="Q828" s="2"/>
    </row>
    <row r="829" spans="1:17" x14ac:dyDescent="0.2">
      <c r="A829" s="2" t="s">
        <v>4467</v>
      </c>
      <c r="B829" s="2" t="s">
        <v>8925</v>
      </c>
      <c r="C829" s="2" t="s">
        <v>5409</v>
      </c>
      <c r="D829" s="2" t="s">
        <v>6023</v>
      </c>
      <c r="E829" s="2" t="s">
        <v>8926</v>
      </c>
      <c r="F829" s="2" t="s">
        <v>8927</v>
      </c>
      <c r="G829" s="2" t="s">
        <v>5022</v>
      </c>
      <c r="H829" s="2" t="s">
        <v>5023</v>
      </c>
      <c r="I829" s="2" t="s">
        <v>8928</v>
      </c>
      <c r="J829" s="2"/>
      <c r="K829" s="2"/>
      <c r="L829" s="2"/>
      <c r="M829" s="2" t="s">
        <v>8929</v>
      </c>
      <c r="N829" s="2"/>
      <c r="O829" s="2"/>
      <c r="P829" s="2"/>
      <c r="Q829" s="2"/>
    </row>
    <row r="830" spans="1:17" x14ac:dyDescent="0.2">
      <c r="A830" s="2" t="s">
        <v>1088</v>
      </c>
      <c r="B830" s="2" t="s">
        <v>6437</v>
      </c>
      <c r="C830" s="2" t="s">
        <v>8930</v>
      </c>
      <c r="D830" s="2" t="s">
        <v>5997</v>
      </c>
      <c r="E830" s="2" t="s">
        <v>8931</v>
      </c>
      <c r="F830" s="2" t="s">
        <v>7210</v>
      </c>
      <c r="G830" s="2" t="s">
        <v>5022</v>
      </c>
      <c r="H830" s="2" t="s">
        <v>5023</v>
      </c>
      <c r="I830" s="2" t="s">
        <v>8932</v>
      </c>
      <c r="J830" s="2"/>
      <c r="K830" s="2"/>
      <c r="L830" s="2"/>
      <c r="M830" s="2" t="s">
        <v>8933</v>
      </c>
      <c r="N830" s="2"/>
      <c r="O830" s="2"/>
      <c r="P830" s="2"/>
      <c r="Q830" s="2"/>
    </row>
    <row r="831" spans="1:17" x14ac:dyDescent="0.2">
      <c r="A831" s="2" t="s">
        <v>3502</v>
      </c>
      <c r="B831" s="2" t="s">
        <v>8934</v>
      </c>
      <c r="C831" s="2" t="s">
        <v>5140</v>
      </c>
      <c r="D831" s="2" t="s">
        <v>5133</v>
      </c>
      <c r="E831" s="2" t="s">
        <v>5242</v>
      </c>
      <c r="F831" s="2" t="s">
        <v>8935</v>
      </c>
      <c r="G831" s="2" t="s">
        <v>5022</v>
      </c>
      <c r="H831" s="2" t="s">
        <v>5023</v>
      </c>
      <c r="I831" s="2"/>
      <c r="J831" s="2"/>
      <c r="K831" s="2" t="s">
        <v>8936</v>
      </c>
      <c r="L831" s="2"/>
      <c r="M831" s="2"/>
      <c r="N831" s="2"/>
      <c r="O831" s="2"/>
      <c r="P831" s="2"/>
      <c r="Q831" s="2"/>
    </row>
    <row r="832" spans="1:17" x14ac:dyDescent="0.2">
      <c r="A832" s="2" t="s">
        <v>4324</v>
      </c>
      <c r="B832" s="2" t="s">
        <v>8937</v>
      </c>
      <c r="C832" s="2" t="s">
        <v>6179</v>
      </c>
      <c r="D832" s="2" t="s">
        <v>6946</v>
      </c>
      <c r="E832" s="2" t="s">
        <v>8938</v>
      </c>
      <c r="F832" s="2" t="s">
        <v>8939</v>
      </c>
      <c r="G832" s="2" t="s">
        <v>5022</v>
      </c>
      <c r="H832" s="2" t="s">
        <v>5023</v>
      </c>
      <c r="I832" s="2" t="s">
        <v>8940</v>
      </c>
      <c r="J832" s="2"/>
      <c r="K832" s="2"/>
      <c r="L832" s="2"/>
      <c r="M832" s="2" t="s">
        <v>8941</v>
      </c>
      <c r="N832" s="2"/>
      <c r="O832" s="2"/>
      <c r="P832" s="2"/>
      <c r="Q832" s="2"/>
    </row>
    <row r="833" spans="1:17" x14ac:dyDescent="0.2">
      <c r="A833" s="2" t="s">
        <v>2329</v>
      </c>
      <c r="B833" s="2" t="s">
        <v>8942</v>
      </c>
      <c r="C833" s="2" t="s">
        <v>6003</v>
      </c>
      <c r="D833" s="2" t="s">
        <v>8708</v>
      </c>
      <c r="E833" s="2" t="s">
        <v>8943</v>
      </c>
      <c r="F833" s="2" t="s">
        <v>8944</v>
      </c>
      <c r="G833" s="2" t="s">
        <v>5022</v>
      </c>
      <c r="H833" s="2" t="s">
        <v>5023</v>
      </c>
      <c r="I833" s="2" t="s">
        <v>8945</v>
      </c>
      <c r="J833" s="2"/>
      <c r="K833" s="2"/>
      <c r="L833" s="2"/>
      <c r="M833" s="2" t="s">
        <v>8946</v>
      </c>
      <c r="N833" s="2"/>
      <c r="O833" s="2"/>
      <c r="P833" s="2"/>
      <c r="Q833" s="2"/>
    </row>
    <row r="834" spans="1:17" x14ac:dyDescent="0.2">
      <c r="A834" s="2" t="s">
        <v>1903</v>
      </c>
      <c r="B834" s="2" t="s">
        <v>8947</v>
      </c>
      <c r="C834" s="2" t="s">
        <v>8948</v>
      </c>
      <c r="D834" s="2" t="s">
        <v>5392</v>
      </c>
      <c r="E834" s="2" t="s">
        <v>8949</v>
      </c>
      <c r="F834" s="2" t="s">
        <v>6246</v>
      </c>
      <c r="G834" s="2" t="s">
        <v>5022</v>
      </c>
      <c r="H834" s="2" t="s">
        <v>5023</v>
      </c>
      <c r="I834" s="2" t="s">
        <v>8950</v>
      </c>
      <c r="J834" s="2"/>
      <c r="K834" s="2"/>
      <c r="L834" s="2"/>
      <c r="M834" s="2" t="s">
        <v>8951</v>
      </c>
      <c r="N834" s="2"/>
      <c r="O834" s="2"/>
      <c r="P834" s="2"/>
      <c r="Q834" s="2"/>
    </row>
    <row r="835" spans="1:17" x14ac:dyDescent="0.2">
      <c r="A835" s="2" t="s">
        <v>4436</v>
      </c>
      <c r="B835" s="2" t="s">
        <v>8952</v>
      </c>
      <c r="C835" s="2" t="s">
        <v>5947</v>
      </c>
      <c r="D835" s="2" t="s">
        <v>6995</v>
      </c>
      <c r="E835" s="2" t="s">
        <v>7760</v>
      </c>
      <c r="F835" s="2" t="s">
        <v>8953</v>
      </c>
      <c r="G835" s="2" t="s">
        <v>5022</v>
      </c>
      <c r="H835" s="2" t="s">
        <v>5023</v>
      </c>
      <c r="I835" s="2" t="s">
        <v>8954</v>
      </c>
      <c r="J835" s="2"/>
      <c r="K835" s="2"/>
      <c r="L835" s="2"/>
      <c r="M835" s="2" t="s">
        <v>8955</v>
      </c>
      <c r="N835" s="2"/>
      <c r="O835" s="2"/>
      <c r="P835" s="2"/>
      <c r="Q835" s="2"/>
    </row>
    <row r="836" spans="1:17" x14ac:dyDescent="0.2">
      <c r="A836" s="2" t="s">
        <v>3878</v>
      </c>
      <c r="B836" s="2" t="s">
        <v>8956</v>
      </c>
      <c r="C836" s="2" t="s">
        <v>8957</v>
      </c>
      <c r="D836" s="2" t="s">
        <v>8957</v>
      </c>
      <c r="E836" s="2" t="s">
        <v>7798</v>
      </c>
      <c r="F836" s="2" t="s">
        <v>8958</v>
      </c>
      <c r="G836" s="2" t="s">
        <v>5022</v>
      </c>
      <c r="H836" s="2" t="s">
        <v>5023</v>
      </c>
      <c r="I836" s="2" t="s">
        <v>8959</v>
      </c>
      <c r="J836" s="2"/>
      <c r="K836" s="2"/>
      <c r="L836" s="2"/>
      <c r="M836" s="2" t="s">
        <v>8960</v>
      </c>
      <c r="N836" s="2"/>
      <c r="O836" s="2"/>
      <c r="P836" s="2"/>
      <c r="Q836" s="2"/>
    </row>
    <row r="837" spans="1:17" x14ac:dyDescent="0.2">
      <c r="A837" s="2" t="s">
        <v>3248</v>
      </c>
      <c r="B837" s="2" t="s">
        <v>7401</v>
      </c>
      <c r="C837" s="2" t="s">
        <v>8961</v>
      </c>
      <c r="D837" s="2" t="s">
        <v>5134</v>
      </c>
      <c r="E837" s="2" t="s">
        <v>8779</v>
      </c>
      <c r="F837" s="2" t="s">
        <v>8962</v>
      </c>
      <c r="G837" s="2" t="s">
        <v>5022</v>
      </c>
      <c r="H837" s="2" t="s">
        <v>5023</v>
      </c>
      <c r="I837" s="2" t="s">
        <v>8963</v>
      </c>
      <c r="J837" s="2"/>
      <c r="K837" s="2"/>
      <c r="L837" s="2"/>
      <c r="M837" s="2" t="s">
        <v>8964</v>
      </c>
      <c r="N837" s="2"/>
      <c r="O837" s="2"/>
      <c r="P837" s="2"/>
      <c r="Q837" s="2"/>
    </row>
    <row r="838" spans="1:17" x14ac:dyDescent="0.2">
      <c r="A838" s="2" t="s">
        <v>2574</v>
      </c>
      <c r="B838" s="2" t="s">
        <v>8965</v>
      </c>
      <c r="C838" s="2" t="s">
        <v>5511</v>
      </c>
      <c r="D838" s="2" t="s">
        <v>8966</v>
      </c>
      <c r="E838" s="2" t="s">
        <v>6195</v>
      </c>
      <c r="F838" s="2" t="s">
        <v>5142</v>
      </c>
      <c r="G838" s="2" t="s">
        <v>5022</v>
      </c>
      <c r="H838" s="2" t="s">
        <v>5023</v>
      </c>
      <c r="I838" s="2" t="s">
        <v>8967</v>
      </c>
      <c r="J838" s="2"/>
      <c r="K838" s="2"/>
      <c r="L838" s="2"/>
      <c r="M838" s="2" t="s">
        <v>8968</v>
      </c>
      <c r="N838" s="2"/>
      <c r="O838" s="2"/>
      <c r="P838" s="2"/>
      <c r="Q838" s="2"/>
    </row>
    <row r="839" spans="1:17" x14ac:dyDescent="0.2">
      <c r="A839" s="2" t="s">
        <v>3401</v>
      </c>
      <c r="B839" s="2" t="s">
        <v>5761</v>
      </c>
      <c r="C839" s="2" t="s">
        <v>6890</v>
      </c>
      <c r="D839" s="2" t="s">
        <v>5409</v>
      </c>
      <c r="E839" s="2" t="s">
        <v>8969</v>
      </c>
      <c r="F839" s="2" t="s">
        <v>8477</v>
      </c>
      <c r="G839" s="2" t="s">
        <v>5022</v>
      </c>
      <c r="H839" s="2" t="s">
        <v>5023</v>
      </c>
      <c r="I839" s="2" t="s">
        <v>8970</v>
      </c>
      <c r="J839" s="2"/>
      <c r="K839" s="2"/>
      <c r="L839" s="2"/>
      <c r="M839" s="2" t="s">
        <v>8971</v>
      </c>
      <c r="N839" s="2"/>
      <c r="O839" s="2"/>
      <c r="P839" s="2"/>
      <c r="Q839" s="2"/>
    </row>
    <row r="840" spans="1:17" x14ac:dyDescent="0.2">
      <c r="A840" s="2" t="s">
        <v>674</v>
      </c>
      <c r="B840" s="2" t="s">
        <v>6122</v>
      </c>
      <c r="C840" s="2" t="s">
        <v>5105</v>
      </c>
      <c r="D840" s="2" t="s">
        <v>5458</v>
      </c>
      <c r="E840" s="2" t="s">
        <v>8222</v>
      </c>
      <c r="F840" s="2" t="s">
        <v>7993</v>
      </c>
      <c r="G840" s="2" t="s">
        <v>5022</v>
      </c>
      <c r="H840" s="2" t="s">
        <v>5023</v>
      </c>
      <c r="I840" s="2" t="s">
        <v>8972</v>
      </c>
      <c r="J840" s="2"/>
      <c r="K840" s="2"/>
      <c r="L840" s="2"/>
      <c r="M840" s="2" t="s">
        <v>8973</v>
      </c>
      <c r="N840" s="2"/>
      <c r="O840" s="2"/>
      <c r="P840" s="2"/>
      <c r="Q840" s="2"/>
    </row>
    <row r="841" spans="1:17" x14ac:dyDescent="0.2">
      <c r="A841" s="2" t="s">
        <v>1803</v>
      </c>
      <c r="B841" s="2" t="s">
        <v>8974</v>
      </c>
      <c r="C841" s="2" t="s">
        <v>7325</v>
      </c>
      <c r="D841" s="2" t="s">
        <v>6404</v>
      </c>
      <c r="E841" s="2" t="s">
        <v>8975</v>
      </c>
      <c r="F841" s="2" t="s">
        <v>8508</v>
      </c>
      <c r="G841" s="2" t="s">
        <v>5022</v>
      </c>
      <c r="H841" s="2" t="s">
        <v>5023</v>
      </c>
      <c r="I841" s="2" t="s">
        <v>8976</v>
      </c>
      <c r="J841" s="2"/>
      <c r="K841" s="2"/>
      <c r="L841" s="2"/>
      <c r="M841" s="2" t="s">
        <v>8977</v>
      </c>
      <c r="N841" s="2"/>
      <c r="O841" s="2"/>
      <c r="P841" s="2"/>
      <c r="Q841" s="2"/>
    </row>
    <row r="842" spans="1:17" x14ac:dyDescent="0.2">
      <c r="A842" s="2" t="s">
        <v>1494</v>
      </c>
      <c r="B842" s="2" t="s">
        <v>7758</v>
      </c>
      <c r="C842" s="2" t="s">
        <v>8978</v>
      </c>
      <c r="D842" s="2" t="s">
        <v>8979</v>
      </c>
      <c r="E842" s="2" t="s">
        <v>7157</v>
      </c>
      <c r="F842" s="2" t="s">
        <v>8305</v>
      </c>
      <c r="G842" s="2" t="s">
        <v>5022</v>
      </c>
      <c r="H842" s="2" t="s">
        <v>5023</v>
      </c>
      <c r="I842" s="2" t="s">
        <v>8980</v>
      </c>
      <c r="J842" s="2"/>
      <c r="K842" s="2"/>
      <c r="L842" s="2"/>
      <c r="M842" s="2" t="s">
        <v>8981</v>
      </c>
      <c r="N842" s="2"/>
      <c r="O842" s="2"/>
      <c r="P842" s="2"/>
      <c r="Q842" s="2"/>
    </row>
    <row r="843" spans="1:17" x14ac:dyDescent="0.2">
      <c r="A843" s="2" t="s">
        <v>1457</v>
      </c>
      <c r="B843" s="2" t="s">
        <v>8982</v>
      </c>
      <c r="C843" s="2" t="s">
        <v>8983</v>
      </c>
      <c r="D843" s="2" t="s">
        <v>7535</v>
      </c>
      <c r="E843" s="2" t="s">
        <v>8984</v>
      </c>
      <c r="F843" s="2" t="s">
        <v>8526</v>
      </c>
      <c r="G843" s="2" t="s">
        <v>5022</v>
      </c>
      <c r="H843" s="2" t="s">
        <v>5023</v>
      </c>
      <c r="I843" s="2" t="s">
        <v>8985</v>
      </c>
      <c r="J843" s="2"/>
      <c r="K843" s="2"/>
      <c r="L843" s="2"/>
      <c r="M843" s="2" t="s">
        <v>8986</v>
      </c>
      <c r="N843" s="2"/>
      <c r="O843" s="2"/>
      <c r="P843" s="2"/>
      <c r="Q843" s="2"/>
    </row>
    <row r="844" spans="1:17" x14ac:dyDescent="0.2">
      <c r="A844" s="2" t="s">
        <v>2410</v>
      </c>
      <c r="B844" s="2" t="s">
        <v>6759</v>
      </c>
      <c r="C844" s="2" t="s">
        <v>5567</v>
      </c>
      <c r="D844" s="2" t="s">
        <v>7017</v>
      </c>
      <c r="E844" s="2" t="s">
        <v>5450</v>
      </c>
      <c r="F844" s="2" t="s">
        <v>8987</v>
      </c>
      <c r="G844" s="2" t="s">
        <v>5022</v>
      </c>
      <c r="H844" s="2" t="s">
        <v>5023</v>
      </c>
      <c r="I844" s="2"/>
      <c r="J844" s="2"/>
      <c r="K844" s="2" t="s">
        <v>8988</v>
      </c>
      <c r="L844" s="2"/>
      <c r="M844" s="2"/>
      <c r="N844" s="2"/>
      <c r="O844" s="2"/>
      <c r="P844" s="2"/>
      <c r="Q844" s="2"/>
    </row>
    <row r="845" spans="1:17" x14ac:dyDescent="0.2">
      <c r="A845" s="2" t="s">
        <v>4978</v>
      </c>
      <c r="B845" s="2" t="s">
        <v>8989</v>
      </c>
      <c r="C845" s="2" t="s">
        <v>6144</v>
      </c>
      <c r="D845" s="2" t="s">
        <v>8708</v>
      </c>
      <c r="E845" s="2" t="s">
        <v>8990</v>
      </c>
      <c r="F845" s="2" t="s">
        <v>7146</v>
      </c>
      <c r="G845" s="2" t="s">
        <v>5022</v>
      </c>
      <c r="H845" s="2" t="s">
        <v>5023</v>
      </c>
      <c r="I845" s="2" t="s">
        <v>8991</v>
      </c>
      <c r="J845" s="2"/>
      <c r="K845" s="2"/>
      <c r="L845" s="2"/>
      <c r="M845" s="2"/>
      <c r="N845" s="2"/>
      <c r="O845" s="2"/>
      <c r="P845" s="2"/>
      <c r="Q845" s="2"/>
    </row>
    <row r="846" spans="1:17" x14ac:dyDescent="0.2">
      <c r="A846" s="2" t="s">
        <v>1674</v>
      </c>
      <c r="B846" s="2" t="s">
        <v>8992</v>
      </c>
      <c r="C846" s="2" t="s">
        <v>8993</v>
      </c>
      <c r="D846" s="2" t="s">
        <v>5535</v>
      </c>
      <c r="E846" s="2" t="s">
        <v>6180</v>
      </c>
      <c r="F846" s="2" t="s">
        <v>8994</v>
      </c>
      <c r="G846" s="2" t="s">
        <v>5022</v>
      </c>
      <c r="H846" s="2" t="s">
        <v>5023</v>
      </c>
      <c r="I846" s="2" t="s">
        <v>8995</v>
      </c>
      <c r="J846" s="2"/>
      <c r="K846" s="2"/>
      <c r="L846" s="2"/>
      <c r="M846" s="2"/>
      <c r="N846" s="2"/>
      <c r="O846" s="2"/>
      <c r="P846" s="2"/>
      <c r="Q846" s="2"/>
    </row>
    <row r="847" spans="1:17" x14ac:dyDescent="0.2">
      <c r="A847" s="2" t="s">
        <v>1637</v>
      </c>
      <c r="B847" s="2" t="s">
        <v>8996</v>
      </c>
      <c r="C847" s="2" t="s">
        <v>8997</v>
      </c>
      <c r="D847" s="2" t="s">
        <v>8998</v>
      </c>
      <c r="E847" s="2" t="s">
        <v>8999</v>
      </c>
      <c r="F847" s="2" t="s">
        <v>9000</v>
      </c>
      <c r="G847" s="2" t="s">
        <v>5022</v>
      </c>
      <c r="H847" s="2" t="s">
        <v>5023</v>
      </c>
      <c r="I847" s="2" t="s">
        <v>9001</v>
      </c>
      <c r="J847" s="2"/>
      <c r="K847" s="2"/>
      <c r="L847" s="2"/>
      <c r="M847" s="2"/>
      <c r="N847" s="2"/>
      <c r="O847" s="2"/>
      <c r="P847" s="2"/>
      <c r="Q847" s="2"/>
    </row>
    <row r="848" spans="1:17" x14ac:dyDescent="0.2">
      <c r="A848" s="2" t="s">
        <v>1606</v>
      </c>
      <c r="B848" s="2" t="s">
        <v>9002</v>
      </c>
      <c r="C848" s="2" t="s">
        <v>9003</v>
      </c>
      <c r="D848" s="2" t="s">
        <v>9004</v>
      </c>
      <c r="E848" s="2" t="s">
        <v>9005</v>
      </c>
      <c r="F848" s="2" t="s">
        <v>9006</v>
      </c>
      <c r="G848" s="2" t="s">
        <v>5022</v>
      </c>
      <c r="H848" s="2" t="s">
        <v>5023</v>
      </c>
      <c r="I848" s="2" t="s">
        <v>9007</v>
      </c>
      <c r="J848" s="2"/>
      <c r="K848" s="2"/>
      <c r="L848" s="2"/>
      <c r="M848" s="2"/>
      <c r="N848" s="2"/>
      <c r="O848" s="2"/>
      <c r="P848" s="2"/>
      <c r="Q848" s="2"/>
    </row>
    <row r="849" spans="1:17" x14ac:dyDescent="0.2">
      <c r="A849" s="2" t="s">
        <v>3419</v>
      </c>
      <c r="B849" s="2" t="s">
        <v>8501</v>
      </c>
      <c r="C849" s="2" t="s">
        <v>9008</v>
      </c>
      <c r="D849" s="2" t="s">
        <v>9009</v>
      </c>
      <c r="E849" s="2" t="s">
        <v>9010</v>
      </c>
      <c r="F849" s="2" t="s">
        <v>6732</v>
      </c>
      <c r="G849" s="2" t="s">
        <v>5022</v>
      </c>
      <c r="H849" s="2" t="s">
        <v>5023</v>
      </c>
      <c r="I849" s="2" t="s">
        <v>9011</v>
      </c>
      <c r="J849" s="2"/>
      <c r="K849" s="2"/>
      <c r="L849" s="2"/>
      <c r="M849" s="2" t="s">
        <v>9012</v>
      </c>
      <c r="N849" s="2"/>
      <c r="O849" s="2"/>
      <c r="P849" s="2"/>
      <c r="Q849" s="2"/>
    </row>
    <row r="850" spans="1:17" x14ac:dyDescent="0.2">
      <c r="A850" s="2" t="s">
        <v>3235</v>
      </c>
      <c r="B850" s="2" t="s">
        <v>7925</v>
      </c>
      <c r="C850" s="2" t="s">
        <v>5409</v>
      </c>
      <c r="D850" s="2" t="s">
        <v>9013</v>
      </c>
      <c r="E850" s="2" t="s">
        <v>8855</v>
      </c>
      <c r="F850" s="2" t="s">
        <v>9014</v>
      </c>
      <c r="G850" s="2" t="s">
        <v>5022</v>
      </c>
      <c r="H850" s="2" t="s">
        <v>5023</v>
      </c>
      <c r="I850" s="2" t="s">
        <v>9015</v>
      </c>
      <c r="J850" s="2"/>
      <c r="K850" s="2"/>
      <c r="L850" s="2"/>
      <c r="M850" s="2" t="s">
        <v>9016</v>
      </c>
      <c r="N850" s="2"/>
      <c r="O850" s="2"/>
      <c r="P850" s="2"/>
      <c r="Q850" s="2"/>
    </row>
    <row r="851" spans="1:17" x14ac:dyDescent="0.2">
      <c r="A851" s="2" t="s">
        <v>2580</v>
      </c>
      <c r="B851" s="2" t="s">
        <v>9017</v>
      </c>
      <c r="C851" s="2" t="s">
        <v>5453</v>
      </c>
      <c r="D851" s="2" t="s">
        <v>9018</v>
      </c>
      <c r="E851" s="2" t="s">
        <v>6718</v>
      </c>
      <c r="F851" s="2" t="s">
        <v>9019</v>
      </c>
      <c r="G851" s="2" t="s">
        <v>5022</v>
      </c>
      <c r="H851" s="2" t="s">
        <v>5023</v>
      </c>
      <c r="I851" s="2"/>
      <c r="J851" s="2"/>
      <c r="K851" s="2" t="s">
        <v>9020</v>
      </c>
      <c r="L851" s="2"/>
      <c r="M851" s="2"/>
      <c r="N851" s="2"/>
      <c r="O851" s="2"/>
      <c r="P851" s="2"/>
      <c r="Q851" s="2"/>
    </row>
    <row r="852" spans="1:17" x14ac:dyDescent="0.2">
      <c r="A852" s="2" t="s">
        <v>3680</v>
      </c>
      <c r="B852" s="2" t="s">
        <v>1662</v>
      </c>
      <c r="C852" s="2" t="s">
        <v>5780</v>
      </c>
      <c r="D852" s="2" t="s">
        <v>9021</v>
      </c>
      <c r="E852" s="2" t="s">
        <v>9022</v>
      </c>
      <c r="F852" s="2" t="s">
        <v>9023</v>
      </c>
      <c r="G852" s="2" t="s">
        <v>5022</v>
      </c>
      <c r="H852" s="2" t="s">
        <v>5023</v>
      </c>
      <c r="I852" s="2" t="s">
        <v>9024</v>
      </c>
      <c r="J852" s="2"/>
      <c r="K852" s="2"/>
      <c r="L852" s="2"/>
      <c r="M852" s="2"/>
      <c r="N852" s="2"/>
      <c r="O852" s="2"/>
      <c r="P852" s="2"/>
      <c r="Q852" s="2"/>
    </row>
    <row r="853" spans="1:17" x14ac:dyDescent="0.2">
      <c r="A853" s="2" t="s">
        <v>1726</v>
      </c>
      <c r="B853" s="2" t="s">
        <v>9025</v>
      </c>
      <c r="C853" s="2" t="s">
        <v>5217</v>
      </c>
      <c r="D853" s="2" t="s">
        <v>9026</v>
      </c>
      <c r="E853" s="2" t="s">
        <v>9027</v>
      </c>
      <c r="F853" s="2" t="s">
        <v>8666</v>
      </c>
      <c r="G853" s="2" t="s">
        <v>5022</v>
      </c>
      <c r="H853" s="2" t="s">
        <v>5023</v>
      </c>
      <c r="I853" s="2" t="s">
        <v>9028</v>
      </c>
      <c r="J853" s="2"/>
      <c r="K853" s="2"/>
      <c r="L853" s="2"/>
      <c r="M853" s="2" t="s">
        <v>9029</v>
      </c>
      <c r="N853" s="2"/>
      <c r="O853" s="2"/>
      <c r="P853" s="2"/>
      <c r="Q853" s="2"/>
    </row>
    <row r="854" spans="1:17" x14ac:dyDescent="0.2">
      <c r="A854" s="2" t="s">
        <v>2500</v>
      </c>
      <c r="B854" s="2" t="s">
        <v>4410</v>
      </c>
      <c r="C854" s="2" t="s">
        <v>5224</v>
      </c>
      <c r="D854" s="2" t="s">
        <v>7759</v>
      </c>
      <c r="E854" s="2" t="s">
        <v>9030</v>
      </c>
      <c r="F854" s="2" t="s">
        <v>9031</v>
      </c>
      <c r="G854" s="2" t="s">
        <v>5022</v>
      </c>
      <c r="H854" s="2" t="s">
        <v>5023</v>
      </c>
      <c r="I854" s="2" t="s">
        <v>9032</v>
      </c>
      <c r="J854" s="2"/>
      <c r="K854" s="2"/>
      <c r="L854" s="2"/>
      <c r="M854" s="2" t="s">
        <v>9033</v>
      </c>
      <c r="N854" s="2"/>
      <c r="O854" s="2"/>
      <c r="P854" s="2"/>
      <c r="Q854" s="2"/>
    </row>
    <row r="855" spans="1:17" x14ac:dyDescent="0.2">
      <c r="A855" s="2" t="s">
        <v>4658</v>
      </c>
      <c r="B855" s="2" t="s">
        <v>6221</v>
      </c>
      <c r="C855" s="2" t="s">
        <v>5299</v>
      </c>
      <c r="D855" s="2" t="s">
        <v>9034</v>
      </c>
      <c r="E855" s="2" t="s">
        <v>9035</v>
      </c>
      <c r="F855" s="2" t="s">
        <v>9036</v>
      </c>
      <c r="G855" s="2" t="s">
        <v>5022</v>
      </c>
      <c r="H855" s="2" t="s">
        <v>5023</v>
      </c>
      <c r="I855" s="2" t="s">
        <v>9037</v>
      </c>
      <c r="J855" s="2"/>
      <c r="K855" s="2"/>
      <c r="L855" s="2"/>
      <c r="M855" s="2" t="s">
        <v>9038</v>
      </c>
      <c r="N855" s="2"/>
      <c r="O855" s="2"/>
      <c r="P855" s="2"/>
      <c r="Q855" s="2"/>
    </row>
    <row r="856" spans="1:17" x14ac:dyDescent="0.2">
      <c r="A856" s="2" t="s">
        <v>1805</v>
      </c>
      <c r="B856" s="2" t="s">
        <v>9039</v>
      </c>
      <c r="C856" s="2" t="s">
        <v>6556</v>
      </c>
      <c r="D856" s="2" t="s">
        <v>9040</v>
      </c>
      <c r="E856" s="2" t="s">
        <v>7221</v>
      </c>
      <c r="F856" s="2" t="s">
        <v>9041</v>
      </c>
      <c r="G856" s="2" t="s">
        <v>5022</v>
      </c>
      <c r="H856" s="2" t="s">
        <v>5023</v>
      </c>
      <c r="I856" s="2" t="s">
        <v>9042</v>
      </c>
      <c r="J856" s="2"/>
      <c r="K856" s="2"/>
      <c r="L856" s="2"/>
      <c r="M856" s="2" t="s">
        <v>9043</v>
      </c>
      <c r="N856" s="2"/>
      <c r="O856" s="2"/>
      <c r="P856" s="2"/>
      <c r="Q856" s="2"/>
    </row>
    <row r="857" spans="1:17" x14ac:dyDescent="0.2">
      <c r="A857" s="2" t="s">
        <v>636</v>
      </c>
      <c r="B857" s="2" t="s">
        <v>5432</v>
      </c>
      <c r="C857" s="2" t="s">
        <v>9044</v>
      </c>
      <c r="D857" s="2" t="s">
        <v>5785</v>
      </c>
      <c r="E857" s="2" t="s">
        <v>5242</v>
      </c>
      <c r="F857" s="2" t="s">
        <v>9045</v>
      </c>
      <c r="G857" s="2" t="s">
        <v>5022</v>
      </c>
      <c r="H857" s="2" t="s">
        <v>5023</v>
      </c>
      <c r="I857" s="2" t="s">
        <v>9046</v>
      </c>
      <c r="J857" s="2"/>
      <c r="K857" s="2"/>
      <c r="L857" s="2"/>
      <c r="M857" s="2" t="s">
        <v>9047</v>
      </c>
      <c r="N857" s="2"/>
      <c r="O857" s="2"/>
      <c r="P857" s="2"/>
      <c r="Q857" s="2"/>
    </row>
    <row r="858" spans="1:17" x14ac:dyDescent="0.2">
      <c r="A858" s="2" t="s">
        <v>427</v>
      </c>
      <c r="B858" s="2" t="s">
        <v>5699</v>
      </c>
      <c r="C858" s="2" t="s">
        <v>6189</v>
      </c>
      <c r="D858" s="2" t="s">
        <v>7525</v>
      </c>
      <c r="E858" s="2" t="s">
        <v>9048</v>
      </c>
      <c r="F858" s="2" t="s">
        <v>9049</v>
      </c>
      <c r="G858" s="2" t="s">
        <v>5022</v>
      </c>
      <c r="H858" s="2" t="s">
        <v>5023</v>
      </c>
      <c r="I858" s="2" t="s">
        <v>9050</v>
      </c>
      <c r="J858" s="2"/>
      <c r="K858" s="2"/>
      <c r="L858" s="2"/>
      <c r="M858" s="2" t="s">
        <v>9051</v>
      </c>
      <c r="N858" s="2"/>
      <c r="O858" s="2"/>
      <c r="P858" s="2"/>
      <c r="Q858" s="2"/>
    </row>
    <row r="859" spans="1:17" x14ac:dyDescent="0.2">
      <c r="A859" s="2" t="s">
        <v>2418</v>
      </c>
      <c r="B859" s="2" t="s">
        <v>8101</v>
      </c>
      <c r="C859" s="2" t="s">
        <v>6941</v>
      </c>
      <c r="D859" s="2" t="s">
        <v>5785</v>
      </c>
      <c r="E859" s="2" t="s">
        <v>9052</v>
      </c>
      <c r="F859" s="2" t="s">
        <v>9053</v>
      </c>
      <c r="G859" s="2" t="s">
        <v>5022</v>
      </c>
      <c r="H859" s="2" t="s">
        <v>5023</v>
      </c>
      <c r="I859" s="2"/>
      <c r="J859" s="2"/>
      <c r="K859" s="2" t="s">
        <v>9054</v>
      </c>
      <c r="L859" s="2" t="s">
        <v>9055</v>
      </c>
      <c r="M859" s="2" t="s">
        <v>9056</v>
      </c>
      <c r="N859" s="2"/>
      <c r="O859" s="2"/>
      <c r="P859" s="2"/>
      <c r="Q859" s="2"/>
    </row>
    <row r="860" spans="1:17" x14ac:dyDescent="0.2">
      <c r="A860" s="2" t="s">
        <v>707</v>
      </c>
      <c r="B860" s="2" t="s">
        <v>9057</v>
      </c>
      <c r="C860" s="2" t="s">
        <v>6657</v>
      </c>
      <c r="D860" s="2" t="s">
        <v>5474</v>
      </c>
      <c r="E860" s="2" t="s">
        <v>9058</v>
      </c>
      <c r="F860" s="2" t="s">
        <v>9059</v>
      </c>
      <c r="G860" s="2" t="s">
        <v>5022</v>
      </c>
      <c r="H860" s="2" t="s">
        <v>5023</v>
      </c>
      <c r="I860" s="2"/>
      <c r="J860" s="2"/>
      <c r="K860" s="2" t="s">
        <v>9060</v>
      </c>
      <c r="L860" s="2"/>
      <c r="M860" s="2"/>
      <c r="N860" s="2"/>
      <c r="O860" s="2"/>
      <c r="P860" s="2"/>
      <c r="Q860" s="2"/>
    </row>
    <row r="861" spans="1:17" x14ac:dyDescent="0.2">
      <c r="A861" s="2" t="s">
        <v>4559</v>
      </c>
      <c r="B861" s="2" t="s">
        <v>9061</v>
      </c>
      <c r="C861" s="2" t="s">
        <v>5119</v>
      </c>
      <c r="D861" s="2" t="s">
        <v>9062</v>
      </c>
      <c r="E861" s="2" t="s">
        <v>8009</v>
      </c>
      <c r="F861" s="2" t="s">
        <v>9063</v>
      </c>
      <c r="G861" s="2" t="s">
        <v>5022</v>
      </c>
      <c r="H861" s="2" t="s">
        <v>5023</v>
      </c>
      <c r="I861" s="2" t="s">
        <v>9064</v>
      </c>
      <c r="J861" s="2"/>
      <c r="K861" s="2"/>
      <c r="L861" s="2"/>
      <c r="M861" s="2" t="s">
        <v>9065</v>
      </c>
      <c r="N861" s="2"/>
      <c r="O861" s="2"/>
      <c r="P861" s="2"/>
      <c r="Q861" s="2"/>
    </row>
    <row r="862" spans="1:17" x14ac:dyDescent="0.2">
      <c r="A862" s="2" t="s">
        <v>4832</v>
      </c>
      <c r="B862" s="2" t="s">
        <v>5604</v>
      </c>
      <c r="C862" s="2" t="s">
        <v>5523</v>
      </c>
      <c r="D862" s="2" t="s">
        <v>6118</v>
      </c>
      <c r="E862" s="2" t="s">
        <v>9066</v>
      </c>
      <c r="F862" s="2" t="s">
        <v>9067</v>
      </c>
      <c r="G862" s="2" t="s">
        <v>5022</v>
      </c>
      <c r="H862" s="2" t="s">
        <v>5023</v>
      </c>
      <c r="I862" s="2" t="s">
        <v>9068</v>
      </c>
      <c r="J862" s="2"/>
      <c r="K862" s="2"/>
      <c r="L862" s="2"/>
      <c r="M862" s="2"/>
      <c r="N862" s="2"/>
      <c r="O862" s="2"/>
      <c r="P862" s="2"/>
      <c r="Q862" s="2"/>
    </row>
    <row r="863" spans="1:17" x14ac:dyDescent="0.2">
      <c r="A863" s="2" t="s">
        <v>1270</v>
      </c>
      <c r="B863" s="2" t="s">
        <v>7699</v>
      </c>
      <c r="C863" s="2" t="s">
        <v>5159</v>
      </c>
      <c r="D863" s="2" t="s">
        <v>6662</v>
      </c>
      <c r="E863" s="2" t="s">
        <v>5135</v>
      </c>
      <c r="F863" s="2" t="s">
        <v>9069</v>
      </c>
      <c r="G863" s="2" t="s">
        <v>5022</v>
      </c>
      <c r="H863" s="2" t="s">
        <v>5023</v>
      </c>
      <c r="I863" s="2" t="s">
        <v>9070</v>
      </c>
      <c r="J863" s="2"/>
      <c r="K863" s="2"/>
      <c r="L863" s="2"/>
      <c r="M863" s="2"/>
      <c r="N863" s="2"/>
      <c r="O863" s="2"/>
      <c r="P863" s="2"/>
      <c r="Q863" s="2"/>
    </row>
    <row r="864" spans="1:17" x14ac:dyDescent="0.2">
      <c r="A864" s="2" t="s">
        <v>1562</v>
      </c>
      <c r="B864" s="2" t="s">
        <v>5557</v>
      </c>
      <c r="C864" s="2" t="s">
        <v>5947</v>
      </c>
      <c r="D864" s="2" t="s">
        <v>9071</v>
      </c>
      <c r="E864" s="2" t="s">
        <v>9072</v>
      </c>
      <c r="F864" s="2" t="s">
        <v>6795</v>
      </c>
      <c r="G864" s="2" t="s">
        <v>5022</v>
      </c>
      <c r="H864" s="2" t="s">
        <v>5023</v>
      </c>
      <c r="I864" s="2" t="s">
        <v>9073</v>
      </c>
      <c r="J864" s="2"/>
      <c r="K864" s="2"/>
      <c r="L864" s="2"/>
      <c r="M864" s="2"/>
      <c r="N864" s="2"/>
      <c r="O864" s="2"/>
      <c r="P864" s="2"/>
      <c r="Q864" s="2"/>
    </row>
    <row r="865" spans="1:17" x14ac:dyDescent="0.2">
      <c r="A865" s="2" t="s">
        <v>4635</v>
      </c>
      <c r="B865" s="2" t="s">
        <v>9074</v>
      </c>
      <c r="C865" s="2" t="s">
        <v>9075</v>
      </c>
      <c r="D865" s="2" t="s">
        <v>6995</v>
      </c>
      <c r="E865" s="2" t="s">
        <v>6064</v>
      </c>
      <c r="F865" s="2" t="s">
        <v>9076</v>
      </c>
      <c r="G865" s="2" t="s">
        <v>5022</v>
      </c>
      <c r="H865" s="2" t="s">
        <v>5023</v>
      </c>
      <c r="I865" s="2" t="s">
        <v>9077</v>
      </c>
      <c r="J865" s="2"/>
      <c r="K865" s="2"/>
      <c r="L865" s="2"/>
      <c r="M865" s="2"/>
      <c r="N865" s="2"/>
      <c r="O865" s="2"/>
      <c r="P865" s="2"/>
      <c r="Q865" s="2"/>
    </row>
    <row r="866" spans="1:17" x14ac:dyDescent="0.2">
      <c r="A866" s="2" t="s">
        <v>1048</v>
      </c>
      <c r="B866" s="2" t="s">
        <v>2277</v>
      </c>
      <c r="C866" s="2" t="s">
        <v>9078</v>
      </c>
      <c r="D866" s="2" t="s">
        <v>6111</v>
      </c>
      <c r="E866" s="2" t="s">
        <v>9079</v>
      </c>
      <c r="F866" s="2" t="s">
        <v>9080</v>
      </c>
      <c r="G866" s="2" t="s">
        <v>5022</v>
      </c>
      <c r="H866" s="2" t="s">
        <v>5023</v>
      </c>
      <c r="I866" s="2" t="s">
        <v>9081</v>
      </c>
      <c r="J866" s="2"/>
      <c r="K866" s="2"/>
      <c r="L866" s="2"/>
      <c r="M866" s="2" t="s">
        <v>9082</v>
      </c>
      <c r="N866" s="2"/>
      <c r="O866" s="2"/>
      <c r="P866" s="2"/>
      <c r="Q866" s="2"/>
    </row>
    <row r="867" spans="1:17" x14ac:dyDescent="0.2">
      <c r="A867" s="2" t="s">
        <v>1602</v>
      </c>
      <c r="B867" s="2" t="s">
        <v>9083</v>
      </c>
      <c r="C867" s="2" t="s">
        <v>9084</v>
      </c>
      <c r="D867" s="2" t="s">
        <v>5323</v>
      </c>
      <c r="E867" s="2" t="s">
        <v>9085</v>
      </c>
      <c r="F867" s="2" t="s">
        <v>8477</v>
      </c>
      <c r="G867" s="2" t="s">
        <v>5022</v>
      </c>
      <c r="H867" s="2" t="s">
        <v>5023</v>
      </c>
      <c r="I867" s="2" t="s">
        <v>9086</v>
      </c>
      <c r="J867" s="2"/>
      <c r="K867" s="2"/>
      <c r="L867" s="2"/>
      <c r="M867" s="2"/>
      <c r="N867" s="2"/>
      <c r="O867" s="2"/>
      <c r="P867" s="2"/>
      <c r="Q867" s="2"/>
    </row>
    <row r="868" spans="1:17" x14ac:dyDescent="0.2">
      <c r="A868" s="2" t="s">
        <v>2655</v>
      </c>
      <c r="B868" s="2" t="s">
        <v>9087</v>
      </c>
      <c r="C868" s="2" t="s">
        <v>5076</v>
      </c>
      <c r="D868" s="2" t="s">
        <v>5323</v>
      </c>
      <c r="E868" s="2" t="s">
        <v>9088</v>
      </c>
      <c r="F868" s="2" t="s">
        <v>5619</v>
      </c>
      <c r="G868" s="2" t="s">
        <v>5022</v>
      </c>
      <c r="H868" s="2" t="s">
        <v>5023</v>
      </c>
      <c r="I868" s="2" t="s">
        <v>9089</v>
      </c>
      <c r="J868" s="2"/>
      <c r="K868" s="2"/>
      <c r="L868" s="2"/>
      <c r="M868" s="2" t="s">
        <v>9090</v>
      </c>
      <c r="N868" s="2"/>
      <c r="O868" s="2"/>
      <c r="P868" s="2"/>
      <c r="Q868" s="2"/>
    </row>
    <row r="869" spans="1:17" x14ac:dyDescent="0.2">
      <c r="A869" s="2" t="s">
        <v>418</v>
      </c>
      <c r="B869" s="2" t="s">
        <v>9091</v>
      </c>
      <c r="C869" s="2" t="s">
        <v>7732</v>
      </c>
      <c r="D869" s="2" t="s">
        <v>9092</v>
      </c>
      <c r="E869" s="2" t="s">
        <v>6262</v>
      </c>
      <c r="F869" s="2" t="s">
        <v>9093</v>
      </c>
      <c r="G869" s="2" t="s">
        <v>5022</v>
      </c>
      <c r="H869" s="2" t="s">
        <v>5023</v>
      </c>
      <c r="I869" s="2" t="s">
        <v>9094</v>
      </c>
      <c r="J869" s="2"/>
      <c r="K869" s="2"/>
      <c r="L869" s="2"/>
      <c r="M869" s="2" t="s">
        <v>9095</v>
      </c>
      <c r="N869" s="2"/>
      <c r="O869" s="2"/>
      <c r="P869" s="2"/>
      <c r="Q869" s="2"/>
    </row>
    <row r="870" spans="1:17" x14ac:dyDescent="0.2">
      <c r="A870" s="2" t="s">
        <v>2349</v>
      </c>
      <c r="B870" s="2" t="s">
        <v>9096</v>
      </c>
      <c r="C870" s="2" t="s">
        <v>6357</v>
      </c>
      <c r="D870" s="2" t="s">
        <v>9097</v>
      </c>
      <c r="E870" s="2" t="s">
        <v>9098</v>
      </c>
      <c r="F870" s="2" t="s">
        <v>8892</v>
      </c>
      <c r="G870" s="2" t="s">
        <v>9099</v>
      </c>
      <c r="H870" s="2" t="s">
        <v>9100</v>
      </c>
      <c r="I870" s="2" t="s">
        <v>9101</v>
      </c>
      <c r="J870" s="2"/>
      <c r="K870" s="2"/>
      <c r="L870" s="2"/>
      <c r="M870" s="2"/>
      <c r="N870" s="2"/>
      <c r="O870" s="2"/>
      <c r="P870" s="2"/>
      <c r="Q870" s="2"/>
    </row>
    <row r="871" spans="1:17" x14ac:dyDescent="0.2">
      <c r="A871" s="2" t="s">
        <v>2795</v>
      </c>
      <c r="B871" s="2" t="s">
        <v>9102</v>
      </c>
      <c r="C871" s="2" t="s">
        <v>6305</v>
      </c>
      <c r="D871" s="2" t="s">
        <v>5018</v>
      </c>
      <c r="E871" s="2" t="s">
        <v>5987</v>
      </c>
      <c r="F871" s="2" t="s">
        <v>6689</v>
      </c>
      <c r="G871" s="2" t="s">
        <v>5022</v>
      </c>
      <c r="H871" s="2" t="s">
        <v>5023</v>
      </c>
      <c r="I871" s="2"/>
      <c r="J871" s="2"/>
      <c r="K871" s="2" t="s">
        <v>9103</v>
      </c>
      <c r="L871" s="2"/>
      <c r="M871" s="2"/>
      <c r="N871" s="2"/>
      <c r="O871" s="2"/>
      <c r="P871" s="2"/>
      <c r="Q871" s="2"/>
    </row>
    <row r="872" spans="1:17" x14ac:dyDescent="0.2">
      <c r="A872" s="2" t="s">
        <v>2548</v>
      </c>
      <c r="B872" s="2" t="s">
        <v>5604</v>
      </c>
      <c r="C872" s="2" t="s">
        <v>5392</v>
      </c>
      <c r="D872" s="2" t="s">
        <v>6890</v>
      </c>
      <c r="E872" s="2" t="s">
        <v>5094</v>
      </c>
      <c r="F872" s="2" t="s">
        <v>9104</v>
      </c>
      <c r="G872" s="2" t="s">
        <v>5022</v>
      </c>
      <c r="H872" s="2" t="s">
        <v>5023</v>
      </c>
      <c r="I872" s="2" t="s">
        <v>9105</v>
      </c>
      <c r="J872" s="2"/>
      <c r="K872" s="2"/>
      <c r="L872" s="2"/>
      <c r="M872" s="2" t="s">
        <v>9106</v>
      </c>
      <c r="N872" s="2"/>
      <c r="O872" s="2"/>
      <c r="P872" s="2"/>
      <c r="Q872" s="2"/>
    </row>
    <row r="873" spans="1:17" x14ac:dyDescent="0.2">
      <c r="A873" s="2" t="s">
        <v>2513</v>
      </c>
      <c r="B873" s="2" t="s">
        <v>9107</v>
      </c>
      <c r="C873" s="2" t="s">
        <v>9108</v>
      </c>
      <c r="D873" s="2" t="s">
        <v>9109</v>
      </c>
      <c r="E873" s="2" t="s">
        <v>9110</v>
      </c>
      <c r="F873" s="2" t="s">
        <v>9019</v>
      </c>
      <c r="G873" s="2" t="s">
        <v>5022</v>
      </c>
      <c r="H873" s="2" t="s">
        <v>5023</v>
      </c>
      <c r="I873" s="2"/>
      <c r="J873" s="2"/>
      <c r="K873" s="2" t="s">
        <v>9111</v>
      </c>
      <c r="L873" s="2"/>
      <c r="M873" s="2"/>
      <c r="N873" s="2"/>
      <c r="O873" s="2"/>
      <c r="P873" s="2"/>
      <c r="Q873" s="2"/>
    </row>
    <row r="874" spans="1:17" x14ac:dyDescent="0.2">
      <c r="A874" s="2" t="s">
        <v>1175</v>
      </c>
      <c r="B874" s="2" t="s">
        <v>9112</v>
      </c>
      <c r="C874" s="2" t="s">
        <v>6473</v>
      </c>
      <c r="D874" s="2" t="s">
        <v>9113</v>
      </c>
      <c r="E874" s="2" t="s">
        <v>5450</v>
      </c>
      <c r="F874" s="2" t="s">
        <v>5400</v>
      </c>
      <c r="G874" s="2" t="s">
        <v>5022</v>
      </c>
      <c r="H874" s="2" t="s">
        <v>5023</v>
      </c>
      <c r="I874" s="2" t="s">
        <v>9114</v>
      </c>
      <c r="J874" s="2"/>
      <c r="K874" s="2"/>
      <c r="L874" s="2"/>
      <c r="M874" s="2" t="s">
        <v>9115</v>
      </c>
      <c r="N874" s="2"/>
      <c r="O874" s="2"/>
      <c r="P874" s="2"/>
      <c r="Q874" s="2"/>
    </row>
    <row r="875" spans="1:17" x14ac:dyDescent="0.2">
      <c r="A875" s="2" t="s">
        <v>2527</v>
      </c>
      <c r="B875" s="2" t="s">
        <v>7203</v>
      </c>
      <c r="C875" s="2" t="s">
        <v>9116</v>
      </c>
      <c r="D875" s="2" t="s">
        <v>6960</v>
      </c>
      <c r="E875" s="2" t="s">
        <v>9117</v>
      </c>
      <c r="F875" s="2" t="s">
        <v>8032</v>
      </c>
      <c r="G875" s="2" t="s">
        <v>5022</v>
      </c>
      <c r="H875" s="2" t="s">
        <v>5023</v>
      </c>
      <c r="I875" s="2"/>
      <c r="J875" s="2"/>
      <c r="K875" s="2" t="s">
        <v>9118</v>
      </c>
      <c r="L875" s="2"/>
      <c r="M875" s="2"/>
      <c r="N875" s="2"/>
      <c r="O875" s="2"/>
      <c r="P875" s="2"/>
      <c r="Q875" s="2"/>
    </row>
    <row r="876" spans="1:17" x14ac:dyDescent="0.2">
      <c r="A876" s="2" t="s">
        <v>4213</v>
      </c>
      <c r="B876" s="2" t="s">
        <v>9119</v>
      </c>
      <c r="C876" s="2" t="s">
        <v>5357</v>
      </c>
      <c r="D876" s="2" t="s">
        <v>9120</v>
      </c>
      <c r="E876" s="2" t="s">
        <v>9121</v>
      </c>
      <c r="F876" s="2" t="s">
        <v>9122</v>
      </c>
      <c r="G876" s="2" t="s">
        <v>5022</v>
      </c>
      <c r="H876" s="2" t="s">
        <v>5023</v>
      </c>
      <c r="I876" s="2" t="s">
        <v>9123</v>
      </c>
      <c r="J876" s="2"/>
      <c r="K876" s="2"/>
      <c r="L876" s="2"/>
      <c r="M876" s="2" t="s">
        <v>9124</v>
      </c>
      <c r="N876" s="2"/>
      <c r="O876" s="2"/>
      <c r="P876" s="2"/>
      <c r="Q876" s="2"/>
    </row>
    <row r="877" spans="1:17" x14ac:dyDescent="0.2">
      <c r="A877" s="2" t="s">
        <v>3802</v>
      </c>
      <c r="B877" s="2" t="s">
        <v>6067</v>
      </c>
      <c r="C877" s="2" t="s">
        <v>7262</v>
      </c>
      <c r="D877" s="2" t="s">
        <v>5535</v>
      </c>
      <c r="E877" s="2" t="s">
        <v>8114</v>
      </c>
      <c r="F877" s="2" t="s">
        <v>9036</v>
      </c>
      <c r="G877" s="2" t="s">
        <v>5022</v>
      </c>
      <c r="H877" s="2" t="s">
        <v>5023</v>
      </c>
      <c r="I877" s="2" t="s">
        <v>9125</v>
      </c>
      <c r="J877" s="2"/>
      <c r="K877" s="2"/>
      <c r="L877" s="2"/>
      <c r="M877" s="2" t="s">
        <v>9126</v>
      </c>
      <c r="N877" s="2"/>
      <c r="O877" s="2"/>
      <c r="P877" s="2"/>
      <c r="Q877" s="2"/>
    </row>
    <row r="878" spans="1:17" x14ac:dyDescent="0.2">
      <c r="A878" s="2" t="s">
        <v>2510</v>
      </c>
      <c r="B878" s="2" t="s">
        <v>9127</v>
      </c>
      <c r="C878" s="2" t="s">
        <v>5453</v>
      </c>
      <c r="D878" s="2" t="s">
        <v>9128</v>
      </c>
      <c r="E878" s="2" t="s">
        <v>9129</v>
      </c>
      <c r="F878" s="2" t="s">
        <v>5128</v>
      </c>
      <c r="G878" s="2" t="s">
        <v>5022</v>
      </c>
      <c r="H878" s="2" t="s">
        <v>5023</v>
      </c>
      <c r="I878" s="2"/>
      <c r="J878" s="2"/>
      <c r="K878" s="2" t="s">
        <v>9130</v>
      </c>
      <c r="L878" s="2"/>
      <c r="M878" s="2"/>
      <c r="N878" s="2"/>
      <c r="O878" s="2"/>
      <c r="P878" s="2"/>
      <c r="Q878" s="2"/>
    </row>
    <row r="879" spans="1:17" x14ac:dyDescent="0.2">
      <c r="A879" s="2" t="s">
        <v>4290</v>
      </c>
      <c r="B879" s="2" t="s">
        <v>8840</v>
      </c>
      <c r="C879" s="2" t="s">
        <v>5027</v>
      </c>
      <c r="D879" s="2" t="s">
        <v>9131</v>
      </c>
      <c r="E879" s="2" t="s">
        <v>9132</v>
      </c>
      <c r="F879" s="2" t="s">
        <v>9133</v>
      </c>
      <c r="G879" s="2" t="s">
        <v>5022</v>
      </c>
      <c r="H879" s="2" t="s">
        <v>5023</v>
      </c>
      <c r="I879" s="2" t="s">
        <v>9134</v>
      </c>
      <c r="J879" s="2"/>
      <c r="K879" s="2"/>
      <c r="L879" s="2"/>
      <c r="M879" s="2" t="s">
        <v>9135</v>
      </c>
      <c r="N879" s="2"/>
      <c r="O879" s="2"/>
      <c r="P879" s="2"/>
      <c r="Q879" s="2"/>
    </row>
    <row r="880" spans="1:17" x14ac:dyDescent="0.2">
      <c r="A880" s="2" t="s">
        <v>1555</v>
      </c>
      <c r="B880" s="2" t="s">
        <v>9136</v>
      </c>
      <c r="C880" s="2" t="s">
        <v>5027</v>
      </c>
      <c r="D880" s="2" t="s">
        <v>9137</v>
      </c>
      <c r="E880" s="2" t="s">
        <v>9138</v>
      </c>
      <c r="F880" s="2" t="s">
        <v>8443</v>
      </c>
      <c r="G880" s="2" t="s">
        <v>5022</v>
      </c>
      <c r="H880" s="2" t="s">
        <v>5023</v>
      </c>
      <c r="I880" s="2" t="s">
        <v>9139</v>
      </c>
      <c r="J880" s="2"/>
      <c r="K880" s="2"/>
      <c r="L880" s="2"/>
      <c r="M880" s="2" t="s">
        <v>9140</v>
      </c>
      <c r="N880" s="2"/>
      <c r="O880" s="2"/>
      <c r="P880" s="2"/>
      <c r="Q880" s="2"/>
    </row>
    <row r="881" spans="1:17" x14ac:dyDescent="0.2">
      <c r="A881" s="2" t="s">
        <v>4571</v>
      </c>
      <c r="B881" s="2" t="s">
        <v>6468</v>
      </c>
      <c r="C881" s="2" t="s">
        <v>5119</v>
      </c>
      <c r="D881" s="2" t="s">
        <v>9141</v>
      </c>
      <c r="E881" s="2" t="s">
        <v>9138</v>
      </c>
      <c r="F881" s="2" t="s">
        <v>9142</v>
      </c>
      <c r="G881" s="2" t="s">
        <v>5022</v>
      </c>
      <c r="H881" s="2" t="s">
        <v>5023</v>
      </c>
      <c r="I881" s="2" t="s">
        <v>9143</v>
      </c>
      <c r="J881" s="2"/>
      <c r="K881" s="2"/>
      <c r="L881" s="2"/>
      <c r="M881" s="2" t="s">
        <v>9144</v>
      </c>
      <c r="N881" s="2"/>
      <c r="O881" s="2"/>
      <c r="P881" s="2"/>
      <c r="Q881" s="2"/>
    </row>
    <row r="882" spans="1:17" x14ac:dyDescent="0.2">
      <c r="A882" s="2" t="s">
        <v>936</v>
      </c>
      <c r="B882" s="2" t="s">
        <v>9145</v>
      </c>
      <c r="C882" s="2" t="s">
        <v>9146</v>
      </c>
      <c r="D882" s="2" t="s">
        <v>6568</v>
      </c>
      <c r="E882" s="2" t="s">
        <v>9147</v>
      </c>
      <c r="F882" s="2" t="s">
        <v>5782</v>
      </c>
      <c r="G882" s="2" t="s">
        <v>5022</v>
      </c>
      <c r="H882" s="2" t="s">
        <v>5023</v>
      </c>
      <c r="I882" s="2"/>
      <c r="J882" s="2"/>
      <c r="K882" s="2" t="s">
        <v>9148</v>
      </c>
      <c r="L882" s="2"/>
      <c r="M882" s="2"/>
      <c r="N882" s="2"/>
      <c r="O882" s="2"/>
      <c r="P882" s="2"/>
      <c r="Q882" s="2"/>
    </row>
    <row r="883" spans="1:17" x14ac:dyDescent="0.2">
      <c r="A883" s="2" t="s">
        <v>2084</v>
      </c>
      <c r="B883" s="2" t="s">
        <v>9149</v>
      </c>
      <c r="C883" s="2" t="s">
        <v>5409</v>
      </c>
      <c r="D883" s="2" t="s">
        <v>5409</v>
      </c>
      <c r="E883" s="2" t="s">
        <v>9150</v>
      </c>
      <c r="F883" s="2" t="s">
        <v>9151</v>
      </c>
      <c r="G883" s="2" t="s">
        <v>5022</v>
      </c>
      <c r="H883" s="2" t="s">
        <v>5023</v>
      </c>
      <c r="I883" s="2" t="s">
        <v>9152</v>
      </c>
      <c r="J883" s="2"/>
      <c r="K883" s="2"/>
      <c r="L883" s="2"/>
      <c r="M883" s="2" t="s">
        <v>9153</v>
      </c>
      <c r="N883" s="2"/>
      <c r="O883" s="2"/>
      <c r="P883" s="2"/>
      <c r="Q883" s="2"/>
    </row>
    <row r="884" spans="1:17" x14ac:dyDescent="0.2">
      <c r="A884" s="2" t="s">
        <v>4779</v>
      </c>
      <c r="B884" s="2" t="s">
        <v>5604</v>
      </c>
      <c r="C884" s="2" t="s">
        <v>5028</v>
      </c>
      <c r="D884" s="2" t="s">
        <v>6915</v>
      </c>
      <c r="E884" s="2" t="s">
        <v>9154</v>
      </c>
      <c r="F884" s="2" t="s">
        <v>5083</v>
      </c>
      <c r="G884" s="2" t="s">
        <v>5022</v>
      </c>
      <c r="H884" s="2" t="s">
        <v>5023</v>
      </c>
      <c r="I884" s="2" t="s">
        <v>9155</v>
      </c>
      <c r="J884" s="2"/>
      <c r="K884" s="2"/>
      <c r="L884" s="2"/>
      <c r="M884" s="2"/>
      <c r="N884" s="2"/>
      <c r="O884" s="2"/>
      <c r="P884" s="2"/>
      <c r="Q884" s="2"/>
    </row>
    <row r="885" spans="1:17" x14ac:dyDescent="0.2">
      <c r="A885" s="2" t="s">
        <v>4082</v>
      </c>
      <c r="B885" s="2" t="s">
        <v>9156</v>
      </c>
      <c r="C885" s="2" t="s">
        <v>6889</v>
      </c>
      <c r="D885" s="2" t="s">
        <v>6514</v>
      </c>
      <c r="E885" s="2" t="s">
        <v>9157</v>
      </c>
      <c r="F885" s="2" t="s">
        <v>9158</v>
      </c>
      <c r="G885" s="2" t="s">
        <v>5022</v>
      </c>
      <c r="H885" s="2" t="s">
        <v>5023</v>
      </c>
      <c r="I885" s="2" t="s">
        <v>9159</v>
      </c>
      <c r="J885" s="2"/>
      <c r="K885" s="2"/>
      <c r="L885" s="2"/>
      <c r="M885" s="2" t="s">
        <v>9160</v>
      </c>
      <c r="N885" s="2"/>
      <c r="O885" s="2"/>
      <c r="P885" s="2"/>
      <c r="Q885" s="2"/>
    </row>
    <row r="886" spans="1:17" x14ac:dyDescent="0.2">
      <c r="A886" s="2" t="s">
        <v>4912</v>
      </c>
      <c r="B886" s="2" t="s">
        <v>9161</v>
      </c>
      <c r="C886" s="2" t="s">
        <v>9162</v>
      </c>
      <c r="D886" s="2" t="s">
        <v>6889</v>
      </c>
      <c r="E886" s="2" t="s">
        <v>9163</v>
      </c>
      <c r="F886" s="2" t="s">
        <v>5619</v>
      </c>
      <c r="G886" s="2" t="s">
        <v>5022</v>
      </c>
      <c r="H886" s="2" t="s">
        <v>5023</v>
      </c>
      <c r="I886" s="2" t="s">
        <v>9164</v>
      </c>
      <c r="J886" s="2"/>
      <c r="K886" s="2"/>
      <c r="L886" s="2"/>
      <c r="M886" s="2" t="s">
        <v>9165</v>
      </c>
      <c r="N886" s="2"/>
      <c r="O886" s="2"/>
      <c r="P886" s="2"/>
      <c r="Q886" s="2"/>
    </row>
    <row r="887" spans="1:17" x14ac:dyDescent="0.2">
      <c r="A887" s="2" t="s">
        <v>4372</v>
      </c>
      <c r="B887" s="2" t="s">
        <v>9166</v>
      </c>
      <c r="C887" s="2" t="s">
        <v>9167</v>
      </c>
      <c r="D887" s="2" t="s">
        <v>5224</v>
      </c>
      <c r="E887" s="2" t="s">
        <v>9168</v>
      </c>
      <c r="F887" s="2" t="s">
        <v>9169</v>
      </c>
      <c r="G887" s="2" t="s">
        <v>5022</v>
      </c>
      <c r="H887" s="2" t="s">
        <v>5023</v>
      </c>
      <c r="I887" s="2" t="s">
        <v>9170</v>
      </c>
      <c r="J887" s="2"/>
      <c r="K887" s="2"/>
      <c r="L887" s="2"/>
      <c r="M887" s="2" t="s">
        <v>9171</v>
      </c>
      <c r="N887" s="2"/>
      <c r="O887" s="2"/>
      <c r="P887" s="2"/>
      <c r="Q887" s="2"/>
    </row>
    <row r="888" spans="1:17" x14ac:dyDescent="0.2">
      <c r="A888" s="2" t="s">
        <v>3924</v>
      </c>
      <c r="B888" s="2" t="s">
        <v>9172</v>
      </c>
      <c r="C888" s="2" t="s">
        <v>5757</v>
      </c>
      <c r="D888" s="2" t="s">
        <v>5299</v>
      </c>
      <c r="E888" s="2" t="s">
        <v>9173</v>
      </c>
      <c r="F888" s="2" t="s">
        <v>9174</v>
      </c>
      <c r="G888" s="2" t="s">
        <v>5022</v>
      </c>
      <c r="H888" s="2" t="s">
        <v>5023</v>
      </c>
      <c r="I888" s="2" t="s">
        <v>9175</v>
      </c>
      <c r="J888" s="2"/>
      <c r="K888" s="2"/>
      <c r="L888" s="2"/>
      <c r="M888" s="2" t="s">
        <v>9176</v>
      </c>
      <c r="N888" s="2"/>
      <c r="O888" s="2"/>
      <c r="P888" s="2"/>
      <c r="Q888" s="2"/>
    </row>
    <row r="889" spans="1:17" x14ac:dyDescent="0.2">
      <c r="A889" s="2" t="s">
        <v>4209</v>
      </c>
      <c r="B889" s="2" t="s">
        <v>9177</v>
      </c>
      <c r="C889" s="2" t="s">
        <v>7402</v>
      </c>
      <c r="D889" s="2" t="s">
        <v>9178</v>
      </c>
      <c r="E889" s="2" t="s">
        <v>8975</v>
      </c>
      <c r="F889" s="2" t="s">
        <v>9179</v>
      </c>
      <c r="G889" s="2" t="s">
        <v>5022</v>
      </c>
      <c r="H889" s="2" t="s">
        <v>5023</v>
      </c>
      <c r="I889" s="2" t="s">
        <v>9180</v>
      </c>
      <c r="J889" s="2"/>
      <c r="K889" s="2"/>
      <c r="L889" s="2"/>
      <c r="M889" s="2" t="s">
        <v>9181</v>
      </c>
      <c r="N889" s="2"/>
      <c r="O889" s="2"/>
      <c r="P889" s="2"/>
      <c r="Q889" s="2"/>
    </row>
    <row r="890" spans="1:17" x14ac:dyDescent="0.2">
      <c r="A890" s="2" t="s">
        <v>4625</v>
      </c>
      <c r="B890" s="2" t="s">
        <v>5356</v>
      </c>
      <c r="C890" s="2" t="s">
        <v>9182</v>
      </c>
      <c r="D890" s="2" t="s">
        <v>9183</v>
      </c>
      <c r="E890" s="2" t="s">
        <v>9184</v>
      </c>
      <c r="F890" s="2" t="s">
        <v>6124</v>
      </c>
      <c r="G890" s="2" t="s">
        <v>5022</v>
      </c>
      <c r="H890" s="2" t="s">
        <v>5023</v>
      </c>
      <c r="I890" s="2" t="s">
        <v>9185</v>
      </c>
      <c r="J890" s="2"/>
      <c r="K890" s="2"/>
      <c r="L890" s="2"/>
      <c r="M890" s="2"/>
      <c r="N890" s="2"/>
      <c r="O890" s="2"/>
      <c r="P890" s="2"/>
      <c r="Q890" s="2"/>
    </row>
    <row r="891" spans="1:17" x14ac:dyDescent="0.2">
      <c r="A891" s="2" t="s">
        <v>3673</v>
      </c>
      <c r="B891" s="2" t="s">
        <v>9186</v>
      </c>
      <c r="C891" s="2" t="s">
        <v>9187</v>
      </c>
      <c r="D891" s="2" t="s">
        <v>9188</v>
      </c>
      <c r="E891" s="2" t="s">
        <v>9189</v>
      </c>
      <c r="F891" s="2" t="s">
        <v>9190</v>
      </c>
      <c r="G891" s="2" t="s">
        <v>5022</v>
      </c>
      <c r="H891" s="2" t="s">
        <v>5023</v>
      </c>
      <c r="I891" s="2" t="s">
        <v>9191</v>
      </c>
      <c r="J891" s="2"/>
      <c r="K891" s="2"/>
      <c r="L891" s="2"/>
      <c r="M891" s="2"/>
      <c r="N891" s="2"/>
      <c r="O891" s="2"/>
      <c r="P891" s="2"/>
      <c r="Q891" s="2"/>
    </row>
    <row r="892" spans="1:17" x14ac:dyDescent="0.2">
      <c r="A892" s="2" t="s">
        <v>1772</v>
      </c>
      <c r="B892" s="2" t="s">
        <v>9192</v>
      </c>
      <c r="C892" s="2" t="s">
        <v>7243</v>
      </c>
      <c r="D892" s="2" t="s">
        <v>5228</v>
      </c>
      <c r="E892" s="2" t="s">
        <v>9193</v>
      </c>
      <c r="F892" s="2" t="s">
        <v>9194</v>
      </c>
      <c r="G892" s="2" t="s">
        <v>5022</v>
      </c>
      <c r="H892" s="2" t="s">
        <v>5023</v>
      </c>
      <c r="I892" s="2" t="s">
        <v>9195</v>
      </c>
      <c r="J892" s="2"/>
      <c r="K892" s="2"/>
      <c r="L892" s="2"/>
      <c r="M892" s="2" t="s">
        <v>9196</v>
      </c>
      <c r="N892" s="2"/>
      <c r="O892" s="2"/>
      <c r="P892" s="2"/>
      <c r="Q892" s="2"/>
    </row>
    <row r="893" spans="1:17" x14ac:dyDescent="0.2">
      <c r="A893" s="2" t="s">
        <v>3273</v>
      </c>
      <c r="B893" s="2" t="s">
        <v>9197</v>
      </c>
      <c r="C893" s="2" t="s">
        <v>9198</v>
      </c>
      <c r="D893" s="2" t="s">
        <v>5147</v>
      </c>
      <c r="E893" s="2" t="s">
        <v>9199</v>
      </c>
      <c r="F893" s="2" t="s">
        <v>9200</v>
      </c>
      <c r="G893" s="2" t="s">
        <v>5022</v>
      </c>
      <c r="H893" s="2" t="s">
        <v>5023</v>
      </c>
      <c r="I893" s="2" t="s">
        <v>9201</v>
      </c>
      <c r="J893" s="2"/>
      <c r="K893" s="2"/>
      <c r="L893" s="2"/>
      <c r="M893" s="2" t="s">
        <v>9202</v>
      </c>
      <c r="N893" s="2"/>
      <c r="O893" s="2"/>
      <c r="P893" s="2"/>
      <c r="Q893" s="2"/>
    </row>
    <row r="894" spans="1:17" x14ac:dyDescent="0.2">
      <c r="A894" s="2" t="s">
        <v>4744</v>
      </c>
      <c r="B894" s="2" t="s">
        <v>5864</v>
      </c>
      <c r="C894" s="2" t="s">
        <v>6227</v>
      </c>
      <c r="D894" s="2" t="s">
        <v>5947</v>
      </c>
      <c r="E894" s="2" t="s">
        <v>9203</v>
      </c>
      <c r="F894" s="2" t="s">
        <v>9204</v>
      </c>
      <c r="G894" s="2" t="s">
        <v>5022</v>
      </c>
      <c r="H894" s="2" t="s">
        <v>5023</v>
      </c>
      <c r="I894" s="2" t="s">
        <v>9205</v>
      </c>
      <c r="J894" s="2"/>
      <c r="K894" s="2"/>
      <c r="L894" s="2"/>
      <c r="M894" s="2" t="s">
        <v>9206</v>
      </c>
      <c r="N894" s="2"/>
      <c r="O894" s="2"/>
      <c r="P894" s="2"/>
      <c r="Q894" s="2"/>
    </row>
    <row r="895" spans="1:17" x14ac:dyDescent="0.2">
      <c r="A895" s="2" t="s">
        <v>1160</v>
      </c>
      <c r="B895" s="2" t="s">
        <v>9207</v>
      </c>
      <c r="C895" s="2" t="s">
        <v>9208</v>
      </c>
      <c r="D895" s="2" t="s">
        <v>8121</v>
      </c>
      <c r="E895" s="2" t="s">
        <v>9209</v>
      </c>
      <c r="F895" s="2" t="s">
        <v>7210</v>
      </c>
      <c r="G895" s="2" t="s">
        <v>5022</v>
      </c>
      <c r="H895" s="2" t="s">
        <v>5023</v>
      </c>
      <c r="I895" s="2" t="s">
        <v>9210</v>
      </c>
      <c r="J895" s="2"/>
      <c r="K895" s="2"/>
      <c r="L895" s="2"/>
      <c r="M895" s="2"/>
      <c r="N895" s="2"/>
      <c r="O895" s="2"/>
      <c r="P895" s="2"/>
      <c r="Q895" s="2"/>
    </row>
    <row r="896" spans="1:17" x14ac:dyDescent="0.2">
      <c r="A896" s="2" t="s">
        <v>1544</v>
      </c>
      <c r="B896" s="2" t="s">
        <v>4684</v>
      </c>
      <c r="C896" s="2" t="s">
        <v>9211</v>
      </c>
      <c r="D896" s="2" t="s">
        <v>5224</v>
      </c>
      <c r="E896" s="2" t="s">
        <v>9212</v>
      </c>
      <c r="F896" s="2" t="s">
        <v>9213</v>
      </c>
      <c r="G896" s="2" t="s">
        <v>5022</v>
      </c>
      <c r="H896" s="2" t="s">
        <v>5023</v>
      </c>
      <c r="I896" s="2" t="s">
        <v>9214</v>
      </c>
      <c r="J896" s="2"/>
      <c r="K896" s="2"/>
      <c r="L896" s="2"/>
      <c r="M896" s="2" t="s">
        <v>9215</v>
      </c>
      <c r="N896" s="2"/>
      <c r="O896" s="2"/>
      <c r="P896" s="2"/>
      <c r="Q896" s="2"/>
    </row>
    <row r="897" spans="1:17" x14ac:dyDescent="0.2">
      <c r="A897" s="2" t="s">
        <v>1480</v>
      </c>
      <c r="B897" s="2" t="s">
        <v>5739</v>
      </c>
      <c r="C897" s="2" t="s">
        <v>5677</v>
      </c>
      <c r="D897" s="2" t="s">
        <v>9211</v>
      </c>
      <c r="E897" s="2" t="s">
        <v>9216</v>
      </c>
      <c r="F897" s="2" t="s">
        <v>9217</v>
      </c>
      <c r="G897" s="2" t="s">
        <v>5022</v>
      </c>
      <c r="H897" s="2" t="s">
        <v>5023</v>
      </c>
      <c r="I897" s="2" t="s">
        <v>9218</v>
      </c>
      <c r="J897" s="2"/>
      <c r="K897" s="2"/>
      <c r="L897" s="2"/>
      <c r="M897" s="2" t="s">
        <v>9219</v>
      </c>
      <c r="N897" s="2"/>
      <c r="O897" s="2"/>
      <c r="P897" s="2"/>
      <c r="Q897" s="2"/>
    </row>
    <row r="898" spans="1:17" x14ac:dyDescent="0.2">
      <c r="A898" s="2" t="s">
        <v>2323</v>
      </c>
      <c r="B898" s="2" t="s">
        <v>9220</v>
      </c>
      <c r="C898" s="2" t="s">
        <v>9221</v>
      </c>
      <c r="D898" s="2" t="s">
        <v>9222</v>
      </c>
      <c r="E898" s="2" t="s">
        <v>9223</v>
      </c>
      <c r="F898" s="2" t="s">
        <v>7769</v>
      </c>
      <c r="G898" s="2" t="s">
        <v>5022</v>
      </c>
      <c r="H898" s="2" t="s">
        <v>5023</v>
      </c>
      <c r="I898" s="2" t="s">
        <v>9224</v>
      </c>
      <c r="J898" s="2"/>
      <c r="K898" s="2"/>
      <c r="L898" s="2"/>
      <c r="M898" s="2" t="s">
        <v>9225</v>
      </c>
      <c r="N898" s="2"/>
      <c r="O898" s="2"/>
      <c r="P898" s="2"/>
      <c r="Q898" s="2"/>
    </row>
    <row r="899" spans="1:17" x14ac:dyDescent="0.2">
      <c r="A899" s="2" t="s">
        <v>1421</v>
      </c>
      <c r="B899" s="2" t="s">
        <v>9226</v>
      </c>
      <c r="C899" s="2" t="s">
        <v>9227</v>
      </c>
      <c r="D899" s="2" t="s">
        <v>5623</v>
      </c>
      <c r="E899" s="2" t="s">
        <v>9228</v>
      </c>
      <c r="F899" s="2" t="s">
        <v>9229</v>
      </c>
      <c r="G899" s="2" t="s">
        <v>5022</v>
      </c>
      <c r="H899" s="2" t="s">
        <v>5023</v>
      </c>
      <c r="I899" s="2" t="s">
        <v>9230</v>
      </c>
      <c r="J899" s="2"/>
      <c r="K899" s="2"/>
      <c r="L899" s="2"/>
      <c r="M899" s="2" t="s">
        <v>9231</v>
      </c>
      <c r="N899" s="2"/>
      <c r="O899" s="2"/>
      <c r="P899" s="2"/>
      <c r="Q899" s="2"/>
    </row>
    <row r="900" spans="1:17" x14ac:dyDescent="0.2">
      <c r="A900" s="2" t="s">
        <v>1410</v>
      </c>
      <c r="B900" s="2" t="s">
        <v>5132</v>
      </c>
      <c r="C900" s="2" t="s">
        <v>5511</v>
      </c>
      <c r="D900" s="2" t="s">
        <v>5409</v>
      </c>
      <c r="E900" s="2" t="s">
        <v>9232</v>
      </c>
      <c r="F900" s="2" t="s">
        <v>9233</v>
      </c>
      <c r="G900" s="2" t="s">
        <v>5022</v>
      </c>
      <c r="H900" s="2" t="s">
        <v>5023</v>
      </c>
      <c r="I900" s="2" t="s">
        <v>9234</v>
      </c>
      <c r="J900" s="2"/>
      <c r="K900" s="2"/>
      <c r="L900" s="2"/>
      <c r="M900" s="2"/>
      <c r="N900" s="2"/>
      <c r="O900" s="2"/>
      <c r="P900" s="2"/>
      <c r="Q900" s="2"/>
    </row>
    <row r="901" spans="1:17" x14ac:dyDescent="0.2">
      <c r="A901" s="2" t="s">
        <v>4692</v>
      </c>
      <c r="B901" s="2" t="s">
        <v>9235</v>
      </c>
      <c r="C901" s="2" t="s">
        <v>6419</v>
      </c>
      <c r="D901" s="2" t="s">
        <v>9236</v>
      </c>
      <c r="E901" s="2" t="s">
        <v>9237</v>
      </c>
      <c r="F901" s="2" t="s">
        <v>9238</v>
      </c>
      <c r="G901" s="2" t="s">
        <v>5022</v>
      </c>
      <c r="H901" s="2" t="s">
        <v>5023</v>
      </c>
      <c r="I901" s="2" t="s">
        <v>9239</v>
      </c>
      <c r="J901" s="2"/>
      <c r="K901" s="2"/>
      <c r="L901" s="2"/>
      <c r="M901" s="2" t="s">
        <v>9240</v>
      </c>
      <c r="N901" s="2"/>
      <c r="O901" s="2"/>
      <c r="P901" s="2"/>
      <c r="Q901" s="2"/>
    </row>
    <row r="902" spans="1:17" x14ac:dyDescent="0.2">
      <c r="A902" s="2" t="s">
        <v>1103</v>
      </c>
      <c r="B902" s="2" t="s">
        <v>6132</v>
      </c>
      <c r="C902" s="2" t="s">
        <v>5633</v>
      </c>
      <c r="D902" s="2" t="s">
        <v>9241</v>
      </c>
      <c r="E902" s="2" t="s">
        <v>6871</v>
      </c>
      <c r="F902" s="2" t="s">
        <v>6675</v>
      </c>
      <c r="G902" s="2" t="s">
        <v>5022</v>
      </c>
      <c r="H902" s="2" t="s">
        <v>5023</v>
      </c>
      <c r="I902" s="2" t="s">
        <v>9242</v>
      </c>
      <c r="J902" s="2"/>
      <c r="K902" s="2"/>
      <c r="L902" s="2"/>
      <c r="M902" s="2" t="s">
        <v>9243</v>
      </c>
      <c r="N902" s="2"/>
      <c r="O902" s="2"/>
      <c r="P902" s="2"/>
      <c r="Q902" s="2"/>
    </row>
    <row r="903" spans="1:17" x14ac:dyDescent="0.2">
      <c r="A903" s="2" t="s">
        <v>2117</v>
      </c>
      <c r="B903" s="2" t="s">
        <v>7938</v>
      </c>
      <c r="C903" s="2" t="s">
        <v>8195</v>
      </c>
      <c r="D903" s="2" t="s">
        <v>5133</v>
      </c>
      <c r="E903" s="2" t="s">
        <v>9244</v>
      </c>
      <c r="F903" s="2" t="s">
        <v>5829</v>
      </c>
      <c r="G903" s="2" t="s">
        <v>5022</v>
      </c>
      <c r="H903" s="2" t="s">
        <v>9245</v>
      </c>
      <c r="I903" s="2"/>
      <c r="J903" s="2"/>
      <c r="K903" s="2" t="s">
        <v>9246</v>
      </c>
      <c r="L903" s="2"/>
      <c r="M903" s="2" t="s">
        <v>9247</v>
      </c>
      <c r="N903" s="2"/>
      <c r="O903" s="2"/>
      <c r="P903" s="2"/>
      <c r="Q903" s="2"/>
    </row>
    <row r="904" spans="1:17" x14ac:dyDescent="0.2">
      <c r="A904" s="2" t="s">
        <v>1413</v>
      </c>
      <c r="B904" s="2" t="s">
        <v>9248</v>
      </c>
      <c r="C904" s="2" t="s">
        <v>5229</v>
      </c>
      <c r="D904" s="2" t="s">
        <v>7802</v>
      </c>
      <c r="E904" s="2" t="s">
        <v>9249</v>
      </c>
      <c r="F904" s="2" t="s">
        <v>9250</v>
      </c>
      <c r="G904" s="2" t="s">
        <v>5022</v>
      </c>
      <c r="H904" s="2" t="s">
        <v>5023</v>
      </c>
      <c r="I904" s="2" t="s">
        <v>9251</v>
      </c>
      <c r="J904" s="2"/>
      <c r="K904" s="2"/>
      <c r="L904" s="2"/>
      <c r="M904" s="2"/>
      <c r="N904" s="2"/>
      <c r="O904" s="2"/>
      <c r="P904" s="2"/>
      <c r="Q904" s="2"/>
    </row>
    <row r="905" spans="1:17" x14ac:dyDescent="0.2">
      <c r="A905" s="2" t="s">
        <v>3798</v>
      </c>
      <c r="B905" s="2" t="s">
        <v>9252</v>
      </c>
      <c r="C905" s="2" t="s">
        <v>5352</v>
      </c>
      <c r="D905" s="2" t="s">
        <v>9120</v>
      </c>
      <c r="E905" s="2" t="s">
        <v>7928</v>
      </c>
      <c r="F905" s="2" t="s">
        <v>9253</v>
      </c>
      <c r="G905" s="2" t="s">
        <v>5022</v>
      </c>
      <c r="H905" s="2" t="s">
        <v>5023</v>
      </c>
      <c r="I905" s="2" t="s">
        <v>9254</v>
      </c>
      <c r="J905" s="2"/>
      <c r="K905" s="2"/>
      <c r="L905" s="2"/>
      <c r="M905" s="2" t="s">
        <v>9255</v>
      </c>
      <c r="N905" s="2"/>
      <c r="O905" s="2"/>
      <c r="P905" s="2"/>
      <c r="Q905" s="2"/>
    </row>
    <row r="906" spans="1:17" x14ac:dyDescent="0.2">
      <c r="A906" s="2" t="s">
        <v>775</v>
      </c>
      <c r="B906" s="2" t="s">
        <v>5407</v>
      </c>
      <c r="C906" s="2" t="s">
        <v>5409</v>
      </c>
      <c r="D906" s="2" t="s">
        <v>5408</v>
      </c>
      <c r="E906" s="2" t="s">
        <v>9256</v>
      </c>
      <c r="F906" s="2" t="s">
        <v>8863</v>
      </c>
      <c r="G906" s="2" t="s">
        <v>5022</v>
      </c>
      <c r="H906" s="2" t="s">
        <v>5023</v>
      </c>
      <c r="I906" s="2" t="s">
        <v>9257</v>
      </c>
      <c r="J906" s="2"/>
      <c r="K906" s="2"/>
      <c r="L906" s="2"/>
      <c r="M906" s="2"/>
      <c r="N906" s="2"/>
      <c r="O906" s="2"/>
      <c r="P906" s="2"/>
      <c r="Q906" s="2"/>
    </row>
    <row r="907" spans="1:17" x14ac:dyDescent="0.2">
      <c r="A907" s="2" t="s">
        <v>3338</v>
      </c>
      <c r="B907" s="2" t="s">
        <v>9258</v>
      </c>
      <c r="C907" s="2" t="s">
        <v>6357</v>
      </c>
      <c r="D907" s="2" t="s">
        <v>5051</v>
      </c>
      <c r="E907" s="2" t="s">
        <v>9259</v>
      </c>
      <c r="F907" s="2" t="s">
        <v>9260</v>
      </c>
      <c r="G907" s="2" t="s">
        <v>5022</v>
      </c>
      <c r="H907" s="2" t="s">
        <v>5023</v>
      </c>
      <c r="I907" s="2" t="s">
        <v>9261</v>
      </c>
      <c r="J907" s="2"/>
      <c r="K907" s="2"/>
      <c r="L907" s="2"/>
      <c r="M907" s="2" t="s">
        <v>9262</v>
      </c>
      <c r="N907" s="2"/>
      <c r="O907" s="2"/>
      <c r="P907" s="2"/>
      <c r="Q907" s="2"/>
    </row>
    <row r="908" spans="1:17" x14ac:dyDescent="0.2">
      <c r="A908" s="2" t="s">
        <v>2312</v>
      </c>
      <c r="B908" s="2" t="s">
        <v>7469</v>
      </c>
      <c r="C908" s="2" t="s">
        <v>5125</v>
      </c>
      <c r="D908" s="2" t="s">
        <v>5473</v>
      </c>
      <c r="E908" s="2" t="s">
        <v>9263</v>
      </c>
      <c r="F908" s="2" t="s">
        <v>5590</v>
      </c>
      <c r="G908" s="2" t="s">
        <v>5022</v>
      </c>
      <c r="H908" s="2" t="s">
        <v>5023</v>
      </c>
      <c r="I908" s="2" t="s">
        <v>9264</v>
      </c>
      <c r="J908" s="2"/>
      <c r="K908" s="2"/>
      <c r="L908" s="2"/>
      <c r="M908" s="2"/>
      <c r="N908" s="2"/>
      <c r="O908" s="2"/>
      <c r="P908" s="2"/>
      <c r="Q908" s="2"/>
    </row>
    <row r="909" spans="1:17" x14ac:dyDescent="0.2">
      <c r="A909" s="2" t="s">
        <v>4910</v>
      </c>
      <c r="B909" s="2" t="s">
        <v>6075</v>
      </c>
      <c r="C909" s="2" t="s">
        <v>8600</v>
      </c>
      <c r="D909" s="2" t="s">
        <v>5164</v>
      </c>
      <c r="E909" s="2" t="s">
        <v>9265</v>
      </c>
      <c r="F909" s="2" t="s">
        <v>6761</v>
      </c>
      <c r="G909" s="2" t="s">
        <v>5022</v>
      </c>
      <c r="H909" s="2" t="s">
        <v>5023</v>
      </c>
      <c r="I909" s="2" t="s">
        <v>9266</v>
      </c>
      <c r="J909" s="2"/>
      <c r="K909" s="2"/>
      <c r="L909" s="2"/>
      <c r="M909" s="2" t="s">
        <v>9267</v>
      </c>
      <c r="N909" s="2"/>
      <c r="O909" s="2"/>
      <c r="P909" s="2"/>
      <c r="Q909" s="2"/>
    </row>
    <row r="910" spans="1:17" x14ac:dyDescent="0.2">
      <c r="A910" s="2" t="s">
        <v>3103</v>
      </c>
      <c r="B910" s="2" t="s">
        <v>5779</v>
      </c>
      <c r="C910" s="2" t="s">
        <v>9268</v>
      </c>
      <c r="D910" s="2" t="s">
        <v>5076</v>
      </c>
      <c r="E910" s="2" t="s">
        <v>9269</v>
      </c>
      <c r="F910" s="2" t="s">
        <v>9270</v>
      </c>
      <c r="G910" s="2" t="s">
        <v>5022</v>
      </c>
      <c r="H910" s="2" t="s">
        <v>5023</v>
      </c>
      <c r="I910" s="2" t="s">
        <v>9271</v>
      </c>
      <c r="J910" s="2"/>
      <c r="K910" s="2"/>
      <c r="L910" s="2"/>
      <c r="M910" s="2" t="s">
        <v>9272</v>
      </c>
      <c r="N910" s="2"/>
      <c r="O910" s="2"/>
      <c r="P910" s="2"/>
      <c r="Q910" s="2"/>
    </row>
    <row r="911" spans="1:17" x14ac:dyDescent="0.2">
      <c r="A911" s="2" t="s">
        <v>1801</v>
      </c>
      <c r="B911" s="2" t="s">
        <v>9273</v>
      </c>
      <c r="C911" s="2" t="s">
        <v>9274</v>
      </c>
      <c r="D911" s="2" t="s">
        <v>9275</v>
      </c>
      <c r="E911" s="2" t="s">
        <v>9276</v>
      </c>
      <c r="F911" s="2" t="s">
        <v>9277</v>
      </c>
      <c r="G911" s="2" t="s">
        <v>5022</v>
      </c>
      <c r="H911" s="2" t="s">
        <v>5023</v>
      </c>
      <c r="I911" s="2"/>
      <c r="J911" s="2"/>
      <c r="K911" s="2" t="s">
        <v>9278</v>
      </c>
      <c r="L911" s="2"/>
      <c r="M911" s="2"/>
      <c r="N911" s="2"/>
      <c r="O911" s="2"/>
      <c r="P911" s="2"/>
      <c r="Q911" s="2"/>
    </row>
    <row r="912" spans="1:17" x14ac:dyDescent="0.2">
      <c r="A912" s="2" t="s">
        <v>4028</v>
      </c>
      <c r="B912" s="2" t="s">
        <v>9279</v>
      </c>
      <c r="C912" s="2" t="s">
        <v>9280</v>
      </c>
      <c r="D912" s="2" t="s">
        <v>5810</v>
      </c>
      <c r="E912" s="2" t="s">
        <v>6563</v>
      </c>
      <c r="F912" s="2" t="s">
        <v>9281</v>
      </c>
      <c r="G912" s="2" t="s">
        <v>5022</v>
      </c>
      <c r="H912" s="2" t="s">
        <v>5122</v>
      </c>
      <c r="I912" s="2" t="s">
        <v>9282</v>
      </c>
      <c r="J912" s="2"/>
      <c r="K912" s="2"/>
      <c r="L912" s="2"/>
      <c r="M912" s="2" t="s">
        <v>9283</v>
      </c>
      <c r="N912" s="2"/>
      <c r="O912" s="2"/>
      <c r="P912" s="2"/>
      <c r="Q912" s="2"/>
    </row>
    <row r="913" spans="1:17" x14ac:dyDescent="0.2">
      <c r="A913" s="2" t="s">
        <v>269</v>
      </c>
      <c r="B913" s="2" t="s">
        <v>5432</v>
      </c>
      <c r="C913" s="2" t="s">
        <v>6034</v>
      </c>
      <c r="D913" s="2" t="s">
        <v>5193</v>
      </c>
      <c r="E913" s="2" t="s">
        <v>9284</v>
      </c>
      <c r="F913" s="2" t="s">
        <v>9285</v>
      </c>
      <c r="G913" s="2" t="s">
        <v>5022</v>
      </c>
      <c r="H913" s="2" t="s">
        <v>5023</v>
      </c>
      <c r="I913" s="2" t="s">
        <v>9286</v>
      </c>
      <c r="J913" s="2"/>
      <c r="K913" s="2"/>
      <c r="L913" s="2"/>
      <c r="M913" s="2"/>
      <c r="N913" s="2"/>
      <c r="O913" s="2"/>
      <c r="P913" s="2"/>
      <c r="Q913" s="2"/>
    </row>
    <row r="914" spans="1:17" x14ac:dyDescent="0.2">
      <c r="A914" s="2" t="s">
        <v>1633</v>
      </c>
      <c r="B914" s="2" t="s">
        <v>3464</v>
      </c>
      <c r="C914" s="2" t="s">
        <v>6357</v>
      </c>
      <c r="D914" s="2" t="s">
        <v>5164</v>
      </c>
      <c r="E914" s="2" t="s">
        <v>9287</v>
      </c>
      <c r="F914" s="2" t="s">
        <v>9288</v>
      </c>
      <c r="G914" s="2" t="s">
        <v>5022</v>
      </c>
      <c r="H914" s="2" t="s">
        <v>5023</v>
      </c>
      <c r="I914" s="2" t="s">
        <v>9289</v>
      </c>
      <c r="J914" s="2"/>
      <c r="K914" s="2"/>
      <c r="L914" s="2"/>
      <c r="M914" s="2"/>
      <c r="N914" s="2"/>
      <c r="O914" s="2"/>
      <c r="P914" s="2"/>
      <c r="Q914" s="2"/>
    </row>
    <row r="915" spans="1:17" x14ac:dyDescent="0.2">
      <c r="A915" s="2" t="s">
        <v>1822</v>
      </c>
      <c r="B915" s="2" t="s">
        <v>9290</v>
      </c>
      <c r="C915" s="2" t="s">
        <v>9291</v>
      </c>
      <c r="D915" s="2" t="s">
        <v>5357</v>
      </c>
      <c r="E915" s="2" t="s">
        <v>9292</v>
      </c>
      <c r="F915" s="2" t="s">
        <v>9293</v>
      </c>
      <c r="G915" s="2" t="s">
        <v>5022</v>
      </c>
      <c r="H915" s="2" t="s">
        <v>5023</v>
      </c>
      <c r="I915" s="2" t="s">
        <v>9294</v>
      </c>
      <c r="J915" s="2"/>
      <c r="K915" s="2"/>
      <c r="L915" s="2"/>
      <c r="M915" s="2" t="s">
        <v>9295</v>
      </c>
      <c r="N915" s="2"/>
      <c r="O915" s="2"/>
      <c r="P915" s="2"/>
      <c r="Q915" s="2"/>
    </row>
    <row r="916" spans="1:17" x14ac:dyDescent="0.2">
      <c r="A916" s="2" t="s">
        <v>1860</v>
      </c>
      <c r="B916" s="2" t="s">
        <v>5151</v>
      </c>
      <c r="C916" s="2" t="s">
        <v>6076</v>
      </c>
      <c r="D916" s="2" t="s">
        <v>5690</v>
      </c>
      <c r="E916" s="2" t="s">
        <v>9296</v>
      </c>
      <c r="F916" s="2" t="s">
        <v>6072</v>
      </c>
      <c r="G916" s="2" t="s">
        <v>5022</v>
      </c>
      <c r="H916" s="2" t="s">
        <v>5023</v>
      </c>
      <c r="I916" s="2" t="s">
        <v>9297</v>
      </c>
      <c r="J916" s="2"/>
      <c r="K916" s="2"/>
      <c r="L916" s="2"/>
      <c r="M916" s="2" t="s">
        <v>9298</v>
      </c>
      <c r="N916" s="2"/>
      <c r="O916" s="2"/>
      <c r="P916" s="2"/>
      <c r="Q916" s="2"/>
    </row>
    <row r="917" spans="1:17" x14ac:dyDescent="0.2">
      <c r="A917" s="2" t="s">
        <v>4884</v>
      </c>
      <c r="B917" s="2" t="s">
        <v>8636</v>
      </c>
      <c r="C917" s="2" t="s">
        <v>8610</v>
      </c>
      <c r="D917" s="2" t="s">
        <v>7822</v>
      </c>
      <c r="E917" s="2" t="s">
        <v>9299</v>
      </c>
      <c r="F917" s="2" t="s">
        <v>9300</v>
      </c>
      <c r="G917" s="2" t="s">
        <v>5022</v>
      </c>
      <c r="H917" s="2" t="s">
        <v>5023</v>
      </c>
      <c r="I917" s="2"/>
      <c r="J917" s="2"/>
      <c r="K917" s="2" t="s">
        <v>9301</v>
      </c>
      <c r="L917" s="2"/>
      <c r="M917" s="2"/>
      <c r="N917" s="2"/>
      <c r="O917" s="2"/>
      <c r="P917" s="2"/>
      <c r="Q917" s="2"/>
    </row>
    <row r="918" spans="1:17" x14ac:dyDescent="0.2">
      <c r="A918" s="2" t="s">
        <v>3296</v>
      </c>
      <c r="B918" s="2" t="s">
        <v>7318</v>
      </c>
      <c r="C918" s="2" t="s">
        <v>5134</v>
      </c>
      <c r="D918" s="2" t="s">
        <v>5076</v>
      </c>
      <c r="E918" s="2" t="s">
        <v>9302</v>
      </c>
      <c r="F918" s="2" t="s">
        <v>9303</v>
      </c>
      <c r="G918" s="2" t="s">
        <v>5022</v>
      </c>
      <c r="H918" s="2" t="s">
        <v>5023</v>
      </c>
      <c r="I918" s="2" t="s">
        <v>9304</v>
      </c>
      <c r="J918" s="2"/>
      <c r="K918" s="2"/>
      <c r="L918" s="2"/>
      <c r="M918" s="2" t="s">
        <v>9305</v>
      </c>
      <c r="N918" s="2"/>
      <c r="O918" s="2"/>
      <c r="P918" s="2"/>
      <c r="Q918" s="2"/>
    </row>
    <row r="919" spans="1:17" x14ac:dyDescent="0.2">
      <c r="A919" s="2" t="s">
        <v>1011</v>
      </c>
      <c r="B919" s="2" t="s">
        <v>7251</v>
      </c>
      <c r="C919" s="2" t="s">
        <v>6820</v>
      </c>
      <c r="D919" s="2" t="s">
        <v>9306</v>
      </c>
      <c r="E919" s="2" t="s">
        <v>6942</v>
      </c>
      <c r="F919" s="2" t="s">
        <v>5400</v>
      </c>
      <c r="G919" s="2" t="s">
        <v>5022</v>
      </c>
      <c r="H919" s="2" t="s">
        <v>5023</v>
      </c>
      <c r="I919" s="2"/>
      <c r="J919" s="2"/>
      <c r="K919" s="2" t="s">
        <v>9307</v>
      </c>
      <c r="L919" s="2"/>
      <c r="M919" s="2"/>
      <c r="N919" s="2"/>
      <c r="O919" s="2"/>
      <c r="P919" s="2"/>
      <c r="Q919" s="2"/>
    </row>
    <row r="920" spans="1:17" x14ac:dyDescent="0.2">
      <c r="A920" s="2" t="s">
        <v>2120</v>
      </c>
      <c r="B920" s="2" t="s">
        <v>7934</v>
      </c>
      <c r="C920" s="2" t="s">
        <v>5046</v>
      </c>
      <c r="D920" s="2" t="s">
        <v>5895</v>
      </c>
      <c r="E920" s="2" t="s">
        <v>6064</v>
      </c>
      <c r="F920" s="2" t="s">
        <v>9308</v>
      </c>
      <c r="G920" s="2" t="s">
        <v>5022</v>
      </c>
      <c r="H920" s="2" t="s">
        <v>5023</v>
      </c>
      <c r="I920" s="2" t="s">
        <v>9309</v>
      </c>
      <c r="J920" s="2"/>
      <c r="K920" s="2"/>
      <c r="L920" s="2"/>
      <c r="M920" s="2" t="s">
        <v>9310</v>
      </c>
      <c r="N920" s="2"/>
      <c r="O920" s="2"/>
      <c r="P920" s="2"/>
      <c r="Q920" s="2"/>
    </row>
    <row r="921" spans="1:17" x14ac:dyDescent="0.2">
      <c r="A921" s="2" t="s">
        <v>919</v>
      </c>
      <c r="B921" s="2" t="s">
        <v>9311</v>
      </c>
      <c r="C921" s="2" t="s">
        <v>5076</v>
      </c>
      <c r="D921" s="2" t="s">
        <v>5458</v>
      </c>
      <c r="E921" s="2" t="s">
        <v>9312</v>
      </c>
      <c r="F921" s="2" t="s">
        <v>8249</v>
      </c>
      <c r="G921" s="2" t="s">
        <v>5022</v>
      </c>
      <c r="H921" s="2" t="s">
        <v>5023</v>
      </c>
      <c r="I921" s="2" t="s">
        <v>9313</v>
      </c>
      <c r="J921" s="2"/>
      <c r="K921" s="2"/>
      <c r="L921" s="2"/>
      <c r="M921" s="2" t="s">
        <v>9314</v>
      </c>
      <c r="N921" s="2"/>
      <c r="O921" s="2"/>
      <c r="P921" s="2"/>
      <c r="Q921" s="2"/>
    </row>
    <row r="922" spans="1:17" x14ac:dyDescent="0.2">
      <c r="A922" s="2" t="s">
        <v>2052</v>
      </c>
      <c r="B922" s="2" t="s">
        <v>1374</v>
      </c>
      <c r="C922" s="2" t="s">
        <v>5814</v>
      </c>
      <c r="D922" s="2" t="s">
        <v>5606</v>
      </c>
      <c r="E922" s="2" t="s">
        <v>9315</v>
      </c>
      <c r="F922" s="2" t="s">
        <v>5400</v>
      </c>
      <c r="G922" s="2" t="s">
        <v>5022</v>
      </c>
      <c r="H922" s="2" t="s">
        <v>5023</v>
      </c>
      <c r="I922" s="2" t="s">
        <v>9316</v>
      </c>
      <c r="J922" s="2"/>
      <c r="K922" s="2"/>
      <c r="L922" s="2"/>
      <c r="M922" s="2" t="s">
        <v>9317</v>
      </c>
      <c r="N922" s="2"/>
      <c r="O922" s="2"/>
      <c r="P922" s="2"/>
      <c r="Q922" s="2"/>
    </row>
    <row r="923" spans="1:17" x14ac:dyDescent="0.2">
      <c r="A923" s="2" t="s">
        <v>2515</v>
      </c>
      <c r="B923" s="2" t="s">
        <v>9318</v>
      </c>
      <c r="C923" s="2" t="s">
        <v>9319</v>
      </c>
      <c r="D923" s="2" t="s">
        <v>7460</v>
      </c>
      <c r="E923" s="2" t="s">
        <v>9320</v>
      </c>
      <c r="F923" s="2" t="s">
        <v>9006</v>
      </c>
      <c r="G923" s="2" t="s">
        <v>5022</v>
      </c>
      <c r="H923" s="2" t="s">
        <v>5023</v>
      </c>
      <c r="I923" s="2"/>
      <c r="J923" s="2"/>
      <c r="K923" s="2" t="s">
        <v>9321</v>
      </c>
      <c r="L923" s="2"/>
      <c r="M923" s="2"/>
      <c r="N923" s="2"/>
      <c r="O923" s="2"/>
      <c r="P923" s="2"/>
      <c r="Q923" s="2"/>
    </row>
    <row r="924" spans="1:17" x14ac:dyDescent="0.2">
      <c r="A924" s="2" t="s">
        <v>1336</v>
      </c>
      <c r="B924" s="2" t="s">
        <v>9322</v>
      </c>
      <c r="C924" s="2" t="s">
        <v>9323</v>
      </c>
      <c r="D924" s="2" t="s">
        <v>5936</v>
      </c>
      <c r="E924" s="2" t="s">
        <v>6450</v>
      </c>
      <c r="F924" s="2" t="s">
        <v>9324</v>
      </c>
      <c r="G924" s="2" t="s">
        <v>5022</v>
      </c>
      <c r="H924" s="2" t="s">
        <v>5023</v>
      </c>
      <c r="I924" s="2" t="s">
        <v>9325</v>
      </c>
      <c r="J924" s="2"/>
      <c r="K924" s="2"/>
      <c r="L924" s="2"/>
      <c r="M924" s="2" t="s">
        <v>9326</v>
      </c>
      <c r="N924" s="2"/>
      <c r="O924" s="2"/>
      <c r="P924" s="2"/>
      <c r="Q924" s="2"/>
    </row>
    <row r="925" spans="1:17" x14ac:dyDescent="0.2">
      <c r="A925" s="2" t="s">
        <v>4881</v>
      </c>
      <c r="B925" s="2" t="s">
        <v>7473</v>
      </c>
      <c r="C925" s="2" t="s">
        <v>5895</v>
      </c>
      <c r="D925" s="2" t="s">
        <v>9327</v>
      </c>
      <c r="E925" s="2" t="s">
        <v>5769</v>
      </c>
      <c r="F925" s="2" t="s">
        <v>9328</v>
      </c>
      <c r="G925" s="2" t="s">
        <v>5022</v>
      </c>
      <c r="H925" s="2" t="s">
        <v>5023</v>
      </c>
      <c r="I925" s="2" t="s">
        <v>9329</v>
      </c>
      <c r="J925" s="2"/>
      <c r="K925" s="2"/>
      <c r="L925" s="2"/>
      <c r="M925" s="2"/>
      <c r="N925" s="2"/>
      <c r="O925" s="2"/>
      <c r="P925" s="2"/>
      <c r="Q925" s="2"/>
    </row>
    <row r="926" spans="1:17" x14ac:dyDescent="0.2">
      <c r="A926" s="2" t="s">
        <v>4244</v>
      </c>
      <c r="B926" s="2" t="s">
        <v>9330</v>
      </c>
      <c r="C926" s="2" t="s">
        <v>9331</v>
      </c>
      <c r="D926" s="2" t="s">
        <v>5510</v>
      </c>
      <c r="E926" s="2" t="s">
        <v>9332</v>
      </c>
      <c r="F926" s="2" t="s">
        <v>9059</v>
      </c>
      <c r="G926" s="2" t="s">
        <v>5022</v>
      </c>
      <c r="H926" s="2" t="s">
        <v>5023</v>
      </c>
      <c r="I926" s="2" t="s">
        <v>9333</v>
      </c>
      <c r="J926" s="2"/>
      <c r="K926" s="2"/>
      <c r="L926" s="2"/>
      <c r="M926" s="2" t="s">
        <v>9334</v>
      </c>
      <c r="N926" s="2"/>
      <c r="O926" s="2"/>
      <c r="P926" s="2"/>
      <c r="Q926" s="2"/>
    </row>
    <row r="927" spans="1:17" x14ac:dyDescent="0.2">
      <c r="A927" s="2" t="s">
        <v>1688</v>
      </c>
      <c r="B927" s="2" t="s">
        <v>8850</v>
      </c>
      <c r="C927" s="2" t="s">
        <v>5911</v>
      </c>
      <c r="D927" s="2" t="s">
        <v>9335</v>
      </c>
      <c r="E927" s="2" t="s">
        <v>9336</v>
      </c>
      <c r="F927" s="2" t="s">
        <v>9337</v>
      </c>
      <c r="G927" s="2" t="s">
        <v>5022</v>
      </c>
      <c r="H927" s="2" t="s">
        <v>5023</v>
      </c>
      <c r="I927" s="2" t="s">
        <v>9338</v>
      </c>
      <c r="J927" s="2"/>
      <c r="K927" s="2"/>
      <c r="L927" s="2"/>
      <c r="M927" s="2"/>
      <c r="N927" s="2"/>
      <c r="O927" s="2"/>
      <c r="P927" s="2"/>
      <c r="Q927" s="2"/>
    </row>
    <row r="928" spans="1:17" x14ac:dyDescent="0.2">
      <c r="A928" s="2" t="s">
        <v>2072</v>
      </c>
      <c r="B928" s="2" t="s">
        <v>9339</v>
      </c>
      <c r="C928" s="2" t="s">
        <v>6419</v>
      </c>
      <c r="D928" s="2" t="s">
        <v>9340</v>
      </c>
      <c r="E928" s="2" t="s">
        <v>9341</v>
      </c>
      <c r="F928" s="2" t="s">
        <v>6396</v>
      </c>
      <c r="G928" s="2" t="s">
        <v>5022</v>
      </c>
      <c r="H928" s="2" t="s">
        <v>5023</v>
      </c>
      <c r="I928" s="2" t="s">
        <v>9342</v>
      </c>
      <c r="J928" s="2"/>
      <c r="K928" s="2"/>
      <c r="L928" s="2"/>
      <c r="M928" s="2" t="s">
        <v>9343</v>
      </c>
      <c r="N928" s="2"/>
      <c r="O928" s="2"/>
      <c r="P928" s="2"/>
      <c r="Q928" s="2"/>
    </row>
    <row r="929" spans="1:17" x14ac:dyDescent="0.2">
      <c r="A929" s="2" t="s">
        <v>2366</v>
      </c>
      <c r="B929" s="2" t="s">
        <v>9344</v>
      </c>
      <c r="C929" s="2" t="s">
        <v>5300</v>
      </c>
      <c r="D929" s="2" t="s">
        <v>9345</v>
      </c>
      <c r="E929" s="2" t="s">
        <v>6983</v>
      </c>
      <c r="F929" s="2" t="s">
        <v>9346</v>
      </c>
      <c r="G929" s="2" t="s">
        <v>5022</v>
      </c>
      <c r="H929" s="2" t="s">
        <v>5023</v>
      </c>
      <c r="I929" s="2" t="s">
        <v>9347</v>
      </c>
      <c r="J929" s="2"/>
      <c r="K929" s="2"/>
      <c r="L929" s="2"/>
      <c r="M929" s="2"/>
      <c r="N929" s="2"/>
      <c r="O929" s="2"/>
      <c r="P929" s="2"/>
      <c r="Q929" s="2"/>
    </row>
    <row r="930" spans="1:17" x14ac:dyDescent="0.2">
      <c r="A930" s="2" t="s">
        <v>2485</v>
      </c>
      <c r="B930" s="2" t="s">
        <v>6122</v>
      </c>
      <c r="C930" s="2" t="s">
        <v>6824</v>
      </c>
      <c r="D930" s="2" t="s">
        <v>5240</v>
      </c>
      <c r="E930" s="2" t="s">
        <v>9348</v>
      </c>
      <c r="F930" s="2" t="s">
        <v>9349</v>
      </c>
      <c r="G930" s="2" t="s">
        <v>5022</v>
      </c>
      <c r="H930" s="2" t="s">
        <v>5023</v>
      </c>
      <c r="I930" s="2"/>
      <c r="J930" s="2"/>
      <c r="K930" s="2" t="s">
        <v>9350</v>
      </c>
      <c r="L930" s="2"/>
      <c r="M930" s="2"/>
      <c r="N930" s="2"/>
      <c r="O930" s="2"/>
      <c r="P930" s="2"/>
      <c r="Q930" s="2"/>
    </row>
    <row r="931" spans="1:17" x14ac:dyDescent="0.2">
      <c r="A931" s="2" t="s">
        <v>3991</v>
      </c>
      <c r="B931" s="2" t="s">
        <v>9351</v>
      </c>
      <c r="C931" s="2" t="s">
        <v>6357</v>
      </c>
      <c r="D931" s="2" t="s">
        <v>7025</v>
      </c>
      <c r="E931" s="2" t="s">
        <v>9352</v>
      </c>
      <c r="F931" s="2" t="s">
        <v>9353</v>
      </c>
      <c r="G931" s="2" t="s">
        <v>5022</v>
      </c>
      <c r="H931" s="2" t="s">
        <v>5023</v>
      </c>
      <c r="I931" s="2" t="s">
        <v>9354</v>
      </c>
      <c r="J931" s="2"/>
      <c r="K931" s="2"/>
      <c r="L931" s="2"/>
      <c r="M931" s="2" t="s">
        <v>9355</v>
      </c>
      <c r="N931" s="2"/>
      <c r="O931" s="2"/>
      <c r="P931" s="2"/>
      <c r="Q931" s="2"/>
    </row>
    <row r="932" spans="1:17" x14ac:dyDescent="0.2">
      <c r="A932" s="2" t="s">
        <v>2136</v>
      </c>
      <c r="B932" s="2" t="s">
        <v>9356</v>
      </c>
      <c r="C932" s="2" t="s">
        <v>5126</v>
      </c>
      <c r="D932" s="2" t="s">
        <v>7589</v>
      </c>
      <c r="E932" s="2" t="s">
        <v>9357</v>
      </c>
      <c r="F932" s="2" t="s">
        <v>6902</v>
      </c>
      <c r="G932" s="2" t="s">
        <v>5022</v>
      </c>
      <c r="H932" s="2" t="s">
        <v>5023</v>
      </c>
      <c r="I932" s="2"/>
      <c r="J932" s="2"/>
      <c r="K932" s="2" t="s">
        <v>9358</v>
      </c>
      <c r="L932" s="2"/>
      <c r="M932" s="2"/>
      <c r="N932" s="2"/>
      <c r="O932" s="2"/>
      <c r="P932" s="2"/>
      <c r="Q932" s="2"/>
    </row>
    <row r="933" spans="1:17" x14ac:dyDescent="0.2">
      <c r="A933" s="2" t="s">
        <v>3463</v>
      </c>
      <c r="B933" s="2" t="s">
        <v>9359</v>
      </c>
      <c r="C933" s="2" t="s">
        <v>6328</v>
      </c>
      <c r="D933" s="2" t="s">
        <v>9360</v>
      </c>
      <c r="E933" s="2" t="s">
        <v>9361</v>
      </c>
      <c r="F933" s="2" t="s">
        <v>5629</v>
      </c>
      <c r="G933" s="2" t="s">
        <v>5022</v>
      </c>
      <c r="H933" s="2" t="s">
        <v>5023</v>
      </c>
      <c r="I933" s="2" t="s">
        <v>9362</v>
      </c>
      <c r="J933" s="2"/>
      <c r="K933" s="2"/>
      <c r="L933" s="2"/>
      <c r="M933" s="2" t="s">
        <v>9363</v>
      </c>
      <c r="N933" s="2"/>
      <c r="O933" s="2"/>
      <c r="P933" s="2"/>
      <c r="Q933" s="2"/>
    </row>
    <row r="934" spans="1:17" x14ac:dyDescent="0.2">
      <c r="A934" s="2" t="s">
        <v>1123</v>
      </c>
      <c r="B934" s="2" t="s">
        <v>7605</v>
      </c>
      <c r="C934" s="2" t="s">
        <v>5189</v>
      </c>
      <c r="D934" s="2" t="s">
        <v>5374</v>
      </c>
      <c r="E934" s="2" t="s">
        <v>9364</v>
      </c>
      <c r="F934" s="2" t="s">
        <v>9365</v>
      </c>
      <c r="G934" s="2" t="s">
        <v>5022</v>
      </c>
      <c r="H934" s="2" t="s">
        <v>5023</v>
      </c>
      <c r="I934" s="2" t="s">
        <v>9366</v>
      </c>
      <c r="J934" s="2"/>
      <c r="K934" s="2"/>
      <c r="L934" s="2"/>
      <c r="M934" s="2" t="s">
        <v>9367</v>
      </c>
      <c r="N934" s="2"/>
      <c r="O934" s="2"/>
      <c r="P934" s="2"/>
      <c r="Q934" s="2"/>
    </row>
    <row r="935" spans="1:17" x14ac:dyDescent="0.2">
      <c r="A935" s="2" t="s">
        <v>2706</v>
      </c>
      <c r="B935" s="2" t="s">
        <v>9368</v>
      </c>
      <c r="C935" s="2" t="s">
        <v>5535</v>
      </c>
      <c r="D935" s="2" t="s">
        <v>6890</v>
      </c>
      <c r="E935" s="2" t="s">
        <v>9369</v>
      </c>
      <c r="F935" s="2" t="s">
        <v>9370</v>
      </c>
      <c r="G935" s="2" t="s">
        <v>5022</v>
      </c>
      <c r="H935" s="2" t="s">
        <v>5023</v>
      </c>
      <c r="I935" s="2" t="s">
        <v>9371</v>
      </c>
      <c r="J935" s="2"/>
      <c r="K935" s="2"/>
      <c r="L935" s="2"/>
      <c r="M935" s="2"/>
      <c r="N935" s="2"/>
      <c r="O935" s="2"/>
      <c r="P935" s="2"/>
      <c r="Q935" s="2"/>
    </row>
    <row r="936" spans="1:17" x14ac:dyDescent="0.2">
      <c r="A936" s="2" t="s">
        <v>4879</v>
      </c>
      <c r="B936" s="2" t="s">
        <v>9372</v>
      </c>
      <c r="C936" s="2" t="s">
        <v>9373</v>
      </c>
      <c r="D936" s="2" t="s">
        <v>9374</v>
      </c>
      <c r="E936" s="2" t="s">
        <v>9375</v>
      </c>
      <c r="F936" s="2" t="s">
        <v>9376</v>
      </c>
      <c r="G936" s="2" t="s">
        <v>5022</v>
      </c>
      <c r="H936" s="2" t="s">
        <v>5023</v>
      </c>
      <c r="I936" s="2" t="s">
        <v>9377</v>
      </c>
      <c r="J936" s="2"/>
      <c r="K936" s="2"/>
      <c r="L936" s="2"/>
      <c r="M936" s="2"/>
      <c r="N936" s="2"/>
      <c r="O936" s="2"/>
      <c r="P936" s="2"/>
      <c r="Q936" s="2"/>
    </row>
    <row r="937" spans="1:17" x14ac:dyDescent="0.2">
      <c r="A937" s="2" t="s">
        <v>1621</v>
      </c>
      <c r="B937" s="2" t="s">
        <v>9378</v>
      </c>
      <c r="C937" s="2" t="s">
        <v>9379</v>
      </c>
      <c r="D937" s="2" t="s">
        <v>5428</v>
      </c>
      <c r="E937" s="2" t="s">
        <v>9380</v>
      </c>
      <c r="F937" s="2" t="s">
        <v>9381</v>
      </c>
      <c r="G937" s="2" t="s">
        <v>5022</v>
      </c>
      <c r="H937" s="2" t="s">
        <v>5023</v>
      </c>
      <c r="I937" s="2" t="s">
        <v>9382</v>
      </c>
      <c r="J937" s="2"/>
      <c r="K937" s="2"/>
      <c r="L937" s="2"/>
      <c r="M937" s="2"/>
      <c r="N937" s="2"/>
      <c r="O937" s="2"/>
      <c r="P937" s="2"/>
      <c r="Q937" s="2"/>
    </row>
    <row r="938" spans="1:17" x14ac:dyDescent="0.2">
      <c r="A938" s="2" t="s">
        <v>4583</v>
      </c>
      <c r="B938" s="2" t="s">
        <v>9383</v>
      </c>
      <c r="C938" s="2" t="s">
        <v>9384</v>
      </c>
      <c r="D938" s="2" t="s">
        <v>7047</v>
      </c>
      <c r="E938" s="2" t="s">
        <v>7037</v>
      </c>
      <c r="F938" s="2" t="s">
        <v>7038</v>
      </c>
      <c r="G938" s="2" t="s">
        <v>5022</v>
      </c>
      <c r="H938" s="2" t="s">
        <v>5023</v>
      </c>
      <c r="I938" s="2" t="s">
        <v>9385</v>
      </c>
      <c r="J938" s="2"/>
      <c r="K938" s="2"/>
      <c r="L938" s="2"/>
      <c r="M938" s="2" t="s">
        <v>9386</v>
      </c>
      <c r="N938" s="2"/>
      <c r="O938" s="2"/>
      <c r="P938" s="2"/>
      <c r="Q938" s="2"/>
    </row>
    <row r="939" spans="1:17" x14ac:dyDescent="0.2">
      <c r="A939" s="2" t="s">
        <v>4273</v>
      </c>
      <c r="B939" s="2" t="s">
        <v>9387</v>
      </c>
      <c r="C939" s="2" t="s">
        <v>5028</v>
      </c>
      <c r="D939" s="2" t="s">
        <v>5535</v>
      </c>
      <c r="E939" s="2" t="s">
        <v>9388</v>
      </c>
      <c r="F939" s="2" t="s">
        <v>9389</v>
      </c>
      <c r="G939" s="2" t="s">
        <v>5022</v>
      </c>
      <c r="H939" s="2" t="s">
        <v>5023</v>
      </c>
      <c r="I939" s="2" t="s">
        <v>9390</v>
      </c>
      <c r="J939" s="2"/>
      <c r="K939" s="2"/>
      <c r="L939" s="2"/>
      <c r="M939" s="2" t="s">
        <v>9391</v>
      </c>
      <c r="N939" s="2"/>
      <c r="O939" s="2"/>
      <c r="P939" s="2"/>
      <c r="Q939" s="2"/>
    </row>
    <row r="940" spans="1:17" x14ac:dyDescent="0.2">
      <c r="A940" s="2" t="s">
        <v>1173</v>
      </c>
      <c r="B940" s="2" t="s">
        <v>5373</v>
      </c>
      <c r="C940" s="2" t="s">
        <v>7252</v>
      </c>
      <c r="D940" s="2" t="s">
        <v>6960</v>
      </c>
      <c r="E940" s="2" t="s">
        <v>9392</v>
      </c>
      <c r="F940" s="2" t="s">
        <v>9393</v>
      </c>
      <c r="G940" s="2" t="s">
        <v>5022</v>
      </c>
      <c r="H940" s="2" t="s">
        <v>5023</v>
      </c>
      <c r="I940" s="2"/>
      <c r="J940" s="2"/>
      <c r="K940" s="2" t="s">
        <v>9394</v>
      </c>
      <c r="L940" s="2"/>
      <c r="M940" s="2"/>
      <c r="N940" s="2"/>
      <c r="O940" s="2"/>
      <c r="P940" s="2"/>
      <c r="Q940" s="2"/>
    </row>
    <row r="941" spans="1:17" x14ac:dyDescent="0.2">
      <c r="A941" s="2" t="s">
        <v>874</v>
      </c>
      <c r="B941" s="2" t="s">
        <v>9395</v>
      </c>
      <c r="C941" s="2" t="s">
        <v>8708</v>
      </c>
      <c r="D941" s="2" t="s">
        <v>8783</v>
      </c>
      <c r="E941" s="2" t="s">
        <v>9396</v>
      </c>
      <c r="F941" s="2" t="s">
        <v>9397</v>
      </c>
      <c r="G941" s="2" t="s">
        <v>5022</v>
      </c>
      <c r="H941" s="2" t="s">
        <v>5023</v>
      </c>
      <c r="I941" s="2" t="s">
        <v>9398</v>
      </c>
      <c r="J941" s="2"/>
      <c r="K941" s="2"/>
      <c r="L941" s="2"/>
      <c r="M941" s="2"/>
      <c r="N941" s="2"/>
      <c r="O941" s="2"/>
      <c r="P941" s="2"/>
      <c r="Q941" s="2"/>
    </row>
    <row r="942" spans="1:17" x14ac:dyDescent="0.2">
      <c r="A942" s="2" t="s">
        <v>909</v>
      </c>
      <c r="B942" s="2" t="s">
        <v>9399</v>
      </c>
      <c r="C942" s="2" t="s">
        <v>8221</v>
      </c>
      <c r="D942" s="2" t="s">
        <v>9400</v>
      </c>
      <c r="E942" s="2" t="s">
        <v>9401</v>
      </c>
      <c r="F942" s="2" t="s">
        <v>9402</v>
      </c>
      <c r="G942" s="2" t="s">
        <v>5022</v>
      </c>
      <c r="H942" s="2" t="s">
        <v>5023</v>
      </c>
      <c r="I942" s="2" t="s">
        <v>9403</v>
      </c>
      <c r="J942" s="2"/>
      <c r="K942" s="2"/>
      <c r="L942" s="2"/>
      <c r="M942" s="2" t="s">
        <v>9404</v>
      </c>
      <c r="N942" s="2"/>
      <c r="O942" s="2"/>
      <c r="P942" s="2"/>
      <c r="Q942" s="2"/>
    </row>
    <row r="943" spans="1:17" x14ac:dyDescent="0.2">
      <c r="A943" s="2" t="s">
        <v>2944</v>
      </c>
      <c r="B943" s="2" t="s">
        <v>7181</v>
      </c>
      <c r="C943" s="2" t="s">
        <v>5087</v>
      </c>
      <c r="D943" s="2" t="s">
        <v>5087</v>
      </c>
      <c r="E943" s="2" t="s">
        <v>9405</v>
      </c>
      <c r="F943" s="2" t="s">
        <v>6949</v>
      </c>
      <c r="G943" s="2" t="s">
        <v>5022</v>
      </c>
      <c r="H943" s="2" t="s">
        <v>5023</v>
      </c>
      <c r="I943" s="2" t="s">
        <v>9406</v>
      </c>
      <c r="J943" s="2" t="s">
        <v>9407</v>
      </c>
      <c r="K943" s="2"/>
      <c r="L943" s="2"/>
      <c r="M943" s="2"/>
      <c r="N943" s="2"/>
      <c r="O943" s="2"/>
      <c r="P943" s="2"/>
      <c r="Q943" s="2"/>
    </row>
    <row r="944" spans="1:17" x14ac:dyDescent="0.2">
      <c r="A944" s="2" t="s">
        <v>4169</v>
      </c>
      <c r="B944" s="2" t="s">
        <v>9408</v>
      </c>
      <c r="C944" s="2" t="s">
        <v>9409</v>
      </c>
      <c r="D944" s="2" t="s">
        <v>8775</v>
      </c>
      <c r="E944" s="2" t="s">
        <v>9410</v>
      </c>
      <c r="F944" s="2" t="s">
        <v>9411</v>
      </c>
      <c r="G944" s="2" t="s">
        <v>5022</v>
      </c>
      <c r="H944" s="2" t="s">
        <v>5023</v>
      </c>
      <c r="I944" s="2" t="s">
        <v>9412</v>
      </c>
      <c r="J944" s="2"/>
      <c r="K944" s="2"/>
      <c r="L944" s="2"/>
      <c r="M944" s="2" t="s">
        <v>9413</v>
      </c>
      <c r="N944" s="2"/>
      <c r="O944" s="2"/>
      <c r="P944" s="2"/>
      <c r="Q944" s="2"/>
    </row>
    <row r="945" spans="1:17" x14ac:dyDescent="0.2">
      <c r="A945" s="2" t="s">
        <v>2207</v>
      </c>
      <c r="B945" s="2" t="s">
        <v>5557</v>
      </c>
      <c r="C945" s="2" t="s">
        <v>6292</v>
      </c>
      <c r="D945" s="2" t="s">
        <v>9414</v>
      </c>
      <c r="E945" s="2" t="s">
        <v>9415</v>
      </c>
      <c r="F945" s="2" t="s">
        <v>9416</v>
      </c>
      <c r="G945" s="2" t="s">
        <v>5022</v>
      </c>
      <c r="H945" s="2" t="s">
        <v>5023</v>
      </c>
      <c r="I945" s="2" t="s">
        <v>9417</v>
      </c>
      <c r="J945" s="2"/>
      <c r="K945" s="2"/>
      <c r="L945" s="2"/>
      <c r="M945" s="2"/>
      <c r="N945" s="2"/>
      <c r="O945" s="2"/>
      <c r="P945" s="2"/>
      <c r="Q945" s="2"/>
    </row>
    <row r="946" spans="1:17" x14ac:dyDescent="0.2">
      <c r="A946" s="2" t="s">
        <v>4181</v>
      </c>
      <c r="B946" s="2" t="s">
        <v>9418</v>
      </c>
      <c r="C946" s="2" t="s">
        <v>7262</v>
      </c>
      <c r="D946" s="2" t="s">
        <v>6003</v>
      </c>
      <c r="E946" s="2" t="s">
        <v>7541</v>
      </c>
      <c r="F946" s="2" t="s">
        <v>7001</v>
      </c>
      <c r="G946" s="2" t="s">
        <v>5022</v>
      </c>
      <c r="H946" s="2" t="s">
        <v>5023</v>
      </c>
      <c r="I946" s="2" t="s">
        <v>9419</v>
      </c>
      <c r="J946" s="2"/>
      <c r="K946" s="2"/>
      <c r="L946" s="2"/>
      <c r="M946" s="2" t="s">
        <v>9420</v>
      </c>
      <c r="N946" s="2"/>
      <c r="O946" s="2"/>
      <c r="P946" s="2"/>
      <c r="Q946" s="2"/>
    </row>
    <row r="947" spans="1:17" x14ac:dyDescent="0.2">
      <c r="A947" s="2" t="s">
        <v>3462</v>
      </c>
      <c r="B947" s="2" t="s">
        <v>5926</v>
      </c>
      <c r="C947" s="2" t="s">
        <v>7589</v>
      </c>
      <c r="D947" s="2" t="s">
        <v>5901</v>
      </c>
      <c r="E947" s="2" t="s">
        <v>9421</v>
      </c>
      <c r="F947" s="2" t="s">
        <v>8158</v>
      </c>
      <c r="G947" s="2" t="s">
        <v>5022</v>
      </c>
      <c r="H947" s="2" t="s">
        <v>5023</v>
      </c>
      <c r="I947" s="2"/>
      <c r="J947" s="2"/>
      <c r="K947" s="2" t="s">
        <v>9422</v>
      </c>
      <c r="L947" s="2" t="s">
        <v>9423</v>
      </c>
      <c r="M947" s="2" t="s">
        <v>9424</v>
      </c>
      <c r="N947" s="2"/>
      <c r="O947" s="2"/>
      <c r="P947" s="2"/>
      <c r="Q947" s="2"/>
    </row>
    <row r="948" spans="1:17" x14ac:dyDescent="0.2">
      <c r="A948" s="2" t="s">
        <v>2317</v>
      </c>
      <c r="B948" s="2" t="s">
        <v>9425</v>
      </c>
      <c r="C948" s="2" t="s">
        <v>9426</v>
      </c>
      <c r="D948" s="2" t="s">
        <v>9427</v>
      </c>
      <c r="E948" s="2" t="s">
        <v>7301</v>
      </c>
      <c r="F948" s="2" t="s">
        <v>9428</v>
      </c>
      <c r="G948" s="2" t="s">
        <v>5022</v>
      </c>
      <c r="H948" s="2" t="s">
        <v>5023</v>
      </c>
      <c r="I948" s="2" t="s">
        <v>9429</v>
      </c>
      <c r="J948" s="2"/>
      <c r="K948" s="2"/>
      <c r="L948" s="2"/>
      <c r="M948" s="2" t="s">
        <v>9430</v>
      </c>
      <c r="N948" s="2"/>
      <c r="O948" s="2"/>
      <c r="P948" s="2"/>
      <c r="Q948" s="2"/>
    </row>
    <row r="949" spans="1:17" x14ac:dyDescent="0.2">
      <c r="A949" s="2" t="s">
        <v>3710</v>
      </c>
      <c r="B949" s="2" t="s">
        <v>1553</v>
      </c>
      <c r="C949" s="2" t="s">
        <v>6018</v>
      </c>
      <c r="D949" s="2" t="s">
        <v>6023</v>
      </c>
      <c r="E949" s="2" t="s">
        <v>9431</v>
      </c>
      <c r="F949" s="2" t="s">
        <v>9432</v>
      </c>
      <c r="G949" s="2" t="s">
        <v>5022</v>
      </c>
      <c r="H949" s="2" t="s">
        <v>5023</v>
      </c>
      <c r="I949" s="2" t="s">
        <v>9433</v>
      </c>
      <c r="J949" s="2"/>
      <c r="K949" s="2"/>
      <c r="L949" s="2"/>
      <c r="M949" s="2"/>
      <c r="N949" s="2"/>
      <c r="O949" s="2"/>
      <c r="P949" s="2"/>
      <c r="Q949" s="2"/>
    </row>
    <row r="950" spans="1:17" x14ac:dyDescent="0.2">
      <c r="A950" s="2" t="s">
        <v>4617</v>
      </c>
      <c r="B950" s="2" t="s">
        <v>9434</v>
      </c>
      <c r="C950" s="2" t="s">
        <v>6539</v>
      </c>
      <c r="D950" s="2" t="s">
        <v>9435</v>
      </c>
      <c r="E950" s="2" t="s">
        <v>9436</v>
      </c>
      <c r="F950" s="2" t="s">
        <v>9437</v>
      </c>
      <c r="G950" s="2" t="s">
        <v>5022</v>
      </c>
      <c r="H950" s="2" t="s">
        <v>5023</v>
      </c>
      <c r="I950" s="2" t="s">
        <v>9438</v>
      </c>
      <c r="J950" s="2"/>
      <c r="K950" s="2"/>
      <c r="L950" s="2"/>
      <c r="M950" s="2"/>
      <c r="N950" s="2"/>
      <c r="O950" s="2"/>
      <c r="P950" s="2"/>
      <c r="Q950" s="2"/>
    </row>
    <row r="951" spans="1:17" x14ac:dyDescent="0.2">
      <c r="A951" s="2" t="s">
        <v>4737</v>
      </c>
      <c r="B951" s="2" t="s">
        <v>9439</v>
      </c>
      <c r="C951" s="2" t="s">
        <v>6204</v>
      </c>
      <c r="D951" s="2" t="s">
        <v>7213</v>
      </c>
      <c r="E951" s="2" t="s">
        <v>9440</v>
      </c>
      <c r="F951" s="2" t="s">
        <v>9441</v>
      </c>
      <c r="G951" s="2" t="s">
        <v>5022</v>
      </c>
      <c r="H951" s="2" t="s">
        <v>5023</v>
      </c>
      <c r="I951" s="2" t="s">
        <v>9442</v>
      </c>
      <c r="J951" s="2"/>
      <c r="K951" s="2"/>
      <c r="L951" s="2"/>
      <c r="M951" s="2" t="s">
        <v>9443</v>
      </c>
      <c r="N951" s="2"/>
      <c r="O951" s="2"/>
      <c r="P951" s="2"/>
      <c r="Q951" s="2"/>
    </row>
    <row r="952" spans="1:17" x14ac:dyDescent="0.2">
      <c r="A952" s="2" t="s">
        <v>3973</v>
      </c>
      <c r="B952" s="2" t="s">
        <v>9444</v>
      </c>
      <c r="C952" s="2" t="s">
        <v>5075</v>
      </c>
      <c r="D952" s="2" t="s">
        <v>5119</v>
      </c>
      <c r="E952" s="2" t="s">
        <v>9445</v>
      </c>
      <c r="F952" s="2" t="s">
        <v>6704</v>
      </c>
      <c r="G952" s="2" t="s">
        <v>5022</v>
      </c>
      <c r="H952" s="2" t="s">
        <v>5023</v>
      </c>
      <c r="I952" s="2" t="s">
        <v>9446</v>
      </c>
      <c r="J952" s="2"/>
      <c r="K952" s="2"/>
      <c r="L952" s="2"/>
      <c r="M952" s="2" t="s">
        <v>9447</v>
      </c>
      <c r="N952" s="2"/>
      <c r="O952" s="2"/>
      <c r="P952" s="2"/>
      <c r="Q952" s="2"/>
    </row>
    <row r="953" spans="1:17" x14ac:dyDescent="0.2">
      <c r="A953" s="2" t="s">
        <v>3093</v>
      </c>
      <c r="B953" s="2" t="s">
        <v>6079</v>
      </c>
      <c r="C953" s="2" t="s">
        <v>6726</v>
      </c>
      <c r="D953" s="2" t="s">
        <v>9448</v>
      </c>
      <c r="E953" s="2" t="s">
        <v>9449</v>
      </c>
      <c r="F953" s="2" t="s">
        <v>7127</v>
      </c>
      <c r="G953" s="2" t="s">
        <v>5022</v>
      </c>
      <c r="H953" s="2" t="s">
        <v>5023</v>
      </c>
      <c r="I953" s="2" t="s">
        <v>9450</v>
      </c>
      <c r="J953" s="2"/>
      <c r="K953" s="2"/>
      <c r="L953" s="2"/>
      <c r="M953" s="2" t="s">
        <v>9451</v>
      </c>
      <c r="N953" s="2"/>
      <c r="O953" s="2"/>
      <c r="P953" s="2"/>
      <c r="Q953" s="2"/>
    </row>
    <row r="954" spans="1:17" x14ac:dyDescent="0.2">
      <c r="A954" s="2" t="s">
        <v>1249</v>
      </c>
      <c r="B954" s="2" t="s">
        <v>9452</v>
      </c>
      <c r="C954" s="2" t="s">
        <v>6755</v>
      </c>
      <c r="D954" s="2" t="s">
        <v>5712</v>
      </c>
      <c r="E954" s="2" t="s">
        <v>6306</v>
      </c>
      <c r="F954" s="2" t="s">
        <v>9453</v>
      </c>
      <c r="G954" s="2" t="s">
        <v>5022</v>
      </c>
      <c r="H954" s="2" t="s">
        <v>5023</v>
      </c>
      <c r="I954" s="2" t="s">
        <v>9454</v>
      </c>
      <c r="J954" s="2"/>
      <c r="K954" s="2"/>
      <c r="L954" s="2"/>
      <c r="M954" s="2" t="s">
        <v>9455</v>
      </c>
      <c r="N954" s="2"/>
      <c r="O954" s="2"/>
      <c r="P954" s="2"/>
      <c r="Q954" s="2"/>
    </row>
    <row r="955" spans="1:17" x14ac:dyDescent="0.2">
      <c r="A955" s="2" t="s">
        <v>2724</v>
      </c>
      <c r="B955" s="2" t="s">
        <v>1553</v>
      </c>
      <c r="C955" s="2" t="s">
        <v>9456</v>
      </c>
      <c r="D955" s="2" t="s">
        <v>9457</v>
      </c>
      <c r="E955" s="2" t="s">
        <v>9458</v>
      </c>
      <c r="F955" s="2" t="s">
        <v>6872</v>
      </c>
      <c r="G955" s="2" t="s">
        <v>5022</v>
      </c>
      <c r="H955" s="2" t="s">
        <v>5023</v>
      </c>
      <c r="I955" s="2" t="s">
        <v>9459</v>
      </c>
      <c r="J955" s="2"/>
      <c r="K955" s="2"/>
      <c r="L955" s="2"/>
      <c r="M955" s="2"/>
      <c r="N955" s="2"/>
      <c r="O955" s="2"/>
      <c r="P955" s="2"/>
      <c r="Q955" s="2"/>
    </row>
    <row r="956" spans="1:17" x14ac:dyDescent="0.2">
      <c r="A956" s="2" t="s">
        <v>235</v>
      </c>
      <c r="B956" s="2" t="s">
        <v>9460</v>
      </c>
      <c r="C956" s="2" t="s">
        <v>7898</v>
      </c>
      <c r="D956" s="2" t="s">
        <v>5126</v>
      </c>
      <c r="E956" s="2" t="s">
        <v>8750</v>
      </c>
      <c r="F956" s="2" t="s">
        <v>6230</v>
      </c>
      <c r="G956" s="2" t="s">
        <v>5022</v>
      </c>
      <c r="H956" s="2" t="s">
        <v>5023</v>
      </c>
      <c r="I956" s="2" t="s">
        <v>9461</v>
      </c>
      <c r="J956" s="2"/>
      <c r="K956" s="2"/>
      <c r="L956" s="2"/>
      <c r="M956" s="2" t="s">
        <v>9462</v>
      </c>
      <c r="N956" s="2"/>
      <c r="O956" s="2"/>
      <c r="P956" s="2"/>
      <c r="Q956" s="2"/>
    </row>
    <row r="957" spans="1:17" x14ac:dyDescent="0.2">
      <c r="A957" s="2" t="s">
        <v>481</v>
      </c>
      <c r="B957" s="2" t="s">
        <v>9463</v>
      </c>
      <c r="C957" s="2" t="s">
        <v>8904</v>
      </c>
      <c r="D957" s="2" t="s">
        <v>8699</v>
      </c>
      <c r="E957" s="2" t="s">
        <v>7471</v>
      </c>
      <c r="F957" s="2" t="s">
        <v>8701</v>
      </c>
      <c r="G957" s="2" t="s">
        <v>5022</v>
      </c>
      <c r="H957" s="2" t="s">
        <v>5023</v>
      </c>
      <c r="I957" s="2" t="s">
        <v>9464</v>
      </c>
      <c r="J957" s="2"/>
      <c r="K957" s="2"/>
      <c r="L957" s="2"/>
      <c r="M957" s="2" t="s">
        <v>9465</v>
      </c>
      <c r="N957" s="2"/>
      <c r="O957" s="2"/>
      <c r="P957" s="2"/>
      <c r="Q957" s="2"/>
    </row>
    <row r="958" spans="1:17" x14ac:dyDescent="0.2">
      <c r="A958" s="2" t="s">
        <v>602</v>
      </c>
      <c r="B958" s="2" t="s">
        <v>8576</v>
      </c>
      <c r="C958" s="2" t="s">
        <v>6977</v>
      </c>
      <c r="D958" s="2" t="s">
        <v>9466</v>
      </c>
      <c r="E958" s="2" t="s">
        <v>9467</v>
      </c>
      <c r="F958" s="2" t="s">
        <v>9468</v>
      </c>
      <c r="G958" s="2" t="s">
        <v>5022</v>
      </c>
      <c r="H958" s="2" t="s">
        <v>5023</v>
      </c>
      <c r="I958" s="2" t="s">
        <v>9469</v>
      </c>
      <c r="J958" s="2"/>
      <c r="K958" s="2"/>
      <c r="L958" s="2"/>
      <c r="M958" s="2" t="s">
        <v>9470</v>
      </c>
      <c r="N958" s="2"/>
      <c r="O958" s="2"/>
      <c r="P958" s="2"/>
      <c r="Q958" s="2"/>
    </row>
    <row r="959" spans="1:17" x14ac:dyDescent="0.2">
      <c r="A959" s="2" t="s">
        <v>52</v>
      </c>
      <c r="B959" s="2" t="s">
        <v>9471</v>
      </c>
      <c r="C959" s="2" t="s">
        <v>5936</v>
      </c>
      <c r="D959" s="2" t="s">
        <v>9472</v>
      </c>
      <c r="E959" s="2" t="s">
        <v>9473</v>
      </c>
      <c r="F959" s="2" t="s">
        <v>9474</v>
      </c>
      <c r="G959" s="2" t="s">
        <v>5022</v>
      </c>
      <c r="H959" s="2" t="s">
        <v>5023</v>
      </c>
      <c r="I959" s="2" t="s">
        <v>9475</v>
      </c>
      <c r="J959" s="2"/>
      <c r="K959" s="2"/>
      <c r="L959" s="2"/>
      <c r="M959" s="2"/>
      <c r="N959" s="2"/>
      <c r="O959" s="2"/>
      <c r="P959" s="2"/>
      <c r="Q959" s="2"/>
    </row>
    <row r="960" spans="1:17" x14ac:dyDescent="0.2">
      <c r="A960" s="2" t="s">
        <v>3847</v>
      </c>
      <c r="B960" s="2" t="s">
        <v>9476</v>
      </c>
      <c r="C960" s="2" t="s">
        <v>9477</v>
      </c>
      <c r="D960" s="2" t="s">
        <v>5051</v>
      </c>
      <c r="E960" s="2" t="s">
        <v>9478</v>
      </c>
      <c r="F960" s="2" t="s">
        <v>6313</v>
      </c>
      <c r="G960" s="2" t="s">
        <v>5022</v>
      </c>
      <c r="H960" s="2" t="s">
        <v>5023</v>
      </c>
      <c r="I960" s="2" t="s">
        <v>9479</v>
      </c>
      <c r="J960" s="2"/>
      <c r="K960" s="2"/>
      <c r="L960" s="2"/>
      <c r="M960" s="2"/>
      <c r="N960" s="2"/>
      <c r="O960" s="2"/>
      <c r="P960" s="2"/>
      <c r="Q960" s="2"/>
    </row>
    <row r="961" spans="1:17" x14ac:dyDescent="0.2">
      <c r="A961" s="2" t="s">
        <v>905</v>
      </c>
      <c r="B961" s="2" t="s">
        <v>9480</v>
      </c>
      <c r="C961" s="2" t="s">
        <v>6662</v>
      </c>
      <c r="D961" s="2" t="s">
        <v>9481</v>
      </c>
      <c r="E961" s="2" t="s">
        <v>9401</v>
      </c>
      <c r="F961" s="2" t="s">
        <v>9402</v>
      </c>
      <c r="G961" s="2" t="s">
        <v>5022</v>
      </c>
      <c r="H961" s="2" t="s">
        <v>5023</v>
      </c>
      <c r="I961" s="2" t="s">
        <v>9482</v>
      </c>
      <c r="J961" s="2"/>
      <c r="K961" s="2"/>
      <c r="L961" s="2"/>
      <c r="M961" s="2" t="s">
        <v>9483</v>
      </c>
      <c r="N961" s="2"/>
      <c r="O961" s="2"/>
      <c r="P961" s="2"/>
      <c r="Q961" s="2"/>
    </row>
    <row r="962" spans="1:17" x14ac:dyDescent="0.2">
      <c r="A962" s="2" t="s">
        <v>701</v>
      </c>
      <c r="B962" s="2" t="s">
        <v>9484</v>
      </c>
      <c r="C962" s="2" t="s">
        <v>9485</v>
      </c>
      <c r="D962" s="2" t="s">
        <v>8058</v>
      </c>
      <c r="E962" s="2" t="s">
        <v>7830</v>
      </c>
      <c r="F962" s="2" t="s">
        <v>5861</v>
      </c>
      <c r="G962" s="2" t="s">
        <v>5022</v>
      </c>
      <c r="H962" s="2" t="s">
        <v>5023</v>
      </c>
      <c r="I962" s="2" t="s">
        <v>9486</v>
      </c>
      <c r="J962" s="2"/>
      <c r="K962" s="2"/>
      <c r="L962" s="2"/>
      <c r="M962" s="2" t="s">
        <v>9487</v>
      </c>
      <c r="N962" s="2"/>
      <c r="O962" s="2"/>
      <c r="P962" s="2"/>
      <c r="Q962" s="2"/>
    </row>
    <row r="963" spans="1:17" x14ac:dyDescent="0.2">
      <c r="A963" s="2" t="s">
        <v>2886</v>
      </c>
      <c r="B963" s="2" t="s">
        <v>9488</v>
      </c>
      <c r="C963" s="2" t="s">
        <v>5183</v>
      </c>
      <c r="D963" s="2" t="s">
        <v>5414</v>
      </c>
      <c r="E963" s="2" t="s">
        <v>9489</v>
      </c>
      <c r="F963" s="2" t="s">
        <v>5807</v>
      </c>
      <c r="G963" s="2" t="s">
        <v>5022</v>
      </c>
      <c r="H963" s="2" t="s">
        <v>5023</v>
      </c>
      <c r="I963" s="2" t="s">
        <v>9490</v>
      </c>
      <c r="J963" s="2"/>
      <c r="K963" s="2"/>
      <c r="L963" s="2"/>
      <c r="M963" s="2"/>
      <c r="N963" s="2"/>
      <c r="O963" s="2"/>
      <c r="P963" s="2"/>
      <c r="Q963" s="2"/>
    </row>
    <row r="964" spans="1:17" x14ac:dyDescent="0.2">
      <c r="A964" s="2" t="s">
        <v>3434</v>
      </c>
      <c r="B964" s="2" t="s">
        <v>9491</v>
      </c>
      <c r="C964" s="2" t="s">
        <v>5098</v>
      </c>
      <c r="D964" s="2" t="s">
        <v>6598</v>
      </c>
      <c r="E964" s="2" t="s">
        <v>9492</v>
      </c>
      <c r="F964" s="2" t="s">
        <v>9493</v>
      </c>
      <c r="G964" s="2" t="s">
        <v>5022</v>
      </c>
      <c r="H964" s="2" t="s">
        <v>5023</v>
      </c>
      <c r="I964" s="2"/>
      <c r="J964" s="2"/>
      <c r="K964" s="2" t="s">
        <v>9494</v>
      </c>
      <c r="L964" s="2"/>
      <c r="M964" s="2"/>
      <c r="N964" s="2"/>
      <c r="O964" s="2"/>
      <c r="P964" s="2"/>
      <c r="Q964" s="2"/>
    </row>
    <row r="965" spans="1:17" x14ac:dyDescent="0.2">
      <c r="A965" s="2" t="s">
        <v>842</v>
      </c>
      <c r="B965" s="2" t="s">
        <v>9495</v>
      </c>
      <c r="C965" s="2" t="s">
        <v>5275</v>
      </c>
      <c r="D965" s="2" t="s">
        <v>6367</v>
      </c>
      <c r="E965" s="2" t="s">
        <v>9496</v>
      </c>
      <c r="F965" s="2" t="s">
        <v>6727</v>
      </c>
      <c r="G965" s="2" t="s">
        <v>5022</v>
      </c>
      <c r="H965" s="2" t="s">
        <v>5023</v>
      </c>
      <c r="I965" s="2" t="s">
        <v>9497</v>
      </c>
      <c r="J965" s="2"/>
      <c r="K965" s="2"/>
      <c r="L965" s="2"/>
      <c r="M965" s="2" t="s">
        <v>9498</v>
      </c>
      <c r="N965" s="2"/>
      <c r="O965" s="2"/>
      <c r="P965" s="2"/>
      <c r="Q965" s="2"/>
    </row>
    <row r="966" spans="1:17" x14ac:dyDescent="0.2">
      <c r="A966" s="2" t="s">
        <v>663</v>
      </c>
      <c r="B966" s="2" t="s">
        <v>9499</v>
      </c>
      <c r="C966" s="2" t="s">
        <v>5490</v>
      </c>
      <c r="D966" s="2" t="s">
        <v>7372</v>
      </c>
      <c r="E966" s="2" t="s">
        <v>9500</v>
      </c>
      <c r="F966" s="2" t="s">
        <v>9501</v>
      </c>
      <c r="G966" s="2" t="s">
        <v>5022</v>
      </c>
      <c r="H966" s="2" t="s">
        <v>5023</v>
      </c>
      <c r="I966" s="2" t="s">
        <v>9502</v>
      </c>
      <c r="J966" s="2"/>
      <c r="K966" s="2"/>
      <c r="L966" s="2"/>
      <c r="M966" s="2" t="s">
        <v>9503</v>
      </c>
      <c r="N966" s="2"/>
      <c r="O966" s="2"/>
      <c r="P966" s="2"/>
      <c r="Q966" s="2"/>
    </row>
    <row r="967" spans="1:17" x14ac:dyDescent="0.2">
      <c r="A967" s="2" t="s">
        <v>3747</v>
      </c>
      <c r="B967" s="2" t="s">
        <v>9504</v>
      </c>
      <c r="C967" s="2" t="s">
        <v>9505</v>
      </c>
      <c r="D967" s="2" t="s">
        <v>8957</v>
      </c>
      <c r="E967" s="2" t="s">
        <v>8114</v>
      </c>
      <c r="F967" s="2" t="s">
        <v>9506</v>
      </c>
      <c r="G967" s="2" t="s">
        <v>5022</v>
      </c>
      <c r="H967" s="2" t="s">
        <v>5023</v>
      </c>
      <c r="I967" s="2" t="s">
        <v>9507</v>
      </c>
      <c r="J967" s="2"/>
      <c r="K967" s="2"/>
      <c r="L967" s="2"/>
      <c r="M967" s="2" t="s">
        <v>9508</v>
      </c>
      <c r="N967" s="2"/>
      <c r="O967" s="2"/>
      <c r="P967" s="2"/>
      <c r="Q967" s="2"/>
    </row>
    <row r="968" spans="1:17" x14ac:dyDescent="0.2">
      <c r="A968" s="2" t="s">
        <v>3517</v>
      </c>
      <c r="B968" s="2" t="s">
        <v>8501</v>
      </c>
      <c r="C968" s="2" t="s">
        <v>9509</v>
      </c>
      <c r="D968" s="2" t="s">
        <v>9510</v>
      </c>
      <c r="E968" s="2" t="s">
        <v>6205</v>
      </c>
      <c r="F968" s="2" t="s">
        <v>5703</v>
      </c>
      <c r="G968" s="2" t="s">
        <v>5022</v>
      </c>
      <c r="H968" s="2" t="s">
        <v>5023</v>
      </c>
      <c r="I968" s="2" t="s">
        <v>9511</v>
      </c>
      <c r="J968" s="2"/>
      <c r="K968" s="2"/>
      <c r="L968" s="2"/>
      <c r="M968" s="2" t="s">
        <v>9512</v>
      </c>
      <c r="N968" s="2"/>
      <c r="O968" s="2"/>
      <c r="P968" s="2"/>
      <c r="Q968" s="2"/>
    </row>
    <row r="969" spans="1:17" x14ac:dyDescent="0.2">
      <c r="A969" s="2" t="s">
        <v>4051</v>
      </c>
      <c r="B969" s="2" t="s">
        <v>9083</v>
      </c>
      <c r="C969" s="2" t="s">
        <v>5339</v>
      </c>
      <c r="D969" s="2" t="s">
        <v>8520</v>
      </c>
      <c r="E969" s="2" t="s">
        <v>9513</v>
      </c>
      <c r="F969" s="2" t="s">
        <v>9514</v>
      </c>
      <c r="G969" s="2" t="s">
        <v>5022</v>
      </c>
      <c r="H969" s="2" t="s">
        <v>5023</v>
      </c>
      <c r="I969" s="2" t="s">
        <v>9515</v>
      </c>
      <c r="J969" s="2"/>
      <c r="K969" s="2"/>
      <c r="L969" s="2"/>
      <c r="M969" s="2"/>
      <c r="N969" s="2"/>
      <c r="O969" s="2"/>
      <c r="P969" s="2"/>
      <c r="Q969" s="2"/>
    </row>
    <row r="970" spans="1:17" x14ac:dyDescent="0.2">
      <c r="A970" s="2" t="s">
        <v>4427</v>
      </c>
      <c r="B970" s="2" t="s">
        <v>7934</v>
      </c>
      <c r="C970" s="2" t="s">
        <v>6004</v>
      </c>
      <c r="D970" s="2" t="s">
        <v>9516</v>
      </c>
      <c r="E970" s="2" t="s">
        <v>9517</v>
      </c>
      <c r="F970" s="2" t="s">
        <v>6124</v>
      </c>
      <c r="G970" s="2" t="s">
        <v>5022</v>
      </c>
      <c r="H970" s="2" t="s">
        <v>5023</v>
      </c>
      <c r="I970" s="2" t="s">
        <v>9518</v>
      </c>
      <c r="J970" s="2"/>
      <c r="K970" s="2"/>
      <c r="L970" s="2"/>
      <c r="M970" s="2"/>
      <c r="N970" s="2"/>
      <c r="O970" s="2"/>
      <c r="P970" s="2"/>
      <c r="Q970" s="2"/>
    </row>
    <row r="971" spans="1:17" x14ac:dyDescent="0.2">
      <c r="A971" s="2" t="s">
        <v>3497</v>
      </c>
      <c r="B971" s="2" t="s">
        <v>6735</v>
      </c>
      <c r="C971" s="2" t="s">
        <v>5409</v>
      </c>
      <c r="D971" s="2" t="s">
        <v>5317</v>
      </c>
      <c r="E971" s="2" t="s">
        <v>9519</v>
      </c>
      <c r="F971" s="2" t="s">
        <v>7941</v>
      </c>
      <c r="G971" s="2" t="s">
        <v>5022</v>
      </c>
      <c r="H971" s="2" t="s">
        <v>5023</v>
      </c>
      <c r="I971" s="2" t="s">
        <v>9520</v>
      </c>
      <c r="J971" s="2"/>
      <c r="K971" s="2"/>
      <c r="L971" s="2"/>
      <c r="M971" s="2" t="s">
        <v>9521</v>
      </c>
      <c r="N971" s="2"/>
      <c r="O971" s="2"/>
      <c r="P971" s="2"/>
      <c r="Q971" s="2"/>
    </row>
    <row r="972" spans="1:17" x14ac:dyDescent="0.2">
      <c r="A972" s="2" t="s">
        <v>2908</v>
      </c>
      <c r="B972" s="2" t="s">
        <v>6398</v>
      </c>
      <c r="C972" s="2" t="s">
        <v>5299</v>
      </c>
      <c r="D972" s="2" t="s">
        <v>5299</v>
      </c>
      <c r="E972" s="2" t="s">
        <v>9522</v>
      </c>
      <c r="F972" s="2" t="s">
        <v>5439</v>
      </c>
      <c r="G972" s="2" t="s">
        <v>5022</v>
      </c>
      <c r="H972" s="2" t="s">
        <v>5023</v>
      </c>
      <c r="I972" s="2" t="s">
        <v>9523</v>
      </c>
      <c r="J972" s="2"/>
      <c r="K972" s="2"/>
      <c r="L972" s="2"/>
      <c r="M972" s="2"/>
      <c r="N972" s="2"/>
      <c r="O972" s="2"/>
      <c r="P972" s="2"/>
      <c r="Q972" s="2"/>
    </row>
    <row r="973" spans="1:17" x14ac:dyDescent="0.2">
      <c r="A973" s="2" t="s">
        <v>2362</v>
      </c>
      <c r="B973" s="2" t="s">
        <v>1372</v>
      </c>
      <c r="C973" s="2" t="s">
        <v>9524</v>
      </c>
      <c r="D973" s="2" t="s">
        <v>5489</v>
      </c>
      <c r="E973" s="2" t="s">
        <v>9525</v>
      </c>
      <c r="F973" s="2" t="s">
        <v>9526</v>
      </c>
      <c r="G973" s="2" t="s">
        <v>5022</v>
      </c>
      <c r="H973" s="2" t="s">
        <v>5023</v>
      </c>
      <c r="I973" s="2"/>
      <c r="J973" s="2"/>
      <c r="K973" s="2" t="s">
        <v>9527</v>
      </c>
      <c r="L973" s="2"/>
      <c r="M973" s="2" t="s">
        <v>9528</v>
      </c>
      <c r="N973" s="2"/>
      <c r="O973" s="2"/>
      <c r="P973" s="2"/>
      <c r="Q973" s="2"/>
    </row>
    <row r="974" spans="1:17" x14ac:dyDescent="0.2">
      <c r="A974" s="2" t="s">
        <v>4060</v>
      </c>
      <c r="B974" s="2" t="s">
        <v>9529</v>
      </c>
      <c r="C974" s="2" t="s">
        <v>6533</v>
      </c>
      <c r="D974" s="2" t="s">
        <v>7242</v>
      </c>
      <c r="E974" s="2" t="s">
        <v>9530</v>
      </c>
      <c r="F974" s="2" t="s">
        <v>9531</v>
      </c>
      <c r="G974" s="2" t="s">
        <v>5022</v>
      </c>
      <c r="H974" s="2" t="s">
        <v>5023</v>
      </c>
      <c r="I974" s="2" t="s">
        <v>9532</v>
      </c>
      <c r="J974" s="2"/>
      <c r="K974" s="2"/>
      <c r="L974" s="2"/>
      <c r="M974" s="2" t="s">
        <v>9533</v>
      </c>
      <c r="N974" s="2"/>
      <c r="O974" s="2"/>
      <c r="P974" s="2"/>
      <c r="Q974" s="2"/>
    </row>
    <row r="975" spans="1:17" x14ac:dyDescent="0.2">
      <c r="A975" s="2" t="s">
        <v>324</v>
      </c>
      <c r="B975" s="2" t="s">
        <v>9534</v>
      </c>
      <c r="C975" s="2" t="s">
        <v>5189</v>
      </c>
      <c r="D975" s="2" t="s">
        <v>5612</v>
      </c>
      <c r="E975" s="2" t="s">
        <v>9535</v>
      </c>
      <c r="F975" s="2" t="s">
        <v>5849</v>
      </c>
      <c r="G975" s="2" t="s">
        <v>5022</v>
      </c>
      <c r="H975" s="2" t="s">
        <v>5023</v>
      </c>
      <c r="I975" s="2" t="s">
        <v>9536</v>
      </c>
      <c r="J975" s="2"/>
      <c r="K975" s="2"/>
      <c r="L975" s="2"/>
      <c r="M975" s="2" t="s">
        <v>9537</v>
      </c>
      <c r="N975" s="2"/>
      <c r="O975" s="2"/>
      <c r="P975" s="2"/>
      <c r="Q975" s="2"/>
    </row>
    <row r="976" spans="1:17" x14ac:dyDescent="0.2">
      <c r="A976" s="2" t="s">
        <v>3319</v>
      </c>
      <c r="B976" s="2" t="s">
        <v>9538</v>
      </c>
      <c r="C976" s="2" t="s">
        <v>7242</v>
      </c>
      <c r="D976" s="2" t="s">
        <v>5087</v>
      </c>
      <c r="E976" s="2" t="s">
        <v>9539</v>
      </c>
      <c r="F976" s="2" t="s">
        <v>6715</v>
      </c>
      <c r="G976" s="2" t="s">
        <v>5022</v>
      </c>
      <c r="H976" s="2" t="s">
        <v>5023</v>
      </c>
      <c r="I976" s="2" t="s">
        <v>9540</v>
      </c>
      <c r="J976" s="2"/>
      <c r="K976" s="2"/>
      <c r="L976" s="2"/>
      <c r="M976" s="2" t="s">
        <v>9541</v>
      </c>
      <c r="N976" s="2"/>
      <c r="O976" s="2"/>
      <c r="P976" s="2"/>
      <c r="Q976" s="2"/>
    </row>
    <row r="977" spans="1:17" x14ac:dyDescent="0.2">
      <c r="A977" s="2" t="s">
        <v>3614</v>
      </c>
      <c r="B977" s="2" t="s">
        <v>9542</v>
      </c>
      <c r="C977" s="2" t="s">
        <v>5880</v>
      </c>
      <c r="D977" s="2" t="s">
        <v>9543</v>
      </c>
      <c r="E977" s="2" t="s">
        <v>9544</v>
      </c>
      <c r="F977" s="2" t="s">
        <v>9545</v>
      </c>
      <c r="G977" s="2" t="s">
        <v>5022</v>
      </c>
      <c r="H977" s="2" t="s">
        <v>5023</v>
      </c>
      <c r="I977" s="2" t="s">
        <v>9546</v>
      </c>
      <c r="J977" s="2"/>
      <c r="K977" s="2"/>
      <c r="L977" s="2"/>
      <c r="M977" s="2" t="s">
        <v>9547</v>
      </c>
      <c r="N977" s="2"/>
      <c r="O977" s="2"/>
      <c r="P977" s="2"/>
      <c r="Q977" s="2"/>
    </row>
    <row r="978" spans="1:17" x14ac:dyDescent="0.2">
      <c r="A978" s="2" t="s">
        <v>1090</v>
      </c>
      <c r="B978" s="2" t="s">
        <v>9548</v>
      </c>
      <c r="C978" s="2" t="s">
        <v>6836</v>
      </c>
      <c r="D978" s="2" t="s">
        <v>6662</v>
      </c>
      <c r="E978" s="2" t="s">
        <v>9549</v>
      </c>
      <c r="F978" s="2" t="s">
        <v>5625</v>
      </c>
      <c r="G978" s="2" t="s">
        <v>5022</v>
      </c>
      <c r="H978" s="2" t="s">
        <v>5023</v>
      </c>
      <c r="I978" s="2" t="s">
        <v>9550</v>
      </c>
      <c r="J978" s="2"/>
      <c r="K978" s="2"/>
      <c r="L978" s="2"/>
      <c r="M978" s="2" t="s">
        <v>9551</v>
      </c>
      <c r="N978" s="2"/>
      <c r="O978" s="2"/>
      <c r="P978" s="2"/>
      <c r="Q978" s="2"/>
    </row>
    <row r="979" spans="1:17" x14ac:dyDescent="0.2">
      <c r="A979" s="2" t="s">
        <v>2519</v>
      </c>
      <c r="B979" s="2" t="s">
        <v>6958</v>
      </c>
      <c r="C979" s="2" t="s">
        <v>9552</v>
      </c>
      <c r="D979" s="2" t="s">
        <v>9553</v>
      </c>
      <c r="E979" s="2" t="s">
        <v>5891</v>
      </c>
      <c r="F979" s="2" t="s">
        <v>5173</v>
      </c>
      <c r="G979" s="2" t="s">
        <v>5022</v>
      </c>
      <c r="H979" s="2" t="s">
        <v>5023</v>
      </c>
      <c r="I979" s="2"/>
      <c r="J979" s="2"/>
      <c r="K979" s="2" t="s">
        <v>9554</v>
      </c>
      <c r="L979" s="2"/>
      <c r="M979" s="2"/>
      <c r="N979" s="2"/>
      <c r="O979" s="2"/>
      <c r="P979" s="2"/>
      <c r="Q979" s="2"/>
    </row>
    <row r="980" spans="1:17" x14ac:dyDescent="0.2">
      <c r="A980" s="2" t="s">
        <v>3050</v>
      </c>
      <c r="B980" s="2" t="s">
        <v>9555</v>
      </c>
      <c r="C980" s="2" t="s">
        <v>7402</v>
      </c>
      <c r="D980" s="2" t="s">
        <v>7414</v>
      </c>
      <c r="E980" s="2" t="s">
        <v>9556</v>
      </c>
      <c r="F980" s="2" t="s">
        <v>9557</v>
      </c>
      <c r="G980" s="2" t="s">
        <v>9558</v>
      </c>
      <c r="H980" s="2" t="s">
        <v>9559</v>
      </c>
      <c r="I980" s="2" t="s">
        <v>9560</v>
      </c>
      <c r="J980" s="2"/>
      <c r="K980" s="2"/>
      <c r="L980" s="2"/>
      <c r="M980" s="2" t="s">
        <v>9561</v>
      </c>
      <c r="N980" s="2"/>
      <c r="O980" s="2"/>
      <c r="P980" s="2"/>
      <c r="Q980" s="2"/>
    </row>
    <row r="981" spans="1:17" x14ac:dyDescent="0.2">
      <c r="A981" s="2" t="s">
        <v>3454</v>
      </c>
      <c r="B981" s="2" t="s">
        <v>9562</v>
      </c>
      <c r="C981" s="2" t="s">
        <v>8643</v>
      </c>
      <c r="D981" s="2" t="s">
        <v>9477</v>
      </c>
      <c r="E981" s="2" t="s">
        <v>5469</v>
      </c>
      <c r="F981" s="2" t="s">
        <v>5892</v>
      </c>
      <c r="G981" s="2" t="s">
        <v>5022</v>
      </c>
      <c r="H981" s="2" t="s">
        <v>5023</v>
      </c>
      <c r="I981" s="2" t="s">
        <v>9563</v>
      </c>
      <c r="J981" s="2"/>
      <c r="K981" s="2"/>
      <c r="L981" s="2"/>
      <c r="M981" s="2" t="s">
        <v>9564</v>
      </c>
      <c r="N981" s="2"/>
      <c r="O981" s="2"/>
      <c r="P981" s="2"/>
      <c r="Q981" s="2"/>
    </row>
    <row r="982" spans="1:17" x14ac:dyDescent="0.2">
      <c r="A982" s="2" t="s">
        <v>2034</v>
      </c>
      <c r="B982" s="2" t="s">
        <v>9565</v>
      </c>
      <c r="C982" s="2" t="s">
        <v>9566</v>
      </c>
      <c r="D982" s="2" t="s">
        <v>9567</v>
      </c>
      <c r="E982" s="2" t="s">
        <v>9568</v>
      </c>
      <c r="F982" s="2" t="s">
        <v>7027</v>
      </c>
      <c r="G982" s="2" t="s">
        <v>5022</v>
      </c>
      <c r="H982" s="2" t="s">
        <v>5023</v>
      </c>
      <c r="I982" s="2"/>
      <c r="J982" s="2"/>
      <c r="K982" s="2" t="s">
        <v>9569</v>
      </c>
      <c r="L982" s="2"/>
      <c r="M982" s="2"/>
      <c r="N982" s="2"/>
      <c r="O982" s="2"/>
      <c r="P982" s="2"/>
      <c r="Q982" s="2"/>
    </row>
    <row r="983" spans="1:17" x14ac:dyDescent="0.2">
      <c r="A983" s="2" t="s">
        <v>3542</v>
      </c>
      <c r="B983" s="2" t="s">
        <v>6075</v>
      </c>
      <c r="C983" s="2" t="s">
        <v>5762</v>
      </c>
      <c r="D983" s="2" t="s">
        <v>9570</v>
      </c>
      <c r="E983" s="2" t="s">
        <v>9571</v>
      </c>
      <c r="F983" s="2" t="s">
        <v>9572</v>
      </c>
      <c r="G983" s="2" t="s">
        <v>5022</v>
      </c>
      <c r="H983" s="2" t="s">
        <v>5023</v>
      </c>
      <c r="I983" s="2" t="s">
        <v>9573</v>
      </c>
      <c r="J983" s="2"/>
      <c r="K983" s="2"/>
      <c r="L983" s="2"/>
      <c r="M983" s="2" t="s">
        <v>9574</v>
      </c>
      <c r="N983" s="2"/>
      <c r="O983" s="2"/>
      <c r="P983" s="2"/>
      <c r="Q983" s="2"/>
    </row>
    <row r="984" spans="1:17" x14ac:dyDescent="0.2">
      <c r="A984" s="2" t="s">
        <v>4069</v>
      </c>
      <c r="B984" s="2" t="s">
        <v>9575</v>
      </c>
      <c r="C984" s="2" t="s">
        <v>5299</v>
      </c>
      <c r="D984" s="2" t="s">
        <v>5119</v>
      </c>
      <c r="E984" s="2" t="s">
        <v>9576</v>
      </c>
      <c r="F984" s="2" t="s">
        <v>9577</v>
      </c>
      <c r="G984" s="2" t="s">
        <v>5022</v>
      </c>
      <c r="H984" s="2" t="s">
        <v>5023</v>
      </c>
      <c r="I984" s="2" t="s">
        <v>9578</v>
      </c>
      <c r="J984" s="2"/>
      <c r="K984" s="2"/>
      <c r="L984" s="2"/>
      <c r="M984" s="2"/>
      <c r="N984" s="2"/>
      <c r="O984" s="2"/>
      <c r="P984" s="2"/>
      <c r="Q984" s="2"/>
    </row>
    <row r="985" spans="1:17" x14ac:dyDescent="0.2">
      <c r="A985" s="2" t="s">
        <v>2423</v>
      </c>
      <c r="B985" s="2" t="s">
        <v>9579</v>
      </c>
      <c r="C985" s="2" t="s">
        <v>9580</v>
      </c>
      <c r="D985" s="2" t="s">
        <v>9580</v>
      </c>
      <c r="E985" s="2" t="s">
        <v>9581</v>
      </c>
      <c r="F985" s="2" t="s">
        <v>9582</v>
      </c>
      <c r="G985" s="2" t="s">
        <v>5022</v>
      </c>
      <c r="H985" s="2" t="s">
        <v>5023</v>
      </c>
      <c r="I985" s="2"/>
      <c r="J985" s="2"/>
      <c r="K985" s="2" t="s">
        <v>9583</v>
      </c>
      <c r="L985" s="2"/>
      <c r="M985" s="2"/>
      <c r="N985" s="2"/>
      <c r="O985" s="2"/>
      <c r="P985" s="2"/>
      <c r="Q985" s="2"/>
    </row>
    <row r="986" spans="1:17" x14ac:dyDescent="0.2">
      <c r="A986" s="2" t="s">
        <v>4193</v>
      </c>
      <c r="B986" s="2" t="s">
        <v>9584</v>
      </c>
      <c r="C986" s="2" t="s">
        <v>9585</v>
      </c>
      <c r="D986" s="2" t="s">
        <v>5119</v>
      </c>
      <c r="E986" s="2" t="s">
        <v>8009</v>
      </c>
      <c r="F986" s="2" t="s">
        <v>7273</v>
      </c>
      <c r="G986" s="2" t="s">
        <v>5022</v>
      </c>
      <c r="H986" s="2" t="s">
        <v>5023</v>
      </c>
      <c r="I986" s="2" t="s">
        <v>9586</v>
      </c>
      <c r="J986" s="2"/>
      <c r="K986" s="2"/>
      <c r="L986" s="2"/>
      <c r="M986" s="2" t="s">
        <v>9587</v>
      </c>
      <c r="N986" s="2"/>
      <c r="O986" s="2"/>
      <c r="P986" s="2"/>
      <c r="Q986" s="2"/>
    </row>
    <row r="987" spans="1:17" x14ac:dyDescent="0.2">
      <c r="A987" s="2" t="s">
        <v>2643</v>
      </c>
      <c r="B987" s="2" t="s">
        <v>9588</v>
      </c>
      <c r="C987" s="2" t="s">
        <v>5392</v>
      </c>
      <c r="D987" s="2" t="s">
        <v>8561</v>
      </c>
      <c r="E987" s="2" t="s">
        <v>9589</v>
      </c>
      <c r="F987" s="2" t="s">
        <v>9590</v>
      </c>
      <c r="G987" s="2" t="s">
        <v>5022</v>
      </c>
      <c r="H987" s="2" t="s">
        <v>5023</v>
      </c>
      <c r="I987" s="2" t="s">
        <v>9591</v>
      </c>
      <c r="J987" s="2"/>
      <c r="K987" s="2"/>
      <c r="L987" s="2"/>
      <c r="M987" s="2"/>
      <c r="N987" s="2"/>
      <c r="O987" s="2"/>
      <c r="P987" s="2"/>
      <c r="Q987" s="2"/>
    </row>
    <row r="988" spans="1:17" x14ac:dyDescent="0.2">
      <c r="A988" s="2" t="s">
        <v>3869</v>
      </c>
      <c r="B988" s="2" t="s">
        <v>9592</v>
      </c>
      <c r="C988" s="2" t="s">
        <v>6916</v>
      </c>
      <c r="D988" s="2" t="s">
        <v>6004</v>
      </c>
      <c r="E988" s="2" t="s">
        <v>9593</v>
      </c>
      <c r="F988" s="2" t="s">
        <v>9594</v>
      </c>
      <c r="G988" s="2" t="s">
        <v>5022</v>
      </c>
      <c r="H988" s="2" t="s">
        <v>5023</v>
      </c>
      <c r="I988" s="2" t="s">
        <v>9595</v>
      </c>
      <c r="J988" s="2"/>
      <c r="K988" s="2"/>
      <c r="L988" s="2"/>
      <c r="M988" s="2" t="s">
        <v>9596</v>
      </c>
      <c r="N988" s="2"/>
      <c r="O988" s="2"/>
      <c r="P988" s="2"/>
      <c r="Q988" s="2"/>
    </row>
    <row r="989" spans="1:17" x14ac:dyDescent="0.2">
      <c r="A989" s="2" t="s">
        <v>279</v>
      </c>
      <c r="B989" s="2" t="s">
        <v>9597</v>
      </c>
      <c r="C989" s="2" t="s">
        <v>9598</v>
      </c>
      <c r="D989" s="2" t="s">
        <v>5957</v>
      </c>
      <c r="E989" s="2" t="s">
        <v>9599</v>
      </c>
      <c r="F989" s="2" t="s">
        <v>9600</v>
      </c>
      <c r="G989" s="2" t="s">
        <v>5022</v>
      </c>
      <c r="H989" s="2" t="s">
        <v>5023</v>
      </c>
      <c r="I989" s="2" t="s">
        <v>9601</v>
      </c>
      <c r="J989" s="2"/>
      <c r="K989" s="2"/>
      <c r="L989" s="2"/>
      <c r="M989" s="2"/>
      <c r="N989" s="2"/>
      <c r="O989" s="2"/>
      <c r="P989" s="2"/>
      <c r="Q989" s="2"/>
    </row>
    <row r="990" spans="1:17" x14ac:dyDescent="0.2">
      <c r="A990" s="2" t="s">
        <v>2622</v>
      </c>
      <c r="B990" s="2" t="s">
        <v>9602</v>
      </c>
      <c r="C990" s="2" t="s">
        <v>9603</v>
      </c>
      <c r="D990" s="2" t="s">
        <v>5997</v>
      </c>
      <c r="E990" s="2" t="s">
        <v>9604</v>
      </c>
      <c r="F990" s="2" t="s">
        <v>9605</v>
      </c>
      <c r="G990" s="2" t="s">
        <v>5022</v>
      </c>
      <c r="H990" s="2" t="s">
        <v>5023</v>
      </c>
      <c r="I990" s="2"/>
      <c r="J990" s="2"/>
      <c r="K990" s="2" t="s">
        <v>9606</v>
      </c>
      <c r="L990" s="2"/>
      <c r="M990" s="2"/>
      <c r="N990" s="2"/>
      <c r="O990" s="2"/>
      <c r="P990" s="2"/>
      <c r="Q990" s="2"/>
    </row>
    <row r="991" spans="1:17" x14ac:dyDescent="0.2">
      <c r="A991" s="2" t="s">
        <v>4549</v>
      </c>
      <c r="B991" s="2" t="s">
        <v>3880</v>
      </c>
      <c r="C991" s="2" t="s">
        <v>9607</v>
      </c>
      <c r="D991" s="2" t="s">
        <v>9608</v>
      </c>
      <c r="E991" s="2" t="s">
        <v>6846</v>
      </c>
      <c r="F991" s="2" t="s">
        <v>7941</v>
      </c>
      <c r="G991" s="2" t="s">
        <v>5022</v>
      </c>
      <c r="H991" s="2" t="s">
        <v>5023</v>
      </c>
      <c r="I991" s="2" t="s">
        <v>9609</v>
      </c>
      <c r="J991" s="2"/>
      <c r="K991" s="2"/>
      <c r="L991" s="2"/>
      <c r="M991" s="2" t="s">
        <v>9610</v>
      </c>
      <c r="N991" s="2"/>
      <c r="O991" s="2"/>
      <c r="P991" s="2"/>
      <c r="Q991" s="2"/>
    </row>
    <row r="992" spans="1:17" x14ac:dyDescent="0.2">
      <c r="A992" s="2" t="s">
        <v>2694</v>
      </c>
      <c r="B992" s="2" t="s">
        <v>1904</v>
      </c>
      <c r="C992" s="2" t="s">
        <v>5780</v>
      </c>
      <c r="D992" s="2" t="s">
        <v>5467</v>
      </c>
      <c r="E992" s="2" t="s">
        <v>9593</v>
      </c>
      <c r="F992" s="2" t="s">
        <v>9611</v>
      </c>
      <c r="G992" s="2" t="s">
        <v>5022</v>
      </c>
      <c r="H992" s="2" t="s">
        <v>5023</v>
      </c>
      <c r="I992" s="2" t="s">
        <v>9612</v>
      </c>
      <c r="J992" s="2"/>
      <c r="K992" s="2"/>
      <c r="L992" s="2"/>
      <c r="M992" s="2" t="s">
        <v>9613</v>
      </c>
      <c r="N992" s="2"/>
      <c r="O992" s="2"/>
      <c r="P992" s="2"/>
      <c r="Q992" s="2"/>
    </row>
    <row r="993" spans="1:17" x14ac:dyDescent="0.2">
      <c r="A993" s="2" t="s">
        <v>3579</v>
      </c>
      <c r="B993" s="2" t="s">
        <v>9614</v>
      </c>
      <c r="C993" s="2" t="s">
        <v>5535</v>
      </c>
      <c r="D993" s="2" t="s">
        <v>6228</v>
      </c>
      <c r="E993" s="2" t="s">
        <v>9615</v>
      </c>
      <c r="F993" s="2" t="s">
        <v>6054</v>
      </c>
      <c r="G993" s="2" t="s">
        <v>5022</v>
      </c>
      <c r="H993" s="2" t="s">
        <v>5023</v>
      </c>
      <c r="I993" s="2" t="s">
        <v>9616</v>
      </c>
      <c r="J993" s="2"/>
      <c r="K993" s="2"/>
      <c r="L993" s="2"/>
      <c r="M993" s="2" t="s">
        <v>9617</v>
      </c>
      <c r="N993" s="2"/>
      <c r="O993" s="2"/>
      <c r="P993" s="2"/>
      <c r="Q993" s="2"/>
    </row>
    <row r="994" spans="1:17" x14ac:dyDescent="0.2">
      <c r="A994" s="2" t="s">
        <v>4419</v>
      </c>
      <c r="B994" s="2" t="s">
        <v>9618</v>
      </c>
      <c r="C994" s="2" t="s">
        <v>9619</v>
      </c>
      <c r="D994" s="2" t="s">
        <v>9620</v>
      </c>
      <c r="E994" s="2" t="s">
        <v>9621</v>
      </c>
      <c r="F994" s="2" t="s">
        <v>7824</v>
      </c>
      <c r="G994" s="2" t="s">
        <v>5022</v>
      </c>
      <c r="H994" s="2" t="s">
        <v>5023</v>
      </c>
      <c r="I994" s="2" t="s">
        <v>9622</v>
      </c>
      <c r="J994" s="2"/>
      <c r="K994" s="2"/>
      <c r="L994" s="2"/>
      <c r="M994" s="2" t="s">
        <v>9623</v>
      </c>
      <c r="N994" s="2"/>
      <c r="O994" s="2"/>
      <c r="P994" s="2"/>
      <c r="Q994" s="2"/>
    </row>
    <row r="995" spans="1:17" x14ac:dyDescent="0.2">
      <c r="A995" s="2" t="s">
        <v>773</v>
      </c>
      <c r="B995" s="2" t="s">
        <v>8576</v>
      </c>
      <c r="C995" s="2" t="s">
        <v>9624</v>
      </c>
      <c r="D995" s="2" t="s">
        <v>7004</v>
      </c>
      <c r="E995" s="2" t="s">
        <v>9625</v>
      </c>
      <c r="F995" s="2" t="s">
        <v>9626</v>
      </c>
      <c r="G995" s="2" t="s">
        <v>5022</v>
      </c>
      <c r="H995" s="2" t="s">
        <v>5023</v>
      </c>
      <c r="I995" s="2" t="s">
        <v>9627</v>
      </c>
      <c r="J995" s="2"/>
      <c r="K995" s="2"/>
      <c r="L995" s="2"/>
      <c r="M995" s="2" t="s">
        <v>9628</v>
      </c>
      <c r="N995" s="2"/>
      <c r="O995" s="2"/>
      <c r="P995" s="2"/>
      <c r="Q995" s="2"/>
    </row>
    <row r="996" spans="1:17" x14ac:dyDescent="0.2">
      <c r="A996" s="2" t="s">
        <v>584</v>
      </c>
      <c r="B996" s="2" t="s">
        <v>9629</v>
      </c>
      <c r="C996" s="2" t="s">
        <v>9630</v>
      </c>
      <c r="D996" s="2" t="s">
        <v>9631</v>
      </c>
      <c r="E996" s="2" t="s">
        <v>9632</v>
      </c>
      <c r="F996" s="2" t="s">
        <v>9633</v>
      </c>
      <c r="G996" s="2" t="s">
        <v>5022</v>
      </c>
      <c r="H996" s="2" t="s">
        <v>5023</v>
      </c>
      <c r="I996" s="2" t="s">
        <v>9634</v>
      </c>
      <c r="J996" s="2"/>
      <c r="K996" s="2"/>
      <c r="L996" s="2"/>
      <c r="M996" s="2" t="s">
        <v>9635</v>
      </c>
      <c r="N996" s="2"/>
      <c r="O996" s="2"/>
      <c r="P996" s="2"/>
      <c r="Q996" s="2"/>
    </row>
    <row r="997" spans="1:17" x14ac:dyDescent="0.2">
      <c r="A997" s="2" t="s">
        <v>4508</v>
      </c>
      <c r="B997" s="2" t="s">
        <v>9636</v>
      </c>
      <c r="C997" s="2" t="s">
        <v>8121</v>
      </c>
      <c r="D997" s="2" t="s">
        <v>9637</v>
      </c>
      <c r="E997" s="2" t="s">
        <v>9638</v>
      </c>
      <c r="F997" s="2" t="s">
        <v>9639</v>
      </c>
      <c r="G997" s="2" t="s">
        <v>5022</v>
      </c>
      <c r="H997" s="2" t="s">
        <v>5023</v>
      </c>
      <c r="I997" s="2"/>
      <c r="J997" s="2"/>
      <c r="K997" s="2" t="s">
        <v>9640</v>
      </c>
      <c r="L997" s="2"/>
      <c r="M997" s="2"/>
      <c r="N997" s="2"/>
      <c r="O997" s="2"/>
      <c r="P997" s="2"/>
      <c r="Q997" s="2"/>
    </row>
    <row r="998" spans="1:17" x14ac:dyDescent="0.2">
      <c r="A998" s="2" t="s">
        <v>3343</v>
      </c>
      <c r="B998" s="2" t="s">
        <v>8840</v>
      </c>
      <c r="C998" s="2" t="s">
        <v>9641</v>
      </c>
      <c r="D998" s="2" t="s">
        <v>9642</v>
      </c>
      <c r="E998" s="2" t="s">
        <v>9643</v>
      </c>
      <c r="F998" s="2" t="s">
        <v>5390</v>
      </c>
      <c r="G998" s="2" t="s">
        <v>5022</v>
      </c>
      <c r="H998" s="2" t="s">
        <v>5023</v>
      </c>
      <c r="I998" s="2" t="s">
        <v>9644</v>
      </c>
      <c r="J998" s="2"/>
      <c r="K998" s="2"/>
      <c r="L998" s="2"/>
      <c r="M998" s="2" t="s">
        <v>9645</v>
      </c>
      <c r="N998" s="2"/>
      <c r="O998" s="2"/>
      <c r="P998" s="2"/>
      <c r="Q998" s="2"/>
    </row>
    <row r="999" spans="1:17" x14ac:dyDescent="0.2">
      <c r="A999" s="2" t="s">
        <v>3493</v>
      </c>
      <c r="B999" s="2" t="s">
        <v>9646</v>
      </c>
      <c r="C999" s="2" t="s">
        <v>6915</v>
      </c>
      <c r="D999" s="2" t="s">
        <v>9647</v>
      </c>
      <c r="E999" s="2" t="s">
        <v>6223</v>
      </c>
      <c r="F999" s="2" t="s">
        <v>5532</v>
      </c>
      <c r="G999" s="2" t="s">
        <v>5022</v>
      </c>
      <c r="H999" s="2" t="s">
        <v>5023</v>
      </c>
      <c r="I999" s="2" t="s">
        <v>9648</v>
      </c>
      <c r="J999" s="2"/>
      <c r="K999" s="2"/>
      <c r="L999" s="2"/>
      <c r="M999" s="2" t="s">
        <v>9649</v>
      </c>
      <c r="N999" s="2"/>
      <c r="O999" s="2"/>
      <c r="P999" s="2"/>
      <c r="Q999" s="2"/>
    </row>
    <row r="1000" spans="1:17" x14ac:dyDescent="0.2">
      <c r="A1000" s="2" t="s">
        <v>2630</v>
      </c>
      <c r="B1000" s="2" t="s">
        <v>9650</v>
      </c>
      <c r="C1000" s="2" t="s">
        <v>6916</v>
      </c>
      <c r="D1000" s="2" t="s">
        <v>8566</v>
      </c>
      <c r="E1000" s="2" t="s">
        <v>9651</v>
      </c>
      <c r="F1000" s="2" t="s">
        <v>9652</v>
      </c>
      <c r="G1000" s="2" t="s">
        <v>5022</v>
      </c>
      <c r="H1000" s="2" t="s">
        <v>5023</v>
      </c>
      <c r="I1000" s="2" t="s">
        <v>9653</v>
      </c>
      <c r="J1000" s="2"/>
      <c r="K1000" s="2"/>
      <c r="L1000" s="2"/>
      <c r="M1000" s="2" t="s">
        <v>9654</v>
      </c>
      <c r="N1000" s="2"/>
      <c r="O1000" s="2"/>
      <c r="P1000" s="2"/>
      <c r="Q1000" s="2"/>
    </row>
    <row r="1001" spans="1:17" x14ac:dyDescent="0.2">
      <c r="A1001" s="2" t="s">
        <v>3550</v>
      </c>
      <c r="B1001" s="2" t="s">
        <v>3994</v>
      </c>
      <c r="C1001" s="2" t="s">
        <v>9655</v>
      </c>
      <c r="D1001" s="2" t="s">
        <v>5076</v>
      </c>
      <c r="E1001" s="2" t="s">
        <v>9341</v>
      </c>
      <c r="F1001" s="2" t="s">
        <v>5439</v>
      </c>
      <c r="G1001" s="2" t="s">
        <v>5022</v>
      </c>
      <c r="H1001" s="2" t="s">
        <v>5023</v>
      </c>
      <c r="I1001" s="2" t="s">
        <v>9656</v>
      </c>
      <c r="J1001" s="2"/>
      <c r="K1001" s="2"/>
      <c r="L1001" s="2"/>
      <c r="M1001" s="2" t="s">
        <v>9657</v>
      </c>
      <c r="N1001" s="2"/>
      <c r="O1001" s="2"/>
      <c r="P1001" s="2"/>
      <c r="Q1001" s="2"/>
    </row>
    <row r="1002" spans="1:17" x14ac:dyDescent="0.2">
      <c r="A1002" s="2" t="s">
        <v>4708</v>
      </c>
      <c r="B1002" s="2" t="s">
        <v>3159</v>
      </c>
      <c r="C1002" s="2" t="s">
        <v>7214</v>
      </c>
      <c r="D1002" s="2" t="s">
        <v>8681</v>
      </c>
      <c r="E1002" s="2" t="s">
        <v>9658</v>
      </c>
      <c r="F1002" s="2" t="s">
        <v>9659</v>
      </c>
      <c r="G1002" s="2" t="s">
        <v>5022</v>
      </c>
      <c r="H1002" s="2" t="s">
        <v>5023</v>
      </c>
      <c r="I1002" s="2" t="s">
        <v>9660</v>
      </c>
      <c r="J1002" s="2"/>
      <c r="K1002" s="2"/>
      <c r="L1002" s="2"/>
      <c r="M1002" s="2" t="s">
        <v>9661</v>
      </c>
      <c r="N1002" s="2"/>
      <c r="O1002" s="2"/>
      <c r="P1002" s="2"/>
      <c r="Q1002" s="2"/>
    </row>
    <row r="1003" spans="1:17" x14ac:dyDescent="0.2">
      <c r="A1003" s="2" t="s">
        <v>1879</v>
      </c>
      <c r="B1003" s="2" t="s">
        <v>9662</v>
      </c>
      <c r="C1003" s="2" t="s">
        <v>6498</v>
      </c>
      <c r="D1003" s="2" t="s">
        <v>5139</v>
      </c>
      <c r="E1003" s="2" t="s">
        <v>9663</v>
      </c>
      <c r="F1003" s="2" t="s">
        <v>9664</v>
      </c>
      <c r="G1003" s="2" t="s">
        <v>5022</v>
      </c>
      <c r="H1003" s="2" t="s">
        <v>5023</v>
      </c>
      <c r="I1003" s="2"/>
      <c r="J1003" s="2"/>
      <c r="K1003" s="2" t="s">
        <v>9665</v>
      </c>
      <c r="L1003" s="2"/>
      <c r="M1003" s="2"/>
      <c r="N1003" s="2"/>
      <c r="O1003" s="2"/>
      <c r="P1003" s="2"/>
      <c r="Q1003" s="2"/>
    </row>
    <row r="1004" spans="1:17" x14ac:dyDescent="0.2">
      <c r="A1004" s="2" t="s">
        <v>1513</v>
      </c>
      <c r="B1004" s="2" t="s">
        <v>9666</v>
      </c>
      <c r="C1004" s="2" t="s">
        <v>6292</v>
      </c>
      <c r="D1004" s="2" t="s">
        <v>9667</v>
      </c>
      <c r="E1004" s="2" t="s">
        <v>9668</v>
      </c>
      <c r="F1004" s="2" t="s">
        <v>9669</v>
      </c>
      <c r="G1004" s="2" t="s">
        <v>5022</v>
      </c>
      <c r="H1004" s="2" t="s">
        <v>5023</v>
      </c>
      <c r="I1004" s="2" t="s">
        <v>9670</v>
      </c>
      <c r="J1004" s="2"/>
      <c r="K1004" s="2"/>
      <c r="L1004" s="2"/>
      <c r="M1004" s="2" t="s">
        <v>9671</v>
      </c>
      <c r="N1004" s="2"/>
      <c r="O1004" s="2"/>
      <c r="P1004" s="2"/>
      <c r="Q1004" s="2"/>
    </row>
    <row r="1005" spans="1:17" x14ac:dyDescent="0.2">
      <c r="A1005" s="2" t="s">
        <v>4259</v>
      </c>
      <c r="B1005" s="2" t="s">
        <v>9672</v>
      </c>
      <c r="C1005" s="2" t="s">
        <v>9673</v>
      </c>
      <c r="D1005" s="2" t="s">
        <v>9674</v>
      </c>
      <c r="E1005" s="2" t="s">
        <v>9675</v>
      </c>
      <c r="F1005" s="2" t="s">
        <v>9676</v>
      </c>
      <c r="G1005" s="2" t="s">
        <v>5022</v>
      </c>
      <c r="H1005" s="2" t="s">
        <v>5023</v>
      </c>
      <c r="I1005" s="2"/>
      <c r="J1005" s="2"/>
      <c r="K1005" s="2" t="s">
        <v>9677</v>
      </c>
      <c r="L1005" s="2"/>
      <c r="M1005" s="2" t="s">
        <v>9678</v>
      </c>
      <c r="N1005" s="2"/>
      <c r="O1005" s="2"/>
      <c r="P1005" s="2"/>
      <c r="Q1005" s="2"/>
    </row>
    <row r="1006" spans="1:17" x14ac:dyDescent="0.2">
      <c r="A1006" s="2" t="s">
        <v>3350</v>
      </c>
      <c r="B1006" s="2" t="s">
        <v>5310</v>
      </c>
      <c r="C1006" s="2" t="s">
        <v>5677</v>
      </c>
      <c r="D1006" s="2" t="s">
        <v>5092</v>
      </c>
      <c r="E1006" s="2" t="s">
        <v>5094</v>
      </c>
      <c r="F1006" s="2" t="s">
        <v>5095</v>
      </c>
      <c r="G1006" s="2" t="s">
        <v>5022</v>
      </c>
      <c r="H1006" s="2" t="s">
        <v>5023</v>
      </c>
      <c r="I1006" s="2" t="s">
        <v>9679</v>
      </c>
      <c r="J1006" s="2"/>
      <c r="K1006" s="2"/>
      <c r="L1006" s="2"/>
      <c r="M1006" s="2" t="s">
        <v>9680</v>
      </c>
      <c r="N1006" s="2"/>
      <c r="O1006" s="2"/>
      <c r="P1006" s="2"/>
      <c r="Q1006" s="2"/>
    </row>
    <row r="1007" spans="1:17" x14ac:dyDescent="0.2">
      <c r="A1007" s="2" t="s">
        <v>961</v>
      </c>
      <c r="B1007" s="2" t="s">
        <v>7699</v>
      </c>
      <c r="C1007" s="2" t="s">
        <v>7000</v>
      </c>
      <c r="D1007" s="2" t="s">
        <v>5901</v>
      </c>
      <c r="E1007" s="2" t="s">
        <v>9245</v>
      </c>
      <c r="F1007" s="2" t="s">
        <v>5128</v>
      </c>
      <c r="G1007" s="2" t="s">
        <v>5022</v>
      </c>
      <c r="H1007" s="2" t="s">
        <v>5023</v>
      </c>
      <c r="I1007" s="2"/>
      <c r="J1007" s="2"/>
      <c r="K1007" s="2" t="s">
        <v>9681</v>
      </c>
      <c r="L1007" s="2"/>
      <c r="M1007" s="2"/>
      <c r="N1007" s="2"/>
      <c r="O1007" s="2"/>
      <c r="P1007" s="2"/>
      <c r="Q1007" s="2"/>
    </row>
    <row r="1008" spans="1:17" x14ac:dyDescent="0.2">
      <c r="A1008" s="2" t="s">
        <v>2024</v>
      </c>
      <c r="B1008" s="2" t="s">
        <v>9682</v>
      </c>
      <c r="C1008" s="2" t="s">
        <v>9683</v>
      </c>
      <c r="D1008" s="2" t="s">
        <v>5018</v>
      </c>
      <c r="E1008" s="2" t="s">
        <v>9684</v>
      </c>
      <c r="F1008" s="2" t="s">
        <v>9685</v>
      </c>
      <c r="G1008" s="2" t="s">
        <v>5022</v>
      </c>
      <c r="H1008" s="2" t="s">
        <v>5023</v>
      </c>
      <c r="I1008" s="2" t="s">
        <v>9686</v>
      </c>
      <c r="J1008" s="2"/>
      <c r="K1008" s="2"/>
      <c r="L1008" s="2"/>
      <c r="M1008" s="2"/>
      <c r="N1008" s="2"/>
      <c r="O1008" s="2"/>
      <c r="P1008" s="2"/>
      <c r="Q1008" s="2"/>
    </row>
    <row r="1009" spans="1:17" x14ac:dyDescent="0.2">
      <c r="A1009" s="2" t="s">
        <v>2299</v>
      </c>
      <c r="B1009" s="2" t="s">
        <v>9687</v>
      </c>
      <c r="C1009" s="2" t="s">
        <v>9688</v>
      </c>
      <c r="D1009" s="2" t="s">
        <v>5398</v>
      </c>
      <c r="E1009" s="2" t="s">
        <v>9689</v>
      </c>
      <c r="F1009" s="2" t="s">
        <v>9690</v>
      </c>
      <c r="G1009" s="2" t="s">
        <v>5022</v>
      </c>
      <c r="H1009" s="2" t="s">
        <v>5023</v>
      </c>
      <c r="I1009" s="2"/>
      <c r="J1009" s="2"/>
      <c r="K1009" s="2" t="s">
        <v>9691</v>
      </c>
      <c r="L1009" s="2"/>
      <c r="M1009" s="2"/>
      <c r="N1009" s="2"/>
      <c r="O1009" s="2"/>
      <c r="P1009" s="2"/>
      <c r="Q1009" s="2"/>
    </row>
    <row r="1010" spans="1:17" x14ac:dyDescent="0.2">
      <c r="A1010" s="2" t="s">
        <v>2476</v>
      </c>
      <c r="B1010" s="2" t="s">
        <v>4360</v>
      </c>
      <c r="C1010" s="2" t="s">
        <v>7031</v>
      </c>
      <c r="D1010" s="2" t="s">
        <v>5409</v>
      </c>
      <c r="E1010" s="2" t="s">
        <v>9692</v>
      </c>
      <c r="F1010" s="2" t="s">
        <v>9693</v>
      </c>
      <c r="G1010" s="2" t="s">
        <v>5022</v>
      </c>
      <c r="H1010" s="2" t="s">
        <v>5023</v>
      </c>
      <c r="I1010" s="2" t="s">
        <v>9694</v>
      </c>
      <c r="J1010" s="2"/>
      <c r="K1010" s="2"/>
      <c r="L1010" s="2"/>
      <c r="M1010" s="2" t="s">
        <v>9695</v>
      </c>
      <c r="N1010" s="2"/>
      <c r="O1010" s="2"/>
      <c r="P1010" s="2"/>
      <c r="Q1010" s="2"/>
    </row>
    <row r="1011" spans="1:17" x14ac:dyDescent="0.2">
      <c r="A1011" s="2" t="s">
        <v>4614</v>
      </c>
      <c r="B1011" s="2" t="s">
        <v>9696</v>
      </c>
      <c r="C1011" s="2" t="s">
        <v>6204</v>
      </c>
      <c r="D1011" s="2" t="s">
        <v>9345</v>
      </c>
      <c r="E1011" s="2" t="s">
        <v>9697</v>
      </c>
      <c r="F1011" s="2" t="s">
        <v>9698</v>
      </c>
      <c r="G1011" s="2" t="s">
        <v>5022</v>
      </c>
      <c r="H1011" s="2" t="s">
        <v>5023</v>
      </c>
      <c r="I1011" s="2" t="s">
        <v>9699</v>
      </c>
      <c r="J1011" s="2"/>
      <c r="K1011" s="2"/>
      <c r="L1011" s="2"/>
      <c r="M1011" s="2" t="s">
        <v>9700</v>
      </c>
      <c r="N1011" s="2"/>
      <c r="O1011" s="2"/>
      <c r="P1011" s="2"/>
      <c r="Q1011" s="2"/>
    </row>
    <row r="1012" spans="1:17" x14ac:dyDescent="0.2">
      <c r="A1012" s="2" t="s">
        <v>1274</v>
      </c>
      <c r="B1012" s="2" t="s">
        <v>9701</v>
      </c>
      <c r="C1012" s="2" t="s">
        <v>8887</v>
      </c>
      <c r="D1012" s="2" t="s">
        <v>9113</v>
      </c>
      <c r="E1012" s="2" t="s">
        <v>9702</v>
      </c>
      <c r="F1012" s="2" t="s">
        <v>8282</v>
      </c>
      <c r="G1012" s="2" t="s">
        <v>5022</v>
      </c>
      <c r="H1012" s="2" t="s">
        <v>5023</v>
      </c>
      <c r="I1012" s="2"/>
      <c r="J1012" s="2"/>
      <c r="K1012" s="2" t="s">
        <v>9703</v>
      </c>
      <c r="L1012" s="2"/>
      <c r="M1012" s="2"/>
      <c r="N1012" s="2"/>
      <c r="O1012" s="2"/>
      <c r="P1012" s="2"/>
      <c r="Q1012" s="2"/>
    </row>
    <row r="1013" spans="1:17" x14ac:dyDescent="0.2">
      <c r="A1013" s="2" t="s">
        <v>720</v>
      </c>
      <c r="B1013" s="2" t="s">
        <v>8814</v>
      </c>
      <c r="C1013" s="2" t="s">
        <v>6449</v>
      </c>
      <c r="D1013" s="2" t="s">
        <v>5976</v>
      </c>
      <c r="E1013" s="2" t="s">
        <v>9704</v>
      </c>
      <c r="F1013" s="2" t="s">
        <v>5128</v>
      </c>
      <c r="G1013" s="2" t="s">
        <v>5022</v>
      </c>
      <c r="H1013" s="2" t="s">
        <v>5023</v>
      </c>
      <c r="I1013" s="2"/>
      <c r="J1013" s="2"/>
      <c r="K1013" s="2" t="s">
        <v>6463</v>
      </c>
      <c r="L1013" s="2"/>
      <c r="M1013" s="2"/>
      <c r="N1013" s="2"/>
      <c r="O1013" s="2"/>
      <c r="P1013" s="2"/>
      <c r="Q1013" s="2"/>
    </row>
    <row r="1014" spans="1:17" x14ac:dyDescent="0.2">
      <c r="A1014" s="2" t="s">
        <v>1536</v>
      </c>
      <c r="B1014" s="2" t="s">
        <v>9705</v>
      </c>
      <c r="C1014" s="2" t="s">
        <v>9706</v>
      </c>
      <c r="D1014" s="2" t="s">
        <v>6118</v>
      </c>
      <c r="E1014" s="2" t="s">
        <v>9707</v>
      </c>
      <c r="F1014" s="2" t="s">
        <v>6715</v>
      </c>
      <c r="G1014" s="2" t="s">
        <v>5022</v>
      </c>
      <c r="H1014" s="2" t="s">
        <v>5023</v>
      </c>
      <c r="I1014" s="2" t="s">
        <v>9708</v>
      </c>
      <c r="J1014" s="2"/>
      <c r="K1014" s="2"/>
      <c r="L1014" s="2"/>
      <c r="M1014" s="2" t="s">
        <v>9709</v>
      </c>
      <c r="N1014" s="2"/>
      <c r="O1014" s="2"/>
      <c r="P1014" s="2"/>
      <c r="Q1014" s="2"/>
    </row>
    <row r="1015" spans="1:17" x14ac:dyDescent="0.2">
      <c r="A1015" s="2" t="s">
        <v>1874</v>
      </c>
      <c r="B1015" s="2" t="s">
        <v>9710</v>
      </c>
      <c r="C1015" s="2" t="s">
        <v>5414</v>
      </c>
      <c r="D1015" s="2" t="s">
        <v>9211</v>
      </c>
      <c r="E1015" s="2" t="s">
        <v>9711</v>
      </c>
      <c r="F1015" s="2" t="s">
        <v>6992</v>
      </c>
      <c r="G1015" s="2" t="s">
        <v>5022</v>
      </c>
      <c r="H1015" s="2" t="s">
        <v>5023</v>
      </c>
      <c r="I1015" s="2" t="s">
        <v>9712</v>
      </c>
      <c r="J1015" s="2"/>
      <c r="K1015" s="2"/>
      <c r="L1015" s="2"/>
      <c r="M1015" s="2" t="s">
        <v>9713</v>
      </c>
      <c r="N1015" s="2"/>
      <c r="O1015" s="2"/>
      <c r="P1015" s="2"/>
      <c r="Q1015" s="2"/>
    </row>
    <row r="1016" spans="1:17" x14ac:dyDescent="0.2">
      <c r="A1016" s="2" t="s">
        <v>4064</v>
      </c>
      <c r="B1016" s="2" t="s">
        <v>6468</v>
      </c>
      <c r="C1016" s="2" t="s">
        <v>8672</v>
      </c>
      <c r="D1016" s="2" t="s">
        <v>5317</v>
      </c>
      <c r="E1016" s="2" t="s">
        <v>9138</v>
      </c>
      <c r="F1016" s="2" t="s">
        <v>9714</v>
      </c>
      <c r="G1016" s="2" t="s">
        <v>5022</v>
      </c>
      <c r="H1016" s="2" t="s">
        <v>5023</v>
      </c>
      <c r="I1016" s="2" t="s">
        <v>9715</v>
      </c>
      <c r="J1016" s="2"/>
      <c r="K1016" s="2"/>
      <c r="L1016" s="2"/>
      <c r="M1016" s="2"/>
      <c r="N1016" s="2"/>
      <c r="O1016" s="2"/>
      <c r="P1016" s="2"/>
      <c r="Q1016" s="2"/>
    </row>
    <row r="1017" spans="1:17" x14ac:dyDescent="0.2">
      <c r="A1017" s="2" t="s">
        <v>2217</v>
      </c>
      <c r="B1017" s="2" t="s">
        <v>6039</v>
      </c>
      <c r="C1017" s="2" t="s">
        <v>9716</v>
      </c>
      <c r="D1017" s="2" t="s">
        <v>5678</v>
      </c>
      <c r="E1017" s="2" t="s">
        <v>9717</v>
      </c>
      <c r="F1017" s="2" t="s">
        <v>7809</v>
      </c>
      <c r="G1017" s="2" t="s">
        <v>5022</v>
      </c>
      <c r="H1017" s="2" t="s">
        <v>5023</v>
      </c>
      <c r="I1017" s="2" t="s">
        <v>9718</v>
      </c>
      <c r="J1017" s="2"/>
      <c r="K1017" s="2"/>
      <c r="L1017" s="2"/>
      <c r="M1017" s="2" t="s">
        <v>9719</v>
      </c>
      <c r="N1017" s="2"/>
      <c r="O1017" s="2"/>
      <c r="P1017" s="2"/>
      <c r="Q1017" s="2"/>
    </row>
    <row r="1018" spans="1:17" x14ac:dyDescent="0.2">
      <c r="A1018" s="2" t="s">
        <v>2875</v>
      </c>
      <c r="B1018" s="2" t="s">
        <v>9579</v>
      </c>
      <c r="C1018" s="2" t="s">
        <v>5275</v>
      </c>
      <c r="D1018" s="2" t="s">
        <v>6233</v>
      </c>
      <c r="E1018" s="2" t="s">
        <v>9720</v>
      </c>
      <c r="F1018" s="2" t="s">
        <v>5128</v>
      </c>
      <c r="G1018" s="2" t="s">
        <v>5022</v>
      </c>
      <c r="H1018" s="2" t="s">
        <v>5023</v>
      </c>
      <c r="I1018" s="2"/>
      <c r="J1018" s="2"/>
      <c r="K1018" s="2" t="s">
        <v>9721</v>
      </c>
      <c r="L1018" s="2"/>
      <c r="M1018" s="2"/>
      <c r="N1018" s="2"/>
      <c r="O1018" s="2"/>
      <c r="P1018" s="2"/>
      <c r="Q1018" s="2"/>
    </row>
    <row r="1019" spans="1:17" x14ac:dyDescent="0.2">
      <c r="A1019" s="2" t="s">
        <v>1793</v>
      </c>
      <c r="B1019" s="2" t="s">
        <v>9722</v>
      </c>
      <c r="C1019" s="2" t="s">
        <v>6261</v>
      </c>
      <c r="D1019" s="2" t="s">
        <v>9723</v>
      </c>
      <c r="E1019" s="2" t="s">
        <v>9724</v>
      </c>
      <c r="F1019" s="2" t="s">
        <v>6124</v>
      </c>
      <c r="G1019" s="2" t="s">
        <v>5022</v>
      </c>
      <c r="H1019" s="2" t="s">
        <v>5129</v>
      </c>
      <c r="I1019" s="2" t="s">
        <v>9725</v>
      </c>
      <c r="J1019" s="2"/>
      <c r="K1019" s="2"/>
      <c r="L1019" s="2"/>
      <c r="M1019" s="2" t="s">
        <v>9726</v>
      </c>
      <c r="N1019" s="2"/>
      <c r="O1019" s="2"/>
      <c r="P1019" s="2"/>
      <c r="Q1019" s="2"/>
    </row>
    <row r="1020" spans="1:17" x14ac:dyDescent="0.2">
      <c r="A1020" s="2" t="s">
        <v>3530</v>
      </c>
      <c r="B1020" s="2" t="s">
        <v>5198</v>
      </c>
      <c r="C1020" s="2" t="s">
        <v>9727</v>
      </c>
      <c r="D1020" s="2" t="s">
        <v>8846</v>
      </c>
      <c r="E1020" s="2" t="s">
        <v>9728</v>
      </c>
      <c r="F1020" s="2" t="s">
        <v>8714</v>
      </c>
      <c r="G1020" s="2" t="s">
        <v>5022</v>
      </c>
      <c r="H1020" s="2" t="s">
        <v>5023</v>
      </c>
      <c r="I1020" s="2" t="s">
        <v>9729</v>
      </c>
      <c r="J1020" s="2"/>
      <c r="K1020" s="2"/>
      <c r="L1020" s="2"/>
      <c r="M1020" s="2" t="s">
        <v>9730</v>
      </c>
      <c r="N1020" s="2"/>
      <c r="O1020" s="2"/>
      <c r="P1020" s="2"/>
      <c r="Q1020" s="2"/>
    </row>
    <row r="1021" spans="1:17" x14ac:dyDescent="0.2">
      <c r="A1021" s="2" t="s">
        <v>2882</v>
      </c>
      <c r="B1021" s="2" t="s">
        <v>9731</v>
      </c>
      <c r="C1021" s="2" t="s">
        <v>6726</v>
      </c>
      <c r="D1021" s="2" t="s">
        <v>5535</v>
      </c>
      <c r="E1021" s="2" t="s">
        <v>5445</v>
      </c>
      <c r="F1021" s="2" t="s">
        <v>9732</v>
      </c>
      <c r="G1021" s="2" t="s">
        <v>5022</v>
      </c>
      <c r="H1021" s="2" t="s">
        <v>5023</v>
      </c>
      <c r="I1021" s="2" t="s">
        <v>9733</v>
      </c>
      <c r="J1021" s="2"/>
      <c r="K1021" s="2"/>
      <c r="L1021" s="2"/>
      <c r="M1021" s="2"/>
      <c r="N1021" s="2"/>
      <c r="O1021" s="2"/>
      <c r="P1021" s="2"/>
      <c r="Q1021" s="2"/>
    </row>
    <row r="1022" spans="1:17" x14ac:dyDescent="0.2">
      <c r="A1022" s="2" t="s">
        <v>617</v>
      </c>
      <c r="B1022" s="2" t="s">
        <v>6442</v>
      </c>
      <c r="C1022" s="2" t="s">
        <v>9734</v>
      </c>
      <c r="D1022" s="2" t="s">
        <v>9735</v>
      </c>
      <c r="E1022" s="2" t="s">
        <v>9736</v>
      </c>
      <c r="F1022" s="2" t="s">
        <v>9737</v>
      </c>
      <c r="G1022" s="2" t="s">
        <v>5022</v>
      </c>
      <c r="H1022" s="2" t="s">
        <v>5023</v>
      </c>
      <c r="I1022" s="2" t="s">
        <v>9738</v>
      </c>
      <c r="J1022" s="2"/>
      <c r="K1022" s="2"/>
      <c r="L1022" s="2"/>
      <c r="M1022" s="2" t="s">
        <v>9739</v>
      </c>
      <c r="N1022" s="2"/>
      <c r="O1022" s="2"/>
      <c r="P1022" s="2"/>
      <c r="Q1022" s="2"/>
    </row>
    <row r="1023" spans="1:17" x14ac:dyDescent="0.2">
      <c r="A1023" s="2" t="s">
        <v>114</v>
      </c>
      <c r="B1023" s="2" t="s">
        <v>9740</v>
      </c>
      <c r="C1023" s="2" t="s">
        <v>9741</v>
      </c>
      <c r="D1023" s="2" t="s">
        <v>5275</v>
      </c>
      <c r="E1023" s="2" t="s">
        <v>9742</v>
      </c>
      <c r="F1023" s="2" t="s">
        <v>9743</v>
      </c>
      <c r="G1023" s="2" t="s">
        <v>5022</v>
      </c>
      <c r="H1023" s="2" t="s">
        <v>5023</v>
      </c>
      <c r="I1023" s="2" t="s">
        <v>9744</v>
      </c>
      <c r="J1023" s="2"/>
      <c r="K1023" s="2"/>
      <c r="L1023" s="2"/>
      <c r="M1023" s="2" t="s">
        <v>9745</v>
      </c>
      <c r="N1023" s="2"/>
      <c r="O1023" s="2"/>
      <c r="P1023" s="2"/>
      <c r="Q1023" s="2"/>
    </row>
    <row r="1024" spans="1:17" x14ac:dyDescent="0.2">
      <c r="A1024" s="2" t="s">
        <v>3852</v>
      </c>
      <c r="B1024" s="2" t="s">
        <v>9746</v>
      </c>
      <c r="C1024" s="2" t="s">
        <v>5409</v>
      </c>
      <c r="D1024" s="2" t="s">
        <v>5767</v>
      </c>
      <c r="E1024" s="2" t="s">
        <v>9747</v>
      </c>
      <c r="F1024" s="2" t="s">
        <v>6406</v>
      </c>
      <c r="G1024" s="2" t="s">
        <v>5022</v>
      </c>
      <c r="H1024" s="2" t="s">
        <v>5023</v>
      </c>
      <c r="I1024" s="2" t="s">
        <v>9748</v>
      </c>
      <c r="J1024" s="2"/>
      <c r="K1024" s="2"/>
      <c r="L1024" s="2"/>
      <c r="M1024" s="2"/>
      <c r="N1024" s="2"/>
      <c r="O1024" s="2"/>
      <c r="P1024" s="2"/>
      <c r="Q1024" s="2"/>
    </row>
    <row r="1025" spans="1:17" x14ac:dyDescent="0.2">
      <c r="A1025" s="2" t="s">
        <v>4656</v>
      </c>
      <c r="B1025" s="2" t="s">
        <v>6468</v>
      </c>
      <c r="C1025" s="2" t="s">
        <v>9749</v>
      </c>
      <c r="D1025" s="2" t="s">
        <v>6004</v>
      </c>
      <c r="E1025" s="2" t="s">
        <v>9697</v>
      </c>
      <c r="F1025" s="2" t="s">
        <v>5161</v>
      </c>
      <c r="G1025" s="2" t="s">
        <v>5022</v>
      </c>
      <c r="H1025" s="2" t="s">
        <v>5023</v>
      </c>
      <c r="I1025" s="2" t="s">
        <v>9750</v>
      </c>
      <c r="J1025" s="2"/>
      <c r="K1025" s="2"/>
      <c r="L1025" s="2"/>
      <c r="M1025" s="2"/>
      <c r="N1025" s="2"/>
      <c r="O1025" s="2"/>
      <c r="P1025" s="2"/>
      <c r="Q1025" s="2"/>
    </row>
    <row r="1026" spans="1:17" x14ac:dyDescent="0.2">
      <c r="A1026" s="2" t="s">
        <v>2782</v>
      </c>
      <c r="B1026" s="2" t="s">
        <v>5916</v>
      </c>
      <c r="C1026" s="2" t="s">
        <v>5789</v>
      </c>
      <c r="D1026" s="2" t="s">
        <v>9751</v>
      </c>
      <c r="E1026" s="2" t="s">
        <v>7541</v>
      </c>
      <c r="F1026" s="2" t="s">
        <v>5792</v>
      </c>
      <c r="G1026" s="2" t="s">
        <v>5022</v>
      </c>
      <c r="H1026" s="2" t="s">
        <v>5023</v>
      </c>
      <c r="I1026" s="2" t="s">
        <v>9752</v>
      </c>
      <c r="J1026" s="2"/>
      <c r="K1026" s="2"/>
      <c r="L1026" s="2"/>
      <c r="M1026" s="2"/>
      <c r="N1026" s="2"/>
      <c r="O1026" s="2"/>
      <c r="P1026" s="2"/>
      <c r="Q1026" s="2"/>
    </row>
    <row r="1027" spans="1:17" x14ac:dyDescent="0.2">
      <c r="A1027" s="2" t="s">
        <v>2288</v>
      </c>
      <c r="B1027" s="2" t="s">
        <v>7699</v>
      </c>
      <c r="C1027" s="2" t="s">
        <v>7459</v>
      </c>
      <c r="D1027" s="2" t="s">
        <v>7460</v>
      </c>
      <c r="E1027" s="2" t="s">
        <v>5600</v>
      </c>
      <c r="F1027" s="2" t="s">
        <v>9753</v>
      </c>
      <c r="G1027" s="2" t="s">
        <v>5022</v>
      </c>
      <c r="H1027" s="2" t="s">
        <v>5023</v>
      </c>
      <c r="I1027" s="2"/>
      <c r="J1027" s="2"/>
      <c r="K1027" s="2" t="s">
        <v>9754</v>
      </c>
      <c r="L1027" s="2"/>
      <c r="M1027" s="2" t="s">
        <v>9755</v>
      </c>
      <c r="N1027" s="2"/>
      <c r="O1027" s="2"/>
      <c r="P1027" s="2"/>
      <c r="Q1027" s="2"/>
    </row>
    <row r="1028" spans="1:17" x14ac:dyDescent="0.2">
      <c r="A1028" s="2" t="s">
        <v>2803</v>
      </c>
      <c r="B1028" s="2" t="s">
        <v>9756</v>
      </c>
      <c r="C1028" s="2" t="s">
        <v>5877</v>
      </c>
      <c r="D1028" s="2" t="s">
        <v>7077</v>
      </c>
      <c r="E1028" s="2" t="s">
        <v>6019</v>
      </c>
      <c r="F1028" s="2" t="s">
        <v>6576</v>
      </c>
      <c r="G1028" s="2" t="s">
        <v>5022</v>
      </c>
      <c r="H1028" s="2" t="s">
        <v>5023</v>
      </c>
      <c r="I1028" s="2" t="s">
        <v>9757</v>
      </c>
      <c r="J1028" s="2"/>
      <c r="K1028" s="2"/>
      <c r="L1028" s="2"/>
      <c r="M1028" s="2"/>
      <c r="N1028" s="2"/>
      <c r="O1028" s="2"/>
      <c r="P1028" s="2"/>
      <c r="Q1028" s="2"/>
    </row>
    <row r="1029" spans="1:17" x14ac:dyDescent="0.2">
      <c r="A1029" s="2" t="s">
        <v>2850</v>
      </c>
      <c r="B1029" s="2" t="s">
        <v>9758</v>
      </c>
      <c r="C1029" s="2" t="s">
        <v>9759</v>
      </c>
      <c r="D1029" s="2" t="s">
        <v>9759</v>
      </c>
      <c r="E1029" s="2" t="s">
        <v>9760</v>
      </c>
      <c r="F1029" s="2" t="s">
        <v>6800</v>
      </c>
      <c r="G1029" s="2" t="s">
        <v>5022</v>
      </c>
      <c r="H1029" s="2" t="s">
        <v>5023</v>
      </c>
      <c r="I1029" s="2" t="s">
        <v>9761</v>
      </c>
      <c r="J1029" s="2"/>
      <c r="K1029" s="2"/>
      <c r="L1029" s="2"/>
      <c r="M1029" s="2"/>
      <c r="N1029" s="2"/>
      <c r="O1029" s="2"/>
      <c r="P1029" s="2"/>
      <c r="Q1029" s="2"/>
    </row>
    <row r="1030" spans="1:17" x14ac:dyDescent="0.2">
      <c r="A1030" s="2" t="s">
        <v>2140</v>
      </c>
      <c r="B1030" s="2" t="s">
        <v>9597</v>
      </c>
      <c r="C1030" s="2" t="s">
        <v>5159</v>
      </c>
      <c r="D1030" s="2" t="s">
        <v>5611</v>
      </c>
      <c r="E1030" s="2" t="s">
        <v>9762</v>
      </c>
      <c r="F1030" s="2" t="s">
        <v>9763</v>
      </c>
      <c r="G1030" s="2" t="s">
        <v>5022</v>
      </c>
      <c r="H1030" s="2" t="s">
        <v>5023</v>
      </c>
      <c r="I1030" s="2"/>
      <c r="J1030" s="2"/>
      <c r="K1030" s="2" t="s">
        <v>9764</v>
      </c>
      <c r="L1030" s="2"/>
      <c r="M1030" s="2"/>
      <c r="N1030" s="2"/>
      <c r="O1030" s="2"/>
      <c r="P1030" s="2"/>
      <c r="Q1030" s="2"/>
    </row>
    <row r="1031" spans="1:17" x14ac:dyDescent="0.2">
      <c r="A1031" s="2" t="s">
        <v>466</v>
      </c>
      <c r="B1031" s="2" t="s">
        <v>9765</v>
      </c>
      <c r="C1031" s="2" t="s">
        <v>7658</v>
      </c>
      <c r="D1031" s="2" t="s">
        <v>9766</v>
      </c>
      <c r="E1031" s="2" t="s">
        <v>9767</v>
      </c>
      <c r="F1031" s="2" t="s">
        <v>9768</v>
      </c>
      <c r="G1031" s="2" t="s">
        <v>5022</v>
      </c>
      <c r="H1031" s="2" t="s">
        <v>5023</v>
      </c>
      <c r="I1031" s="2" t="s">
        <v>9769</v>
      </c>
      <c r="J1031" s="2"/>
      <c r="K1031" s="2"/>
      <c r="L1031" s="2"/>
      <c r="M1031" s="2" t="s">
        <v>9770</v>
      </c>
      <c r="N1031" s="2"/>
      <c r="O1031" s="2"/>
      <c r="P1031" s="2"/>
      <c r="Q1031" s="2"/>
    </row>
    <row r="1032" spans="1:17" x14ac:dyDescent="0.2">
      <c r="A1032" s="2" t="s">
        <v>1714</v>
      </c>
      <c r="B1032" s="2" t="s">
        <v>8397</v>
      </c>
      <c r="C1032" s="2" t="s">
        <v>5105</v>
      </c>
      <c r="D1032" s="2" t="s">
        <v>5217</v>
      </c>
      <c r="E1032" s="2" t="s">
        <v>7830</v>
      </c>
      <c r="F1032" s="2" t="s">
        <v>9771</v>
      </c>
      <c r="G1032" s="2" t="s">
        <v>5022</v>
      </c>
      <c r="H1032" s="2" t="s">
        <v>5023</v>
      </c>
      <c r="I1032" s="2"/>
      <c r="J1032" s="2"/>
      <c r="K1032" s="2" t="s">
        <v>9772</v>
      </c>
      <c r="L1032" s="2"/>
      <c r="M1032" s="2" t="s">
        <v>9773</v>
      </c>
      <c r="N1032" s="2"/>
      <c r="O1032" s="2"/>
      <c r="P1032" s="2"/>
      <c r="Q1032" s="2"/>
    </row>
    <row r="1033" spans="1:17" x14ac:dyDescent="0.2">
      <c r="A1033" s="2" t="s">
        <v>4663</v>
      </c>
      <c r="B1033" s="2" t="s">
        <v>9774</v>
      </c>
      <c r="C1033" s="2" t="s">
        <v>9775</v>
      </c>
      <c r="D1033" s="2" t="s">
        <v>9776</v>
      </c>
      <c r="E1033" s="2" t="s">
        <v>9777</v>
      </c>
      <c r="F1033" s="2" t="s">
        <v>9778</v>
      </c>
      <c r="G1033" s="2" t="s">
        <v>5022</v>
      </c>
      <c r="H1033" s="2" t="s">
        <v>5023</v>
      </c>
      <c r="I1033" s="2" t="s">
        <v>9779</v>
      </c>
      <c r="J1033" s="2"/>
      <c r="K1033" s="2"/>
      <c r="L1033" s="2"/>
      <c r="M1033" s="2" t="s">
        <v>9780</v>
      </c>
      <c r="N1033" s="2"/>
      <c r="O1033" s="2"/>
      <c r="P1033" s="2"/>
      <c r="Q1033" s="2"/>
    </row>
    <row r="1034" spans="1:17" x14ac:dyDescent="0.2">
      <c r="A1034" s="2" t="s">
        <v>1282</v>
      </c>
      <c r="B1034" s="2" t="s">
        <v>5939</v>
      </c>
      <c r="C1034" s="2" t="s">
        <v>9781</v>
      </c>
      <c r="D1034" s="2" t="s">
        <v>5170</v>
      </c>
      <c r="E1034" s="2" t="s">
        <v>9782</v>
      </c>
      <c r="F1034" s="2" t="s">
        <v>5173</v>
      </c>
      <c r="G1034" s="2" t="s">
        <v>5022</v>
      </c>
      <c r="H1034" s="2" t="s">
        <v>5023</v>
      </c>
      <c r="I1034" s="2" t="s">
        <v>9783</v>
      </c>
      <c r="J1034" s="2"/>
      <c r="K1034" s="2"/>
      <c r="L1034" s="2"/>
      <c r="M1034" s="2"/>
      <c r="N1034" s="2"/>
      <c r="O1034" s="2"/>
      <c r="P1034" s="2"/>
      <c r="Q1034" s="2"/>
    </row>
    <row r="1035" spans="1:17" x14ac:dyDescent="0.2">
      <c r="A1035" s="2" t="s">
        <v>1718</v>
      </c>
      <c r="B1035" s="2" t="s">
        <v>9784</v>
      </c>
      <c r="C1035" s="2" t="s">
        <v>5189</v>
      </c>
      <c r="D1035" s="2" t="s">
        <v>5493</v>
      </c>
      <c r="E1035" s="2" t="s">
        <v>9785</v>
      </c>
      <c r="F1035" s="2" t="s">
        <v>9786</v>
      </c>
      <c r="G1035" s="2" t="s">
        <v>5022</v>
      </c>
      <c r="H1035" s="2" t="s">
        <v>5023</v>
      </c>
      <c r="I1035" s="2"/>
      <c r="J1035" s="2"/>
      <c r="K1035" s="2" t="s">
        <v>9787</v>
      </c>
      <c r="L1035" s="2"/>
      <c r="M1035" s="2"/>
      <c r="N1035" s="2"/>
      <c r="O1035" s="2"/>
      <c r="P1035" s="2"/>
      <c r="Q1035" s="2"/>
    </row>
    <row r="1036" spans="1:17" x14ac:dyDescent="0.2">
      <c r="A1036" s="2" t="s">
        <v>1839</v>
      </c>
      <c r="B1036" s="2" t="s">
        <v>9788</v>
      </c>
      <c r="C1036" s="2" t="s">
        <v>8544</v>
      </c>
      <c r="D1036" s="2" t="s">
        <v>6160</v>
      </c>
      <c r="E1036" s="2" t="s">
        <v>9789</v>
      </c>
      <c r="F1036" s="2" t="s">
        <v>9790</v>
      </c>
      <c r="G1036" s="2" t="s">
        <v>5022</v>
      </c>
      <c r="H1036" s="2" t="s">
        <v>5023</v>
      </c>
      <c r="I1036" s="2" t="s">
        <v>9791</v>
      </c>
      <c r="J1036" s="2"/>
      <c r="K1036" s="2"/>
      <c r="L1036" s="2"/>
      <c r="M1036" s="2" t="s">
        <v>9792</v>
      </c>
      <c r="N1036" s="2"/>
      <c r="O1036" s="2"/>
      <c r="P1036" s="2"/>
      <c r="Q1036" s="2"/>
    </row>
    <row r="1037" spans="1:17" x14ac:dyDescent="0.2">
      <c r="A1037" s="2" t="s">
        <v>1497</v>
      </c>
      <c r="B1037" s="2" t="s">
        <v>9793</v>
      </c>
      <c r="C1037" s="2" t="s">
        <v>5159</v>
      </c>
      <c r="D1037" s="2" t="s">
        <v>8195</v>
      </c>
      <c r="E1037" s="2" t="s">
        <v>7590</v>
      </c>
      <c r="F1037" s="2" t="s">
        <v>9794</v>
      </c>
      <c r="G1037" s="2" t="s">
        <v>5022</v>
      </c>
      <c r="H1037" s="2" t="s">
        <v>5023</v>
      </c>
      <c r="I1037" s="2" t="s">
        <v>9795</v>
      </c>
      <c r="J1037" s="2"/>
      <c r="K1037" s="2"/>
      <c r="L1037" s="2"/>
      <c r="M1037" s="2"/>
      <c r="N1037" s="2"/>
      <c r="O1037" s="2"/>
      <c r="P1037" s="2"/>
      <c r="Q1037" s="2"/>
    </row>
    <row r="1038" spans="1:17" x14ac:dyDescent="0.2">
      <c r="A1038" s="2" t="s">
        <v>794</v>
      </c>
      <c r="B1038" s="2" t="s">
        <v>9796</v>
      </c>
      <c r="C1038" s="2" t="s">
        <v>5623</v>
      </c>
      <c r="D1038" s="2" t="s">
        <v>5957</v>
      </c>
      <c r="E1038" s="2" t="s">
        <v>8419</v>
      </c>
      <c r="F1038" s="2" t="s">
        <v>7828</v>
      </c>
      <c r="G1038" s="2" t="s">
        <v>5022</v>
      </c>
      <c r="H1038" s="2" t="s">
        <v>5023</v>
      </c>
      <c r="I1038" s="2" t="s">
        <v>9797</v>
      </c>
      <c r="J1038" s="2"/>
      <c r="K1038" s="2"/>
      <c r="L1038" s="2"/>
      <c r="M1038" s="2" t="s">
        <v>9798</v>
      </c>
      <c r="N1038" s="2"/>
      <c r="O1038" s="2"/>
      <c r="P1038" s="2"/>
      <c r="Q1038" s="2"/>
    </row>
    <row r="1039" spans="1:17" x14ac:dyDescent="0.2">
      <c r="A1039" s="2" t="s">
        <v>2033</v>
      </c>
      <c r="B1039" s="2" t="s">
        <v>9799</v>
      </c>
      <c r="C1039" s="2" t="s">
        <v>9485</v>
      </c>
      <c r="D1039" s="2" t="s">
        <v>5374</v>
      </c>
      <c r="E1039" s="2" t="s">
        <v>9800</v>
      </c>
      <c r="F1039" s="2" t="s">
        <v>9801</v>
      </c>
      <c r="G1039" s="2" t="s">
        <v>5022</v>
      </c>
      <c r="H1039" s="2" t="s">
        <v>5023</v>
      </c>
      <c r="I1039" s="2"/>
      <c r="J1039" s="2"/>
      <c r="K1039" s="2" t="s">
        <v>9802</v>
      </c>
      <c r="L1039" s="2"/>
      <c r="M1039" s="2"/>
      <c r="N1039" s="2"/>
      <c r="O1039" s="2"/>
      <c r="P1039" s="2"/>
      <c r="Q1039" s="2"/>
    </row>
    <row r="1040" spans="1:17" x14ac:dyDescent="0.2">
      <c r="A1040" s="2" t="s">
        <v>4010</v>
      </c>
      <c r="B1040" s="2" t="s">
        <v>9803</v>
      </c>
      <c r="C1040" s="2" t="s">
        <v>5282</v>
      </c>
      <c r="D1040" s="2" t="s">
        <v>5317</v>
      </c>
      <c r="E1040" s="2" t="s">
        <v>9804</v>
      </c>
      <c r="F1040" s="2" t="s">
        <v>9805</v>
      </c>
      <c r="G1040" s="2" t="s">
        <v>5022</v>
      </c>
      <c r="H1040" s="2" t="s">
        <v>5023</v>
      </c>
      <c r="I1040" s="2" t="s">
        <v>9806</v>
      </c>
      <c r="J1040" s="2"/>
      <c r="K1040" s="2"/>
      <c r="L1040" s="2"/>
      <c r="M1040" s="2"/>
      <c r="N1040" s="2"/>
      <c r="O1040" s="2"/>
      <c r="P1040" s="2"/>
      <c r="Q1040" s="2"/>
    </row>
    <row r="1041" spans="1:17" x14ac:dyDescent="0.2">
      <c r="A1041" s="2" t="s">
        <v>1986</v>
      </c>
      <c r="B1041" s="2" t="s">
        <v>6221</v>
      </c>
      <c r="C1041" s="2" t="s">
        <v>7077</v>
      </c>
      <c r="D1041" s="2" t="s">
        <v>5134</v>
      </c>
      <c r="E1041" s="2" t="s">
        <v>9807</v>
      </c>
      <c r="F1041" s="2" t="s">
        <v>9808</v>
      </c>
      <c r="G1041" s="2" t="s">
        <v>5022</v>
      </c>
      <c r="H1041" s="2" t="s">
        <v>5023</v>
      </c>
      <c r="I1041" s="2" t="s">
        <v>9809</v>
      </c>
      <c r="J1041" s="2"/>
      <c r="K1041" s="2"/>
      <c r="L1041" s="2"/>
      <c r="M1041" s="2"/>
      <c r="N1041" s="2"/>
      <c r="O1041" s="2"/>
      <c r="P1041" s="2"/>
      <c r="Q1041" s="2"/>
    </row>
    <row r="1042" spans="1:17" x14ac:dyDescent="0.2">
      <c r="A1042" s="2" t="s">
        <v>3358</v>
      </c>
      <c r="B1042" s="2" t="s">
        <v>9810</v>
      </c>
      <c r="C1042" s="2" t="s">
        <v>5075</v>
      </c>
      <c r="D1042" s="2" t="s">
        <v>5051</v>
      </c>
      <c r="E1042" s="2" t="s">
        <v>9811</v>
      </c>
      <c r="F1042" s="2" t="s">
        <v>9812</v>
      </c>
      <c r="G1042" s="2" t="s">
        <v>5022</v>
      </c>
      <c r="H1042" s="2" t="s">
        <v>5023</v>
      </c>
      <c r="I1042" s="2" t="s">
        <v>9813</v>
      </c>
      <c r="J1042" s="2"/>
      <c r="K1042" s="2"/>
      <c r="L1042" s="2"/>
      <c r="M1042" s="2" t="s">
        <v>9814</v>
      </c>
      <c r="N1042" s="2"/>
      <c r="O1042" s="2"/>
      <c r="P1042" s="2"/>
      <c r="Q1042" s="2"/>
    </row>
    <row r="1043" spans="1:17" x14ac:dyDescent="0.2">
      <c r="A1043" s="2" t="s">
        <v>2166</v>
      </c>
      <c r="B1043" s="2" t="s">
        <v>9815</v>
      </c>
      <c r="C1043" s="2" t="s">
        <v>6022</v>
      </c>
      <c r="D1043" s="2" t="s">
        <v>8008</v>
      </c>
      <c r="E1043" s="2" t="s">
        <v>9816</v>
      </c>
      <c r="F1043" s="2" t="s">
        <v>9817</v>
      </c>
      <c r="G1043" s="2" t="s">
        <v>5022</v>
      </c>
      <c r="H1043" s="2" t="s">
        <v>5023</v>
      </c>
      <c r="I1043" s="2" t="s">
        <v>9818</v>
      </c>
      <c r="J1043" s="2"/>
      <c r="K1043" s="2"/>
      <c r="L1043" s="2"/>
      <c r="M1043" s="2" t="s">
        <v>9819</v>
      </c>
      <c r="N1043" s="2"/>
      <c r="O1043" s="2"/>
      <c r="P1043" s="2"/>
      <c r="Q1043" s="2"/>
    </row>
    <row r="1044" spans="1:17" x14ac:dyDescent="0.2">
      <c r="A1044" s="2" t="s">
        <v>4154</v>
      </c>
      <c r="B1044" s="2" t="s">
        <v>9820</v>
      </c>
      <c r="C1044" s="2" t="s">
        <v>6003</v>
      </c>
      <c r="D1044" s="2" t="s">
        <v>5229</v>
      </c>
      <c r="E1044" s="2" t="s">
        <v>9821</v>
      </c>
      <c r="F1044" s="2" t="s">
        <v>9822</v>
      </c>
      <c r="G1044" s="2" t="s">
        <v>5022</v>
      </c>
      <c r="H1044" s="2" t="s">
        <v>5023</v>
      </c>
      <c r="I1044" s="2" t="s">
        <v>9823</v>
      </c>
      <c r="J1044" s="2"/>
      <c r="K1044" s="2"/>
      <c r="L1044" s="2"/>
      <c r="M1044" s="2"/>
      <c r="N1044" s="2"/>
      <c r="O1044" s="2"/>
      <c r="P1044" s="2"/>
      <c r="Q1044" s="2"/>
    </row>
    <row r="1045" spans="1:17" x14ac:dyDescent="0.2">
      <c r="A1045" s="2" t="s">
        <v>3787</v>
      </c>
      <c r="B1045" s="2" t="s">
        <v>4813</v>
      </c>
      <c r="C1045" s="2" t="s">
        <v>6916</v>
      </c>
      <c r="D1045" s="2" t="s">
        <v>9824</v>
      </c>
      <c r="E1045" s="2" t="s">
        <v>9825</v>
      </c>
      <c r="F1045" s="2" t="s">
        <v>9826</v>
      </c>
      <c r="G1045" s="2" t="s">
        <v>5022</v>
      </c>
      <c r="H1045" s="2" t="s">
        <v>5023</v>
      </c>
      <c r="I1045" s="2"/>
      <c r="J1045" s="2"/>
      <c r="K1045" s="2" t="s">
        <v>9827</v>
      </c>
      <c r="L1045" s="2"/>
      <c r="M1045" s="2"/>
      <c r="N1045" s="2"/>
      <c r="O1045" s="2"/>
      <c r="P1045" s="2"/>
      <c r="Q1045" s="2"/>
    </row>
    <row r="1046" spans="1:17" x14ac:dyDescent="0.2">
      <c r="A1046" s="2" t="s">
        <v>4914</v>
      </c>
      <c r="B1046" s="2" t="s">
        <v>9828</v>
      </c>
      <c r="C1046" s="2" t="s">
        <v>5317</v>
      </c>
      <c r="D1046" s="2" t="s">
        <v>6995</v>
      </c>
      <c r="E1046" s="2" t="s">
        <v>9829</v>
      </c>
      <c r="F1046" s="2" t="s">
        <v>9830</v>
      </c>
      <c r="G1046" s="2" t="s">
        <v>5022</v>
      </c>
      <c r="H1046" s="2" t="s">
        <v>5023</v>
      </c>
      <c r="I1046" s="2" t="s">
        <v>9831</v>
      </c>
      <c r="J1046" s="2"/>
      <c r="K1046" s="2"/>
      <c r="L1046" s="2"/>
      <c r="M1046" s="2" t="s">
        <v>9832</v>
      </c>
      <c r="N1046" s="2"/>
      <c r="O1046" s="2"/>
      <c r="P1046" s="2"/>
      <c r="Q1046" s="2"/>
    </row>
    <row r="1047" spans="1:17" x14ac:dyDescent="0.2">
      <c r="A1047" s="2" t="s">
        <v>240</v>
      </c>
      <c r="B1047" s="2" t="s">
        <v>9833</v>
      </c>
      <c r="C1047" s="2" t="s">
        <v>9834</v>
      </c>
      <c r="D1047" s="2" t="s">
        <v>9835</v>
      </c>
      <c r="E1047" s="2" t="s">
        <v>9836</v>
      </c>
      <c r="F1047" s="2" t="s">
        <v>9837</v>
      </c>
      <c r="G1047" s="2" t="s">
        <v>5022</v>
      </c>
      <c r="H1047" s="2" t="s">
        <v>9245</v>
      </c>
      <c r="I1047" s="2" t="s">
        <v>9838</v>
      </c>
      <c r="J1047" s="2"/>
      <c r="K1047" s="2"/>
      <c r="L1047" s="2"/>
      <c r="M1047" s="2" t="s">
        <v>9839</v>
      </c>
      <c r="N1047" s="2"/>
      <c r="O1047" s="2"/>
      <c r="P1047" s="2"/>
      <c r="Q1047" s="2"/>
    </row>
    <row r="1048" spans="1:17" x14ac:dyDescent="0.2">
      <c r="A1048" s="2" t="s">
        <v>4187</v>
      </c>
      <c r="B1048" s="2" t="s">
        <v>9840</v>
      </c>
      <c r="C1048" s="2" t="s">
        <v>5076</v>
      </c>
      <c r="D1048" s="2" t="s">
        <v>8075</v>
      </c>
      <c r="E1048" s="2" t="s">
        <v>9138</v>
      </c>
      <c r="F1048" s="2" t="s">
        <v>9841</v>
      </c>
      <c r="G1048" s="2" t="s">
        <v>5022</v>
      </c>
      <c r="H1048" s="2" t="s">
        <v>5023</v>
      </c>
      <c r="I1048" s="2" t="s">
        <v>9842</v>
      </c>
      <c r="J1048" s="2"/>
      <c r="K1048" s="2"/>
      <c r="L1048" s="2"/>
      <c r="M1048" s="2" t="s">
        <v>9843</v>
      </c>
      <c r="N1048" s="2"/>
      <c r="O1048" s="2"/>
      <c r="P1048" s="2"/>
      <c r="Q1048" s="2"/>
    </row>
    <row r="1049" spans="1:17" x14ac:dyDescent="0.2">
      <c r="A1049" s="2" t="s">
        <v>1564</v>
      </c>
      <c r="B1049" s="2" t="s">
        <v>5636</v>
      </c>
      <c r="C1049" s="2" t="s">
        <v>9844</v>
      </c>
      <c r="D1049" s="2" t="s">
        <v>5018</v>
      </c>
      <c r="E1049" s="2" t="s">
        <v>6251</v>
      </c>
      <c r="F1049" s="2" t="s">
        <v>7321</v>
      </c>
      <c r="G1049" s="2" t="s">
        <v>5022</v>
      </c>
      <c r="H1049" s="2" t="s">
        <v>5023</v>
      </c>
      <c r="I1049" s="2"/>
      <c r="J1049" s="2"/>
      <c r="K1049" s="2"/>
      <c r="L1049" s="2"/>
      <c r="M1049" s="2"/>
      <c r="N1049" s="2"/>
      <c r="O1049" s="2"/>
      <c r="P1049" s="2"/>
      <c r="Q1049" s="2"/>
    </row>
    <row r="1050" spans="1:17" x14ac:dyDescent="0.2">
      <c r="A1050" s="2" t="s">
        <v>4412</v>
      </c>
      <c r="B1050" s="2" t="s">
        <v>9555</v>
      </c>
      <c r="C1050" s="2" t="s">
        <v>9845</v>
      </c>
      <c r="D1050" s="2" t="s">
        <v>6143</v>
      </c>
      <c r="E1050" s="2" t="s">
        <v>9846</v>
      </c>
      <c r="F1050" s="2" t="s">
        <v>9847</v>
      </c>
      <c r="G1050" s="2" t="s">
        <v>5022</v>
      </c>
      <c r="H1050" s="2" t="s">
        <v>5023</v>
      </c>
      <c r="I1050" s="2" t="s">
        <v>9848</v>
      </c>
      <c r="J1050" s="2"/>
      <c r="K1050" s="2"/>
      <c r="L1050" s="2"/>
      <c r="M1050" s="2" t="s">
        <v>9849</v>
      </c>
      <c r="N1050" s="2"/>
      <c r="O1050" s="2"/>
      <c r="P1050" s="2"/>
      <c r="Q1050" s="2"/>
    </row>
    <row r="1051" spans="1:17" x14ac:dyDescent="0.2">
      <c r="A1051" s="2" t="s">
        <v>2854</v>
      </c>
      <c r="B1051" s="2" t="s">
        <v>9850</v>
      </c>
      <c r="C1051" s="2" t="s">
        <v>5275</v>
      </c>
      <c r="D1051" s="2" t="s">
        <v>9851</v>
      </c>
      <c r="E1051" s="2" t="s">
        <v>9852</v>
      </c>
      <c r="F1051" s="2" t="s">
        <v>6313</v>
      </c>
      <c r="G1051" s="2" t="s">
        <v>5022</v>
      </c>
      <c r="H1051" s="2" t="s">
        <v>5023</v>
      </c>
      <c r="I1051" s="2"/>
      <c r="J1051" s="2"/>
      <c r="K1051" s="2" t="s">
        <v>7044</v>
      </c>
      <c r="L1051" s="2"/>
      <c r="M1051" s="2"/>
      <c r="N1051" s="2"/>
      <c r="O1051" s="2"/>
      <c r="P1051" s="2"/>
      <c r="Q1051" s="2"/>
    </row>
    <row r="1052" spans="1:17" x14ac:dyDescent="0.2">
      <c r="A1052" s="2" t="s">
        <v>1397</v>
      </c>
      <c r="B1052" s="2" t="s">
        <v>9853</v>
      </c>
      <c r="C1052" s="2" t="s">
        <v>9854</v>
      </c>
      <c r="D1052" s="2" t="s">
        <v>5275</v>
      </c>
      <c r="E1052" s="2" t="s">
        <v>8493</v>
      </c>
      <c r="F1052" s="2" t="s">
        <v>9855</v>
      </c>
      <c r="G1052" s="2" t="s">
        <v>5022</v>
      </c>
      <c r="H1052" s="2" t="s">
        <v>5023</v>
      </c>
      <c r="I1052" s="2" t="s">
        <v>9856</v>
      </c>
      <c r="J1052" s="2"/>
      <c r="K1052" s="2"/>
      <c r="L1052" s="2"/>
      <c r="M1052" s="2" t="s">
        <v>9857</v>
      </c>
      <c r="N1052" s="2"/>
      <c r="O1052" s="2"/>
      <c r="P1052" s="2"/>
      <c r="Q1052" s="2"/>
    </row>
    <row r="1053" spans="1:17" x14ac:dyDescent="0.2">
      <c r="A1053" s="2" t="s">
        <v>3926</v>
      </c>
      <c r="B1053" s="2" t="s">
        <v>9858</v>
      </c>
      <c r="C1053" s="2" t="s">
        <v>6916</v>
      </c>
      <c r="D1053" s="2" t="s">
        <v>6292</v>
      </c>
      <c r="E1053" s="2" t="s">
        <v>9859</v>
      </c>
      <c r="F1053" s="2" t="s">
        <v>9860</v>
      </c>
      <c r="G1053" s="2" t="s">
        <v>5022</v>
      </c>
      <c r="H1053" s="2" t="s">
        <v>5023</v>
      </c>
      <c r="I1053" s="2" t="s">
        <v>9861</v>
      </c>
      <c r="J1053" s="2"/>
      <c r="K1053" s="2"/>
      <c r="L1053" s="2"/>
      <c r="M1053" s="2" t="s">
        <v>9862</v>
      </c>
      <c r="N1053" s="2"/>
      <c r="O1053" s="2"/>
      <c r="P1053" s="2"/>
      <c r="Q1053" s="2"/>
    </row>
    <row r="1054" spans="1:17" x14ac:dyDescent="0.2">
      <c r="A1054" s="2" t="s">
        <v>4237</v>
      </c>
      <c r="B1054" s="2" t="s">
        <v>9555</v>
      </c>
      <c r="C1054" s="2" t="s">
        <v>6143</v>
      </c>
      <c r="D1054" s="2" t="s">
        <v>6889</v>
      </c>
      <c r="E1054" s="2" t="s">
        <v>9863</v>
      </c>
      <c r="F1054" s="2" t="s">
        <v>9864</v>
      </c>
      <c r="G1054" s="2" t="s">
        <v>5022</v>
      </c>
      <c r="H1054" s="2" t="s">
        <v>5023</v>
      </c>
      <c r="I1054" s="2" t="s">
        <v>9865</v>
      </c>
      <c r="J1054" s="2"/>
      <c r="K1054" s="2"/>
      <c r="L1054" s="2"/>
      <c r="M1054" s="2" t="s">
        <v>9866</v>
      </c>
      <c r="N1054" s="2"/>
      <c r="O1054" s="2"/>
      <c r="P1054" s="2"/>
      <c r="Q1054" s="2"/>
    </row>
    <row r="1055" spans="1:17" x14ac:dyDescent="0.2">
      <c r="A1055" s="2" t="s">
        <v>3155</v>
      </c>
      <c r="B1055" s="2" t="s">
        <v>9867</v>
      </c>
      <c r="C1055" s="2" t="s">
        <v>9868</v>
      </c>
      <c r="D1055" s="2" t="s">
        <v>6383</v>
      </c>
      <c r="E1055" s="2" t="s">
        <v>9869</v>
      </c>
      <c r="F1055" s="2" t="s">
        <v>5179</v>
      </c>
      <c r="G1055" s="2" t="s">
        <v>5022</v>
      </c>
      <c r="H1055" s="2" t="s">
        <v>5023</v>
      </c>
      <c r="I1055" s="2" t="s">
        <v>9870</v>
      </c>
      <c r="J1055" s="2"/>
      <c r="K1055" s="2"/>
      <c r="L1055" s="2"/>
      <c r="M1055" s="2" t="s">
        <v>9871</v>
      </c>
      <c r="N1055" s="2"/>
      <c r="O1055" s="2"/>
      <c r="P1055" s="2"/>
      <c r="Q1055" s="2"/>
    </row>
    <row r="1056" spans="1:17" x14ac:dyDescent="0.2">
      <c r="A1056" s="2" t="s">
        <v>1329</v>
      </c>
      <c r="B1056" s="2" t="s">
        <v>5286</v>
      </c>
      <c r="C1056" s="2" t="s">
        <v>7379</v>
      </c>
      <c r="D1056" s="2" t="s">
        <v>5858</v>
      </c>
      <c r="E1056" s="2" t="s">
        <v>5253</v>
      </c>
      <c r="F1056" s="2" t="s">
        <v>9872</v>
      </c>
      <c r="G1056" s="2" t="s">
        <v>5022</v>
      </c>
      <c r="H1056" s="2" t="s">
        <v>5023</v>
      </c>
      <c r="I1056" s="2" t="s">
        <v>9873</v>
      </c>
      <c r="J1056" s="2"/>
      <c r="K1056" s="2"/>
      <c r="L1056" s="2"/>
      <c r="M1056" s="2" t="s">
        <v>9874</v>
      </c>
      <c r="N1056" s="2"/>
      <c r="O1056" s="2"/>
      <c r="P1056" s="2"/>
      <c r="Q1056" s="2"/>
    </row>
    <row r="1057" spans="1:17" x14ac:dyDescent="0.2">
      <c r="A1057" s="2" t="s">
        <v>932</v>
      </c>
      <c r="B1057" s="2" t="s">
        <v>8265</v>
      </c>
      <c r="C1057" s="2" t="s">
        <v>9875</v>
      </c>
      <c r="D1057" s="2" t="s">
        <v>8094</v>
      </c>
      <c r="E1057" s="2" t="s">
        <v>5135</v>
      </c>
      <c r="F1057" s="2" t="s">
        <v>6576</v>
      </c>
      <c r="G1057" s="2" t="s">
        <v>5022</v>
      </c>
      <c r="H1057" s="2" t="s">
        <v>5023</v>
      </c>
      <c r="I1057" s="2"/>
      <c r="J1057" s="2"/>
      <c r="K1057" s="2" t="s">
        <v>9876</v>
      </c>
      <c r="L1057" s="2"/>
      <c r="M1057" s="2"/>
      <c r="N1057" s="2"/>
      <c r="O1057" s="2"/>
      <c r="P1057" s="2"/>
      <c r="Q1057" s="2"/>
    </row>
    <row r="1058" spans="1:17" x14ac:dyDescent="0.2">
      <c r="A1058" s="2" t="s">
        <v>1197</v>
      </c>
      <c r="B1058" s="2" t="s">
        <v>7251</v>
      </c>
      <c r="C1058" s="2" t="s">
        <v>5529</v>
      </c>
      <c r="D1058" s="2" t="s">
        <v>5493</v>
      </c>
      <c r="E1058" s="2" t="s">
        <v>6098</v>
      </c>
      <c r="F1058" s="2" t="s">
        <v>5532</v>
      </c>
      <c r="G1058" s="2" t="s">
        <v>5022</v>
      </c>
      <c r="H1058" s="2" t="s">
        <v>5023</v>
      </c>
      <c r="I1058" s="2"/>
      <c r="J1058" s="2"/>
      <c r="K1058" s="2" t="s">
        <v>9877</v>
      </c>
      <c r="L1058" s="2"/>
      <c r="M1058" s="2"/>
      <c r="N1058" s="2"/>
      <c r="O1058" s="2"/>
      <c r="P1058" s="2"/>
      <c r="Q1058" s="2"/>
    </row>
    <row r="1059" spans="1:17" x14ac:dyDescent="0.2">
      <c r="A1059" s="2" t="s">
        <v>2517</v>
      </c>
      <c r="B1059" s="2" t="s">
        <v>9878</v>
      </c>
      <c r="C1059" s="2" t="s">
        <v>9879</v>
      </c>
      <c r="D1059" s="2" t="s">
        <v>9880</v>
      </c>
      <c r="E1059" s="2" t="s">
        <v>9881</v>
      </c>
      <c r="F1059" s="2" t="s">
        <v>9882</v>
      </c>
      <c r="G1059" s="2" t="s">
        <v>5022</v>
      </c>
      <c r="H1059" s="2" t="s">
        <v>5023</v>
      </c>
      <c r="I1059" s="2"/>
      <c r="J1059" s="2"/>
      <c r="K1059" s="2" t="s">
        <v>9883</v>
      </c>
      <c r="L1059" s="2"/>
      <c r="M1059" s="2"/>
      <c r="N1059" s="2"/>
      <c r="O1059" s="2"/>
      <c r="P1059" s="2"/>
      <c r="Q1059" s="2"/>
    </row>
    <row r="1060" spans="1:17" x14ac:dyDescent="0.2">
      <c r="A1060" s="2" t="s">
        <v>3271</v>
      </c>
      <c r="B1060" s="2" t="s">
        <v>5356</v>
      </c>
      <c r="C1060" s="2" t="s">
        <v>9884</v>
      </c>
      <c r="D1060" s="2" t="s">
        <v>5599</v>
      </c>
      <c r="E1060" s="2" t="s">
        <v>9885</v>
      </c>
      <c r="F1060" s="2" t="s">
        <v>8701</v>
      </c>
      <c r="G1060" s="2" t="s">
        <v>5022</v>
      </c>
      <c r="H1060" s="2" t="s">
        <v>5023</v>
      </c>
      <c r="I1060" s="2" t="s">
        <v>9886</v>
      </c>
      <c r="J1060" s="2"/>
      <c r="K1060" s="2"/>
      <c r="L1060" s="2"/>
      <c r="M1060" s="2" t="s">
        <v>9887</v>
      </c>
      <c r="N1060" s="2"/>
      <c r="O1060" s="2"/>
      <c r="P1060" s="2"/>
      <c r="Q1060" s="2"/>
    </row>
    <row r="1061" spans="1:17" x14ac:dyDescent="0.2">
      <c r="A1061" s="2" t="s">
        <v>750</v>
      </c>
      <c r="B1061" s="2" t="s">
        <v>9765</v>
      </c>
      <c r="C1061" s="2" t="s">
        <v>5217</v>
      </c>
      <c r="D1061" s="2" t="s">
        <v>5189</v>
      </c>
      <c r="E1061" s="2" t="s">
        <v>5253</v>
      </c>
      <c r="F1061" s="2" t="s">
        <v>8030</v>
      </c>
      <c r="G1061" s="2" t="s">
        <v>5022</v>
      </c>
      <c r="H1061" s="2" t="s">
        <v>5023</v>
      </c>
      <c r="I1061" s="2"/>
      <c r="J1061" s="2"/>
      <c r="K1061" s="2" t="s">
        <v>9888</v>
      </c>
      <c r="L1061" s="2"/>
      <c r="M1061" s="2"/>
      <c r="N1061" s="2"/>
      <c r="O1061" s="2"/>
      <c r="P1061" s="2"/>
      <c r="Q1061" s="2"/>
    </row>
    <row r="1062" spans="1:17" x14ac:dyDescent="0.2">
      <c r="A1062" s="2" t="s">
        <v>754</v>
      </c>
      <c r="B1062" s="2" t="s">
        <v>9889</v>
      </c>
      <c r="C1062" s="2" t="s">
        <v>9890</v>
      </c>
      <c r="D1062" s="2" t="s">
        <v>9128</v>
      </c>
      <c r="E1062" s="2" t="s">
        <v>9891</v>
      </c>
      <c r="F1062" s="2" t="s">
        <v>9892</v>
      </c>
      <c r="G1062" s="2" t="s">
        <v>5022</v>
      </c>
      <c r="H1062" s="2" t="s">
        <v>5023</v>
      </c>
      <c r="I1062" s="2" t="s">
        <v>9893</v>
      </c>
      <c r="J1062" s="2"/>
      <c r="K1062" s="2"/>
      <c r="L1062" s="2"/>
      <c r="M1062" s="2" t="s">
        <v>9894</v>
      </c>
      <c r="N1062" s="2"/>
      <c r="O1062" s="2"/>
      <c r="P1062" s="2"/>
      <c r="Q1062" s="2"/>
    </row>
    <row r="1063" spans="1:17" x14ac:dyDescent="0.2">
      <c r="A1063" s="2" t="s">
        <v>1854</v>
      </c>
      <c r="B1063" s="2" t="s">
        <v>9597</v>
      </c>
      <c r="C1063" s="2" t="s">
        <v>8058</v>
      </c>
      <c r="D1063" s="2" t="s">
        <v>6052</v>
      </c>
      <c r="E1063" s="2" t="s">
        <v>9895</v>
      </c>
      <c r="F1063" s="2" t="s">
        <v>5128</v>
      </c>
      <c r="G1063" s="2" t="s">
        <v>5022</v>
      </c>
      <c r="H1063" s="2" t="s">
        <v>5023</v>
      </c>
      <c r="I1063" s="2"/>
      <c r="J1063" s="2"/>
      <c r="K1063" s="2" t="s">
        <v>9896</v>
      </c>
      <c r="L1063" s="2" t="s">
        <v>9897</v>
      </c>
      <c r="M1063" s="2" t="s">
        <v>9898</v>
      </c>
      <c r="N1063" s="2"/>
      <c r="O1063" s="2"/>
      <c r="P1063" s="2"/>
      <c r="Q1063" s="2"/>
    </row>
    <row r="1064" spans="1:17" x14ac:dyDescent="0.2">
      <c r="A1064" s="2" t="s">
        <v>2663</v>
      </c>
      <c r="B1064" s="2" t="s">
        <v>9899</v>
      </c>
      <c r="C1064" s="2" t="s">
        <v>5081</v>
      </c>
      <c r="D1064" s="2" t="s">
        <v>7068</v>
      </c>
      <c r="E1064" s="2" t="s">
        <v>9489</v>
      </c>
      <c r="F1064" s="2" t="s">
        <v>7069</v>
      </c>
      <c r="G1064" s="2" t="s">
        <v>5022</v>
      </c>
      <c r="H1064" s="2" t="s">
        <v>5023</v>
      </c>
      <c r="I1064" s="2" t="s">
        <v>9900</v>
      </c>
      <c r="J1064" s="2"/>
      <c r="K1064" s="2"/>
      <c r="L1064" s="2"/>
      <c r="M1064" s="2" t="s">
        <v>9901</v>
      </c>
      <c r="N1064" s="2"/>
      <c r="O1064" s="2"/>
      <c r="P1064" s="2"/>
      <c r="Q1064" s="2"/>
    </row>
    <row r="1065" spans="1:17" x14ac:dyDescent="0.2">
      <c r="A1065" s="2" t="s">
        <v>4747</v>
      </c>
      <c r="B1065" s="2" t="s">
        <v>9902</v>
      </c>
      <c r="C1065" s="2" t="s">
        <v>5666</v>
      </c>
      <c r="D1065" s="2" t="s">
        <v>9903</v>
      </c>
      <c r="E1065" s="2" t="s">
        <v>9904</v>
      </c>
      <c r="F1065" s="2" t="s">
        <v>9905</v>
      </c>
      <c r="G1065" s="2" t="s">
        <v>5022</v>
      </c>
      <c r="H1065" s="2" t="s">
        <v>5023</v>
      </c>
      <c r="I1065" s="2" t="s">
        <v>9906</v>
      </c>
      <c r="J1065" s="2"/>
      <c r="K1065" s="2"/>
      <c r="L1065" s="2"/>
      <c r="M1065" s="2" t="s">
        <v>9907</v>
      </c>
      <c r="N1065" s="2"/>
      <c r="O1065" s="2"/>
      <c r="P1065" s="2"/>
      <c r="Q1065" s="2"/>
    </row>
    <row r="1066" spans="1:17" x14ac:dyDescent="0.2">
      <c r="A1066" s="2" t="s">
        <v>1749</v>
      </c>
      <c r="B1066" s="2" t="s">
        <v>9908</v>
      </c>
      <c r="C1066" s="2" t="s">
        <v>5409</v>
      </c>
      <c r="D1066" s="2" t="s">
        <v>5409</v>
      </c>
      <c r="E1066" s="2" t="s">
        <v>9909</v>
      </c>
      <c r="F1066" s="2" t="s">
        <v>6570</v>
      </c>
      <c r="G1066" s="2" t="s">
        <v>5022</v>
      </c>
      <c r="H1066" s="2" t="s">
        <v>5023</v>
      </c>
      <c r="I1066" s="2" t="s">
        <v>9910</v>
      </c>
      <c r="J1066" s="2"/>
      <c r="K1066" s="2"/>
      <c r="L1066" s="2"/>
      <c r="M1066" s="2"/>
      <c r="N1066" s="2"/>
      <c r="O1066" s="2"/>
      <c r="P1066" s="2"/>
      <c r="Q1066" s="2"/>
    </row>
    <row r="1067" spans="1:17" x14ac:dyDescent="0.2">
      <c r="A1067" s="2" t="s">
        <v>916</v>
      </c>
      <c r="B1067" s="2" t="s">
        <v>5660</v>
      </c>
      <c r="C1067" s="2" t="s">
        <v>6617</v>
      </c>
      <c r="D1067" s="2" t="s">
        <v>5421</v>
      </c>
      <c r="E1067" s="2" t="s">
        <v>5253</v>
      </c>
      <c r="F1067" s="2" t="s">
        <v>6354</v>
      </c>
      <c r="G1067" s="2" t="s">
        <v>5022</v>
      </c>
      <c r="H1067" s="2" t="s">
        <v>5023</v>
      </c>
      <c r="I1067" s="2" t="s">
        <v>9911</v>
      </c>
      <c r="J1067" s="2"/>
      <c r="K1067" s="2"/>
      <c r="L1067" s="2"/>
      <c r="M1067" s="2" t="s">
        <v>9912</v>
      </c>
      <c r="N1067" s="2"/>
      <c r="O1067" s="2"/>
      <c r="P1067" s="2"/>
      <c r="Q1067" s="2"/>
    </row>
    <row r="1068" spans="1:17" x14ac:dyDescent="0.2">
      <c r="A1068" s="2" t="s">
        <v>1965</v>
      </c>
      <c r="B1068" s="2" t="s">
        <v>9913</v>
      </c>
      <c r="C1068" s="2" t="s">
        <v>9914</v>
      </c>
      <c r="D1068" s="2" t="s">
        <v>9915</v>
      </c>
      <c r="E1068" s="2" t="s">
        <v>7126</v>
      </c>
      <c r="F1068" s="2" t="s">
        <v>9916</v>
      </c>
      <c r="G1068" s="2" t="s">
        <v>5022</v>
      </c>
      <c r="H1068" s="2" t="s">
        <v>5023</v>
      </c>
      <c r="I1068" s="2" t="s">
        <v>9917</v>
      </c>
      <c r="J1068" s="2"/>
      <c r="K1068" s="2"/>
      <c r="L1068" s="2"/>
      <c r="M1068" s="2" t="s">
        <v>9918</v>
      </c>
      <c r="N1068" s="2"/>
      <c r="O1068" s="2"/>
      <c r="P1068" s="2"/>
      <c r="Q1068" s="2"/>
    </row>
    <row r="1069" spans="1:17" x14ac:dyDescent="0.2">
      <c r="A1069" s="2" t="s">
        <v>2525</v>
      </c>
      <c r="B1069" s="2" t="s">
        <v>1984</v>
      </c>
      <c r="C1069" s="2" t="s">
        <v>9919</v>
      </c>
      <c r="D1069" s="2" t="s">
        <v>5051</v>
      </c>
      <c r="E1069" s="2" t="s">
        <v>9920</v>
      </c>
      <c r="F1069" s="2" t="s">
        <v>9921</v>
      </c>
      <c r="G1069" s="2" t="s">
        <v>5022</v>
      </c>
      <c r="H1069" s="2" t="s">
        <v>5023</v>
      </c>
      <c r="I1069" s="2" t="s">
        <v>9922</v>
      </c>
      <c r="J1069" s="2"/>
      <c r="K1069" s="2"/>
      <c r="L1069" s="2"/>
      <c r="M1069" s="2" t="s">
        <v>9923</v>
      </c>
      <c r="N1069" s="2"/>
      <c r="O1069" s="2"/>
      <c r="P1069" s="2"/>
      <c r="Q1069" s="2"/>
    </row>
    <row r="1070" spans="1:17" x14ac:dyDescent="0.2">
      <c r="A1070" s="2" t="s">
        <v>4031</v>
      </c>
      <c r="B1070" s="2" t="s">
        <v>8431</v>
      </c>
      <c r="C1070" s="2" t="s">
        <v>6424</v>
      </c>
      <c r="D1070" s="2" t="s">
        <v>9924</v>
      </c>
      <c r="E1070" s="2" t="s">
        <v>9925</v>
      </c>
      <c r="F1070" s="2" t="s">
        <v>9926</v>
      </c>
      <c r="G1070" s="2" t="s">
        <v>5022</v>
      </c>
      <c r="H1070" s="2" t="s">
        <v>5023</v>
      </c>
      <c r="I1070" s="2" t="s">
        <v>9927</v>
      </c>
      <c r="J1070" s="2"/>
      <c r="K1070" s="2"/>
      <c r="L1070" s="2"/>
      <c r="M1070" s="2"/>
      <c r="N1070" s="2"/>
      <c r="O1070" s="2"/>
      <c r="P1070" s="2"/>
      <c r="Q1070" s="2"/>
    </row>
    <row r="1071" spans="1:17" x14ac:dyDescent="0.2">
      <c r="A1071" s="2" t="s">
        <v>2738</v>
      </c>
      <c r="B1071" s="2" t="s">
        <v>1300</v>
      </c>
      <c r="C1071" s="2" t="s">
        <v>9928</v>
      </c>
      <c r="D1071" s="2" t="s">
        <v>5997</v>
      </c>
      <c r="E1071" s="2" t="s">
        <v>9929</v>
      </c>
      <c r="F1071" s="2" t="s">
        <v>9930</v>
      </c>
      <c r="G1071" s="2" t="s">
        <v>5022</v>
      </c>
      <c r="H1071" s="2" t="s">
        <v>5023</v>
      </c>
      <c r="I1071" s="2"/>
      <c r="J1071" s="2"/>
      <c r="K1071" s="2" t="s">
        <v>9931</v>
      </c>
      <c r="L1071" s="2"/>
      <c r="M1071" s="2"/>
      <c r="N1071" s="2"/>
      <c r="O1071" s="2"/>
      <c r="P1071" s="2"/>
      <c r="Q1071" s="2"/>
    </row>
    <row r="1072" spans="1:17" x14ac:dyDescent="0.2">
      <c r="A1072" s="2" t="s">
        <v>4853</v>
      </c>
      <c r="B1072" s="2" t="s">
        <v>9932</v>
      </c>
      <c r="C1072" s="2" t="s">
        <v>7262</v>
      </c>
      <c r="D1072" s="2" t="s">
        <v>8694</v>
      </c>
      <c r="E1072" s="2" t="s">
        <v>6493</v>
      </c>
      <c r="F1072" s="2" t="s">
        <v>5465</v>
      </c>
      <c r="G1072" s="2" t="s">
        <v>5022</v>
      </c>
      <c r="H1072" s="2" t="s">
        <v>5023</v>
      </c>
      <c r="I1072" s="2" t="s">
        <v>9933</v>
      </c>
      <c r="J1072" s="2"/>
      <c r="K1072" s="2"/>
      <c r="L1072" s="2"/>
      <c r="M1072" s="2" t="s">
        <v>9934</v>
      </c>
      <c r="N1072" s="2"/>
      <c r="O1072" s="2"/>
      <c r="P1072" s="2"/>
      <c r="Q1072" s="2"/>
    </row>
    <row r="1073" spans="1:17" x14ac:dyDescent="0.2">
      <c r="A1073" s="2" t="s">
        <v>3033</v>
      </c>
      <c r="B1073" s="2" t="s">
        <v>9878</v>
      </c>
      <c r="C1073" s="2" t="s">
        <v>5785</v>
      </c>
      <c r="D1073" s="2" t="s">
        <v>9935</v>
      </c>
      <c r="E1073" s="2" t="s">
        <v>9936</v>
      </c>
      <c r="F1073" s="2" t="s">
        <v>5128</v>
      </c>
      <c r="G1073" s="2" t="s">
        <v>5022</v>
      </c>
      <c r="H1073" s="2" t="s">
        <v>5023</v>
      </c>
      <c r="I1073" s="2"/>
      <c r="J1073" s="2"/>
      <c r="K1073" s="2" t="s">
        <v>9937</v>
      </c>
      <c r="L1073" s="2"/>
      <c r="M1073" s="2"/>
      <c r="N1073" s="2"/>
      <c r="O1073" s="2"/>
      <c r="P1073" s="2"/>
      <c r="Q1073" s="2"/>
    </row>
    <row r="1074" spans="1:17" x14ac:dyDescent="0.2">
      <c r="A1074" s="2" t="s">
        <v>186</v>
      </c>
      <c r="B1074" s="2" t="s">
        <v>8057</v>
      </c>
      <c r="C1074" s="2" t="s">
        <v>9938</v>
      </c>
      <c r="D1074" s="2" t="s">
        <v>5275</v>
      </c>
      <c r="E1074" s="2" t="s">
        <v>9939</v>
      </c>
      <c r="F1074" s="2" t="s">
        <v>5867</v>
      </c>
      <c r="G1074" s="2" t="s">
        <v>5022</v>
      </c>
      <c r="H1074" s="2" t="s">
        <v>5023</v>
      </c>
      <c r="I1074" s="2" t="s">
        <v>9940</v>
      </c>
      <c r="J1074" s="2"/>
      <c r="K1074" s="2"/>
      <c r="L1074" s="2"/>
      <c r="M1074" s="2"/>
      <c r="N1074" s="2"/>
      <c r="O1074" s="2"/>
      <c r="P1074" s="2"/>
      <c r="Q1074" s="2"/>
    </row>
    <row r="1075" spans="1:17" x14ac:dyDescent="0.2">
      <c r="A1075" s="2" t="s">
        <v>3861</v>
      </c>
      <c r="B1075" s="2" t="s">
        <v>9941</v>
      </c>
      <c r="C1075" s="2" t="s">
        <v>5409</v>
      </c>
      <c r="D1075" s="2" t="s">
        <v>6022</v>
      </c>
      <c r="E1075" s="2" t="s">
        <v>5094</v>
      </c>
      <c r="F1075" s="2" t="s">
        <v>5254</v>
      </c>
      <c r="G1075" s="2" t="s">
        <v>5022</v>
      </c>
      <c r="H1075" s="2" t="s">
        <v>5023</v>
      </c>
      <c r="I1075" s="2" t="s">
        <v>9942</v>
      </c>
      <c r="J1075" s="2"/>
      <c r="K1075" s="2"/>
      <c r="L1075" s="2"/>
      <c r="M1075" s="2" t="s">
        <v>9943</v>
      </c>
      <c r="N1075" s="2"/>
      <c r="O1075" s="2"/>
      <c r="P1075" s="2"/>
      <c r="Q1075" s="2"/>
    </row>
    <row r="1076" spans="1:17" x14ac:dyDescent="0.2">
      <c r="A1076" s="2" t="s">
        <v>1164</v>
      </c>
      <c r="B1076" s="2" t="s">
        <v>9944</v>
      </c>
      <c r="C1076" s="2" t="s">
        <v>9945</v>
      </c>
      <c r="D1076" s="2" t="s">
        <v>5712</v>
      </c>
      <c r="E1076" s="2" t="s">
        <v>7514</v>
      </c>
      <c r="F1076" s="2" t="s">
        <v>7904</v>
      </c>
      <c r="G1076" s="2" t="s">
        <v>5022</v>
      </c>
      <c r="H1076" s="2" t="s">
        <v>5023</v>
      </c>
      <c r="I1076" s="2" t="s">
        <v>9946</v>
      </c>
      <c r="J1076" s="2"/>
      <c r="K1076" s="2"/>
      <c r="L1076" s="2"/>
      <c r="M1076" s="2"/>
      <c r="N1076" s="2"/>
      <c r="O1076" s="2"/>
      <c r="P1076" s="2"/>
      <c r="Q1076" s="2"/>
    </row>
    <row r="1077" spans="1:17" x14ac:dyDescent="0.2">
      <c r="A1077" s="2" t="s">
        <v>4797</v>
      </c>
      <c r="B1077" s="2" t="s">
        <v>9947</v>
      </c>
      <c r="C1077" s="2" t="s">
        <v>6775</v>
      </c>
      <c r="D1077" s="2" t="s">
        <v>6383</v>
      </c>
      <c r="E1077" s="2" t="s">
        <v>9948</v>
      </c>
      <c r="F1077" s="2" t="s">
        <v>9949</v>
      </c>
      <c r="G1077" s="2" t="s">
        <v>5022</v>
      </c>
      <c r="H1077" s="2" t="s">
        <v>5023</v>
      </c>
      <c r="I1077" s="2" t="s">
        <v>9950</v>
      </c>
      <c r="J1077" s="2"/>
      <c r="K1077" s="2"/>
      <c r="L1077" s="2"/>
      <c r="M1077" s="2" t="s">
        <v>9951</v>
      </c>
      <c r="N1077" s="2"/>
      <c r="O1077" s="2"/>
      <c r="P1077" s="2"/>
      <c r="Q1077" s="2"/>
    </row>
    <row r="1078" spans="1:17" x14ac:dyDescent="0.2">
      <c r="A1078" s="2" t="s">
        <v>1644</v>
      </c>
      <c r="B1078" s="2" t="s">
        <v>9952</v>
      </c>
      <c r="C1078" s="2" t="s">
        <v>5240</v>
      </c>
      <c r="D1078" s="2" t="s">
        <v>9953</v>
      </c>
      <c r="E1078" s="2" t="s">
        <v>5253</v>
      </c>
      <c r="F1078" s="2" t="s">
        <v>8314</v>
      </c>
      <c r="G1078" s="2" t="s">
        <v>5022</v>
      </c>
      <c r="H1078" s="2" t="s">
        <v>5023</v>
      </c>
      <c r="I1078" s="2" t="s">
        <v>9954</v>
      </c>
      <c r="J1078" s="2"/>
      <c r="K1078" s="2"/>
      <c r="L1078" s="2"/>
      <c r="M1078" s="2"/>
      <c r="N1078" s="2"/>
      <c r="O1078" s="2"/>
      <c r="P1078" s="2"/>
      <c r="Q1078" s="2"/>
    </row>
    <row r="1079" spans="1:17" x14ac:dyDescent="0.2">
      <c r="A1079" s="2" t="s">
        <v>4370</v>
      </c>
      <c r="B1079" s="2" t="s">
        <v>9955</v>
      </c>
      <c r="C1079" s="2" t="s">
        <v>8841</v>
      </c>
      <c r="D1079" s="2" t="s">
        <v>5684</v>
      </c>
      <c r="E1079" s="2" t="s">
        <v>5685</v>
      </c>
      <c r="F1079" s="2" t="s">
        <v>5686</v>
      </c>
      <c r="G1079" s="2" t="s">
        <v>5022</v>
      </c>
      <c r="H1079" s="2" t="s">
        <v>5023</v>
      </c>
      <c r="I1079" s="2" t="s">
        <v>9956</v>
      </c>
      <c r="J1079" s="2"/>
      <c r="K1079" s="2"/>
      <c r="L1079" s="2"/>
      <c r="M1079" s="2" t="s">
        <v>9957</v>
      </c>
      <c r="N1079" s="2"/>
      <c r="O1079" s="2"/>
      <c r="P1079" s="2"/>
      <c r="Q1079" s="2"/>
    </row>
    <row r="1080" spans="1:17" x14ac:dyDescent="0.2">
      <c r="A1080" s="2" t="s">
        <v>3472</v>
      </c>
      <c r="B1080" s="2" t="s">
        <v>5846</v>
      </c>
      <c r="C1080" s="2" t="s">
        <v>6106</v>
      </c>
      <c r="D1080" s="2" t="s">
        <v>9958</v>
      </c>
      <c r="E1080" s="2" t="s">
        <v>9959</v>
      </c>
      <c r="F1080" s="2" t="s">
        <v>9960</v>
      </c>
      <c r="G1080" s="2" t="s">
        <v>5022</v>
      </c>
      <c r="H1080" s="2" t="s">
        <v>5023</v>
      </c>
      <c r="I1080" s="2" t="s">
        <v>9961</v>
      </c>
      <c r="J1080" s="2"/>
      <c r="K1080" s="2"/>
      <c r="L1080" s="2"/>
      <c r="M1080" s="2" t="s">
        <v>9962</v>
      </c>
      <c r="N1080" s="2"/>
      <c r="O1080" s="2"/>
      <c r="P1080" s="2"/>
      <c r="Q1080" s="2"/>
    </row>
    <row r="1081" spans="1:17" x14ac:dyDescent="0.2">
      <c r="A1081" s="2" t="s">
        <v>2555</v>
      </c>
      <c r="B1081" s="2" t="s">
        <v>9963</v>
      </c>
      <c r="C1081" s="2" t="s">
        <v>5075</v>
      </c>
      <c r="D1081" s="2" t="s">
        <v>9964</v>
      </c>
      <c r="E1081" s="2" t="s">
        <v>8713</v>
      </c>
      <c r="F1081" s="2" t="s">
        <v>9965</v>
      </c>
      <c r="G1081" s="2" t="s">
        <v>5022</v>
      </c>
      <c r="H1081" s="2" t="s">
        <v>5023</v>
      </c>
      <c r="I1081" s="2" t="s">
        <v>9966</v>
      </c>
      <c r="J1081" s="2"/>
      <c r="K1081" s="2"/>
      <c r="L1081" s="2"/>
      <c r="M1081" s="2"/>
      <c r="N1081" s="2"/>
      <c r="O1081" s="2"/>
      <c r="P1081" s="2"/>
      <c r="Q1081" s="2"/>
    </row>
    <row r="1082" spans="1:17" x14ac:dyDescent="0.2">
      <c r="A1082" s="2" t="s">
        <v>2172</v>
      </c>
      <c r="B1082" s="2" t="s">
        <v>9967</v>
      </c>
      <c r="C1082" s="2" t="s">
        <v>5076</v>
      </c>
      <c r="D1082" s="2" t="s">
        <v>5134</v>
      </c>
      <c r="E1082" s="2" t="s">
        <v>9968</v>
      </c>
      <c r="F1082" s="2" t="s">
        <v>9969</v>
      </c>
      <c r="G1082" s="2" t="s">
        <v>5022</v>
      </c>
      <c r="H1082" s="2" t="s">
        <v>5023</v>
      </c>
      <c r="I1082" s="2" t="s">
        <v>9970</v>
      </c>
      <c r="J1082" s="2"/>
      <c r="K1082" s="2"/>
      <c r="L1082" s="2"/>
      <c r="M1082" s="2"/>
      <c r="N1082" s="2"/>
      <c r="O1082" s="2"/>
      <c r="P1082" s="2"/>
      <c r="Q1082" s="2"/>
    </row>
    <row r="1083" spans="1:17" x14ac:dyDescent="0.2">
      <c r="A1083" s="2" t="s">
        <v>3290</v>
      </c>
      <c r="B1083" s="2" t="s">
        <v>8840</v>
      </c>
      <c r="C1083" s="2" t="s">
        <v>6009</v>
      </c>
      <c r="D1083" s="2" t="s">
        <v>5789</v>
      </c>
      <c r="E1083" s="2" t="s">
        <v>9971</v>
      </c>
      <c r="F1083" s="2" t="s">
        <v>9972</v>
      </c>
      <c r="G1083" s="2" t="s">
        <v>5022</v>
      </c>
      <c r="H1083" s="2" t="s">
        <v>5023</v>
      </c>
      <c r="I1083" s="2" t="s">
        <v>9973</v>
      </c>
      <c r="J1083" s="2"/>
      <c r="K1083" s="2"/>
      <c r="L1083" s="2"/>
      <c r="M1083" s="2" t="s">
        <v>9974</v>
      </c>
      <c r="N1083" s="2"/>
      <c r="O1083" s="2"/>
      <c r="P1083" s="2"/>
      <c r="Q1083" s="2"/>
    </row>
    <row r="1084" spans="1:17" x14ac:dyDescent="0.2">
      <c r="A1084" s="2" t="s">
        <v>1234</v>
      </c>
      <c r="B1084" s="2" t="s">
        <v>9975</v>
      </c>
      <c r="C1084" s="2" t="s">
        <v>9976</v>
      </c>
      <c r="D1084" s="2" t="s">
        <v>7252</v>
      </c>
      <c r="E1084" s="2" t="s">
        <v>6658</v>
      </c>
      <c r="F1084" s="2" t="s">
        <v>8373</v>
      </c>
      <c r="G1084" s="2" t="s">
        <v>5022</v>
      </c>
      <c r="H1084" s="2" t="s">
        <v>5023</v>
      </c>
      <c r="I1084" s="2" t="s">
        <v>9977</v>
      </c>
      <c r="J1084" s="2"/>
      <c r="K1084" s="2"/>
      <c r="L1084" s="2"/>
      <c r="M1084" s="2" t="s">
        <v>9978</v>
      </c>
      <c r="N1084" s="2"/>
      <c r="O1084" s="2"/>
      <c r="P1084" s="2"/>
      <c r="Q1084" s="2"/>
    </row>
    <row r="1085" spans="1:17" x14ac:dyDescent="0.2">
      <c r="A1085" s="2" t="s">
        <v>49</v>
      </c>
      <c r="B1085" s="2" t="s">
        <v>9979</v>
      </c>
      <c r="C1085" s="2" t="s">
        <v>9980</v>
      </c>
      <c r="D1085" s="2" t="s">
        <v>9981</v>
      </c>
      <c r="E1085" s="2" t="s">
        <v>9982</v>
      </c>
      <c r="F1085" s="2" t="s">
        <v>9983</v>
      </c>
      <c r="G1085" s="2" t="s">
        <v>5022</v>
      </c>
      <c r="H1085" s="2" t="s">
        <v>5023</v>
      </c>
      <c r="I1085" s="2" t="s">
        <v>9984</v>
      </c>
      <c r="J1085" s="2"/>
      <c r="K1085" s="2"/>
      <c r="L1085" s="2"/>
      <c r="M1085" s="2"/>
      <c r="N1085" s="2"/>
      <c r="O1085" s="2"/>
      <c r="P1085" s="2"/>
      <c r="Q1085" s="2"/>
    </row>
    <row r="1086" spans="1:17" x14ac:dyDescent="0.2">
      <c r="A1086" s="2" t="s">
        <v>263</v>
      </c>
      <c r="B1086" s="2" t="s">
        <v>9985</v>
      </c>
      <c r="C1086" s="2" t="s">
        <v>7252</v>
      </c>
      <c r="D1086" s="2" t="s">
        <v>9986</v>
      </c>
      <c r="E1086" s="2" t="s">
        <v>9987</v>
      </c>
      <c r="F1086" s="2" t="s">
        <v>7428</v>
      </c>
      <c r="G1086" s="2" t="s">
        <v>5022</v>
      </c>
      <c r="H1086" s="2" t="s">
        <v>5023</v>
      </c>
      <c r="I1086" s="2" t="s">
        <v>9988</v>
      </c>
      <c r="J1086" s="2"/>
      <c r="K1086" s="2"/>
      <c r="L1086" s="2"/>
      <c r="M1086" s="2" t="s">
        <v>9989</v>
      </c>
      <c r="N1086" s="2"/>
      <c r="O1086" s="2"/>
      <c r="P1086" s="2"/>
      <c r="Q1086" s="2"/>
    </row>
    <row r="1087" spans="1:17" x14ac:dyDescent="0.2">
      <c r="A1087" s="2" t="s">
        <v>3622</v>
      </c>
      <c r="B1087" s="2" t="s">
        <v>1462</v>
      </c>
      <c r="C1087" s="2" t="s">
        <v>6320</v>
      </c>
      <c r="D1087" s="2" t="s">
        <v>7654</v>
      </c>
      <c r="E1087" s="2" t="s">
        <v>9990</v>
      </c>
      <c r="F1087" s="2" t="s">
        <v>9991</v>
      </c>
      <c r="G1087" s="2" t="s">
        <v>5022</v>
      </c>
      <c r="H1087" s="2" t="s">
        <v>5023</v>
      </c>
      <c r="I1087" s="2" t="s">
        <v>9992</v>
      </c>
      <c r="J1087" s="2"/>
      <c r="K1087" s="2"/>
      <c r="L1087" s="2"/>
      <c r="M1087" s="2" t="s">
        <v>9993</v>
      </c>
      <c r="N1087" s="2"/>
      <c r="O1087" s="2"/>
      <c r="P1087" s="2"/>
      <c r="Q1087" s="2"/>
    </row>
    <row r="1088" spans="1:17" x14ac:dyDescent="0.2">
      <c r="A1088" s="2" t="s">
        <v>1711</v>
      </c>
      <c r="B1088" s="2" t="s">
        <v>9220</v>
      </c>
      <c r="C1088" s="2" t="s">
        <v>9994</v>
      </c>
      <c r="D1088" s="2" t="s">
        <v>5176</v>
      </c>
      <c r="E1088" s="2" t="s">
        <v>5178</v>
      </c>
      <c r="F1088" s="2" t="s">
        <v>5179</v>
      </c>
      <c r="G1088" s="2" t="s">
        <v>5022</v>
      </c>
      <c r="H1088" s="2" t="s">
        <v>5023</v>
      </c>
      <c r="I1088" s="2" t="s">
        <v>9995</v>
      </c>
      <c r="J1088" s="2"/>
      <c r="K1088" s="2"/>
      <c r="L1088" s="2"/>
      <c r="M1088" s="2" t="s">
        <v>9996</v>
      </c>
      <c r="N1088" s="2"/>
      <c r="O1088" s="2"/>
      <c r="P1088" s="2"/>
      <c r="Q1088" s="2"/>
    </row>
    <row r="1089" spans="1:17" x14ac:dyDescent="0.2">
      <c r="A1089" s="2" t="s">
        <v>215</v>
      </c>
      <c r="B1089" s="2" t="s">
        <v>7208</v>
      </c>
      <c r="C1089" s="2" t="s">
        <v>9997</v>
      </c>
      <c r="D1089" s="2" t="s">
        <v>8121</v>
      </c>
      <c r="E1089" s="2" t="s">
        <v>5450</v>
      </c>
      <c r="F1089" s="2" t="s">
        <v>5807</v>
      </c>
      <c r="G1089" s="2" t="s">
        <v>5022</v>
      </c>
      <c r="H1089" s="2" t="s">
        <v>5023</v>
      </c>
      <c r="I1089" s="2" t="s">
        <v>9998</v>
      </c>
      <c r="J1089" s="2"/>
      <c r="K1089" s="2"/>
      <c r="L1089" s="2"/>
      <c r="M1089" s="2" t="s">
        <v>9999</v>
      </c>
      <c r="N1089" s="2"/>
      <c r="O1089" s="2"/>
      <c r="P1089" s="2"/>
      <c r="Q1089" s="2"/>
    </row>
    <row r="1090" spans="1:17" x14ac:dyDescent="0.2">
      <c r="A1090" s="2" t="s">
        <v>2717</v>
      </c>
      <c r="B1090" s="2" t="s">
        <v>10000</v>
      </c>
      <c r="C1090" s="2" t="s">
        <v>5118</v>
      </c>
      <c r="D1090" s="2" t="s">
        <v>7213</v>
      </c>
      <c r="E1090" s="2" t="s">
        <v>10001</v>
      </c>
      <c r="F1090" s="2" t="s">
        <v>8196</v>
      </c>
      <c r="G1090" s="2" t="s">
        <v>5022</v>
      </c>
      <c r="H1090" s="2" t="s">
        <v>5023</v>
      </c>
      <c r="I1090" s="2"/>
      <c r="J1090" s="2"/>
      <c r="K1090" s="2" t="s">
        <v>10002</v>
      </c>
      <c r="L1090" s="2" t="s">
        <v>10003</v>
      </c>
      <c r="M1090" s="2" t="s">
        <v>10004</v>
      </c>
      <c r="N1090" s="2"/>
      <c r="O1090" s="2"/>
      <c r="P1090" s="2"/>
      <c r="Q1090" s="2"/>
    </row>
    <row r="1091" spans="1:17" x14ac:dyDescent="0.2">
      <c r="A1091" s="2" t="s">
        <v>1811</v>
      </c>
      <c r="B1091" s="2" t="s">
        <v>10005</v>
      </c>
      <c r="C1091" s="2" t="s">
        <v>6076</v>
      </c>
      <c r="D1091" s="2" t="s">
        <v>8019</v>
      </c>
      <c r="E1091" s="2" t="s">
        <v>10006</v>
      </c>
      <c r="F1091" s="2" t="s">
        <v>10007</v>
      </c>
      <c r="G1091" s="2" t="s">
        <v>5022</v>
      </c>
      <c r="H1091" s="2" t="s">
        <v>5023</v>
      </c>
      <c r="I1091" s="2" t="s">
        <v>10008</v>
      </c>
      <c r="J1091" s="2"/>
      <c r="K1091" s="2"/>
      <c r="L1091" s="2"/>
      <c r="M1091" s="2" t="s">
        <v>10009</v>
      </c>
      <c r="N1091" s="2"/>
      <c r="O1091" s="2"/>
      <c r="P1091" s="2"/>
      <c r="Q1091" s="2"/>
    </row>
    <row r="1092" spans="1:17" x14ac:dyDescent="0.2">
      <c r="A1092" s="2" t="s">
        <v>10010</v>
      </c>
      <c r="B1092" s="2" t="s">
        <v>1586</v>
      </c>
      <c r="C1092" s="2" t="s">
        <v>9727</v>
      </c>
      <c r="D1092" s="2" t="s">
        <v>5780</v>
      </c>
      <c r="E1092" s="2" t="s">
        <v>6262</v>
      </c>
      <c r="F1092" s="2" t="s">
        <v>10011</v>
      </c>
      <c r="G1092" s="2" t="s">
        <v>5022</v>
      </c>
      <c r="H1092" s="2" t="s">
        <v>5023</v>
      </c>
      <c r="I1092" s="2" t="s">
        <v>10012</v>
      </c>
      <c r="J1092" s="2"/>
      <c r="K1092" s="2"/>
      <c r="L1092" s="2"/>
      <c r="M1092" s="2"/>
      <c r="N1092" s="2"/>
      <c r="O1092" s="2"/>
      <c r="P1092" s="2"/>
      <c r="Q1092" s="2"/>
    </row>
    <row r="1093" spans="1:17" x14ac:dyDescent="0.2">
      <c r="A1093" s="2" t="s">
        <v>3352</v>
      </c>
      <c r="B1093" s="2" t="s">
        <v>7875</v>
      </c>
      <c r="C1093" s="2" t="s">
        <v>6143</v>
      </c>
      <c r="D1093" s="2" t="s">
        <v>5306</v>
      </c>
      <c r="E1093" s="2" t="s">
        <v>10013</v>
      </c>
      <c r="F1093" s="2" t="s">
        <v>10014</v>
      </c>
      <c r="G1093" s="2" t="s">
        <v>5022</v>
      </c>
      <c r="H1093" s="2" t="s">
        <v>5023</v>
      </c>
      <c r="I1093" s="2" t="s">
        <v>10015</v>
      </c>
      <c r="J1093" s="2"/>
      <c r="K1093" s="2"/>
      <c r="L1093" s="2"/>
      <c r="M1093" s="2" t="s">
        <v>10016</v>
      </c>
      <c r="N1093" s="2"/>
      <c r="O1093" s="2"/>
      <c r="P1093" s="2"/>
      <c r="Q1093" s="2"/>
    </row>
    <row r="1094" spans="1:17" x14ac:dyDescent="0.2">
      <c r="A1094" s="2" t="s">
        <v>4137</v>
      </c>
      <c r="B1094" s="2" t="s">
        <v>7055</v>
      </c>
      <c r="C1094" s="2" t="s">
        <v>5329</v>
      </c>
      <c r="D1094" s="2" t="s">
        <v>10017</v>
      </c>
      <c r="E1094" s="2" t="s">
        <v>6145</v>
      </c>
      <c r="F1094" s="2" t="s">
        <v>8953</v>
      </c>
      <c r="G1094" s="2" t="s">
        <v>5022</v>
      </c>
      <c r="H1094" s="2" t="s">
        <v>5023</v>
      </c>
      <c r="I1094" s="2" t="s">
        <v>10018</v>
      </c>
      <c r="J1094" s="2"/>
      <c r="K1094" s="2"/>
      <c r="L1094" s="2"/>
      <c r="M1094" s="2" t="s">
        <v>10019</v>
      </c>
      <c r="N1094" s="2"/>
      <c r="O1094" s="2"/>
      <c r="P1094" s="2"/>
      <c r="Q1094" s="2"/>
    </row>
    <row r="1095" spans="1:17" x14ac:dyDescent="0.2">
      <c r="A1095" s="2" t="s">
        <v>2222</v>
      </c>
      <c r="B1095" s="2" t="s">
        <v>1984</v>
      </c>
      <c r="C1095" s="2" t="s">
        <v>9456</v>
      </c>
      <c r="D1095" s="2" t="s">
        <v>10020</v>
      </c>
      <c r="E1095" s="2" t="s">
        <v>5907</v>
      </c>
      <c r="F1095" s="2" t="s">
        <v>7053</v>
      </c>
      <c r="G1095" s="2" t="s">
        <v>5022</v>
      </c>
      <c r="H1095" s="2" t="s">
        <v>5023</v>
      </c>
      <c r="I1095" s="2" t="s">
        <v>10021</v>
      </c>
      <c r="J1095" s="2"/>
      <c r="K1095" s="2"/>
      <c r="L1095" s="2"/>
      <c r="M1095" s="2" t="s">
        <v>10022</v>
      </c>
      <c r="N1095" s="2"/>
      <c r="O1095" s="2"/>
      <c r="P1095" s="2"/>
      <c r="Q1095" s="2"/>
    </row>
    <row r="1096" spans="1:17" x14ac:dyDescent="0.2">
      <c r="A1096" s="2" t="s">
        <v>3715</v>
      </c>
      <c r="B1096" s="2" t="s">
        <v>10023</v>
      </c>
      <c r="C1096" s="2" t="s">
        <v>6533</v>
      </c>
      <c r="D1096" s="2" t="s">
        <v>5947</v>
      </c>
      <c r="E1096" s="2" t="s">
        <v>10024</v>
      </c>
      <c r="F1096" s="2" t="s">
        <v>9817</v>
      </c>
      <c r="G1096" s="2" t="s">
        <v>5022</v>
      </c>
      <c r="H1096" s="2" t="s">
        <v>5023</v>
      </c>
      <c r="I1096" s="2" t="s">
        <v>10025</v>
      </c>
      <c r="J1096" s="2"/>
      <c r="K1096" s="2"/>
      <c r="L1096" s="2"/>
      <c r="M1096" s="2"/>
      <c r="N1096" s="2"/>
      <c r="O1096" s="2"/>
      <c r="P1096" s="2"/>
      <c r="Q1096" s="2"/>
    </row>
    <row r="1097" spans="1:17" x14ac:dyDescent="0.2">
      <c r="A1097" s="2" t="s">
        <v>295</v>
      </c>
      <c r="B1097" s="2" t="s">
        <v>10026</v>
      </c>
      <c r="C1097" s="2" t="s">
        <v>10027</v>
      </c>
      <c r="D1097" s="2" t="s">
        <v>10028</v>
      </c>
      <c r="E1097" s="2" t="s">
        <v>10029</v>
      </c>
      <c r="F1097" s="2" t="s">
        <v>10030</v>
      </c>
      <c r="G1097" s="2" t="s">
        <v>5022</v>
      </c>
      <c r="H1097" s="2" t="s">
        <v>5023</v>
      </c>
      <c r="I1097" s="2" t="s">
        <v>10031</v>
      </c>
      <c r="J1097" s="2" t="s">
        <v>10032</v>
      </c>
      <c r="K1097" s="2"/>
      <c r="L1097" s="2"/>
      <c r="M1097" s="2"/>
      <c r="N1097" s="2"/>
      <c r="O1097" s="2"/>
      <c r="P1097" s="2"/>
      <c r="Q1097" s="2"/>
    </row>
    <row r="1098" spans="1:17" x14ac:dyDescent="0.2">
      <c r="A1098" s="2" t="s">
        <v>3310</v>
      </c>
      <c r="B1098" s="2" t="s">
        <v>1984</v>
      </c>
      <c r="C1098" s="2" t="s">
        <v>10033</v>
      </c>
      <c r="D1098" s="2" t="s">
        <v>6915</v>
      </c>
      <c r="E1098" s="2" t="s">
        <v>8111</v>
      </c>
      <c r="F1098" s="2" t="s">
        <v>6973</v>
      </c>
      <c r="G1098" s="2" t="s">
        <v>5022</v>
      </c>
      <c r="H1098" s="2" t="s">
        <v>5023</v>
      </c>
      <c r="I1098" s="2" t="s">
        <v>10034</v>
      </c>
      <c r="J1098" s="2"/>
      <c r="K1098" s="2"/>
      <c r="L1098" s="2"/>
      <c r="M1098" s="2" t="s">
        <v>10035</v>
      </c>
      <c r="N1098" s="2"/>
      <c r="O1098" s="2"/>
      <c r="P1098" s="2"/>
      <c r="Q1098" s="2"/>
    </row>
    <row r="1099" spans="1:17" x14ac:dyDescent="0.2">
      <c r="A1099" s="2" t="s">
        <v>2113</v>
      </c>
      <c r="B1099" s="2" t="s">
        <v>5916</v>
      </c>
      <c r="C1099" s="2" t="s">
        <v>5980</v>
      </c>
      <c r="D1099" s="2" t="s">
        <v>7535</v>
      </c>
      <c r="E1099" s="2" t="s">
        <v>10036</v>
      </c>
      <c r="F1099" s="2" t="s">
        <v>10037</v>
      </c>
      <c r="G1099" s="2" t="s">
        <v>5022</v>
      </c>
      <c r="H1099" s="2" t="s">
        <v>10038</v>
      </c>
      <c r="I1099" s="2" t="s">
        <v>10039</v>
      </c>
      <c r="J1099" s="2"/>
      <c r="K1099" s="2"/>
      <c r="L1099" s="2"/>
      <c r="M1099" s="2" t="s">
        <v>10040</v>
      </c>
      <c r="N1099" s="2"/>
      <c r="O1099" s="2"/>
      <c r="P1099" s="2"/>
      <c r="Q1099" s="2"/>
    </row>
    <row r="1100" spans="1:17" x14ac:dyDescent="0.2">
      <c r="A1100" s="2" t="s">
        <v>4510</v>
      </c>
      <c r="B1100" s="2" t="s">
        <v>10041</v>
      </c>
      <c r="C1100" s="2" t="s">
        <v>10042</v>
      </c>
      <c r="D1100" s="2" t="s">
        <v>6357</v>
      </c>
      <c r="E1100" s="2" t="s">
        <v>9571</v>
      </c>
      <c r="F1100" s="2" t="s">
        <v>10043</v>
      </c>
      <c r="G1100" s="2" t="s">
        <v>5022</v>
      </c>
      <c r="H1100" s="2" t="s">
        <v>5023</v>
      </c>
      <c r="I1100" s="2" t="s">
        <v>10044</v>
      </c>
      <c r="J1100" s="2"/>
      <c r="K1100" s="2"/>
      <c r="L1100" s="2"/>
      <c r="M1100" s="2" t="s">
        <v>10045</v>
      </c>
      <c r="N1100" s="2"/>
      <c r="O1100" s="2"/>
      <c r="P1100" s="2"/>
      <c r="Q1100" s="2"/>
    </row>
    <row r="1101" spans="1:17" x14ac:dyDescent="0.2">
      <c r="A1101" s="2" t="s">
        <v>2149</v>
      </c>
      <c r="B1101" s="2" t="s">
        <v>10046</v>
      </c>
      <c r="C1101" s="2" t="s">
        <v>6143</v>
      </c>
      <c r="D1101" s="2" t="s">
        <v>6143</v>
      </c>
      <c r="E1101" s="2" t="s">
        <v>10047</v>
      </c>
      <c r="F1101" s="2" t="s">
        <v>10048</v>
      </c>
      <c r="G1101" s="2" t="s">
        <v>5022</v>
      </c>
      <c r="H1101" s="2" t="s">
        <v>5023</v>
      </c>
      <c r="I1101" s="2"/>
      <c r="J1101" s="2"/>
      <c r="K1101" s="2" t="s">
        <v>10049</v>
      </c>
      <c r="L1101" s="2" t="s">
        <v>10050</v>
      </c>
      <c r="M1101" s="2" t="s">
        <v>10051</v>
      </c>
      <c r="N1101" s="2"/>
      <c r="O1101" s="2"/>
      <c r="P1101" s="2"/>
      <c r="Q1101" s="2"/>
    </row>
    <row r="1102" spans="1:17" x14ac:dyDescent="0.2">
      <c r="A1102" s="2" t="s">
        <v>3512</v>
      </c>
      <c r="B1102" s="2" t="s">
        <v>10052</v>
      </c>
      <c r="C1102" s="2" t="s">
        <v>10053</v>
      </c>
      <c r="D1102" s="2" t="s">
        <v>6003</v>
      </c>
      <c r="E1102" s="2" t="s">
        <v>10054</v>
      </c>
      <c r="F1102" s="2" t="s">
        <v>10055</v>
      </c>
      <c r="G1102" s="2" t="s">
        <v>5022</v>
      </c>
      <c r="H1102" s="2" t="s">
        <v>5023</v>
      </c>
      <c r="I1102" s="2" t="s">
        <v>10056</v>
      </c>
      <c r="J1102" s="2"/>
      <c r="K1102" s="2"/>
      <c r="L1102" s="2"/>
      <c r="M1102" s="2" t="s">
        <v>10057</v>
      </c>
      <c r="N1102" s="2"/>
      <c r="O1102" s="2"/>
      <c r="P1102" s="2"/>
      <c r="Q1102" s="2"/>
    </row>
    <row r="1103" spans="1:17" x14ac:dyDescent="0.2">
      <c r="A1103" s="2" t="s">
        <v>657</v>
      </c>
      <c r="B1103" s="2" t="s">
        <v>10058</v>
      </c>
      <c r="C1103" s="2" t="s">
        <v>5859</v>
      </c>
      <c r="D1103" s="2" t="s">
        <v>5859</v>
      </c>
      <c r="E1103" s="2" t="s">
        <v>10059</v>
      </c>
      <c r="F1103" s="2" t="s">
        <v>10060</v>
      </c>
      <c r="G1103" s="2" t="s">
        <v>5022</v>
      </c>
      <c r="H1103" s="2" t="s">
        <v>5023</v>
      </c>
      <c r="I1103" s="2" t="s">
        <v>10061</v>
      </c>
      <c r="J1103" s="2"/>
      <c r="K1103" s="2"/>
      <c r="L1103" s="2"/>
      <c r="M1103" s="2" t="s">
        <v>10062</v>
      </c>
      <c r="N1103" s="2"/>
      <c r="O1103" s="2"/>
      <c r="P1103" s="2"/>
      <c r="Q1103" s="2"/>
    </row>
    <row r="1104" spans="1:17" x14ac:dyDescent="0.2">
      <c r="A1104" s="2" t="s">
        <v>2412</v>
      </c>
      <c r="B1104" s="2" t="s">
        <v>10063</v>
      </c>
      <c r="C1104" s="2" t="s">
        <v>10064</v>
      </c>
      <c r="D1104" s="2" t="s">
        <v>5568</v>
      </c>
      <c r="E1104" s="2" t="s">
        <v>10065</v>
      </c>
      <c r="F1104" s="2" t="s">
        <v>10066</v>
      </c>
      <c r="G1104" s="2" t="s">
        <v>5022</v>
      </c>
      <c r="H1104" s="2" t="s">
        <v>5023</v>
      </c>
      <c r="I1104" s="2"/>
      <c r="J1104" s="2"/>
      <c r="K1104" s="2" t="s">
        <v>10067</v>
      </c>
      <c r="L1104" s="2"/>
      <c r="M1104" s="2"/>
      <c r="N1104" s="2"/>
      <c r="O1104" s="2"/>
      <c r="P1104" s="2"/>
      <c r="Q1104" s="2"/>
    </row>
    <row r="1105" spans="1:17" x14ac:dyDescent="0.2">
      <c r="A1105" s="2" t="s">
        <v>631</v>
      </c>
      <c r="B1105" s="2" t="s">
        <v>9083</v>
      </c>
      <c r="C1105" s="2" t="s">
        <v>8297</v>
      </c>
      <c r="D1105" s="2" t="s">
        <v>5205</v>
      </c>
      <c r="E1105" s="2" t="s">
        <v>10068</v>
      </c>
      <c r="F1105" s="2" t="s">
        <v>8559</v>
      </c>
      <c r="G1105" s="2" t="s">
        <v>5022</v>
      </c>
      <c r="H1105" s="2" t="s">
        <v>5023</v>
      </c>
      <c r="I1105" s="2" t="s">
        <v>10069</v>
      </c>
      <c r="J1105" s="2"/>
      <c r="K1105" s="2"/>
      <c r="L1105" s="2"/>
      <c r="M1105" s="2"/>
      <c r="N1105" s="2"/>
      <c r="O1105" s="2"/>
      <c r="P1105" s="2"/>
      <c r="Q1105" s="2"/>
    </row>
    <row r="1106" spans="1:17" x14ac:dyDescent="0.2">
      <c r="A1106" s="2" t="s">
        <v>778</v>
      </c>
      <c r="B1106" s="2" t="s">
        <v>10070</v>
      </c>
      <c r="C1106" s="2" t="s">
        <v>9477</v>
      </c>
      <c r="D1106" s="2" t="s">
        <v>10071</v>
      </c>
      <c r="E1106" s="2" t="s">
        <v>8999</v>
      </c>
      <c r="F1106" s="2" t="s">
        <v>8847</v>
      </c>
      <c r="G1106" s="2" t="s">
        <v>5022</v>
      </c>
      <c r="H1106" s="2" t="s">
        <v>5023</v>
      </c>
      <c r="I1106" s="2" t="s">
        <v>10072</v>
      </c>
      <c r="J1106" s="2"/>
      <c r="K1106" s="2"/>
      <c r="L1106" s="2"/>
      <c r="M1106" s="2" t="s">
        <v>10073</v>
      </c>
      <c r="N1106" s="2"/>
      <c r="O1106" s="2"/>
      <c r="P1106" s="2"/>
      <c r="Q1106" s="2"/>
    </row>
    <row r="1107" spans="1:17" x14ac:dyDescent="0.2">
      <c r="A1107" s="2" t="s">
        <v>4014</v>
      </c>
      <c r="B1107" s="2" t="s">
        <v>10074</v>
      </c>
      <c r="C1107" s="2" t="s">
        <v>10075</v>
      </c>
      <c r="D1107" s="2" t="s">
        <v>10076</v>
      </c>
      <c r="E1107" s="2" t="s">
        <v>10077</v>
      </c>
      <c r="F1107" s="2" t="s">
        <v>10078</v>
      </c>
      <c r="G1107" s="2" t="s">
        <v>5022</v>
      </c>
      <c r="H1107" s="2" t="s">
        <v>5023</v>
      </c>
      <c r="I1107" s="2" t="s">
        <v>10079</v>
      </c>
      <c r="J1107" s="2"/>
      <c r="K1107" s="2"/>
      <c r="L1107" s="2"/>
      <c r="M1107" s="2"/>
      <c r="N1107" s="2"/>
      <c r="O1107" s="2"/>
      <c r="P1107" s="2"/>
      <c r="Q1107" s="2"/>
    </row>
    <row r="1108" spans="1:17" x14ac:dyDescent="0.2">
      <c r="A1108" s="2" t="s">
        <v>2773</v>
      </c>
      <c r="B1108" s="2" t="s">
        <v>8468</v>
      </c>
      <c r="C1108" s="2" t="s">
        <v>5339</v>
      </c>
      <c r="D1108" s="2" t="s">
        <v>5415</v>
      </c>
      <c r="E1108" s="2" t="s">
        <v>9522</v>
      </c>
      <c r="F1108" s="2" t="s">
        <v>8847</v>
      </c>
      <c r="G1108" s="2" t="s">
        <v>5022</v>
      </c>
      <c r="H1108" s="2" t="s">
        <v>5023</v>
      </c>
      <c r="I1108" s="2" t="s">
        <v>10080</v>
      </c>
      <c r="J1108" s="2"/>
      <c r="K1108" s="2"/>
      <c r="L1108" s="2"/>
      <c r="M1108" s="2"/>
      <c r="N1108" s="2"/>
      <c r="O1108" s="2"/>
      <c r="P1108" s="2"/>
      <c r="Q1108" s="2"/>
    </row>
    <row r="1109" spans="1:17" x14ac:dyDescent="0.2">
      <c r="A1109" s="2" t="s">
        <v>3455</v>
      </c>
      <c r="B1109" s="2" t="s">
        <v>7570</v>
      </c>
      <c r="C1109" s="2" t="s">
        <v>10081</v>
      </c>
      <c r="D1109" s="2" t="s">
        <v>6702</v>
      </c>
      <c r="E1109" s="2" t="s">
        <v>10082</v>
      </c>
      <c r="F1109" s="2" t="s">
        <v>10083</v>
      </c>
      <c r="G1109" s="2" t="s">
        <v>5022</v>
      </c>
      <c r="H1109" s="2" t="s">
        <v>5023</v>
      </c>
      <c r="I1109" s="2" t="s">
        <v>10084</v>
      </c>
      <c r="J1109" s="2"/>
      <c r="K1109" s="2"/>
      <c r="L1109" s="2"/>
      <c r="M1109" s="2" t="s">
        <v>10085</v>
      </c>
      <c r="N1109" s="2"/>
      <c r="O1109" s="2"/>
      <c r="P1109" s="2"/>
      <c r="Q1109" s="2"/>
    </row>
    <row r="1110" spans="1:17" x14ac:dyDescent="0.2">
      <c r="A1110" s="2" t="s">
        <v>941</v>
      </c>
      <c r="B1110" s="2" t="s">
        <v>9597</v>
      </c>
      <c r="C1110" s="2" t="s">
        <v>7659</v>
      </c>
      <c r="D1110" s="2" t="s">
        <v>7004</v>
      </c>
      <c r="E1110" s="2" t="s">
        <v>10086</v>
      </c>
      <c r="F1110" s="2" t="s">
        <v>10087</v>
      </c>
      <c r="G1110" s="2" t="s">
        <v>5022</v>
      </c>
      <c r="H1110" s="2" t="s">
        <v>5023</v>
      </c>
      <c r="I1110" s="2"/>
      <c r="J1110" s="2"/>
      <c r="K1110" s="2" t="s">
        <v>10088</v>
      </c>
      <c r="L1110" s="2"/>
      <c r="M1110" s="2"/>
      <c r="N1110" s="2"/>
      <c r="O1110" s="2"/>
      <c r="P1110" s="2"/>
      <c r="Q1110" s="2"/>
    </row>
    <row r="1111" spans="1:17" x14ac:dyDescent="0.2">
      <c r="A1111" s="2" t="s">
        <v>3266</v>
      </c>
      <c r="B1111" s="2" t="s">
        <v>10089</v>
      </c>
      <c r="C1111" s="2" t="s">
        <v>8038</v>
      </c>
      <c r="D1111" s="2" t="s">
        <v>5081</v>
      </c>
      <c r="E1111" s="2" t="s">
        <v>10090</v>
      </c>
      <c r="F1111" s="2" t="s">
        <v>8373</v>
      </c>
      <c r="G1111" s="2" t="s">
        <v>5022</v>
      </c>
      <c r="H1111" s="2" t="s">
        <v>5023</v>
      </c>
      <c r="I1111" s="2" t="s">
        <v>10091</v>
      </c>
      <c r="J1111" s="2"/>
      <c r="K1111" s="2"/>
      <c r="L1111" s="2"/>
      <c r="M1111" s="2" t="s">
        <v>10092</v>
      </c>
      <c r="N1111" s="2"/>
      <c r="O1111" s="2"/>
      <c r="P1111" s="2"/>
      <c r="Q1111" s="2"/>
    </row>
    <row r="1112" spans="1:17" x14ac:dyDescent="0.2">
      <c r="A1112" s="2" t="s">
        <v>1588</v>
      </c>
      <c r="B1112" s="2" t="s">
        <v>9395</v>
      </c>
      <c r="C1112" s="2" t="s">
        <v>7589</v>
      </c>
      <c r="D1112" s="2" t="s">
        <v>5322</v>
      </c>
      <c r="E1112" s="2" t="s">
        <v>10086</v>
      </c>
      <c r="F1112" s="2" t="s">
        <v>6313</v>
      </c>
      <c r="G1112" s="2" t="s">
        <v>5022</v>
      </c>
      <c r="H1112" s="2" t="s">
        <v>5023</v>
      </c>
      <c r="I1112" s="2" t="s">
        <v>10093</v>
      </c>
      <c r="J1112" s="2"/>
      <c r="K1112" s="2"/>
      <c r="L1112" s="2"/>
      <c r="M1112" s="2" t="s">
        <v>10094</v>
      </c>
      <c r="N1112" s="2"/>
      <c r="O1112" s="2"/>
      <c r="P1112" s="2"/>
      <c r="Q1112" s="2"/>
    </row>
    <row r="1113" spans="1:17" x14ac:dyDescent="0.2">
      <c r="A1113" s="2" t="s">
        <v>3806</v>
      </c>
      <c r="B1113" s="2" t="s">
        <v>10095</v>
      </c>
      <c r="C1113" s="2" t="s">
        <v>10096</v>
      </c>
      <c r="D1113" s="2" t="s">
        <v>7062</v>
      </c>
      <c r="E1113" s="2" t="s">
        <v>10097</v>
      </c>
      <c r="F1113" s="2" t="s">
        <v>9049</v>
      </c>
      <c r="G1113" s="2" t="s">
        <v>5022</v>
      </c>
      <c r="H1113" s="2" t="s">
        <v>5023</v>
      </c>
      <c r="I1113" s="2" t="s">
        <v>10098</v>
      </c>
      <c r="J1113" s="2"/>
      <c r="K1113" s="2"/>
      <c r="L1113" s="2"/>
      <c r="M1113" s="2" t="s">
        <v>10099</v>
      </c>
      <c r="N1113" s="2"/>
      <c r="O1113" s="2"/>
      <c r="P1113" s="2"/>
      <c r="Q1113" s="2"/>
    </row>
    <row r="1114" spans="1:17" x14ac:dyDescent="0.2">
      <c r="A1114" s="2" t="s">
        <v>4852</v>
      </c>
      <c r="B1114" s="2" t="s">
        <v>1984</v>
      </c>
      <c r="C1114" s="2" t="s">
        <v>5299</v>
      </c>
      <c r="D1114" s="2" t="s">
        <v>10100</v>
      </c>
      <c r="E1114" s="2" t="s">
        <v>10101</v>
      </c>
      <c r="F1114" s="2" t="s">
        <v>6269</v>
      </c>
      <c r="G1114" s="2" t="s">
        <v>5022</v>
      </c>
      <c r="H1114" s="2" t="s">
        <v>5023</v>
      </c>
      <c r="I1114" s="2" t="s">
        <v>10102</v>
      </c>
      <c r="J1114" s="2"/>
      <c r="K1114" s="2"/>
      <c r="L1114" s="2"/>
      <c r="M1114" s="2" t="s">
        <v>10103</v>
      </c>
      <c r="N1114" s="2"/>
      <c r="O1114" s="2"/>
      <c r="P1114" s="2"/>
      <c r="Q1114" s="2"/>
    </row>
    <row r="1115" spans="1:17" x14ac:dyDescent="0.2">
      <c r="A1115" s="2" t="s">
        <v>3150</v>
      </c>
      <c r="B1115" s="2" t="s">
        <v>10104</v>
      </c>
      <c r="C1115" s="2" t="s">
        <v>7031</v>
      </c>
      <c r="D1115" s="2" t="s">
        <v>5223</v>
      </c>
      <c r="E1115" s="2" t="s">
        <v>7541</v>
      </c>
      <c r="F1115" s="2" t="s">
        <v>6041</v>
      </c>
      <c r="G1115" s="2" t="s">
        <v>5022</v>
      </c>
      <c r="H1115" s="2" t="s">
        <v>5023</v>
      </c>
      <c r="I1115" s="2" t="s">
        <v>10105</v>
      </c>
      <c r="J1115" s="2"/>
      <c r="K1115" s="2"/>
      <c r="L1115" s="2"/>
      <c r="M1115" s="2"/>
      <c r="N1115" s="2"/>
      <c r="O1115" s="2"/>
      <c r="P1115" s="2"/>
      <c r="Q1115" s="2"/>
    </row>
    <row r="1116" spans="1:17" x14ac:dyDescent="0.2">
      <c r="A1116" s="2" t="s">
        <v>1683</v>
      </c>
      <c r="B1116" s="2" t="s">
        <v>9356</v>
      </c>
      <c r="C1116" s="2" t="s">
        <v>5105</v>
      </c>
      <c r="D1116" s="2" t="s">
        <v>5217</v>
      </c>
      <c r="E1116" s="2" t="s">
        <v>8137</v>
      </c>
      <c r="F1116" s="2" t="s">
        <v>10106</v>
      </c>
      <c r="G1116" s="2" t="s">
        <v>5022</v>
      </c>
      <c r="H1116" s="2" t="s">
        <v>5023</v>
      </c>
      <c r="I1116" s="2"/>
      <c r="J1116" s="2"/>
      <c r="K1116" s="2" t="s">
        <v>10107</v>
      </c>
      <c r="L1116" s="2"/>
      <c r="M1116" s="2"/>
      <c r="N1116" s="2"/>
      <c r="O1116" s="2"/>
      <c r="P1116" s="2"/>
      <c r="Q1116" s="2"/>
    </row>
    <row r="1117" spans="1:17" x14ac:dyDescent="0.2">
      <c r="A1117" s="2" t="s">
        <v>3958</v>
      </c>
      <c r="B1117" s="2" t="s">
        <v>5310</v>
      </c>
      <c r="C1117" s="2" t="s">
        <v>6383</v>
      </c>
      <c r="D1117" s="2" t="s">
        <v>6514</v>
      </c>
      <c r="E1117" s="2" t="s">
        <v>10108</v>
      </c>
      <c r="F1117" s="2" t="s">
        <v>10109</v>
      </c>
      <c r="G1117" s="2" t="s">
        <v>5022</v>
      </c>
      <c r="H1117" s="2" t="s">
        <v>5023</v>
      </c>
      <c r="I1117" s="2" t="s">
        <v>10110</v>
      </c>
      <c r="J1117" s="2"/>
      <c r="K1117" s="2"/>
      <c r="L1117" s="2"/>
      <c r="M1117" s="2" t="s">
        <v>10111</v>
      </c>
      <c r="N1117" s="2"/>
      <c r="O1117" s="2"/>
      <c r="P1117" s="2"/>
      <c r="Q1117" s="2"/>
    </row>
    <row r="1118" spans="1:17" x14ac:dyDescent="0.2">
      <c r="A1118" s="2" t="s">
        <v>2327</v>
      </c>
      <c r="B1118" s="2" t="s">
        <v>9878</v>
      </c>
      <c r="C1118" s="2" t="s">
        <v>5293</v>
      </c>
      <c r="D1118" s="2" t="s">
        <v>5449</v>
      </c>
      <c r="E1118" s="2" t="s">
        <v>10112</v>
      </c>
      <c r="F1118" s="2" t="s">
        <v>6668</v>
      </c>
      <c r="G1118" s="2" t="s">
        <v>5022</v>
      </c>
      <c r="H1118" s="2" t="s">
        <v>5023</v>
      </c>
      <c r="I1118" s="2"/>
      <c r="J1118" s="2"/>
      <c r="K1118" s="2" t="s">
        <v>10113</v>
      </c>
      <c r="L1118" s="2"/>
      <c r="M1118" s="2"/>
      <c r="N1118" s="2"/>
      <c r="O1118" s="2"/>
      <c r="P1118" s="2"/>
      <c r="Q1118" s="2"/>
    </row>
    <row r="1119" spans="1:17" x14ac:dyDescent="0.2">
      <c r="A1119" s="2" t="s">
        <v>690</v>
      </c>
      <c r="B1119" s="2" t="s">
        <v>10114</v>
      </c>
      <c r="C1119" s="2" t="s">
        <v>5922</v>
      </c>
      <c r="D1119" s="2" t="s">
        <v>10115</v>
      </c>
      <c r="E1119" s="2" t="s">
        <v>10116</v>
      </c>
      <c r="F1119" s="2" t="s">
        <v>9812</v>
      </c>
      <c r="G1119" s="2" t="s">
        <v>5022</v>
      </c>
      <c r="H1119" s="2" t="s">
        <v>5023</v>
      </c>
      <c r="I1119" s="2" t="s">
        <v>7044</v>
      </c>
      <c r="J1119" s="2"/>
      <c r="K1119" s="2"/>
      <c r="L1119" s="2"/>
      <c r="M1119" s="2"/>
      <c r="N1119" s="2"/>
      <c r="O1119" s="2"/>
      <c r="P1119" s="2"/>
      <c r="Q1119" s="2"/>
    </row>
    <row r="1120" spans="1:17" x14ac:dyDescent="0.2">
      <c r="A1120" s="2" t="s">
        <v>3667</v>
      </c>
      <c r="B1120" s="2" t="s">
        <v>10117</v>
      </c>
      <c r="C1120" s="2" t="s">
        <v>8379</v>
      </c>
      <c r="D1120" s="2" t="s">
        <v>8380</v>
      </c>
      <c r="E1120" s="2" t="s">
        <v>10118</v>
      </c>
      <c r="F1120" s="2" t="s">
        <v>6269</v>
      </c>
      <c r="G1120" s="2" t="s">
        <v>5022</v>
      </c>
      <c r="H1120" s="2" t="s">
        <v>5023</v>
      </c>
      <c r="I1120" s="2" t="s">
        <v>10119</v>
      </c>
      <c r="J1120" s="2"/>
      <c r="K1120" s="2"/>
      <c r="L1120" s="2"/>
      <c r="M1120" s="2"/>
      <c r="N1120" s="2"/>
      <c r="O1120" s="2"/>
      <c r="P1120" s="2"/>
      <c r="Q1120" s="2"/>
    </row>
    <row r="1121" spans="1:17" x14ac:dyDescent="0.2">
      <c r="A1121" s="2" t="s">
        <v>4712</v>
      </c>
      <c r="B1121" s="2" t="s">
        <v>8323</v>
      </c>
      <c r="C1121" s="2" t="s">
        <v>6811</v>
      </c>
      <c r="D1121" s="2" t="s">
        <v>5443</v>
      </c>
      <c r="E1121" s="2" t="s">
        <v>5094</v>
      </c>
      <c r="F1121" s="2" t="s">
        <v>10120</v>
      </c>
      <c r="G1121" s="2" t="s">
        <v>5022</v>
      </c>
      <c r="H1121" s="2" t="s">
        <v>5023</v>
      </c>
      <c r="I1121" s="2" t="s">
        <v>10121</v>
      </c>
      <c r="J1121" s="2"/>
      <c r="K1121" s="2"/>
      <c r="L1121" s="2"/>
      <c r="M1121" s="2" t="s">
        <v>10122</v>
      </c>
      <c r="N1121" s="2"/>
      <c r="O1121" s="2"/>
      <c r="P1121" s="2"/>
      <c r="Q1121" s="2"/>
    </row>
    <row r="1122" spans="1:17" x14ac:dyDescent="0.2">
      <c r="A1122" s="2" t="s">
        <v>1063</v>
      </c>
      <c r="B1122" s="2" t="s">
        <v>10123</v>
      </c>
      <c r="C1122" s="2" t="s">
        <v>10124</v>
      </c>
      <c r="D1122" s="2" t="s">
        <v>5633</v>
      </c>
      <c r="E1122" s="2" t="s">
        <v>10125</v>
      </c>
      <c r="F1122" s="2" t="s">
        <v>10126</v>
      </c>
      <c r="G1122" s="2" t="s">
        <v>5022</v>
      </c>
      <c r="H1122" s="2" t="s">
        <v>5023</v>
      </c>
      <c r="I1122" s="2" t="s">
        <v>10127</v>
      </c>
      <c r="J1122" s="2"/>
      <c r="K1122" s="2"/>
      <c r="L1122" s="2"/>
      <c r="M1122" s="2" t="s">
        <v>10128</v>
      </c>
      <c r="N1122" s="2"/>
      <c r="O1122" s="2"/>
      <c r="P1122" s="2"/>
      <c r="Q1122" s="2"/>
    </row>
    <row r="1123" spans="1:17" x14ac:dyDescent="0.2">
      <c r="A1123" s="2" t="s">
        <v>1852</v>
      </c>
      <c r="B1123" s="2" t="s">
        <v>6056</v>
      </c>
      <c r="C1123" s="2" t="s">
        <v>5511</v>
      </c>
      <c r="D1123" s="2" t="s">
        <v>5409</v>
      </c>
      <c r="E1123" s="2" t="s">
        <v>10129</v>
      </c>
      <c r="F1123" s="2" t="s">
        <v>10130</v>
      </c>
      <c r="G1123" s="2" t="s">
        <v>5022</v>
      </c>
      <c r="H1123" s="2" t="s">
        <v>5023</v>
      </c>
      <c r="I1123" s="2" t="s">
        <v>10131</v>
      </c>
      <c r="J1123" s="2"/>
      <c r="K1123" s="2"/>
      <c r="L1123" s="2"/>
      <c r="M1123" s="2"/>
      <c r="N1123" s="2"/>
      <c r="O1123" s="2"/>
      <c r="P1123" s="2"/>
      <c r="Q1123" s="2"/>
    </row>
    <row r="1124" spans="1:17" x14ac:dyDescent="0.2">
      <c r="A1124" s="2" t="s">
        <v>1055</v>
      </c>
      <c r="B1124" s="2" t="s">
        <v>10132</v>
      </c>
      <c r="C1124" s="2" t="s">
        <v>10133</v>
      </c>
      <c r="D1124" s="2" t="s">
        <v>5028</v>
      </c>
      <c r="E1124" s="2" t="s">
        <v>7137</v>
      </c>
      <c r="F1124" s="2" t="s">
        <v>7102</v>
      </c>
      <c r="G1124" s="2" t="s">
        <v>5022</v>
      </c>
      <c r="H1124" s="2" t="s">
        <v>5023</v>
      </c>
      <c r="I1124" s="2" t="s">
        <v>10134</v>
      </c>
      <c r="J1124" s="2"/>
      <c r="K1124" s="2"/>
      <c r="L1124" s="2"/>
      <c r="M1124" s="2"/>
      <c r="N1124" s="2"/>
      <c r="O1124" s="2"/>
      <c r="P1124" s="2"/>
      <c r="Q1124" s="2"/>
    </row>
    <row r="1125" spans="1:17" x14ac:dyDescent="0.2">
      <c r="A1125" s="2" t="s">
        <v>699</v>
      </c>
      <c r="B1125" s="2" t="s">
        <v>10135</v>
      </c>
      <c r="C1125" s="2" t="s">
        <v>6574</v>
      </c>
      <c r="D1125" s="2" t="s">
        <v>5449</v>
      </c>
      <c r="E1125" s="2" t="s">
        <v>10136</v>
      </c>
      <c r="F1125" s="2" t="s">
        <v>9474</v>
      </c>
      <c r="G1125" s="2" t="s">
        <v>5022</v>
      </c>
      <c r="H1125" s="2" t="s">
        <v>5023</v>
      </c>
      <c r="I1125" s="2" t="s">
        <v>10137</v>
      </c>
      <c r="J1125" s="2"/>
      <c r="K1125" s="2"/>
      <c r="L1125" s="2"/>
      <c r="M1125" s="2" t="s">
        <v>10138</v>
      </c>
      <c r="N1125" s="2"/>
      <c r="O1125" s="2"/>
      <c r="P1125" s="2"/>
      <c r="Q1125" s="2"/>
    </row>
    <row r="1126" spans="1:17" x14ac:dyDescent="0.2">
      <c r="A1126" s="2" t="s">
        <v>2981</v>
      </c>
      <c r="B1126" s="2" t="s">
        <v>10139</v>
      </c>
      <c r="C1126" s="2" t="s">
        <v>10140</v>
      </c>
      <c r="D1126" s="2" t="s">
        <v>5329</v>
      </c>
      <c r="E1126" s="2" t="s">
        <v>10141</v>
      </c>
      <c r="F1126" s="2" t="s">
        <v>10142</v>
      </c>
      <c r="G1126" s="2" t="s">
        <v>5022</v>
      </c>
      <c r="H1126" s="2" t="s">
        <v>5023</v>
      </c>
      <c r="I1126" s="2" t="s">
        <v>10143</v>
      </c>
      <c r="J1126" s="2"/>
      <c r="K1126" s="2"/>
      <c r="L1126" s="2"/>
      <c r="M1126" s="2"/>
      <c r="N1126" s="2"/>
      <c r="O1126" s="2"/>
      <c r="P1126" s="2"/>
      <c r="Q1126" s="2"/>
    </row>
    <row r="1127" spans="1:17" x14ac:dyDescent="0.2">
      <c r="A1127" s="2" t="s">
        <v>4354</v>
      </c>
      <c r="B1127" s="2" t="s">
        <v>5132</v>
      </c>
      <c r="C1127" s="2" t="s">
        <v>10144</v>
      </c>
      <c r="D1127" s="2" t="s">
        <v>10145</v>
      </c>
      <c r="E1127" s="2" t="s">
        <v>10146</v>
      </c>
      <c r="F1127" s="2" t="s">
        <v>10147</v>
      </c>
      <c r="G1127" s="2" t="s">
        <v>5022</v>
      </c>
      <c r="H1127" s="2" t="s">
        <v>5023</v>
      </c>
      <c r="I1127" s="2" t="s">
        <v>10148</v>
      </c>
      <c r="J1127" s="2"/>
      <c r="K1127" s="2"/>
      <c r="L1127" s="2"/>
      <c r="M1127" s="2"/>
      <c r="N1127" s="2"/>
      <c r="O1127" s="2"/>
      <c r="P1127" s="2"/>
      <c r="Q1127" s="2"/>
    </row>
    <row r="1128" spans="1:17" x14ac:dyDescent="0.2">
      <c r="A1128" s="2" t="s">
        <v>4579</v>
      </c>
      <c r="B1128" s="2" t="s">
        <v>7395</v>
      </c>
      <c r="C1128" s="2" t="s">
        <v>8013</v>
      </c>
      <c r="D1128" s="2" t="s">
        <v>7213</v>
      </c>
      <c r="E1128" s="2" t="s">
        <v>6058</v>
      </c>
      <c r="F1128" s="2" t="s">
        <v>5629</v>
      </c>
      <c r="G1128" s="2" t="s">
        <v>5022</v>
      </c>
      <c r="H1128" s="2" t="s">
        <v>5023</v>
      </c>
      <c r="I1128" s="2" t="s">
        <v>10149</v>
      </c>
      <c r="J1128" s="2"/>
      <c r="K1128" s="2"/>
      <c r="L1128" s="2"/>
      <c r="M1128" s="2" t="s">
        <v>10150</v>
      </c>
      <c r="N1128" s="2"/>
      <c r="O1128" s="2"/>
      <c r="P1128" s="2"/>
      <c r="Q1128" s="2"/>
    </row>
    <row r="1129" spans="1:17" x14ac:dyDescent="0.2">
      <c r="A1129" s="2" t="s">
        <v>2214</v>
      </c>
      <c r="B1129" s="2" t="s">
        <v>10151</v>
      </c>
      <c r="C1129" s="2" t="s">
        <v>6896</v>
      </c>
      <c r="D1129" s="2" t="s">
        <v>5119</v>
      </c>
      <c r="E1129" s="2" t="s">
        <v>10152</v>
      </c>
      <c r="F1129" s="2" t="s">
        <v>10153</v>
      </c>
      <c r="G1129" s="2" t="s">
        <v>5022</v>
      </c>
      <c r="H1129" s="2" t="s">
        <v>5023</v>
      </c>
      <c r="I1129" s="2" t="s">
        <v>10154</v>
      </c>
      <c r="J1129" s="2"/>
      <c r="K1129" s="2"/>
      <c r="L1129" s="2"/>
      <c r="M1129" s="2" t="s">
        <v>10155</v>
      </c>
      <c r="N1129" s="2"/>
      <c r="O1129" s="2"/>
      <c r="P1129" s="2"/>
      <c r="Q1129" s="2"/>
    </row>
    <row r="1130" spans="1:17" x14ac:dyDescent="0.2">
      <c r="A1130" s="2" t="s">
        <v>3328</v>
      </c>
      <c r="B1130" s="2" t="s">
        <v>6895</v>
      </c>
      <c r="C1130" s="2" t="s">
        <v>6009</v>
      </c>
      <c r="D1130" s="2" t="s">
        <v>10156</v>
      </c>
      <c r="E1130" s="2" t="s">
        <v>10157</v>
      </c>
      <c r="F1130" s="2" t="s">
        <v>10158</v>
      </c>
      <c r="G1130" s="2" t="s">
        <v>5022</v>
      </c>
      <c r="H1130" s="2" t="s">
        <v>5023</v>
      </c>
      <c r="I1130" s="2" t="s">
        <v>10159</v>
      </c>
      <c r="J1130" s="2"/>
      <c r="K1130" s="2"/>
      <c r="L1130" s="2"/>
      <c r="M1130" s="2" t="s">
        <v>10160</v>
      </c>
      <c r="N1130" s="2"/>
      <c r="O1130" s="2"/>
      <c r="P1130" s="2"/>
      <c r="Q1130" s="2"/>
    </row>
    <row r="1131" spans="1:17" x14ac:dyDescent="0.2">
      <c r="A1131" s="2" t="s">
        <v>4282</v>
      </c>
      <c r="B1131" s="2" t="s">
        <v>6226</v>
      </c>
      <c r="C1131" s="2" t="s">
        <v>5443</v>
      </c>
      <c r="D1131" s="2" t="s">
        <v>5409</v>
      </c>
      <c r="E1131" s="2" t="s">
        <v>10161</v>
      </c>
      <c r="F1131" s="2" t="s">
        <v>10162</v>
      </c>
      <c r="G1131" s="2" t="s">
        <v>5022</v>
      </c>
      <c r="H1131" s="2" t="s">
        <v>5023</v>
      </c>
      <c r="I1131" s="2" t="s">
        <v>10163</v>
      </c>
      <c r="J1131" s="2"/>
      <c r="K1131" s="2"/>
      <c r="L1131" s="2"/>
      <c r="M1131" s="2" t="s">
        <v>10164</v>
      </c>
      <c r="N1131" s="2"/>
      <c r="O1131" s="2"/>
      <c r="P1131" s="2"/>
      <c r="Q1131" s="2"/>
    </row>
    <row r="1132" spans="1:17" x14ac:dyDescent="0.2">
      <c r="A1132" s="2" t="s">
        <v>3225</v>
      </c>
      <c r="B1132" s="2" t="s">
        <v>3326</v>
      </c>
      <c r="C1132" s="2" t="s">
        <v>9004</v>
      </c>
      <c r="D1132" s="2" t="s">
        <v>5223</v>
      </c>
      <c r="E1132" s="2" t="s">
        <v>10165</v>
      </c>
      <c r="F1132" s="2" t="s">
        <v>7302</v>
      </c>
      <c r="G1132" s="2" t="s">
        <v>5022</v>
      </c>
      <c r="H1132" s="2" t="s">
        <v>5023</v>
      </c>
      <c r="I1132" s="2" t="s">
        <v>10166</v>
      </c>
      <c r="J1132" s="2"/>
      <c r="K1132" s="2"/>
      <c r="L1132" s="2"/>
      <c r="M1132" s="2" t="s">
        <v>10167</v>
      </c>
      <c r="N1132" s="2"/>
      <c r="O1132" s="2"/>
      <c r="P1132" s="2"/>
      <c r="Q1132" s="2"/>
    </row>
    <row r="1133" spans="1:17" x14ac:dyDescent="0.2">
      <c r="A1133" s="2" t="s">
        <v>171</v>
      </c>
      <c r="B1133" s="2" t="s">
        <v>5926</v>
      </c>
      <c r="C1133" s="2" t="s">
        <v>10168</v>
      </c>
      <c r="D1133" s="2" t="s">
        <v>10169</v>
      </c>
      <c r="E1133" s="2" t="s">
        <v>10170</v>
      </c>
      <c r="F1133" s="2" t="s">
        <v>10171</v>
      </c>
      <c r="G1133" s="2" t="s">
        <v>5022</v>
      </c>
      <c r="H1133" s="2" t="s">
        <v>5023</v>
      </c>
      <c r="I1133" s="2" t="s">
        <v>10172</v>
      </c>
      <c r="J1133" s="2"/>
      <c r="K1133" s="2"/>
      <c r="L1133" s="2"/>
      <c r="M1133" s="2"/>
      <c r="N1133" s="2"/>
      <c r="O1133" s="2"/>
      <c r="P1133" s="2"/>
      <c r="Q1133" s="2"/>
    </row>
    <row r="1134" spans="1:17" x14ac:dyDescent="0.2">
      <c r="A1134" s="2" t="s">
        <v>567</v>
      </c>
      <c r="B1134" s="2" t="s">
        <v>10173</v>
      </c>
      <c r="C1134" s="2" t="s">
        <v>5125</v>
      </c>
      <c r="D1134" s="2" t="s">
        <v>10174</v>
      </c>
      <c r="E1134" s="2" t="s">
        <v>6826</v>
      </c>
      <c r="F1134" s="2" t="s">
        <v>10175</v>
      </c>
      <c r="G1134" s="2" t="s">
        <v>5022</v>
      </c>
      <c r="H1134" s="2" t="s">
        <v>5023</v>
      </c>
      <c r="I1134" s="2" t="s">
        <v>10176</v>
      </c>
      <c r="J1134" s="2"/>
      <c r="K1134" s="2"/>
      <c r="L1134" s="2"/>
      <c r="M1134" s="2" t="s">
        <v>10177</v>
      </c>
      <c r="N1134" s="2"/>
      <c r="O1134" s="2"/>
      <c r="P1134" s="2"/>
      <c r="Q1134" s="2"/>
    </row>
    <row r="1135" spans="1:17" x14ac:dyDescent="0.2">
      <c r="A1135" s="2" t="s">
        <v>2530</v>
      </c>
      <c r="B1135" s="2" t="s">
        <v>7251</v>
      </c>
      <c r="C1135" s="2" t="s">
        <v>5940</v>
      </c>
      <c r="D1135" s="2" t="s">
        <v>10178</v>
      </c>
      <c r="E1135" s="2" t="s">
        <v>7154</v>
      </c>
      <c r="F1135" s="2" t="s">
        <v>10179</v>
      </c>
      <c r="G1135" s="2" t="s">
        <v>5022</v>
      </c>
      <c r="H1135" s="2" t="s">
        <v>5023</v>
      </c>
      <c r="I1135" s="2"/>
      <c r="J1135" s="2"/>
      <c r="K1135" s="2" t="s">
        <v>10180</v>
      </c>
      <c r="L1135" s="2"/>
      <c r="M1135" s="2"/>
      <c r="N1135" s="2"/>
      <c r="O1135" s="2"/>
      <c r="P1135" s="2"/>
      <c r="Q1135" s="2"/>
    </row>
    <row r="1136" spans="1:17" x14ac:dyDescent="0.2">
      <c r="A1136" s="2" t="s">
        <v>39</v>
      </c>
      <c r="B1136" s="2" t="s">
        <v>10181</v>
      </c>
      <c r="C1136" s="2" t="s">
        <v>7535</v>
      </c>
      <c r="D1136" s="2" t="s">
        <v>5374</v>
      </c>
      <c r="E1136" s="2" t="s">
        <v>10182</v>
      </c>
      <c r="F1136" s="2" t="s">
        <v>10183</v>
      </c>
      <c r="G1136" s="2" t="s">
        <v>5022</v>
      </c>
      <c r="H1136" s="2" t="s">
        <v>5023</v>
      </c>
      <c r="I1136" s="2" t="s">
        <v>10184</v>
      </c>
      <c r="J1136" s="2"/>
      <c r="K1136" s="2"/>
      <c r="L1136" s="2"/>
      <c r="M1136" s="2"/>
      <c r="N1136" s="2"/>
      <c r="O1136" s="2"/>
      <c r="P1136" s="2"/>
      <c r="Q1136" s="2"/>
    </row>
    <row r="1137" spans="1:17" x14ac:dyDescent="0.2">
      <c r="A1137" s="2" t="s">
        <v>1341</v>
      </c>
      <c r="B1137" s="2" t="s">
        <v>10185</v>
      </c>
      <c r="C1137" s="2" t="s">
        <v>10186</v>
      </c>
      <c r="D1137" s="2" t="s">
        <v>5134</v>
      </c>
      <c r="E1137" s="2" t="s">
        <v>7292</v>
      </c>
      <c r="F1137" s="2" t="s">
        <v>10187</v>
      </c>
      <c r="G1137" s="2" t="s">
        <v>5022</v>
      </c>
      <c r="H1137" s="2" t="s">
        <v>5023</v>
      </c>
      <c r="I1137" s="2" t="s">
        <v>10188</v>
      </c>
      <c r="J1137" s="2"/>
      <c r="K1137" s="2"/>
      <c r="L1137" s="2"/>
      <c r="M1137" s="2" t="s">
        <v>10189</v>
      </c>
      <c r="N1137" s="2"/>
      <c r="O1137" s="2"/>
      <c r="P1137" s="2"/>
      <c r="Q1137" s="2"/>
    </row>
    <row r="1138" spans="1:17" x14ac:dyDescent="0.2">
      <c r="A1138" s="2" t="s">
        <v>2262</v>
      </c>
      <c r="B1138" s="2" t="s">
        <v>10190</v>
      </c>
      <c r="C1138" s="2" t="s">
        <v>5605</v>
      </c>
      <c r="D1138" s="2" t="s">
        <v>10191</v>
      </c>
      <c r="E1138" s="2" t="s">
        <v>10192</v>
      </c>
      <c r="F1138" s="2" t="s">
        <v>10193</v>
      </c>
      <c r="G1138" s="2" t="s">
        <v>5022</v>
      </c>
      <c r="H1138" s="2" t="s">
        <v>5023</v>
      </c>
      <c r="I1138" s="2" t="s">
        <v>10194</v>
      </c>
      <c r="J1138" s="2"/>
      <c r="K1138" s="2"/>
      <c r="L1138" s="2"/>
      <c r="M1138" s="2" t="s">
        <v>10195</v>
      </c>
      <c r="N1138" s="2"/>
      <c r="O1138" s="2"/>
      <c r="P1138" s="2"/>
      <c r="Q1138" s="2"/>
    </row>
    <row r="1139" spans="1:17" x14ac:dyDescent="0.2">
      <c r="A1139" s="2" t="s">
        <v>2464</v>
      </c>
      <c r="B1139" s="2" t="s">
        <v>10196</v>
      </c>
      <c r="C1139" s="2" t="s">
        <v>7724</v>
      </c>
      <c r="D1139" s="2" t="s">
        <v>5463</v>
      </c>
      <c r="E1139" s="2" t="s">
        <v>9284</v>
      </c>
      <c r="F1139" s="2" t="s">
        <v>10197</v>
      </c>
      <c r="G1139" s="2" t="s">
        <v>5022</v>
      </c>
      <c r="H1139" s="2" t="s">
        <v>5023</v>
      </c>
      <c r="I1139" s="2"/>
      <c r="J1139" s="2"/>
      <c r="K1139" s="2" t="s">
        <v>10198</v>
      </c>
      <c r="L1139" s="2"/>
      <c r="M1139" s="2"/>
      <c r="N1139" s="2"/>
      <c r="O1139" s="2"/>
      <c r="P1139" s="2"/>
      <c r="Q1139" s="2"/>
    </row>
    <row r="1140" spans="1:17" x14ac:dyDescent="0.2">
      <c r="A1140" s="2" t="s">
        <v>1368</v>
      </c>
      <c r="B1140" s="2" t="s">
        <v>9850</v>
      </c>
      <c r="C1140" s="2" t="s">
        <v>5275</v>
      </c>
      <c r="D1140" s="2" t="s">
        <v>10199</v>
      </c>
      <c r="E1140" s="2" t="s">
        <v>9525</v>
      </c>
      <c r="F1140" s="2" t="s">
        <v>6354</v>
      </c>
      <c r="G1140" s="2" t="s">
        <v>5022</v>
      </c>
      <c r="H1140" s="2" t="s">
        <v>5023</v>
      </c>
      <c r="I1140" s="2" t="s">
        <v>10200</v>
      </c>
      <c r="J1140" s="2"/>
      <c r="K1140" s="2"/>
      <c r="L1140" s="2"/>
      <c r="M1140" s="2"/>
      <c r="N1140" s="2"/>
      <c r="O1140" s="2"/>
      <c r="P1140" s="2"/>
      <c r="Q1140" s="2"/>
    </row>
    <row r="1141" spans="1:17" x14ac:dyDescent="0.2">
      <c r="A1141" s="2" t="s">
        <v>993</v>
      </c>
      <c r="B1141" s="2" t="s">
        <v>10201</v>
      </c>
      <c r="C1141" s="2" t="s">
        <v>5623</v>
      </c>
      <c r="D1141" s="2" t="s">
        <v>7004</v>
      </c>
      <c r="E1141" s="2" t="s">
        <v>10202</v>
      </c>
      <c r="F1141" s="2" t="s">
        <v>10203</v>
      </c>
      <c r="G1141" s="2" t="s">
        <v>5022</v>
      </c>
      <c r="H1141" s="2" t="s">
        <v>5023</v>
      </c>
      <c r="I1141" s="2" t="s">
        <v>10204</v>
      </c>
      <c r="J1141" s="2"/>
      <c r="K1141" s="2"/>
      <c r="L1141" s="2"/>
      <c r="M1141" s="2" t="s">
        <v>10205</v>
      </c>
      <c r="N1141" s="2"/>
      <c r="O1141" s="2"/>
      <c r="P1141" s="2"/>
      <c r="Q1141" s="2"/>
    </row>
    <row r="1142" spans="1:17" x14ac:dyDescent="0.2">
      <c r="A1142" s="2" t="s">
        <v>4364</v>
      </c>
      <c r="B1142" s="2" t="s">
        <v>3147</v>
      </c>
      <c r="C1142" s="2" t="s">
        <v>7732</v>
      </c>
      <c r="D1142" s="2" t="s">
        <v>5317</v>
      </c>
      <c r="E1142" s="2" t="s">
        <v>6175</v>
      </c>
      <c r="F1142" s="2" t="s">
        <v>5872</v>
      </c>
      <c r="G1142" s="2" t="s">
        <v>5022</v>
      </c>
      <c r="H1142" s="2" t="s">
        <v>5023</v>
      </c>
      <c r="I1142" s="2" t="s">
        <v>10206</v>
      </c>
      <c r="J1142" s="2"/>
      <c r="K1142" s="2"/>
      <c r="L1142" s="2"/>
      <c r="M1142" s="2"/>
      <c r="N1142" s="2"/>
      <c r="O1142" s="2"/>
      <c r="P1142" s="2"/>
      <c r="Q1142" s="2"/>
    </row>
    <row r="1143" spans="1:17" x14ac:dyDescent="0.2">
      <c r="A1143" s="2" t="s">
        <v>2896</v>
      </c>
      <c r="B1143" s="2" t="s">
        <v>3168</v>
      </c>
      <c r="C1143" s="2" t="s">
        <v>10207</v>
      </c>
      <c r="D1143" s="2" t="s">
        <v>6009</v>
      </c>
      <c r="E1143" s="2" t="s">
        <v>10208</v>
      </c>
      <c r="F1143" s="2" t="s">
        <v>10209</v>
      </c>
      <c r="G1143" s="2" t="s">
        <v>5022</v>
      </c>
      <c r="H1143" s="2" t="s">
        <v>5023</v>
      </c>
      <c r="I1143" s="2" t="s">
        <v>10210</v>
      </c>
      <c r="J1143" s="2"/>
      <c r="K1143" s="2"/>
      <c r="L1143" s="2"/>
      <c r="M1143" s="2"/>
      <c r="N1143" s="2"/>
      <c r="O1143" s="2"/>
      <c r="P1143" s="2"/>
      <c r="Q1143" s="2"/>
    </row>
    <row r="1144" spans="1:17" x14ac:dyDescent="0.2">
      <c r="A1144" s="2" t="s">
        <v>868</v>
      </c>
      <c r="B1144" s="2" t="s">
        <v>10211</v>
      </c>
      <c r="C1144" s="2" t="s">
        <v>10212</v>
      </c>
      <c r="D1144" s="2" t="s">
        <v>10213</v>
      </c>
      <c r="E1144" s="2" t="s">
        <v>6395</v>
      </c>
      <c r="F1144" s="2" t="s">
        <v>10214</v>
      </c>
      <c r="G1144" s="2" t="s">
        <v>5022</v>
      </c>
      <c r="H1144" s="2" t="s">
        <v>5023</v>
      </c>
      <c r="I1144" s="2" t="s">
        <v>10215</v>
      </c>
      <c r="J1144" s="2"/>
      <c r="K1144" s="2"/>
      <c r="L1144" s="2"/>
      <c r="M1144" s="2"/>
      <c r="N1144" s="2"/>
      <c r="O1144" s="2"/>
      <c r="P1144" s="2"/>
      <c r="Q1144" s="2"/>
    </row>
    <row r="1145" spans="1:17" x14ac:dyDescent="0.2">
      <c r="A1145" s="2" t="s">
        <v>3374</v>
      </c>
      <c r="B1145" s="2" t="s">
        <v>10216</v>
      </c>
      <c r="C1145" s="2" t="s">
        <v>10217</v>
      </c>
      <c r="D1145" s="2" t="s">
        <v>10218</v>
      </c>
      <c r="E1145" s="2" t="s">
        <v>5600</v>
      </c>
      <c r="F1145" s="2" t="s">
        <v>10219</v>
      </c>
      <c r="G1145" s="2" t="s">
        <v>5022</v>
      </c>
      <c r="H1145" s="2" t="s">
        <v>5023</v>
      </c>
      <c r="I1145" s="2" t="s">
        <v>10220</v>
      </c>
      <c r="J1145" s="2"/>
      <c r="K1145" s="2"/>
      <c r="L1145" s="2"/>
      <c r="M1145" s="2" t="s">
        <v>10221</v>
      </c>
      <c r="N1145" s="2"/>
      <c r="O1145" s="2"/>
      <c r="P1145" s="2"/>
      <c r="Q1145" s="2"/>
    </row>
    <row r="1146" spans="1:17" x14ac:dyDescent="0.2">
      <c r="A1146" s="2" t="s">
        <v>3739</v>
      </c>
      <c r="B1146" s="2" t="s">
        <v>9197</v>
      </c>
      <c r="C1146" s="2" t="s">
        <v>10222</v>
      </c>
      <c r="D1146" s="2" t="s">
        <v>9749</v>
      </c>
      <c r="E1146" s="2" t="s">
        <v>10223</v>
      </c>
      <c r="F1146" s="2" t="s">
        <v>10224</v>
      </c>
      <c r="G1146" s="2" t="s">
        <v>10225</v>
      </c>
      <c r="H1146" s="2" t="s">
        <v>10226</v>
      </c>
      <c r="I1146" s="2" t="s">
        <v>10227</v>
      </c>
      <c r="J1146" s="2"/>
      <c r="K1146" s="2"/>
      <c r="L1146" s="2"/>
      <c r="M1146" s="2" t="s">
        <v>10228</v>
      </c>
      <c r="N1146" s="2"/>
      <c r="O1146" s="2"/>
      <c r="P1146" s="2"/>
      <c r="Q1146" s="2"/>
    </row>
    <row r="1147" spans="1:17" x14ac:dyDescent="0.2">
      <c r="A1147" s="2" t="s">
        <v>4125</v>
      </c>
      <c r="B1147" s="2" t="s">
        <v>9555</v>
      </c>
      <c r="C1147" s="2" t="s">
        <v>5895</v>
      </c>
      <c r="D1147" s="2" t="s">
        <v>7182</v>
      </c>
      <c r="E1147" s="2" t="s">
        <v>9138</v>
      </c>
      <c r="F1147" s="2" t="s">
        <v>9841</v>
      </c>
      <c r="G1147" s="2" t="s">
        <v>5022</v>
      </c>
      <c r="H1147" s="2" t="s">
        <v>5023</v>
      </c>
      <c r="I1147" s="2" t="s">
        <v>9842</v>
      </c>
      <c r="J1147" s="2"/>
      <c r="K1147" s="2"/>
      <c r="L1147" s="2"/>
      <c r="M1147" s="2"/>
      <c r="N1147" s="2"/>
      <c r="O1147" s="2"/>
      <c r="P1147" s="2"/>
      <c r="Q1147" s="2"/>
    </row>
    <row r="1148" spans="1:17" x14ac:dyDescent="0.2">
      <c r="A1148" s="2" t="s">
        <v>3028</v>
      </c>
      <c r="B1148" s="2" t="s">
        <v>8647</v>
      </c>
      <c r="C1148" s="2" t="s">
        <v>5388</v>
      </c>
      <c r="D1148" s="2" t="s">
        <v>5189</v>
      </c>
      <c r="E1148" s="2" t="s">
        <v>10059</v>
      </c>
      <c r="F1148" s="2" t="s">
        <v>10229</v>
      </c>
      <c r="G1148" s="2" t="s">
        <v>5022</v>
      </c>
      <c r="H1148" s="2" t="s">
        <v>5023</v>
      </c>
      <c r="I1148" s="2"/>
      <c r="J1148" s="2"/>
      <c r="K1148" s="2" t="s">
        <v>10230</v>
      </c>
      <c r="L1148" s="2"/>
      <c r="M1148" s="2"/>
      <c r="N1148" s="2"/>
      <c r="O1148" s="2"/>
      <c r="P1148" s="2"/>
      <c r="Q1148" s="2"/>
    </row>
    <row r="1149" spans="1:17" x14ac:dyDescent="0.2">
      <c r="A1149" s="2" t="s">
        <v>2848</v>
      </c>
      <c r="B1149" s="2" t="s">
        <v>5049</v>
      </c>
      <c r="C1149" s="2" t="s">
        <v>5443</v>
      </c>
      <c r="D1149" s="2" t="s">
        <v>6086</v>
      </c>
      <c r="E1149" s="2" t="s">
        <v>10231</v>
      </c>
      <c r="F1149" s="2" t="s">
        <v>10232</v>
      </c>
      <c r="G1149" s="2" t="s">
        <v>5022</v>
      </c>
      <c r="H1149" s="2" t="s">
        <v>5023</v>
      </c>
      <c r="I1149" s="2" t="s">
        <v>10233</v>
      </c>
      <c r="J1149" s="2"/>
      <c r="K1149" s="2"/>
      <c r="L1149" s="2"/>
      <c r="M1149" s="2"/>
      <c r="N1149" s="2"/>
      <c r="O1149" s="2"/>
      <c r="P1149" s="2"/>
      <c r="Q1149" s="2"/>
    </row>
    <row r="1150" spans="1:17" x14ac:dyDescent="0.2">
      <c r="A1150" s="2" t="s">
        <v>3010</v>
      </c>
      <c r="B1150" s="2" t="s">
        <v>10234</v>
      </c>
      <c r="C1150" s="2" t="s">
        <v>10235</v>
      </c>
      <c r="D1150" s="2" t="s">
        <v>10236</v>
      </c>
      <c r="E1150" s="2" t="s">
        <v>10237</v>
      </c>
      <c r="F1150" s="2" t="s">
        <v>10238</v>
      </c>
      <c r="G1150" s="2" t="s">
        <v>5022</v>
      </c>
      <c r="H1150" s="2" t="s">
        <v>5023</v>
      </c>
      <c r="I1150" s="2" t="s">
        <v>10239</v>
      </c>
      <c r="J1150" s="2"/>
      <c r="K1150" s="2"/>
      <c r="L1150" s="2"/>
      <c r="M1150" s="2" t="s">
        <v>10240</v>
      </c>
      <c r="N1150" s="2"/>
      <c r="O1150" s="2"/>
      <c r="P1150" s="2"/>
      <c r="Q1150" s="2"/>
    </row>
    <row r="1151" spans="1:17" x14ac:dyDescent="0.2">
      <c r="A1151" s="2" t="s">
        <v>2420</v>
      </c>
      <c r="B1151" s="2" t="s">
        <v>10241</v>
      </c>
      <c r="C1151" s="2" t="s">
        <v>7815</v>
      </c>
      <c r="D1151" s="2" t="s">
        <v>5240</v>
      </c>
      <c r="E1151" s="2" t="s">
        <v>10242</v>
      </c>
      <c r="F1151" s="2" t="s">
        <v>9572</v>
      </c>
      <c r="G1151" s="2" t="s">
        <v>5022</v>
      </c>
      <c r="H1151" s="2" t="s">
        <v>5023</v>
      </c>
      <c r="I1151" s="2"/>
      <c r="J1151" s="2"/>
      <c r="K1151" s="2" t="s">
        <v>10243</v>
      </c>
      <c r="L1151" s="2"/>
      <c r="M1151" s="2"/>
      <c r="N1151" s="2"/>
      <c r="O1151" s="2"/>
      <c r="P1151" s="2"/>
      <c r="Q1151" s="2"/>
    </row>
    <row r="1152" spans="1:17" x14ac:dyDescent="0.2">
      <c r="A1152" s="2" t="s">
        <v>3348</v>
      </c>
      <c r="B1152" s="2" t="s">
        <v>5368</v>
      </c>
      <c r="C1152" s="2" t="s">
        <v>10244</v>
      </c>
      <c r="D1152" s="2" t="s">
        <v>10245</v>
      </c>
      <c r="E1152" s="2" t="s">
        <v>6005</v>
      </c>
      <c r="F1152" s="2" t="s">
        <v>10246</v>
      </c>
      <c r="G1152" s="2" t="s">
        <v>5022</v>
      </c>
      <c r="H1152" s="2" t="s">
        <v>5023</v>
      </c>
      <c r="I1152" s="2" t="s">
        <v>10247</v>
      </c>
      <c r="J1152" s="2"/>
      <c r="K1152" s="2"/>
      <c r="L1152" s="2"/>
      <c r="M1152" s="2" t="s">
        <v>10248</v>
      </c>
      <c r="N1152" s="2"/>
      <c r="O1152" s="2"/>
      <c r="P1152" s="2"/>
      <c r="Q1152" s="2"/>
    </row>
    <row r="1153" spans="1:17" x14ac:dyDescent="0.2">
      <c r="A1153" s="2" t="s">
        <v>1615</v>
      </c>
      <c r="B1153" s="2" t="s">
        <v>10249</v>
      </c>
      <c r="C1153" s="2" t="s">
        <v>6004</v>
      </c>
      <c r="D1153" s="2" t="s">
        <v>10076</v>
      </c>
      <c r="E1153" s="2" t="s">
        <v>10250</v>
      </c>
      <c r="F1153" s="2" t="s">
        <v>10251</v>
      </c>
      <c r="G1153" s="2" t="s">
        <v>5022</v>
      </c>
      <c r="H1153" s="2" t="s">
        <v>5023</v>
      </c>
      <c r="I1153" s="2" t="s">
        <v>10252</v>
      </c>
      <c r="J1153" s="2"/>
      <c r="K1153" s="2"/>
      <c r="L1153" s="2"/>
      <c r="M1153" s="2"/>
      <c r="N1153" s="2"/>
      <c r="O1153" s="2"/>
      <c r="P1153" s="2"/>
      <c r="Q1153" s="2"/>
    </row>
    <row r="1154" spans="1:17" x14ac:dyDescent="0.2">
      <c r="A1154" s="2" t="s">
        <v>4668</v>
      </c>
      <c r="B1154" s="2" t="s">
        <v>1984</v>
      </c>
      <c r="C1154" s="2" t="s">
        <v>7774</v>
      </c>
      <c r="D1154" s="2" t="s">
        <v>9723</v>
      </c>
      <c r="E1154" s="2" t="s">
        <v>5410</v>
      </c>
      <c r="F1154" s="2" t="s">
        <v>10253</v>
      </c>
      <c r="G1154" s="2" t="s">
        <v>5022</v>
      </c>
      <c r="H1154" s="2" t="s">
        <v>5023</v>
      </c>
      <c r="I1154" s="2" t="s">
        <v>10254</v>
      </c>
      <c r="J1154" s="2"/>
      <c r="K1154" s="2"/>
      <c r="L1154" s="2"/>
      <c r="M1154" s="2"/>
      <c r="N1154" s="2"/>
      <c r="O1154" s="2"/>
      <c r="P1154" s="2"/>
      <c r="Q1154" s="2"/>
    </row>
    <row r="1155" spans="1:17" x14ac:dyDescent="0.2">
      <c r="A1155" s="2" t="s">
        <v>4590</v>
      </c>
      <c r="B1155" s="2" t="s">
        <v>10255</v>
      </c>
      <c r="C1155" s="2" t="s">
        <v>10256</v>
      </c>
      <c r="D1155" s="2" t="s">
        <v>10257</v>
      </c>
      <c r="E1155" s="2" t="s">
        <v>10258</v>
      </c>
      <c r="F1155" s="2" t="s">
        <v>10259</v>
      </c>
      <c r="G1155" s="2" t="s">
        <v>5022</v>
      </c>
      <c r="H1155" s="2" t="s">
        <v>5023</v>
      </c>
      <c r="I1155" s="2" t="s">
        <v>10260</v>
      </c>
      <c r="J1155" s="2"/>
      <c r="K1155" s="2"/>
      <c r="L1155" s="2"/>
      <c r="M1155" s="2" t="s">
        <v>10261</v>
      </c>
      <c r="N1155" s="2"/>
      <c r="O1155" s="2"/>
      <c r="P1155" s="2"/>
      <c r="Q1155" s="2"/>
    </row>
    <row r="1156" spans="1:17" x14ac:dyDescent="0.2">
      <c r="A1156" s="2" t="s">
        <v>1126</v>
      </c>
      <c r="B1156" s="2" t="s">
        <v>10262</v>
      </c>
      <c r="C1156" s="2" t="s">
        <v>5217</v>
      </c>
      <c r="D1156" s="2" t="s">
        <v>5433</v>
      </c>
      <c r="E1156" s="2" t="s">
        <v>10263</v>
      </c>
      <c r="F1156" s="2" t="s">
        <v>10264</v>
      </c>
      <c r="G1156" s="2" t="s">
        <v>5022</v>
      </c>
      <c r="H1156" s="2" t="s">
        <v>5023</v>
      </c>
      <c r="I1156" s="2" t="s">
        <v>10265</v>
      </c>
      <c r="J1156" s="2"/>
      <c r="K1156" s="2"/>
      <c r="L1156" s="2"/>
      <c r="M1156" s="2" t="s">
        <v>10266</v>
      </c>
      <c r="N1156" s="2"/>
      <c r="O1156" s="2"/>
      <c r="P1156" s="2"/>
      <c r="Q1156" s="2"/>
    </row>
    <row r="1157" spans="1:17" x14ac:dyDescent="0.2">
      <c r="A1157" s="2" t="s">
        <v>3123</v>
      </c>
      <c r="B1157" s="2" t="s">
        <v>1984</v>
      </c>
      <c r="C1157" s="2" t="s">
        <v>5409</v>
      </c>
      <c r="D1157" s="2" t="s">
        <v>6419</v>
      </c>
      <c r="E1157" s="2" t="s">
        <v>5213</v>
      </c>
      <c r="F1157" s="2" t="s">
        <v>10267</v>
      </c>
      <c r="G1157" s="2" t="s">
        <v>5022</v>
      </c>
      <c r="H1157" s="2" t="s">
        <v>5023</v>
      </c>
      <c r="I1157" s="2" t="s">
        <v>10268</v>
      </c>
      <c r="J1157" s="2"/>
      <c r="K1157" s="2"/>
      <c r="L1157" s="2"/>
      <c r="M1157" s="2" t="s">
        <v>10269</v>
      </c>
      <c r="N1157" s="2"/>
      <c r="O1157" s="2"/>
      <c r="P1157" s="2"/>
      <c r="Q1157" s="2"/>
    </row>
    <row r="1158" spans="1:17" x14ac:dyDescent="0.2">
      <c r="A1158" s="2" t="s">
        <v>1782</v>
      </c>
      <c r="B1158" s="2" t="s">
        <v>10270</v>
      </c>
      <c r="C1158" s="2" t="s">
        <v>10271</v>
      </c>
      <c r="D1158" s="2" t="s">
        <v>10272</v>
      </c>
      <c r="E1158" s="2" t="s">
        <v>10273</v>
      </c>
      <c r="F1158" s="2" t="s">
        <v>10274</v>
      </c>
      <c r="G1158" s="2" t="s">
        <v>5022</v>
      </c>
      <c r="H1158" s="2" t="s">
        <v>5023</v>
      </c>
      <c r="I1158" s="2"/>
      <c r="J1158" s="2"/>
      <c r="K1158" s="2" t="s">
        <v>10275</v>
      </c>
      <c r="L1158" s="2"/>
      <c r="M1158" s="2"/>
      <c r="N1158" s="2"/>
      <c r="O1158" s="2"/>
      <c r="P1158" s="2"/>
      <c r="Q1158" s="2"/>
    </row>
    <row r="1159" spans="1:17" x14ac:dyDescent="0.2">
      <c r="A1159" s="2" t="s">
        <v>1252</v>
      </c>
      <c r="B1159" s="2" t="s">
        <v>10276</v>
      </c>
      <c r="C1159" s="2" t="s">
        <v>10277</v>
      </c>
      <c r="D1159" s="2" t="s">
        <v>5493</v>
      </c>
      <c r="E1159" s="2" t="s">
        <v>10278</v>
      </c>
      <c r="F1159" s="2" t="s">
        <v>6124</v>
      </c>
      <c r="G1159" s="2" t="s">
        <v>5022</v>
      </c>
      <c r="H1159" s="2" t="s">
        <v>7825</v>
      </c>
      <c r="I1159" s="2" t="s">
        <v>10279</v>
      </c>
      <c r="J1159" s="2"/>
      <c r="K1159" s="2"/>
      <c r="L1159" s="2"/>
      <c r="M1159" s="2"/>
      <c r="N1159" s="2"/>
      <c r="O1159" s="2"/>
      <c r="P1159" s="2"/>
      <c r="Q1159" s="2"/>
    </row>
    <row r="1160" spans="1:17" x14ac:dyDescent="0.2">
      <c r="A1160" s="2" t="s">
        <v>4293</v>
      </c>
      <c r="B1160" s="2" t="s">
        <v>10280</v>
      </c>
      <c r="C1160" s="2" t="s">
        <v>10281</v>
      </c>
      <c r="D1160" s="2" t="s">
        <v>5076</v>
      </c>
      <c r="E1160" s="2" t="s">
        <v>10282</v>
      </c>
      <c r="F1160" s="2" t="s">
        <v>10283</v>
      </c>
      <c r="G1160" s="2" t="s">
        <v>5022</v>
      </c>
      <c r="H1160" s="2" t="s">
        <v>5023</v>
      </c>
      <c r="I1160" s="2" t="s">
        <v>10284</v>
      </c>
      <c r="J1160" s="2"/>
      <c r="K1160" s="2"/>
      <c r="L1160" s="2"/>
      <c r="M1160" s="2" t="s">
        <v>10285</v>
      </c>
      <c r="N1160" s="2"/>
      <c r="O1160" s="2"/>
      <c r="P1160" s="2"/>
      <c r="Q1160" s="2"/>
    </row>
    <row r="1161" spans="1:17" x14ac:dyDescent="0.2">
      <c r="A1161" s="2" t="s">
        <v>808</v>
      </c>
      <c r="B1161" s="2" t="s">
        <v>10286</v>
      </c>
      <c r="C1161" s="2" t="s">
        <v>10287</v>
      </c>
      <c r="D1161" s="2" t="s">
        <v>6337</v>
      </c>
      <c r="E1161" s="2" t="s">
        <v>10288</v>
      </c>
      <c r="F1161" s="2" t="s">
        <v>10289</v>
      </c>
      <c r="G1161" s="2" t="s">
        <v>5022</v>
      </c>
      <c r="H1161" s="2" t="s">
        <v>5023</v>
      </c>
      <c r="I1161" s="2" t="s">
        <v>10290</v>
      </c>
      <c r="J1161" s="2"/>
      <c r="K1161" s="2"/>
      <c r="L1161" s="2"/>
      <c r="M1161" s="2" t="s">
        <v>10291</v>
      </c>
      <c r="N1161" s="2"/>
      <c r="O1161" s="2"/>
      <c r="P1161" s="2"/>
      <c r="Q1161" s="2"/>
    </row>
    <row r="1162" spans="1:17" x14ac:dyDescent="0.2">
      <c r="A1162" s="2" t="s">
        <v>642</v>
      </c>
      <c r="B1162" s="2" t="s">
        <v>10292</v>
      </c>
      <c r="C1162" s="2" t="s">
        <v>5113</v>
      </c>
      <c r="D1162" s="2" t="s">
        <v>10212</v>
      </c>
      <c r="E1162" s="2" t="s">
        <v>10293</v>
      </c>
      <c r="F1162" s="2" t="s">
        <v>10294</v>
      </c>
      <c r="G1162" s="2" t="s">
        <v>5022</v>
      </c>
      <c r="H1162" s="2" t="s">
        <v>5023</v>
      </c>
      <c r="I1162" s="2" t="s">
        <v>10295</v>
      </c>
      <c r="J1162" s="2"/>
      <c r="K1162" s="2"/>
      <c r="L1162" s="2"/>
      <c r="M1162" s="2" t="s">
        <v>10296</v>
      </c>
      <c r="N1162" s="2"/>
      <c r="O1162" s="2"/>
      <c r="P1162" s="2"/>
      <c r="Q1162" s="2"/>
    </row>
    <row r="1163" spans="1:17" x14ac:dyDescent="0.2">
      <c r="A1163" s="2" t="s">
        <v>2747</v>
      </c>
      <c r="B1163" s="2" t="s">
        <v>8875</v>
      </c>
      <c r="C1163" s="2" t="s">
        <v>8887</v>
      </c>
      <c r="D1163" s="2" t="s">
        <v>10297</v>
      </c>
      <c r="E1163" s="2" t="s">
        <v>5294</v>
      </c>
      <c r="F1163" s="2" t="s">
        <v>10298</v>
      </c>
      <c r="G1163" s="2" t="s">
        <v>5022</v>
      </c>
      <c r="H1163" s="2" t="s">
        <v>5023</v>
      </c>
      <c r="I1163" s="2"/>
      <c r="J1163" s="2"/>
      <c r="K1163" s="2" t="s">
        <v>10299</v>
      </c>
      <c r="L1163" s="2"/>
      <c r="M1163" s="2"/>
      <c r="N1163" s="2"/>
      <c r="O1163" s="2"/>
      <c r="P1163" s="2"/>
      <c r="Q1163" s="2"/>
    </row>
    <row r="1164" spans="1:17" x14ac:dyDescent="0.2">
      <c r="A1164" s="2" t="s">
        <v>1475</v>
      </c>
      <c r="B1164" s="2" t="s">
        <v>7251</v>
      </c>
      <c r="C1164" s="2" t="s">
        <v>6567</v>
      </c>
      <c r="D1164" s="2" t="s">
        <v>5189</v>
      </c>
      <c r="E1164" s="2" t="s">
        <v>10300</v>
      </c>
      <c r="F1164" s="2" t="s">
        <v>10301</v>
      </c>
      <c r="G1164" s="2" t="s">
        <v>5022</v>
      </c>
      <c r="H1164" s="2" t="s">
        <v>5023</v>
      </c>
      <c r="I1164" s="2" t="s">
        <v>10302</v>
      </c>
      <c r="J1164" s="2"/>
      <c r="K1164" s="2"/>
      <c r="L1164" s="2"/>
      <c r="M1164" s="2"/>
      <c r="N1164" s="2"/>
      <c r="O1164" s="2"/>
      <c r="P1164" s="2"/>
      <c r="Q1164" s="2"/>
    </row>
    <row r="1165" spans="1:17" x14ac:dyDescent="0.2">
      <c r="A1165" s="2" t="s">
        <v>4185</v>
      </c>
      <c r="B1165" s="2" t="s">
        <v>4410</v>
      </c>
      <c r="C1165" s="2" t="s">
        <v>7704</v>
      </c>
      <c r="D1165" s="2" t="s">
        <v>6514</v>
      </c>
      <c r="E1165" s="2" t="s">
        <v>10303</v>
      </c>
      <c r="F1165" s="2" t="s">
        <v>10304</v>
      </c>
      <c r="G1165" s="2" t="s">
        <v>5022</v>
      </c>
      <c r="H1165" s="2" t="s">
        <v>5023</v>
      </c>
      <c r="I1165" s="2" t="s">
        <v>10305</v>
      </c>
      <c r="J1165" s="2"/>
      <c r="K1165" s="2"/>
      <c r="L1165" s="2"/>
      <c r="M1165" s="2" t="s">
        <v>10306</v>
      </c>
      <c r="N1165" s="2"/>
      <c r="O1165" s="2"/>
      <c r="P1165" s="2"/>
      <c r="Q1165" s="2"/>
    </row>
    <row r="1166" spans="1:17" x14ac:dyDescent="0.2">
      <c r="A1166" s="2" t="s">
        <v>3244</v>
      </c>
      <c r="B1166" s="2" t="s">
        <v>10307</v>
      </c>
      <c r="C1166" s="2" t="s">
        <v>6779</v>
      </c>
      <c r="D1166" s="2" t="s">
        <v>8685</v>
      </c>
      <c r="E1166" s="2" t="s">
        <v>10308</v>
      </c>
      <c r="F1166" s="2" t="s">
        <v>10309</v>
      </c>
      <c r="G1166" s="2" t="s">
        <v>5022</v>
      </c>
      <c r="H1166" s="2" t="s">
        <v>5023</v>
      </c>
      <c r="I1166" s="2" t="s">
        <v>10310</v>
      </c>
      <c r="J1166" s="2"/>
      <c r="K1166" s="2"/>
      <c r="L1166" s="2"/>
      <c r="M1166" s="2" t="s">
        <v>10311</v>
      </c>
      <c r="N1166" s="2"/>
      <c r="O1166" s="2"/>
      <c r="P1166" s="2"/>
      <c r="Q1166" s="2"/>
    </row>
    <row r="1167" spans="1:17" x14ac:dyDescent="0.2">
      <c r="A1167" s="2" t="s">
        <v>2543</v>
      </c>
      <c r="B1167" s="2" t="s">
        <v>10312</v>
      </c>
      <c r="C1167" s="2" t="s">
        <v>6820</v>
      </c>
      <c r="D1167" s="2" t="s">
        <v>5159</v>
      </c>
      <c r="E1167" s="2" t="s">
        <v>10313</v>
      </c>
      <c r="F1167" s="2" t="s">
        <v>5754</v>
      </c>
      <c r="G1167" s="2" t="s">
        <v>5022</v>
      </c>
      <c r="H1167" s="2" t="s">
        <v>5023</v>
      </c>
      <c r="I1167" s="2"/>
      <c r="J1167" s="2"/>
      <c r="K1167" s="2" t="s">
        <v>10314</v>
      </c>
      <c r="L1167" s="2"/>
      <c r="M1167" s="2" t="s">
        <v>10315</v>
      </c>
      <c r="N1167" s="2"/>
      <c r="O1167" s="2"/>
      <c r="P1167" s="2"/>
      <c r="Q1167" s="2"/>
    </row>
    <row r="1168" spans="1:17" x14ac:dyDescent="0.2">
      <c r="A1168" s="2" t="s">
        <v>3968</v>
      </c>
      <c r="B1168" s="2" t="s">
        <v>9555</v>
      </c>
      <c r="C1168" s="2" t="s">
        <v>2183</v>
      </c>
      <c r="D1168" s="2" t="s">
        <v>5171</v>
      </c>
      <c r="E1168" s="2" t="s">
        <v>7101</v>
      </c>
      <c r="F1168" s="2" t="s">
        <v>10316</v>
      </c>
      <c r="G1168" s="2" t="s">
        <v>5022</v>
      </c>
      <c r="H1168" s="2" t="s">
        <v>5023</v>
      </c>
      <c r="I1168" s="2" t="s">
        <v>10317</v>
      </c>
      <c r="J1168" s="2"/>
      <c r="K1168" s="2"/>
      <c r="L1168" s="2"/>
      <c r="M1168" s="2" t="s">
        <v>10318</v>
      </c>
      <c r="N1168" s="2"/>
      <c r="O1168" s="2"/>
      <c r="P1168" s="2"/>
      <c r="Q1168" s="2"/>
    </row>
    <row r="1169" spans="1:17" x14ac:dyDescent="0.2">
      <c r="A1169" s="2" t="s">
        <v>3293</v>
      </c>
      <c r="B1169" s="2" t="s">
        <v>10319</v>
      </c>
      <c r="C1169" s="2" t="s">
        <v>10320</v>
      </c>
      <c r="D1169" s="2" t="s">
        <v>6357</v>
      </c>
      <c r="E1169" s="2" t="s">
        <v>10321</v>
      </c>
      <c r="F1169" s="2" t="s">
        <v>10322</v>
      </c>
      <c r="G1169" s="2" t="s">
        <v>5022</v>
      </c>
      <c r="H1169" s="2" t="s">
        <v>5023</v>
      </c>
      <c r="I1169" s="2" t="s">
        <v>10323</v>
      </c>
      <c r="J1169" s="2"/>
      <c r="K1169" s="2"/>
      <c r="L1169" s="2"/>
      <c r="M1169" s="2" t="s">
        <v>10324</v>
      </c>
      <c r="N1169" s="2"/>
      <c r="O1169" s="2"/>
      <c r="P1169" s="2"/>
      <c r="Q1169" s="2"/>
    </row>
    <row r="1170" spans="1:17" x14ac:dyDescent="0.2">
      <c r="A1170" s="2" t="s">
        <v>1736</v>
      </c>
      <c r="B1170" s="2" t="s">
        <v>5368</v>
      </c>
      <c r="C1170" s="2" t="s">
        <v>10325</v>
      </c>
      <c r="D1170" s="2" t="s">
        <v>6288</v>
      </c>
      <c r="E1170" s="2" t="s">
        <v>10326</v>
      </c>
      <c r="F1170" s="2" t="s">
        <v>8098</v>
      </c>
      <c r="G1170" s="2" t="s">
        <v>5022</v>
      </c>
      <c r="H1170" s="2" t="s">
        <v>5023</v>
      </c>
      <c r="I1170" s="2" t="s">
        <v>10327</v>
      </c>
      <c r="J1170" s="2"/>
      <c r="K1170" s="2"/>
      <c r="L1170" s="2"/>
      <c r="M1170" s="2"/>
      <c r="N1170" s="2"/>
      <c r="O1170" s="2"/>
      <c r="P1170" s="2"/>
      <c r="Q1170" s="2"/>
    </row>
    <row r="1171" spans="1:17" x14ac:dyDescent="0.2">
      <c r="A1171" s="2" t="s">
        <v>4831</v>
      </c>
      <c r="B1171" s="2" t="s">
        <v>2800</v>
      </c>
      <c r="C1171" s="2" t="s">
        <v>5299</v>
      </c>
      <c r="D1171" s="2" t="s">
        <v>5323</v>
      </c>
      <c r="E1171" s="2" t="s">
        <v>10328</v>
      </c>
      <c r="F1171" s="2" t="s">
        <v>10329</v>
      </c>
      <c r="G1171" s="2" t="s">
        <v>5022</v>
      </c>
      <c r="H1171" s="2" t="s">
        <v>5023</v>
      </c>
      <c r="I1171" s="2" t="s">
        <v>10330</v>
      </c>
      <c r="J1171" s="2"/>
      <c r="K1171" s="2"/>
      <c r="L1171" s="2"/>
      <c r="M1171" s="2"/>
      <c r="N1171" s="2"/>
      <c r="O1171" s="2"/>
      <c r="P1171" s="2"/>
      <c r="Q1171" s="2"/>
    </row>
    <row r="1172" spans="1:17" x14ac:dyDescent="0.2">
      <c r="A1172" s="2" t="s">
        <v>4113</v>
      </c>
      <c r="B1172" s="2" t="s">
        <v>10331</v>
      </c>
      <c r="C1172" s="2" t="s">
        <v>5119</v>
      </c>
      <c r="D1172" s="2" t="s">
        <v>5311</v>
      </c>
      <c r="E1172" s="2" t="s">
        <v>10332</v>
      </c>
      <c r="F1172" s="2" t="s">
        <v>8944</v>
      </c>
      <c r="G1172" s="2" t="s">
        <v>5022</v>
      </c>
      <c r="H1172" s="2" t="s">
        <v>10333</v>
      </c>
      <c r="I1172" s="2" t="s">
        <v>10334</v>
      </c>
      <c r="J1172" s="2"/>
      <c r="K1172" s="2"/>
      <c r="L1172" s="2"/>
      <c r="M1172" s="2" t="s">
        <v>10335</v>
      </c>
      <c r="N1172" s="2"/>
      <c r="O1172" s="2"/>
      <c r="P1172" s="2"/>
      <c r="Q1172" s="2"/>
    </row>
    <row r="1173" spans="1:17" x14ac:dyDescent="0.2">
      <c r="A1173" s="2" t="s">
        <v>2011</v>
      </c>
      <c r="B1173" s="2" t="s">
        <v>9579</v>
      </c>
      <c r="C1173" s="2" t="s">
        <v>7815</v>
      </c>
      <c r="D1173" s="2" t="s">
        <v>5158</v>
      </c>
      <c r="E1173" s="2" t="s">
        <v>5594</v>
      </c>
      <c r="F1173" s="2" t="s">
        <v>10336</v>
      </c>
      <c r="G1173" s="2" t="s">
        <v>5022</v>
      </c>
      <c r="H1173" s="2" t="s">
        <v>5023</v>
      </c>
      <c r="I1173" s="2"/>
      <c r="J1173" s="2"/>
      <c r="K1173" s="2" t="s">
        <v>10337</v>
      </c>
      <c r="L1173" s="2"/>
      <c r="M1173" s="2"/>
      <c r="N1173" s="2"/>
      <c r="O1173" s="2"/>
      <c r="P1173" s="2"/>
      <c r="Q1173" s="2"/>
    </row>
    <row r="1174" spans="1:17" x14ac:dyDescent="0.2">
      <c r="A1174" s="2" t="s">
        <v>2637</v>
      </c>
      <c r="B1174" s="2" t="s">
        <v>10338</v>
      </c>
      <c r="C1174" s="2" t="s">
        <v>8146</v>
      </c>
      <c r="D1174" s="2" t="s">
        <v>10339</v>
      </c>
      <c r="E1174" s="2" t="s">
        <v>8111</v>
      </c>
      <c r="F1174" s="2" t="s">
        <v>10340</v>
      </c>
      <c r="G1174" s="2" t="s">
        <v>5022</v>
      </c>
      <c r="H1174" s="2" t="s">
        <v>5023</v>
      </c>
      <c r="I1174" s="2" t="s">
        <v>10341</v>
      </c>
      <c r="J1174" s="2"/>
      <c r="K1174" s="2"/>
      <c r="L1174" s="2"/>
      <c r="M1174" s="2"/>
      <c r="N1174" s="2"/>
      <c r="O1174" s="2"/>
      <c r="P1174" s="2"/>
      <c r="Q1174" s="2"/>
    </row>
    <row r="1175" spans="1:17" x14ac:dyDescent="0.2">
      <c r="A1175" s="2" t="s">
        <v>4921</v>
      </c>
      <c r="B1175" s="2" t="s">
        <v>10342</v>
      </c>
      <c r="C1175" s="2" t="s">
        <v>5911</v>
      </c>
      <c r="D1175" s="2" t="s">
        <v>5911</v>
      </c>
      <c r="E1175" s="2" t="s">
        <v>9299</v>
      </c>
      <c r="F1175" s="2" t="s">
        <v>10343</v>
      </c>
      <c r="G1175" s="2" t="s">
        <v>5022</v>
      </c>
      <c r="H1175" s="2" t="s">
        <v>5023</v>
      </c>
      <c r="I1175" s="2" t="s">
        <v>10344</v>
      </c>
      <c r="J1175" s="2"/>
      <c r="K1175" s="2"/>
      <c r="L1175" s="2"/>
      <c r="M1175" s="2" t="s">
        <v>10345</v>
      </c>
      <c r="N1175" s="2"/>
      <c r="O1175" s="2"/>
      <c r="P1175" s="2"/>
      <c r="Q1175" s="2"/>
    </row>
    <row r="1176" spans="1:17" x14ac:dyDescent="0.2">
      <c r="A1176" s="2" t="s">
        <v>672</v>
      </c>
      <c r="B1176" s="2" t="s">
        <v>10346</v>
      </c>
      <c r="C1176" s="2" t="s">
        <v>10347</v>
      </c>
      <c r="D1176" s="2" t="s">
        <v>5140</v>
      </c>
      <c r="E1176" s="2" t="s">
        <v>7729</v>
      </c>
      <c r="F1176" s="2" t="s">
        <v>10316</v>
      </c>
      <c r="G1176" s="2" t="s">
        <v>5022</v>
      </c>
      <c r="H1176" s="2" t="s">
        <v>5023</v>
      </c>
      <c r="I1176" s="2" t="s">
        <v>10348</v>
      </c>
      <c r="J1176" s="2"/>
      <c r="K1176" s="2"/>
      <c r="L1176" s="2"/>
      <c r="M1176" s="2" t="s">
        <v>10349</v>
      </c>
      <c r="N1176" s="2"/>
      <c r="O1176" s="2"/>
      <c r="P1176" s="2"/>
      <c r="Q1176" s="2"/>
    </row>
    <row r="1177" spans="1:17" x14ac:dyDescent="0.2">
      <c r="A1177" s="2" t="s">
        <v>3568</v>
      </c>
      <c r="B1177" s="2" t="s">
        <v>9197</v>
      </c>
      <c r="C1177" s="2" t="s">
        <v>9723</v>
      </c>
      <c r="D1177" s="2" t="s">
        <v>5329</v>
      </c>
      <c r="E1177" s="2" t="s">
        <v>10350</v>
      </c>
      <c r="F1177" s="2" t="s">
        <v>10351</v>
      </c>
      <c r="G1177" s="2" t="s">
        <v>5022</v>
      </c>
      <c r="H1177" s="2" t="s">
        <v>5023</v>
      </c>
      <c r="I1177" s="2" t="s">
        <v>10352</v>
      </c>
      <c r="J1177" s="2"/>
      <c r="K1177" s="2"/>
      <c r="L1177" s="2"/>
      <c r="M1177" s="2" t="s">
        <v>10353</v>
      </c>
      <c r="N1177" s="2"/>
      <c r="O1177" s="2"/>
      <c r="P1177" s="2"/>
      <c r="Q1177" s="2"/>
    </row>
    <row r="1178" spans="1:17" x14ac:dyDescent="0.2">
      <c r="A1178" s="2" t="s">
        <v>1807</v>
      </c>
      <c r="B1178" s="2" t="s">
        <v>9597</v>
      </c>
      <c r="C1178" s="2" t="s">
        <v>10354</v>
      </c>
      <c r="D1178" s="2" t="s">
        <v>10355</v>
      </c>
      <c r="E1178" s="2" t="s">
        <v>10356</v>
      </c>
      <c r="F1178" s="2" t="s">
        <v>10357</v>
      </c>
      <c r="G1178" s="2" t="s">
        <v>5022</v>
      </c>
      <c r="H1178" s="2" t="s">
        <v>5023</v>
      </c>
      <c r="I1178" s="2"/>
      <c r="J1178" s="2"/>
      <c r="K1178" s="2" t="s">
        <v>10358</v>
      </c>
      <c r="L1178" s="2"/>
      <c r="M1178" s="2"/>
      <c r="N1178" s="2"/>
      <c r="O1178" s="2"/>
      <c r="P1178" s="2"/>
      <c r="Q1178" s="2"/>
    </row>
    <row r="1179" spans="1:17" x14ac:dyDescent="0.2">
      <c r="A1179" s="2" t="s">
        <v>1908</v>
      </c>
      <c r="B1179" s="2" t="s">
        <v>10359</v>
      </c>
      <c r="C1179" s="2" t="s">
        <v>10360</v>
      </c>
      <c r="D1179" s="2" t="s">
        <v>5224</v>
      </c>
      <c r="E1179" s="2" t="s">
        <v>10361</v>
      </c>
      <c r="F1179" s="2" t="s">
        <v>5101</v>
      </c>
      <c r="G1179" s="2" t="s">
        <v>5022</v>
      </c>
      <c r="H1179" s="2" t="s">
        <v>5023</v>
      </c>
      <c r="I1179" s="2" t="s">
        <v>10362</v>
      </c>
      <c r="J1179" s="2"/>
      <c r="K1179" s="2"/>
      <c r="L1179" s="2"/>
      <c r="M1179" s="2" t="s">
        <v>10363</v>
      </c>
      <c r="N1179" s="2"/>
      <c r="O1179" s="2"/>
      <c r="P1179" s="2"/>
      <c r="Q1179" s="2"/>
    </row>
    <row r="1180" spans="1:17" x14ac:dyDescent="0.2">
      <c r="A1180" s="2" t="s">
        <v>10364</v>
      </c>
      <c r="B1180" s="2" t="s">
        <v>6101</v>
      </c>
      <c r="C1180" s="2" t="s">
        <v>5474</v>
      </c>
      <c r="D1180" s="2" t="s">
        <v>5433</v>
      </c>
      <c r="E1180" s="2" t="s">
        <v>10365</v>
      </c>
      <c r="F1180" s="2" t="s">
        <v>10366</v>
      </c>
      <c r="G1180" s="2" t="s">
        <v>5022</v>
      </c>
      <c r="H1180" s="2" t="s">
        <v>5023</v>
      </c>
      <c r="I1180" s="2"/>
      <c r="J1180" s="2"/>
      <c r="K1180" s="2" t="s">
        <v>10367</v>
      </c>
      <c r="L1180" s="2"/>
      <c r="M1180" s="2"/>
      <c r="N1180" s="2"/>
      <c r="O1180" s="2"/>
      <c r="P1180" s="2"/>
      <c r="Q1180" s="2"/>
    </row>
    <row r="1181" spans="1:17" x14ac:dyDescent="0.2">
      <c r="A1181" s="2" t="s">
        <v>367</v>
      </c>
      <c r="B1181" s="2" t="s">
        <v>5939</v>
      </c>
      <c r="C1181" s="2" t="s">
        <v>10368</v>
      </c>
      <c r="D1181" s="2" t="s">
        <v>10369</v>
      </c>
      <c r="E1181" s="2" t="s">
        <v>10370</v>
      </c>
      <c r="F1181" s="2" t="s">
        <v>8209</v>
      </c>
      <c r="G1181" s="2" t="s">
        <v>5022</v>
      </c>
      <c r="H1181" s="2" t="s">
        <v>5023</v>
      </c>
      <c r="I1181" s="2" t="s">
        <v>10371</v>
      </c>
      <c r="J1181" s="2"/>
      <c r="K1181" s="2"/>
      <c r="L1181" s="2"/>
      <c r="M1181" s="2" t="s">
        <v>10372</v>
      </c>
      <c r="N1181" s="2"/>
      <c r="O1181" s="2"/>
      <c r="P1181" s="2"/>
      <c r="Q1181" s="2"/>
    </row>
    <row r="1182" spans="1:17" x14ac:dyDescent="0.2">
      <c r="A1182" s="2" t="s">
        <v>990</v>
      </c>
      <c r="B1182" s="2" t="s">
        <v>6453</v>
      </c>
      <c r="C1182" s="2" t="s">
        <v>10373</v>
      </c>
      <c r="D1182" s="2" t="s">
        <v>5387</v>
      </c>
      <c r="E1182" s="2" t="s">
        <v>10374</v>
      </c>
      <c r="F1182" s="2" t="s">
        <v>7210</v>
      </c>
      <c r="G1182" s="2" t="s">
        <v>5022</v>
      </c>
      <c r="H1182" s="2" t="s">
        <v>5023</v>
      </c>
      <c r="I1182" s="2" t="s">
        <v>10375</v>
      </c>
      <c r="J1182" s="2"/>
      <c r="K1182" s="2"/>
      <c r="L1182" s="2"/>
      <c r="M1182" s="2"/>
      <c r="N1182" s="2"/>
      <c r="O1182" s="2"/>
      <c r="P1182" s="2"/>
      <c r="Q1182" s="2"/>
    </row>
    <row r="1183" spans="1:17" x14ac:dyDescent="0.2">
      <c r="A1183" s="2" t="s">
        <v>3142</v>
      </c>
      <c r="B1183" s="2" t="s">
        <v>5310</v>
      </c>
      <c r="C1183" s="2" t="s">
        <v>7031</v>
      </c>
      <c r="D1183" s="2" t="s">
        <v>7031</v>
      </c>
      <c r="E1183" s="2" t="s">
        <v>10376</v>
      </c>
      <c r="F1183" s="2" t="s">
        <v>6072</v>
      </c>
      <c r="G1183" s="2" t="s">
        <v>5022</v>
      </c>
      <c r="H1183" s="2" t="s">
        <v>5023</v>
      </c>
      <c r="I1183" s="2" t="s">
        <v>10377</v>
      </c>
      <c r="J1183" s="2"/>
      <c r="K1183" s="2"/>
      <c r="L1183" s="2"/>
      <c r="M1183" s="2"/>
      <c r="N1183" s="2"/>
      <c r="O1183" s="2"/>
      <c r="P1183" s="2"/>
      <c r="Q1183" s="2"/>
    </row>
    <row r="1184" spans="1:17" x14ac:dyDescent="0.2">
      <c r="A1184" s="2" t="s">
        <v>4896</v>
      </c>
      <c r="B1184" s="2" t="s">
        <v>3147</v>
      </c>
      <c r="C1184" s="2" t="s">
        <v>6204</v>
      </c>
      <c r="D1184" s="2" t="s">
        <v>5588</v>
      </c>
      <c r="E1184" s="2" t="s">
        <v>10378</v>
      </c>
      <c r="F1184" s="2" t="s">
        <v>10379</v>
      </c>
      <c r="G1184" s="2" t="s">
        <v>5022</v>
      </c>
      <c r="H1184" s="2" t="s">
        <v>5023</v>
      </c>
      <c r="I1184" s="2" t="s">
        <v>10380</v>
      </c>
      <c r="J1184" s="2"/>
      <c r="K1184" s="2"/>
      <c r="L1184" s="2"/>
      <c r="M1184" s="2"/>
      <c r="N1184" s="2"/>
      <c r="O1184" s="2"/>
      <c r="P1184" s="2"/>
      <c r="Q1184" s="2"/>
    </row>
    <row r="1185" spans="1:17" x14ac:dyDescent="0.2">
      <c r="A1185" s="2" t="s">
        <v>2188</v>
      </c>
      <c r="B1185" s="2" t="s">
        <v>2904</v>
      </c>
      <c r="C1185" s="2" t="s">
        <v>5677</v>
      </c>
      <c r="D1185" s="2" t="s">
        <v>5443</v>
      </c>
      <c r="E1185" s="2" t="s">
        <v>10381</v>
      </c>
      <c r="F1185" s="2" t="s">
        <v>7288</v>
      </c>
      <c r="G1185" s="2" t="s">
        <v>5022</v>
      </c>
      <c r="H1185" s="2" t="s">
        <v>5023</v>
      </c>
      <c r="I1185" s="2" t="s">
        <v>10382</v>
      </c>
      <c r="J1185" s="2"/>
      <c r="K1185" s="2"/>
      <c r="L1185" s="2"/>
      <c r="M1185" s="2"/>
      <c r="N1185" s="2"/>
      <c r="O1185" s="2"/>
      <c r="P1185" s="2"/>
      <c r="Q1185" s="2"/>
    </row>
    <row r="1186" spans="1:17" x14ac:dyDescent="0.2">
      <c r="A1186" s="2" t="s">
        <v>3130</v>
      </c>
      <c r="B1186" s="2" t="s">
        <v>9368</v>
      </c>
      <c r="C1186" s="2" t="s">
        <v>5076</v>
      </c>
      <c r="D1186" s="2" t="s">
        <v>5922</v>
      </c>
      <c r="E1186" s="2" t="s">
        <v>10383</v>
      </c>
      <c r="F1186" s="2" t="s">
        <v>10384</v>
      </c>
      <c r="G1186" s="2" t="s">
        <v>5022</v>
      </c>
      <c r="H1186" s="2" t="s">
        <v>5023</v>
      </c>
      <c r="I1186" s="2" t="s">
        <v>10385</v>
      </c>
      <c r="J1186" s="2"/>
      <c r="K1186" s="2"/>
      <c r="L1186" s="2"/>
      <c r="M1186" s="2"/>
      <c r="N1186" s="2"/>
      <c r="O1186" s="2"/>
      <c r="P1186" s="2"/>
      <c r="Q1186" s="2"/>
    </row>
    <row r="1187" spans="1:17" x14ac:dyDescent="0.2">
      <c r="A1187" s="2" t="s">
        <v>4476</v>
      </c>
      <c r="B1187" s="2" t="s">
        <v>6845</v>
      </c>
      <c r="C1187" s="2" t="s">
        <v>6327</v>
      </c>
      <c r="D1187" s="2" t="s">
        <v>10386</v>
      </c>
      <c r="E1187" s="2" t="s">
        <v>10387</v>
      </c>
      <c r="F1187" s="2" t="s">
        <v>10388</v>
      </c>
      <c r="G1187" s="2" t="s">
        <v>5022</v>
      </c>
      <c r="H1187" s="2" t="s">
        <v>5023</v>
      </c>
      <c r="I1187" s="2" t="s">
        <v>10389</v>
      </c>
      <c r="J1187" s="2"/>
      <c r="K1187" s="2"/>
      <c r="L1187" s="2"/>
      <c r="M1187" s="2" t="s">
        <v>10390</v>
      </c>
      <c r="N1187" s="2"/>
      <c r="O1187" s="2"/>
      <c r="P1187" s="2"/>
      <c r="Q1187" s="2"/>
    </row>
    <row r="1188" spans="1:17" x14ac:dyDescent="0.2">
      <c r="A1188" s="2" t="s">
        <v>2688</v>
      </c>
      <c r="B1188" s="2" t="s">
        <v>10391</v>
      </c>
      <c r="C1188" s="2" t="s">
        <v>8165</v>
      </c>
      <c r="D1188" s="2" t="s">
        <v>6484</v>
      </c>
      <c r="E1188" s="2" t="s">
        <v>6486</v>
      </c>
      <c r="F1188" s="2" t="s">
        <v>6487</v>
      </c>
      <c r="G1188" s="2" t="s">
        <v>5022</v>
      </c>
      <c r="H1188" s="2" t="s">
        <v>5023</v>
      </c>
      <c r="I1188" s="2" t="s">
        <v>10392</v>
      </c>
      <c r="J1188" s="2"/>
      <c r="K1188" s="2"/>
      <c r="L1188" s="2"/>
      <c r="M1188" s="2"/>
      <c r="N1188" s="2"/>
      <c r="O1188" s="2"/>
      <c r="P1188" s="2"/>
      <c r="Q1188" s="2"/>
    </row>
    <row r="1189" spans="1:17" x14ac:dyDescent="0.2">
      <c r="A1189" s="2" t="s">
        <v>70</v>
      </c>
      <c r="B1189" s="2" t="s">
        <v>10393</v>
      </c>
      <c r="C1189" s="2" t="s">
        <v>5947</v>
      </c>
      <c r="D1189" s="2" t="s">
        <v>7031</v>
      </c>
      <c r="E1189" s="2" t="s">
        <v>10394</v>
      </c>
      <c r="F1189" s="2" t="s">
        <v>8010</v>
      </c>
      <c r="G1189" s="2" t="s">
        <v>5022</v>
      </c>
      <c r="H1189" s="2" t="s">
        <v>5023</v>
      </c>
      <c r="I1189" s="2" t="s">
        <v>10395</v>
      </c>
      <c r="J1189" s="2"/>
      <c r="K1189" s="2"/>
      <c r="L1189" s="2"/>
      <c r="M1189" s="2"/>
      <c r="N1189" s="2"/>
      <c r="O1189" s="2"/>
      <c r="P1189" s="2"/>
      <c r="Q1189" s="2"/>
    </row>
    <row r="1190" spans="1:17" x14ac:dyDescent="0.2">
      <c r="A1190" s="2" t="s">
        <v>4533</v>
      </c>
      <c r="B1190" s="2" t="s">
        <v>1984</v>
      </c>
      <c r="C1190" s="2" t="s">
        <v>5392</v>
      </c>
      <c r="D1190" s="2" t="s">
        <v>5119</v>
      </c>
      <c r="E1190" s="2" t="s">
        <v>10396</v>
      </c>
      <c r="F1190" s="2" t="s">
        <v>10397</v>
      </c>
      <c r="G1190" s="2" t="s">
        <v>5022</v>
      </c>
      <c r="H1190" s="2" t="s">
        <v>5023</v>
      </c>
      <c r="I1190" s="2" t="s">
        <v>10398</v>
      </c>
      <c r="J1190" s="2"/>
      <c r="K1190" s="2"/>
      <c r="L1190" s="2"/>
      <c r="M1190" s="2" t="s">
        <v>10399</v>
      </c>
      <c r="N1190" s="2"/>
      <c r="O1190" s="2"/>
      <c r="P1190" s="2"/>
      <c r="Q1190" s="2"/>
    </row>
    <row r="1191" spans="1:17" x14ac:dyDescent="0.2">
      <c r="A1191" s="2" t="s">
        <v>2495</v>
      </c>
      <c r="B1191" s="2" t="s">
        <v>10400</v>
      </c>
      <c r="C1191" s="2" t="s">
        <v>5473</v>
      </c>
      <c r="D1191" s="2" t="s">
        <v>5139</v>
      </c>
      <c r="E1191" s="2" t="s">
        <v>10401</v>
      </c>
      <c r="F1191" s="2" t="s">
        <v>10402</v>
      </c>
      <c r="G1191" s="2" t="s">
        <v>5022</v>
      </c>
      <c r="H1191" s="2" t="s">
        <v>5023</v>
      </c>
      <c r="I1191" s="2"/>
      <c r="J1191" s="2"/>
      <c r="K1191" s="2" t="s">
        <v>10403</v>
      </c>
      <c r="L1191" s="2" t="s">
        <v>10404</v>
      </c>
      <c r="M1191" s="2"/>
      <c r="N1191" s="2"/>
      <c r="O1191" s="2"/>
      <c r="P1191" s="2"/>
      <c r="Q1191" s="2"/>
    </row>
    <row r="1192" spans="1:17" x14ac:dyDescent="0.2">
      <c r="A1192" s="2" t="s">
        <v>1031</v>
      </c>
      <c r="B1192" s="2" t="s">
        <v>8921</v>
      </c>
      <c r="C1192" s="2" t="s">
        <v>10405</v>
      </c>
      <c r="D1192" s="2" t="s">
        <v>10406</v>
      </c>
      <c r="E1192" s="2" t="s">
        <v>10407</v>
      </c>
      <c r="F1192" s="2" t="s">
        <v>8530</v>
      </c>
      <c r="G1192" s="2" t="s">
        <v>5022</v>
      </c>
      <c r="H1192" s="2" t="s">
        <v>5023</v>
      </c>
      <c r="I1192" s="2" t="s">
        <v>10408</v>
      </c>
      <c r="J1192" s="2"/>
      <c r="K1192" s="2"/>
      <c r="L1192" s="2"/>
      <c r="M1192" s="2"/>
      <c r="N1192" s="2"/>
      <c r="O1192" s="2"/>
      <c r="P1192" s="2"/>
      <c r="Q1192" s="2"/>
    </row>
    <row r="1193" spans="1:17" x14ac:dyDescent="0.2">
      <c r="A1193" s="2" t="s">
        <v>1347</v>
      </c>
      <c r="B1193" s="2" t="s">
        <v>8241</v>
      </c>
      <c r="C1193" s="2" t="s">
        <v>6409</v>
      </c>
      <c r="D1193" s="2" t="s">
        <v>10347</v>
      </c>
      <c r="E1193" s="2" t="s">
        <v>10409</v>
      </c>
      <c r="F1193" s="2" t="s">
        <v>10410</v>
      </c>
      <c r="G1193" s="2" t="s">
        <v>5022</v>
      </c>
      <c r="H1193" s="2" t="s">
        <v>5023</v>
      </c>
      <c r="I1193" s="2" t="s">
        <v>10411</v>
      </c>
      <c r="J1193" s="2"/>
      <c r="K1193" s="2"/>
      <c r="L1193" s="2"/>
      <c r="M1193" s="2"/>
      <c r="N1193" s="2"/>
      <c r="O1193" s="2"/>
      <c r="P1193" s="2"/>
      <c r="Q1193" s="2"/>
    </row>
    <row r="1194" spans="1:17" x14ac:dyDescent="0.2">
      <c r="A1194" s="2" t="s">
        <v>1068</v>
      </c>
      <c r="B1194" s="2" t="s">
        <v>10412</v>
      </c>
      <c r="C1194" s="2" t="s">
        <v>8772</v>
      </c>
      <c r="D1194" s="2" t="s">
        <v>5018</v>
      </c>
      <c r="E1194" s="2" t="s">
        <v>5403</v>
      </c>
      <c r="F1194" s="2" t="s">
        <v>9526</v>
      </c>
      <c r="G1194" s="2" t="s">
        <v>5022</v>
      </c>
      <c r="H1194" s="2" t="s">
        <v>5023</v>
      </c>
      <c r="I1194" s="2" t="s">
        <v>10413</v>
      </c>
      <c r="J1194" s="2"/>
      <c r="K1194" s="2"/>
      <c r="L1194" s="2"/>
      <c r="M1194" s="2"/>
      <c r="N1194" s="2"/>
      <c r="O1194" s="2"/>
      <c r="P1194" s="2"/>
      <c r="Q1194" s="2"/>
    </row>
    <row r="1195" spans="1:17" x14ac:dyDescent="0.2">
      <c r="A1195" s="2" t="s">
        <v>1158</v>
      </c>
      <c r="B1195" s="2" t="s">
        <v>10414</v>
      </c>
      <c r="C1195" s="2" t="s">
        <v>10415</v>
      </c>
      <c r="D1195" s="2" t="s">
        <v>10416</v>
      </c>
      <c r="E1195" s="2" t="s">
        <v>10417</v>
      </c>
      <c r="F1195" s="2" t="s">
        <v>10418</v>
      </c>
      <c r="G1195" s="2" t="s">
        <v>5022</v>
      </c>
      <c r="H1195" s="2" t="s">
        <v>5023</v>
      </c>
      <c r="I1195" s="2" t="s">
        <v>10419</v>
      </c>
      <c r="J1195" s="2"/>
      <c r="K1195" s="2"/>
      <c r="L1195" s="2"/>
      <c r="M1195" s="2"/>
      <c r="N1195" s="2"/>
      <c r="O1195" s="2"/>
      <c r="P1195" s="2"/>
      <c r="Q1195" s="2"/>
    </row>
    <row r="1196" spans="1:17" x14ac:dyDescent="0.2">
      <c r="A1196" s="2" t="s">
        <v>4755</v>
      </c>
      <c r="B1196" s="2" t="s">
        <v>9368</v>
      </c>
      <c r="C1196" s="2" t="s">
        <v>10420</v>
      </c>
      <c r="D1196" s="2" t="s">
        <v>5076</v>
      </c>
      <c r="E1196" s="2" t="s">
        <v>8111</v>
      </c>
      <c r="F1196" s="2" t="s">
        <v>6973</v>
      </c>
      <c r="G1196" s="2" t="s">
        <v>5022</v>
      </c>
      <c r="H1196" s="2" t="s">
        <v>5023</v>
      </c>
      <c r="I1196" s="2" t="s">
        <v>10421</v>
      </c>
      <c r="J1196" s="2"/>
      <c r="K1196" s="2"/>
      <c r="L1196" s="2"/>
      <c r="M1196" s="2"/>
      <c r="N1196" s="2"/>
      <c r="O1196" s="2"/>
      <c r="P1196" s="2"/>
      <c r="Q1196" s="2"/>
    </row>
    <row r="1197" spans="1:17" x14ac:dyDescent="0.2">
      <c r="A1197" s="2" t="s">
        <v>3523</v>
      </c>
      <c r="B1197" s="2" t="s">
        <v>10422</v>
      </c>
      <c r="C1197" s="2" t="s">
        <v>5051</v>
      </c>
      <c r="D1197" s="2" t="s">
        <v>10423</v>
      </c>
      <c r="E1197" s="2" t="s">
        <v>10424</v>
      </c>
      <c r="F1197" s="2" t="s">
        <v>6715</v>
      </c>
      <c r="G1197" s="2" t="s">
        <v>5022</v>
      </c>
      <c r="H1197" s="2" t="s">
        <v>5023</v>
      </c>
      <c r="I1197" s="2" t="s">
        <v>10425</v>
      </c>
      <c r="J1197" s="2"/>
      <c r="K1197" s="2"/>
      <c r="L1197" s="2"/>
      <c r="M1197" s="2"/>
      <c r="N1197" s="2"/>
      <c r="O1197" s="2"/>
      <c r="P1197" s="2"/>
      <c r="Q1197" s="2"/>
    </row>
    <row r="1198" spans="1:17" x14ac:dyDescent="0.2">
      <c r="A1198" s="2" t="s">
        <v>3431</v>
      </c>
      <c r="B1198" s="2" t="s">
        <v>10426</v>
      </c>
      <c r="C1198" s="2" t="s">
        <v>8190</v>
      </c>
      <c r="D1198" s="2" t="s">
        <v>5877</v>
      </c>
      <c r="E1198" s="2" t="s">
        <v>10427</v>
      </c>
      <c r="F1198" s="2" t="s">
        <v>10428</v>
      </c>
      <c r="G1198" s="2" t="s">
        <v>5022</v>
      </c>
      <c r="H1198" s="2" t="s">
        <v>5023</v>
      </c>
      <c r="I1198" s="2" t="s">
        <v>10429</v>
      </c>
      <c r="J1198" s="2"/>
      <c r="K1198" s="2"/>
      <c r="L1198" s="2"/>
      <c r="M1198" s="2" t="s">
        <v>10430</v>
      </c>
      <c r="N1198" s="2"/>
      <c r="O1198" s="2"/>
      <c r="P1198" s="2"/>
      <c r="Q1198" s="2"/>
    </row>
    <row r="1199" spans="1:17" x14ac:dyDescent="0.2">
      <c r="A1199" s="2" t="s">
        <v>684</v>
      </c>
      <c r="B1199" s="2" t="s">
        <v>10431</v>
      </c>
      <c r="C1199" s="2" t="s">
        <v>5133</v>
      </c>
      <c r="D1199" s="2" t="s">
        <v>10432</v>
      </c>
      <c r="E1199" s="2" t="s">
        <v>6627</v>
      </c>
      <c r="F1199" s="2" t="s">
        <v>6000</v>
      </c>
      <c r="G1199" s="2" t="s">
        <v>5022</v>
      </c>
      <c r="H1199" s="2" t="s">
        <v>5023</v>
      </c>
      <c r="I1199" s="2" t="s">
        <v>10433</v>
      </c>
      <c r="J1199" s="2"/>
      <c r="K1199" s="2"/>
      <c r="L1199" s="2"/>
      <c r="M1199" s="2" t="s">
        <v>10434</v>
      </c>
      <c r="N1199" s="2"/>
      <c r="O1199" s="2"/>
      <c r="P1199" s="2"/>
      <c r="Q1199" s="2"/>
    </row>
    <row r="1200" spans="1:17" x14ac:dyDescent="0.2">
      <c r="A1200" s="2" t="s">
        <v>554</v>
      </c>
      <c r="B1200" s="2" t="s">
        <v>10435</v>
      </c>
      <c r="C1200" s="2" t="s">
        <v>10436</v>
      </c>
      <c r="D1200" s="2" t="s">
        <v>5292</v>
      </c>
      <c r="E1200" s="2" t="s">
        <v>10437</v>
      </c>
      <c r="F1200" s="2" t="s">
        <v>6000</v>
      </c>
      <c r="G1200" s="2" t="s">
        <v>5022</v>
      </c>
      <c r="H1200" s="2" t="s">
        <v>5023</v>
      </c>
      <c r="I1200" s="2" t="s">
        <v>10438</v>
      </c>
      <c r="J1200" s="2"/>
      <c r="K1200" s="2"/>
      <c r="L1200" s="2"/>
      <c r="M1200" s="2" t="s">
        <v>10439</v>
      </c>
      <c r="N1200" s="2"/>
      <c r="O1200" s="2"/>
      <c r="P1200" s="2"/>
      <c r="Q1200" s="2"/>
    </row>
    <row r="1201" spans="1:17" x14ac:dyDescent="0.2">
      <c r="A1201" s="2" t="s">
        <v>2352</v>
      </c>
      <c r="B1201" s="2" t="s">
        <v>8431</v>
      </c>
      <c r="C1201" s="2" t="s">
        <v>6916</v>
      </c>
      <c r="D1201" s="2" t="s">
        <v>10440</v>
      </c>
      <c r="E1201" s="2" t="s">
        <v>10441</v>
      </c>
      <c r="F1201" s="2" t="s">
        <v>10442</v>
      </c>
      <c r="G1201" s="2" t="s">
        <v>5022</v>
      </c>
      <c r="H1201" s="2" t="s">
        <v>5023</v>
      </c>
      <c r="I1201" s="2" t="s">
        <v>10443</v>
      </c>
      <c r="J1201" s="2"/>
      <c r="K1201" s="2"/>
      <c r="L1201" s="2"/>
      <c r="M1201" s="2" t="s">
        <v>10444</v>
      </c>
      <c r="N1201" s="2"/>
      <c r="O1201" s="2"/>
      <c r="P1201" s="2"/>
      <c r="Q1201" s="2"/>
    </row>
    <row r="1202" spans="1:17" x14ac:dyDescent="0.2">
      <c r="A1202" s="2" t="s">
        <v>4504</v>
      </c>
      <c r="B1202" s="2" t="s">
        <v>10445</v>
      </c>
      <c r="C1202" s="2" t="s">
        <v>10071</v>
      </c>
      <c r="D1202" s="2" t="s">
        <v>10446</v>
      </c>
      <c r="E1202" s="2" t="s">
        <v>10447</v>
      </c>
      <c r="F1202" s="2" t="s">
        <v>10448</v>
      </c>
      <c r="G1202" s="2" t="s">
        <v>5022</v>
      </c>
      <c r="H1202" s="2" t="s">
        <v>5023</v>
      </c>
      <c r="I1202" s="2"/>
      <c r="J1202" s="2"/>
      <c r="K1202" s="2" t="s">
        <v>10449</v>
      </c>
      <c r="L1202" s="2"/>
      <c r="M1202" s="2" t="s">
        <v>10450</v>
      </c>
      <c r="N1202" s="2"/>
      <c r="O1202" s="2"/>
      <c r="P1202" s="2"/>
      <c r="Q1202" s="2"/>
    </row>
    <row r="1203" spans="1:17" x14ac:dyDescent="0.2">
      <c r="A1203" s="2" t="s">
        <v>4375</v>
      </c>
      <c r="B1203" s="2" t="s">
        <v>10451</v>
      </c>
      <c r="C1203" s="2" t="s">
        <v>10452</v>
      </c>
      <c r="D1203" s="2" t="s">
        <v>6539</v>
      </c>
      <c r="E1203" s="2" t="s">
        <v>10453</v>
      </c>
      <c r="F1203" s="2" t="s">
        <v>10087</v>
      </c>
      <c r="G1203" s="2" t="s">
        <v>5022</v>
      </c>
      <c r="H1203" s="2" t="s">
        <v>5023</v>
      </c>
      <c r="I1203" s="2" t="s">
        <v>10454</v>
      </c>
      <c r="J1203" s="2"/>
      <c r="K1203" s="2"/>
      <c r="L1203" s="2"/>
      <c r="M1203" s="2"/>
      <c r="N1203" s="2"/>
      <c r="O1203" s="2"/>
      <c r="P1203" s="2"/>
      <c r="Q1203" s="2"/>
    </row>
    <row r="1204" spans="1:17" x14ac:dyDescent="0.2">
      <c r="A1204" s="2" t="s">
        <v>4868</v>
      </c>
      <c r="B1204" s="2" t="s">
        <v>7758</v>
      </c>
      <c r="C1204" s="2" t="s">
        <v>5076</v>
      </c>
      <c r="D1204" s="2" t="s">
        <v>10020</v>
      </c>
      <c r="E1204" s="2" t="s">
        <v>5213</v>
      </c>
      <c r="F1204" s="2" t="s">
        <v>10455</v>
      </c>
      <c r="G1204" s="2" t="s">
        <v>5022</v>
      </c>
      <c r="H1204" s="2" t="s">
        <v>5023</v>
      </c>
      <c r="I1204" s="2" t="s">
        <v>10456</v>
      </c>
      <c r="J1204" s="2"/>
      <c r="K1204" s="2"/>
      <c r="L1204" s="2"/>
      <c r="M1204" s="2" t="s">
        <v>10457</v>
      </c>
      <c r="N1204" s="2"/>
      <c r="O1204" s="2"/>
      <c r="P1204" s="2"/>
      <c r="Q1204" s="2"/>
    </row>
    <row r="1205" spans="1:17" x14ac:dyDescent="0.2">
      <c r="A1205" s="2" t="s">
        <v>3586</v>
      </c>
      <c r="B1205" s="2" t="s">
        <v>10458</v>
      </c>
      <c r="C1205" s="2" t="s">
        <v>10459</v>
      </c>
      <c r="D1205" s="2" t="s">
        <v>5229</v>
      </c>
      <c r="E1205" s="2" t="s">
        <v>10460</v>
      </c>
      <c r="F1205" s="2" t="s">
        <v>10461</v>
      </c>
      <c r="G1205" s="2" t="s">
        <v>5022</v>
      </c>
      <c r="H1205" s="2" t="s">
        <v>5023</v>
      </c>
      <c r="I1205" s="2" t="s">
        <v>10462</v>
      </c>
      <c r="J1205" s="2"/>
      <c r="K1205" s="2"/>
      <c r="L1205" s="2"/>
      <c r="M1205" s="2" t="s">
        <v>10463</v>
      </c>
      <c r="N1205" s="2"/>
      <c r="O1205" s="2"/>
      <c r="P1205" s="2"/>
      <c r="Q1205" s="2"/>
    </row>
    <row r="1206" spans="1:17" x14ac:dyDescent="0.2">
      <c r="A1206" s="2" t="s">
        <v>2752</v>
      </c>
      <c r="B1206" s="2" t="s">
        <v>10262</v>
      </c>
      <c r="C1206" s="2" t="s">
        <v>10464</v>
      </c>
      <c r="D1206" s="2" t="s">
        <v>6824</v>
      </c>
      <c r="E1206" s="2" t="s">
        <v>10465</v>
      </c>
      <c r="F1206" s="2" t="s">
        <v>8405</v>
      </c>
      <c r="G1206" s="2" t="s">
        <v>5022</v>
      </c>
      <c r="H1206" s="2" t="s">
        <v>5023</v>
      </c>
      <c r="I1206" s="2"/>
      <c r="J1206" s="2"/>
      <c r="K1206" s="2" t="s">
        <v>7044</v>
      </c>
      <c r="L1206" s="2"/>
      <c r="M1206" s="2"/>
      <c r="N1206" s="2"/>
      <c r="O1206" s="2"/>
      <c r="P1206" s="2"/>
      <c r="Q1206" s="2"/>
    </row>
    <row r="1207" spans="1:17" x14ac:dyDescent="0.2">
      <c r="A1207" s="2" t="s">
        <v>3039</v>
      </c>
      <c r="B1207" s="2" t="s">
        <v>1802</v>
      </c>
      <c r="C1207" s="2" t="s">
        <v>7000</v>
      </c>
      <c r="D1207" s="2" t="s">
        <v>6820</v>
      </c>
      <c r="E1207" s="2" t="s">
        <v>10466</v>
      </c>
      <c r="F1207" s="2" t="s">
        <v>6968</v>
      </c>
      <c r="G1207" s="2" t="s">
        <v>5022</v>
      </c>
      <c r="H1207" s="2" t="s">
        <v>5023</v>
      </c>
      <c r="I1207" s="2"/>
      <c r="J1207" s="2"/>
      <c r="K1207" s="2" t="s">
        <v>7044</v>
      </c>
      <c r="L1207" s="2"/>
      <c r="M1207" s="2"/>
      <c r="N1207" s="2"/>
      <c r="O1207" s="2"/>
      <c r="P1207" s="2"/>
      <c r="Q1207" s="2"/>
    </row>
    <row r="1208" spans="1:17" x14ac:dyDescent="0.2">
      <c r="A1208" s="2" t="s">
        <v>2699</v>
      </c>
      <c r="B1208" s="2" t="s">
        <v>9850</v>
      </c>
      <c r="C1208" s="2" t="s">
        <v>8712</v>
      </c>
      <c r="D1208" s="2" t="s">
        <v>8772</v>
      </c>
      <c r="E1208" s="2" t="s">
        <v>10467</v>
      </c>
      <c r="F1208" s="2" t="s">
        <v>5486</v>
      </c>
      <c r="G1208" s="2" t="s">
        <v>5022</v>
      </c>
      <c r="H1208" s="2" t="s">
        <v>5023</v>
      </c>
      <c r="I1208" s="2"/>
      <c r="J1208" s="2"/>
      <c r="K1208" s="2" t="s">
        <v>10468</v>
      </c>
      <c r="L1208" s="2"/>
      <c r="M1208" s="2"/>
      <c r="N1208" s="2"/>
      <c r="O1208" s="2"/>
      <c r="P1208" s="2"/>
      <c r="Q1208" s="2"/>
    </row>
    <row r="1209" spans="1:17" x14ac:dyDescent="0.2">
      <c r="A1209" s="2" t="s">
        <v>3815</v>
      </c>
      <c r="B1209" s="2" t="s">
        <v>8774</v>
      </c>
      <c r="C1209" s="2" t="s">
        <v>10469</v>
      </c>
      <c r="D1209" s="2" t="s">
        <v>10470</v>
      </c>
      <c r="E1209" s="2" t="s">
        <v>10471</v>
      </c>
      <c r="F1209" s="2" t="s">
        <v>10472</v>
      </c>
      <c r="G1209" s="2" t="s">
        <v>5022</v>
      </c>
      <c r="H1209" s="2" t="s">
        <v>5023</v>
      </c>
      <c r="I1209" s="2" t="s">
        <v>10473</v>
      </c>
      <c r="J1209" s="2"/>
      <c r="K1209" s="2"/>
      <c r="L1209" s="2"/>
      <c r="M1209" s="2" t="s">
        <v>10474</v>
      </c>
      <c r="N1209" s="2"/>
      <c r="O1209" s="2"/>
      <c r="P1209" s="2"/>
      <c r="Q1209" s="2"/>
    </row>
    <row r="1210" spans="1:17" x14ac:dyDescent="0.2">
      <c r="A1210" s="2" t="s">
        <v>4348</v>
      </c>
      <c r="B1210" s="2" t="s">
        <v>10475</v>
      </c>
      <c r="C1210" s="2" t="s">
        <v>5672</v>
      </c>
      <c r="D1210" s="2" t="s">
        <v>5552</v>
      </c>
      <c r="E1210" s="2" t="s">
        <v>10476</v>
      </c>
      <c r="F1210" s="2" t="s">
        <v>10477</v>
      </c>
      <c r="G1210" s="2" t="s">
        <v>5022</v>
      </c>
      <c r="H1210" s="2" t="s">
        <v>5023</v>
      </c>
      <c r="I1210" s="2" t="s">
        <v>10478</v>
      </c>
      <c r="J1210" s="2"/>
      <c r="K1210" s="2"/>
      <c r="L1210" s="2"/>
      <c r="M1210" s="2"/>
      <c r="N1210" s="2"/>
      <c r="O1210" s="2"/>
      <c r="P1210" s="2"/>
      <c r="Q1210" s="2"/>
    </row>
    <row r="1211" spans="1:17" x14ac:dyDescent="0.2">
      <c r="A1211" s="2" t="s">
        <v>3744</v>
      </c>
      <c r="B1211" s="2" t="s">
        <v>8450</v>
      </c>
      <c r="C1211" s="2" t="s">
        <v>10479</v>
      </c>
      <c r="D1211" s="2" t="s">
        <v>7213</v>
      </c>
      <c r="E1211" s="2" t="s">
        <v>10480</v>
      </c>
      <c r="F1211" s="2" t="s">
        <v>10481</v>
      </c>
      <c r="G1211" s="2" t="s">
        <v>5022</v>
      </c>
      <c r="H1211" s="2" t="s">
        <v>5023</v>
      </c>
      <c r="I1211" s="2" t="s">
        <v>10482</v>
      </c>
      <c r="J1211" s="2"/>
      <c r="K1211" s="2"/>
      <c r="L1211" s="2"/>
      <c r="M1211" s="2"/>
      <c r="N1211" s="2"/>
      <c r="O1211" s="2"/>
      <c r="P1211" s="2"/>
      <c r="Q1211" s="2"/>
    </row>
    <row r="1212" spans="1:17" x14ac:dyDescent="0.2">
      <c r="A1212" s="2" t="s">
        <v>4461</v>
      </c>
      <c r="B1212" s="2" t="s">
        <v>10483</v>
      </c>
      <c r="C1212" s="2" t="s">
        <v>10484</v>
      </c>
      <c r="D1212" s="2" t="s">
        <v>10485</v>
      </c>
      <c r="E1212" s="2" t="s">
        <v>9265</v>
      </c>
      <c r="F1212" s="2" t="s">
        <v>8376</v>
      </c>
      <c r="G1212" s="2" t="s">
        <v>5022</v>
      </c>
      <c r="H1212" s="2" t="s">
        <v>5023</v>
      </c>
      <c r="I1212" s="2" t="s">
        <v>10486</v>
      </c>
      <c r="J1212" s="2"/>
      <c r="K1212" s="2"/>
      <c r="L1212" s="2"/>
      <c r="M1212" s="2" t="s">
        <v>10487</v>
      </c>
      <c r="N1212" s="2"/>
      <c r="O1212" s="2"/>
      <c r="P1212" s="2"/>
      <c r="Q1212" s="2"/>
    </row>
    <row r="1213" spans="1:17" x14ac:dyDescent="0.2">
      <c r="A1213" s="2" t="s">
        <v>3646</v>
      </c>
      <c r="B1213" s="2" t="s">
        <v>10488</v>
      </c>
      <c r="C1213" s="2" t="s">
        <v>6143</v>
      </c>
      <c r="D1213" s="2" t="s">
        <v>5282</v>
      </c>
      <c r="E1213" s="2" t="s">
        <v>10489</v>
      </c>
      <c r="F1213" s="2" t="s">
        <v>10490</v>
      </c>
      <c r="G1213" s="2" t="s">
        <v>5022</v>
      </c>
      <c r="H1213" s="2" t="s">
        <v>5023</v>
      </c>
      <c r="I1213" s="2" t="s">
        <v>10491</v>
      </c>
      <c r="J1213" s="2"/>
      <c r="K1213" s="2"/>
      <c r="L1213" s="2"/>
      <c r="M1213" s="2" t="s">
        <v>10492</v>
      </c>
      <c r="N1213" s="2"/>
      <c r="O1213" s="2"/>
      <c r="P1213" s="2"/>
      <c r="Q1213" s="2"/>
    </row>
    <row r="1214" spans="1:17" x14ac:dyDescent="0.2">
      <c r="A1214" s="2" t="s">
        <v>696</v>
      </c>
      <c r="B1214" s="2" t="s">
        <v>10493</v>
      </c>
      <c r="C1214" s="2" t="s">
        <v>10494</v>
      </c>
      <c r="D1214" s="2" t="s">
        <v>6726</v>
      </c>
      <c r="E1214" s="2" t="s">
        <v>6856</v>
      </c>
      <c r="F1214" s="2" t="s">
        <v>8808</v>
      </c>
      <c r="G1214" s="2" t="s">
        <v>5022</v>
      </c>
      <c r="H1214" s="2" t="s">
        <v>5023</v>
      </c>
      <c r="I1214" s="2" t="s">
        <v>10495</v>
      </c>
      <c r="J1214" s="2"/>
      <c r="K1214" s="2"/>
      <c r="L1214" s="2"/>
      <c r="M1214" s="2" t="s">
        <v>10496</v>
      </c>
      <c r="N1214" s="2"/>
      <c r="O1214" s="2"/>
      <c r="P1214" s="2"/>
      <c r="Q1214" s="2"/>
    </row>
    <row r="1215" spans="1:17" x14ac:dyDescent="0.2">
      <c r="A1215" s="2" t="s">
        <v>4864</v>
      </c>
      <c r="B1215" s="2" t="s">
        <v>10497</v>
      </c>
      <c r="C1215" s="2" t="s">
        <v>5666</v>
      </c>
      <c r="D1215" s="2" t="s">
        <v>10498</v>
      </c>
      <c r="E1215" s="2" t="s">
        <v>10499</v>
      </c>
      <c r="F1215" s="2" t="s">
        <v>10500</v>
      </c>
      <c r="G1215" s="2" t="s">
        <v>5022</v>
      </c>
      <c r="H1215" s="2" t="s">
        <v>5023</v>
      </c>
      <c r="I1215" s="2" t="s">
        <v>10501</v>
      </c>
      <c r="J1215" s="2"/>
      <c r="K1215" s="2"/>
      <c r="L1215" s="2"/>
      <c r="M1215" s="2"/>
      <c r="N1215" s="2"/>
      <c r="O1215" s="2"/>
      <c r="P1215" s="2"/>
      <c r="Q1215" s="2"/>
    </row>
    <row r="1216" spans="1:17" x14ac:dyDescent="0.2">
      <c r="A1216" s="2" t="s">
        <v>3344</v>
      </c>
      <c r="B1216" s="2" t="s">
        <v>10502</v>
      </c>
      <c r="C1216" s="2" t="s">
        <v>10503</v>
      </c>
      <c r="D1216" s="2" t="s">
        <v>10503</v>
      </c>
      <c r="E1216" s="2" t="s">
        <v>10504</v>
      </c>
      <c r="F1216" s="2" t="s">
        <v>9049</v>
      </c>
      <c r="G1216" s="2" t="s">
        <v>5022</v>
      </c>
      <c r="H1216" s="2" t="s">
        <v>5023</v>
      </c>
      <c r="I1216" s="2" t="s">
        <v>10505</v>
      </c>
      <c r="J1216" s="2"/>
      <c r="K1216" s="2"/>
      <c r="L1216" s="2"/>
      <c r="M1216" s="2" t="s">
        <v>10506</v>
      </c>
      <c r="N1216" s="2"/>
      <c r="O1216" s="2"/>
      <c r="P1216" s="2"/>
      <c r="Q1216" s="2"/>
    </row>
    <row r="1217" spans="1:17" x14ac:dyDescent="0.2">
      <c r="A1217" s="2" t="s">
        <v>3721</v>
      </c>
      <c r="B1217" s="2" t="s">
        <v>10507</v>
      </c>
      <c r="C1217" s="2" t="s">
        <v>6915</v>
      </c>
      <c r="D1217" s="2" t="s">
        <v>10508</v>
      </c>
      <c r="E1217" s="2" t="s">
        <v>7578</v>
      </c>
      <c r="F1217" s="2" t="s">
        <v>10509</v>
      </c>
      <c r="G1217" s="2" t="s">
        <v>5022</v>
      </c>
      <c r="H1217" s="2" t="s">
        <v>5023</v>
      </c>
      <c r="I1217" s="2" t="s">
        <v>10510</v>
      </c>
      <c r="J1217" s="2"/>
      <c r="K1217" s="2"/>
      <c r="L1217" s="2"/>
      <c r="M1217" s="2"/>
      <c r="N1217" s="2"/>
      <c r="O1217" s="2"/>
      <c r="P1217" s="2"/>
      <c r="Q1217" s="2"/>
    </row>
    <row r="1218" spans="1:17" x14ac:dyDescent="0.2">
      <c r="A1218" s="2" t="s">
        <v>2260</v>
      </c>
      <c r="B1218" s="2" t="s">
        <v>10511</v>
      </c>
      <c r="C1218" s="2" t="s">
        <v>7325</v>
      </c>
      <c r="D1218" s="2" t="s">
        <v>7325</v>
      </c>
      <c r="E1218" s="2" t="s">
        <v>10512</v>
      </c>
      <c r="F1218" s="2" t="s">
        <v>5619</v>
      </c>
      <c r="G1218" s="2" t="s">
        <v>5022</v>
      </c>
      <c r="H1218" s="2" t="s">
        <v>5023</v>
      </c>
      <c r="I1218" s="2" t="s">
        <v>10513</v>
      </c>
      <c r="J1218" s="2"/>
      <c r="K1218" s="2"/>
      <c r="L1218" s="2"/>
      <c r="M1218" s="2" t="s">
        <v>10514</v>
      </c>
      <c r="N1218" s="2"/>
      <c r="O1218" s="2"/>
      <c r="P1218" s="2"/>
      <c r="Q1218" s="2"/>
    </row>
    <row r="1219" spans="1:17" x14ac:dyDescent="0.2">
      <c r="A1219" s="2" t="s">
        <v>3670</v>
      </c>
      <c r="B1219" s="2" t="s">
        <v>10515</v>
      </c>
      <c r="C1219" s="2" t="s">
        <v>10516</v>
      </c>
      <c r="D1219" s="2" t="s">
        <v>5827</v>
      </c>
      <c r="E1219" s="2" t="s">
        <v>10517</v>
      </c>
      <c r="F1219" s="2" t="s">
        <v>7681</v>
      </c>
      <c r="G1219" s="2" t="s">
        <v>5022</v>
      </c>
      <c r="H1219" s="2" t="s">
        <v>5023</v>
      </c>
      <c r="I1219" s="2" t="s">
        <v>10518</v>
      </c>
      <c r="J1219" s="2"/>
      <c r="K1219" s="2"/>
      <c r="L1219" s="2"/>
      <c r="M1219" s="2"/>
      <c r="N1219" s="2"/>
      <c r="O1219" s="2"/>
      <c r="P1219" s="2"/>
      <c r="Q1219" s="2"/>
    </row>
    <row r="1220" spans="1:17" x14ac:dyDescent="0.2">
      <c r="A1220" s="2" t="s">
        <v>524</v>
      </c>
      <c r="B1220" s="2" t="s">
        <v>10519</v>
      </c>
      <c r="C1220" s="2" t="s">
        <v>6357</v>
      </c>
      <c r="D1220" s="2" t="s">
        <v>8048</v>
      </c>
      <c r="E1220" s="2" t="s">
        <v>10520</v>
      </c>
      <c r="F1220" s="2" t="s">
        <v>10521</v>
      </c>
      <c r="G1220" s="2" t="s">
        <v>5022</v>
      </c>
      <c r="H1220" s="2" t="s">
        <v>5023</v>
      </c>
      <c r="I1220" s="2" t="s">
        <v>10522</v>
      </c>
      <c r="J1220" s="2"/>
      <c r="K1220" s="2"/>
      <c r="L1220" s="2"/>
      <c r="M1220" s="2" t="s">
        <v>10523</v>
      </c>
      <c r="N1220" s="2"/>
      <c r="O1220" s="2"/>
      <c r="P1220" s="2"/>
      <c r="Q1220" s="2"/>
    </row>
    <row r="1221" spans="1:17" x14ac:dyDescent="0.2">
      <c r="A1221" s="2" t="s">
        <v>3902</v>
      </c>
      <c r="B1221" s="2" t="s">
        <v>10524</v>
      </c>
      <c r="C1221" s="2" t="s">
        <v>7182</v>
      </c>
      <c r="D1221" s="2" t="s">
        <v>5164</v>
      </c>
      <c r="E1221" s="2" t="s">
        <v>7110</v>
      </c>
      <c r="F1221" s="2" t="s">
        <v>10525</v>
      </c>
      <c r="G1221" s="2" t="s">
        <v>5022</v>
      </c>
      <c r="H1221" s="2" t="s">
        <v>5023</v>
      </c>
      <c r="I1221" s="2" t="s">
        <v>10526</v>
      </c>
      <c r="J1221" s="2"/>
      <c r="K1221" s="2"/>
      <c r="L1221" s="2"/>
      <c r="M1221" s="2" t="s">
        <v>10527</v>
      </c>
      <c r="N1221" s="2"/>
      <c r="O1221" s="2"/>
      <c r="P1221" s="2"/>
      <c r="Q1221" s="2"/>
    </row>
    <row r="1222" spans="1:17" x14ac:dyDescent="0.2">
      <c r="A1222" s="2" t="s">
        <v>2012</v>
      </c>
      <c r="B1222" s="2" t="s">
        <v>9579</v>
      </c>
      <c r="C1222" s="2" t="s">
        <v>5712</v>
      </c>
      <c r="D1222" s="2" t="s">
        <v>10528</v>
      </c>
      <c r="E1222" s="2" t="s">
        <v>9742</v>
      </c>
      <c r="F1222" s="2" t="s">
        <v>6767</v>
      </c>
      <c r="G1222" s="2" t="s">
        <v>5022</v>
      </c>
      <c r="H1222" s="2" t="s">
        <v>5023</v>
      </c>
      <c r="I1222" s="2" t="s">
        <v>10529</v>
      </c>
      <c r="J1222" s="2"/>
      <c r="K1222" s="2"/>
      <c r="L1222" s="2"/>
      <c r="M1222" s="2"/>
      <c r="N1222" s="2"/>
      <c r="O1222" s="2"/>
      <c r="P1222" s="2"/>
      <c r="Q1222" s="2"/>
    </row>
    <row r="1223" spans="1:17" x14ac:dyDescent="0.2">
      <c r="A1223" s="2" t="s">
        <v>1596</v>
      </c>
      <c r="B1223" s="2" t="s">
        <v>9083</v>
      </c>
      <c r="C1223" s="2" t="s">
        <v>7402</v>
      </c>
      <c r="D1223" s="2" t="s">
        <v>10530</v>
      </c>
      <c r="E1223" s="2" t="s">
        <v>10531</v>
      </c>
      <c r="F1223" s="2" t="s">
        <v>5371</v>
      </c>
      <c r="G1223" s="2" t="s">
        <v>5022</v>
      </c>
      <c r="H1223" s="2" t="s">
        <v>5023</v>
      </c>
      <c r="I1223" s="2" t="s">
        <v>10532</v>
      </c>
      <c r="J1223" s="2"/>
      <c r="K1223" s="2"/>
      <c r="L1223" s="2"/>
      <c r="M1223" s="2"/>
      <c r="N1223" s="2"/>
      <c r="O1223" s="2"/>
      <c r="P1223" s="2"/>
      <c r="Q1223" s="2"/>
    </row>
    <row r="1224" spans="1:17" x14ac:dyDescent="0.2">
      <c r="A1224" s="2" t="s">
        <v>1906</v>
      </c>
      <c r="B1224" s="2" t="s">
        <v>6122</v>
      </c>
      <c r="C1224" s="2" t="s">
        <v>10533</v>
      </c>
      <c r="D1224" s="2" t="s">
        <v>6755</v>
      </c>
      <c r="E1224" s="2" t="s">
        <v>7471</v>
      </c>
      <c r="F1224" s="2" t="s">
        <v>10534</v>
      </c>
      <c r="G1224" s="2" t="s">
        <v>5022</v>
      </c>
      <c r="H1224" s="2" t="s">
        <v>5023</v>
      </c>
      <c r="I1224" s="2"/>
      <c r="J1224" s="2"/>
      <c r="K1224" s="2" t="s">
        <v>10535</v>
      </c>
      <c r="L1224" s="2"/>
      <c r="M1224" s="2" t="s">
        <v>10536</v>
      </c>
      <c r="N1224" s="2"/>
      <c r="O1224" s="2"/>
      <c r="P1224" s="2"/>
      <c r="Q1224" s="2"/>
    </row>
    <row r="1225" spans="1:17" x14ac:dyDescent="0.2">
      <c r="A1225" s="2" t="s">
        <v>3819</v>
      </c>
      <c r="B1225" s="2" t="s">
        <v>10537</v>
      </c>
      <c r="C1225" s="2" t="s">
        <v>5164</v>
      </c>
      <c r="D1225" s="2" t="s">
        <v>5790</v>
      </c>
      <c r="E1225" s="2" t="s">
        <v>10427</v>
      </c>
      <c r="F1225" s="2" t="s">
        <v>10538</v>
      </c>
      <c r="G1225" s="2" t="s">
        <v>5022</v>
      </c>
      <c r="H1225" s="2" t="s">
        <v>5023</v>
      </c>
      <c r="I1225" s="2" t="s">
        <v>10539</v>
      </c>
      <c r="J1225" s="2"/>
      <c r="K1225" s="2"/>
      <c r="L1225" s="2"/>
      <c r="M1225" s="2"/>
      <c r="N1225" s="2"/>
      <c r="O1225" s="2"/>
      <c r="P1225" s="2"/>
      <c r="Q1225" s="2"/>
    </row>
    <row r="1226" spans="1:17" x14ac:dyDescent="0.2">
      <c r="A1226" s="2" t="s">
        <v>4807</v>
      </c>
      <c r="B1226" s="2" t="s">
        <v>10540</v>
      </c>
      <c r="C1226" s="2" t="s">
        <v>10541</v>
      </c>
      <c r="D1226" s="2" t="s">
        <v>5164</v>
      </c>
      <c r="E1226" s="2" t="s">
        <v>10542</v>
      </c>
      <c r="F1226" s="2" t="s">
        <v>10543</v>
      </c>
      <c r="G1226" s="2" t="s">
        <v>5022</v>
      </c>
      <c r="H1226" s="2" t="s">
        <v>5023</v>
      </c>
      <c r="I1226" s="2" t="s">
        <v>10544</v>
      </c>
      <c r="J1226" s="2"/>
      <c r="K1226" s="2"/>
      <c r="L1226" s="2"/>
      <c r="M1226" s="2" t="s">
        <v>10545</v>
      </c>
      <c r="N1226" s="2"/>
      <c r="O1226" s="2"/>
      <c r="P1226" s="2"/>
      <c r="Q1226" s="2"/>
    </row>
    <row r="1227" spans="1:17" x14ac:dyDescent="0.2">
      <c r="A1227" s="2" t="s">
        <v>1053</v>
      </c>
      <c r="B1227" s="2" t="s">
        <v>10546</v>
      </c>
      <c r="C1227" s="2" t="s">
        <v>10547</v>
      </c>
      <c r="D1227" s="2" t="s">
        <v>10548</v>
      </c>
      <c r="E1227" s="2" t="s">
        <v>10549</v>
      </c>
      <c r="F1227" s="2" t="s">
        <v>9664</v>
      </c>
      <c r="G1227" s="2" t="s">
        <v>5022</v>
      </c>
      <c r="H1227" s="2" t="s">
        <v>5023</v>
      </c>
      <c r="I1227" s="2" t="s">
        <v>10550</v>
      </c>
      <c r="J1227" s="2"/>
      <c r="K1227" s="2"/>
      <c r="L1227" s="2"/>
      <c r="M1227" s="2" t="s">
        <v>10551</v>
      </c>
      <c r="N1227" s="2"/>
      <c r="O1227" s="2"/>
      <c r="P1227" s="2"/>
      <c r="Q1227" s="2"/>
    </row>
    <row r="1228" spans="1:17" x14ac:dyDescent="0.2">
      <c r="A1228" s="2" t="s">
        <v>4705</v>
      </c>
      <c r="B1228" s="2" t="s">
        <v>10552</v>
      </c>
      <c r="C1228" s="2" t="s">
        <v>10553</v>
      </c>
      <c r="D1228" s="2" t="s">
        <v>6533</v>
      </c>
      <c r="E1228" s="2" t="s">
        <v>10554</v>
      </c>
      <c r="F1228" s="2" t="s">
        <v>7794</v>
      </c>
      <c r="G1228" s="2" t="s">
        <v>5022</v>
      </c>
      <c r="H1228" s="2" t="s">
        <v>5023</v>
      </c>
      <c r="I1228" s="2" t="s">
        <v>10555</v>
      </c>
      <c r="J1228" s="2"/>
      <c r="K1228" s="2"/>
      <c r="L1228" s="2"/>
      <c r="M1228" s="2" t="s">
        <v>10556</v>
      </c>
      <c r="N1228" s="2"/>
      <c r="O1228" s="2"/>
      <c r="P1228" s="2"/>
      <c r="Q1228" s="2"/>
    </row>
    <row r="1229" spans="1:17" x14ac:dyDescent="0.2">
      <c r="A1229" s="2" t="s">
        <v>2814</v>
      </c>
      <c r="B1229" s="2" t="s">
        <v>10557</v>
      </c>
      <c r="C1229" s="2" t="s">
        <v>5852</v>
      </c>
      <c r="D1229" s="2" t="s">
        <v>10558</v>
      </c>
      <c r="E1229" s="2" t="s">
        <v>5265</v>
      </c>
      <c r="F1229" s="2" t="s">
        <v>9983</v>
      </c>
      <c r="G1229" s="2" t="s">
        <v>5022</v>
      </c>
      <c r="H1229" s="2" t="s">
        <v>5023</v>
      </c>
      <c r="I1229" s="2" t="s">
        <v>10559</v>
      </c>
      <c r="J1229" s="2"/>
      <c r="K1229" s="2"/>
      <c r="L1229" s="2"/>
      <c r="M1229" s="2" t="s">
        <v>10560</v>
      </c>
      <c r="N1229" s="2"/>
      <c r="O1229" s="2"/>
      <c r="P1229" s="2"/>
      <c r="Q1229" s="2"/>
    </row>
    <row r="1230" spans="1:17" x14ac:dyDescent="0.2">
      <c r="A1230" s="2" t="s">
        <v>3730</v>
      </c>
      <c r="B1230" s="2" t="s">
        <v>10074</v>
      </c>
      <c r="C1230" s="2" t="s">
        <v>10561</v>
      </c>
      <c r="D1230" s="2" t="s">
        <v>7578</v>
      </c>
      <c r="E1230" s="2" t="s">
        <v>10562</v>
      </c>
      <c r="F1230" s="2" t="s">
        <v>8289</v>
      </c>
      <c r="G1230" s="2" t="s">
        <v>5022</v>
      </c>
      <c r="H1230" s="2" t="s">
        <v>5023</v>
      </c>
      <c r="I1230" s="2" t="s">
        <v>10563</v>
      </c>
      <c r="J1230" s="2"/>
      <c r="K1230" s="2"/>
      <c r="L1230" s="2"/>
      <c r="M1230" s="2"/>
      <c r="N1230" s="2"/>
      <c r="O1230" s="2"/>
      <c r="P1230" s="2"/>
      <c r="Q1230" s="2"/>
    </row>
    <row r="1231" spans="1:17" x14ac:dyDescent="0.2">
      <c r="A1231" s="2" t="s">
        <v>3124</v>
      </c>
      <c r="B1231" s="2" t="s">
        <v>8063</v>
      </c>
      <c r="C1231" s="2" t="s">
        <v>8851</v>
      </c>
      <c r="D1231" s="2" t="s">
        <v>5323</v>
      </c>
      <c r="E1231" s="2" t="s">
        <v>10564</v>
      </c>
      <c r="F1231" s="2" t="s">
        <v>10203</v>
      </c>
      <c r="G1231" s="2" t="s">
        <v>5022</v>
      </c>
      <c r="H1231" s="2" t="s">
        <v>5023</v>
      </c>
      <c r="I1231" s="2" t="s">
        <v>10565</v>
      </c>
      <c r="J1231" s="2"/>
      <c r="K1231" s="2"/>
      <c r="L1231" s="2"/>
      <c r="M1231" s="2" t="s">
        <v>10566</v>
      </c>
      <c r="N1231" s="2"/>
      <c r="O1231" s="2"/>
      <c r="P1231" s="2"/>
      <c r="Q1231" s="2"/>
    </row>
    <row r="1232" spans="1:17" x14ac:dyDescent="0.2">
      <c r="A1232" s="2" t="s">
        <v>1100</v>
      </c>
      <c r="B1232" s="2" t="s">
        <v>10567</v>
      </c>
      <c r="C1232" s="2" t="s">
        <v>8195</v>
      </c>
      <c r="D1232" s="2" t="s">
        <v>10568</v>
      </c>
      <c r="E1232" s="2" t="s">
        <v>10466</v>
      </c>
      <c r="F1232" s="2" t="s">
        <v>8196</v>
      </c>
      <c r="G1232" s="2" t="s">
        <v>5022</v>
      </c>
      <c r="H1232" s="2" t="s">
        <v>5023</v>
      </c>
      <c r="I1232" s="2" t="s">
        <v>10569</v>
      </c>
      <c r="J1232" s="2"/>
      <c r="K1232" s="2"/>
      <c r="L1232" s="2"/>
      <c r="M1232" s="2" t="s">
        <v>10570</v>
      </c>
      <c r="N1232" s="2"/>
      <c r="O1232" s="2"/>
      <c r="P1232" s="2"/>
      <c r="Q1232" s="2"/>
    </row>
    <row r="1233" spans="1:17" x14ac:dyDescent="0.2">
      <c r="A1233" s="2" t="s">
        <v>3753</v>
      </c>
      <c r="B1233" s="2" t="s">
        <v>10571</v>
      </c>
      <c r="C1233" s="2" t="s">
        <v>5947</v>
      </c>
      <c r="D1233" s="2" t="s">
        <v>10572</v>
      </c>
      <c r="E1233" s="2" t="s">
        <v>10573</v>
      </c>
      <c r="F1233" s="2" t="s">
        <v>6523</v>
      </c>
      <c r="G1233" s="2" t="s">
        <v>5022</v>
      </c>
      <c r="H1233" s="2" t="s">
        <v>5023</v>
      </c>
      <c r="I1233" s="2" t="s">
        <v>10574</v>
      </c>
      <c r="J1233" s="2"/>
      <c r="K1233" s="2"/>
      <c r="L1233" s="2"/>
      <c r="M1233" s="2" t="s">
        <v>10575</v>
      </c>
      <c r="N1233" s="2"/>
      <c r="O1233" s="2"/>
      <c r="P1233" s="2"/>
      <c r="Q1233" s="2"/>
    </row>
    <row r="1234" spans="1:17" x14ac:dyDescent="0.2">
      <c r="A1234" s="2" t="s">
        <v>298</v>
      </c>
      <c r="B1234" s="2" t="s">
        <v>10576</v>
      </c>
      <c r="C1234" s="2" t="s">
        <v>6651</v>
      </c>
      <c r="D1234" s="2" t="s">
        <v>5957</v>
      </c>
      <c r="E1234" s="2" t="s">
        <v>10577</v>
      </c>
      <c r="F1234" s="2" t="s">
        <v>9000</v>
      </c>
      <c r="G1234" s="2" t="s">
        <v>5022</v>
      </c>
      <c r="H1234" s="2" t="s">
        <v>5023</v>
      </c>
      <c r="I1234" s="2" t="s">
        <v>10578</v>
      </c>
      <c r="J1234" s="2"/>
      <c r="K1234" s="2"/>
      <c r="L1234" s="2"/>
      <c r="M1234" s="2"/>
      <c r="N1234" s="2"/>
      <c r="O1234" s="2"/>
      <c r="P1234" s="2"/>
      <c r="Q1234" s="2"/>
    </row>
    <row r="1235" spans="1:17" x14ac:dyDescent="0.2">
      <c r="A1235" s="2" t="s">
        <v>2736</v>
      </c>
      <c r="B1235" s="2" t="s">
        <v>10579</v>
      </c>
      <c r="C1235" s="2" t="s">
        <v>10580</v>
      </c>
      <c r="D1235" s="2" t="s">
        <v>8762</v>
      </c>
      <c r="E1235" s="2" t="s">
        <v>10581</v>
      </c>
      <c r="F1235" s="2" t="s">
        <v>6480</v>
      </c>
      <c r="G1235" s="2" t="s">
        <v>5022</v>
      </c>
      <c r="H1235" s="2" t="s">
        <v>5023</v>
      </c>
      <c r="I1235" s="2"/>
      <c r="J1235" s="2"/>
      <c r="K1235" s="2" t="s">
        <v>10582</v>
      </c>
      <c r="L1235" s="2"/>
      <c r="M1235" s="2"/>
      <c r="N1235" s="2"/>
      <c r="O1235" s="2"/>
      <c r="P1235" s="2"/>
      <c r="Q1235" s="2"/>
    </row>
    <row r="1236" spans="1:17" x14ac:dyDescent="0.2">
      <c r="A1236" s="2" t="s">
        <v>4696</v>
      </c>
      <c r="B1236" s="2" t="s">
        <v>10583</v>
      </c>
      <c r="C1236" s="2" t="s">
        <v>5323</v>
      </c>
      <c r="D1236" s="2" t="s">
        <v>5323</v>
      </c>
      <c r="E1236" s="2" t="s">
        <v>7110</v>
      </c>
      <c r="F1236" s="2" t="s">
        <v>6334</v>
      </c>
      <c r="G1236" s="2" t="s">
        <v>5022</v>
      </c>
      <c r="H1236" s="2" t="s">
        <v>5023</v>
      </c>
      <c r="I1236" s="2" t="s">
        <v>10584</v>
      </c>
      <c r="J1236" s="2"/>
      <c r="K1236" s="2"/>
      <c r="L1236" s="2"/>
      <c r="M1236" s="2" t="s">
        <v>10585</v>
      </c>
      <c r="N1236" s="2"/>
      <c r="O1236" s="2"/>
      <c r="P1236" s="2"/>
      <c r="Q1236" s="2"/>
    </row>
    <row r="1237" spans="1:17" x14ac:dyDescent="0.2">
      <c r="A1237" s="2" t="s">
        <v>1990</v>
      </c>
      <c r="B1237" s="2" t="s">
        <v>10586</v>
      </c>
      <c r="C1237" s="2" t="s">
        <v>5853</v>
      </c>
      <c r="D1237" s="2" t="s">
        <v>6009</v>
      </c>
      <c r="E1237" s="2" t="s">
        <v>10587</v>
      </c>
      <c r="F1237" s="2" t="s">
        <v>7804</v>
      </c>
      <c r="G1237" s="2" t="s">
        <v>5022</v>
      </c>
      <c r="H1237" s="2" t="s">
        <v>5023</v>
      </c>
      <c r="I1237" s="2" t="s">
        <v>10588</v>
      </c>
      <c r="J1237" s="2"/>
      <c r="K1237" s="2"/>
      <c r="L1237" s="2"/>
      <c r="M1237" s="2"/>
      <c r="N1237" s="2"/>
      <c r="O1237" s="2"/>
      <c r="P1237" s="2"/>
      <c r="Q1237" s="2"/>
    </row>
    <row r="1238" spans="1:17" x14ac:dyDescent="0.2">
      <c r="A1238" s="2" t="s">
        <v>66</v>
      </c>
      <c r="B1238" s="2" t="s">
        <v>10589</v>
      </c>
      <c r="C1238" s="2" t="s">
        <v>8297</v>
      </c>
      <c r="D1238" s="2" t="s">
        <v>5391</v>
      </c>
      <c r="E1238" s="2" t="s">
        <v>10590</v>
      </c>
      <c r="F1238" s="2" t="s">
        <v>8192</v>
      </c>
      <c r="G1238" s="2" t="s">
        <v>5022</v>
      </c>
      <c r="H1238" s="2" t="s">
        <v>5023</v>
      </c>
      <c r="I1238" s="2" t="s">
        <v>10591</v>
      </c>
      <c r="J1238" s="2"/>
      <c r="K1238" s="2"/>
      <c r="L1238" s="2"/>
      <c r="M1238" s="2"/>
      <c r="N1238" s="2"/>
      <c r="O1238" s="2"/>
      <c r="P1238" s="2"/>
      <c r="Q1238" s="2"/>
    </row>
    <row r="1239" spans="1:17" x14ac:dyDescent="0.2">
      <c r="A1239" s="2" t="s">
        <v>3459</v>
      </c>
      <c r="B1239" s="2" t="s">
        <v>5779</v>
      </c>
      <c r="C1239" s="2" t="s">
        <v>5443</v>
      </c>
      <c r="D1239" s="2" t="s">
        <v>5409</v>
      </c>
      <c r="E1239" s="2" t="s">
        <v>10592</v>
      </c>
      <c r="F1239" s="2" t="s">
        <v>10162</v>
      </c>
      <c r="G1239" s="2" t="s">
        <v>5022</v>
      </c>
      <c r="H1239" s="2" t="s">
        <v>5023</v>
      </c>
      <c r="I1239" s="2" t="s">
        <v>10593</v>
      </c>
      <c r="J1239" s="2"/>
      <c r="K1239" s="2"/>
      <c r="L1239" s="2"/>
      <c r="M1239" s="2" t="s">
        <v>10594</v>
      </c>
      <c r="N1239" s="2"/>
      <c r="O1239" s="2"/>
      <c r="P1239" s="2"/>
      <c r="Q1239" s="2"/>
    </row>
    <row r="1240" spans="1:17" x14ac:dyDescent="0.2">
      <c r="A1240" s="2" t="s">
        <v>3349</v>
      </c>
      <c r="B1240" s="2" t="s">
        <v>8450</v>
      </c>
      <c r="C1240" s="2" t="s">
        <v>5228</v>
      </c>
      <c r="D1240" s="2" t="s">
        <v>7838</v>
      </c>
      <c r="E1240" s="2" t="s">
        <v>10595</v>
      </c>
      <c r="F1240" s="2" t="s">
        <v>5284</v>
      </c>
      <c r="G1240" s="2" t="s">
        <v>5022</v>
      </c>
      <c r="H1240" s="2" t="s">
        <v>5023</v>
      </c>
      <c r="I1240" s="2" t="s">
        <v>10596</v>
      </c>
      <c r="J1240" s="2"/>
      <c r="K1240" s="2"/>
      <c r="L1240" s="2"/>
      <c r="M1240" s="2" t="s">
        <v>10597</v>
      </c>
      <c r="N1240" s="2"/>
      <c r="O1240" s="2"/>
      <c r="P1240" s="2"/>
      <c r="Q1240" s="2"/>
    </row>
    <row r="1241" spans="1:17" x14ac:dyDescent="0.2">
      <c r="A1241" s="2" t="s">
        <v>2252</v>
      </c>
      <c r="B1241" s="2" t="s">
        <v>9710</v>
      </c>
      <c r="C1241" s="2" t="s">
        <v>6556</v>
      </c>
      <c r="D1241" s="2" t="s">
        <v>5357</v>
      </c>
      <c r="E1241" s="2" t="s">
        <v>5600</v>
      </c>
      <c r="F1241" s="2" t="s">
        <v>5121</v>
      </c>
      <c r="G1241" s="2" t="s">
        <v>5022</v>
      </c>
      <c r="H1241" s="2" t="s">
        <v>5023</v>
      </c>
      <c r="I1241" s="2" t="s">
        <v>10598</v>
      </c>
      <c r="J1241" s="2"/>
      <c r="K1241" s="2"/>
      <c r="L1241" s="2"/>
      <c r="M1241" s="2" t="s">
        <v>5361</v>
      </c>
      <c r="N1241" s="2"/>
      <c r="O1241" s="2"/>
      <c r="P1241" s="2"/>
      <c r="Q1241" s="2"/>
    </row>
    <row r="1242" spans="1:17" x14ac:dyDescent="0.2">
      <c r="A1242" s="2" t="s">
        <v>984</v>
      </c>
      <c r="B1242" s="2" t="s">
        <v>1200</v>
      </c>
      <c r="C1242" s="2" t="s">
        <v>6448</v>
      </c>
      <c r="D1242" s="2" t="s">
        <v>8457</v>
      </c>
      <c r="E1242" s="2" t="s">
        <v>10599</v>
      </c>
      <c r="F1242" s="2" t="s">
        <v>10600</v>
      </c>
      <c r="G1242" s="2" t="s">
        <v>5022</v>
      </c>
      <c r="H1242" s="2" t="s">
        <v>5023</v>
      </c>
      <c r="I1242" s="2" t="s">
        <v>10601</v>
      </c>
      <c r="J1242" s="2"/>
      <c r="K1242" s="2"/>
      <c r="L1242" s="2"/>
      <c r="M1242" s="2" t="s">
        <v>10602</v>
      </c>
      <c r="N1242" s="2"/>
      <c r="O1242" s="2"/>
      <c r="P1242" s="2"/>
      <c r="Q1242" s="2"/>
    </row>
    <row r="1243" spans="1:17" x14ac:dyDescent="0.2">
      <c r="A1243" s="2" t="s">
        <v>3304</v>
      </c>
      <c r="B1243" s="2" t="s">
        <v>10603</v>
      </c>
      <c r="C1243" s="2" t="s">
        <v>5774</v>
      </c>
      <c r="D1243" s="2" t="s">
        <v>6063</v>
      </c>
      <c r="E1243" s="2" t="s">
        <v>8830</v>
      </c>
      <c r="F1243" s="2" t="s">
        <v>10604</v>
      </c>
      <c r="G1243" s="2" t="s">
        <v>5022</v>
      </c>
      <c r="H1243" s="2" t="s">
        <v>5023</v>
      </c>
      <c r="I1243" s="2" t="s">
        <v>10605</v>
      </c>
      <c r="J1243" s="2"/>
      <c r="K1243" s="2"/>
      <c r="L1243" s="2"/>
      <c r="M1243" s="2" t="s">
        <v>10606</v>
      </c>
      <c r="N1243" s="2"/>
      <c r="O1243" s="2"/>
      <c r="P1243" s="2"/>
      <c r="Q1243" s="2"/>
    </row>
    <row r="1244" spans="1:17" x14ac:dyDescent="0.2">
      <c r="A1244" s="2" t="s">
        <v>45</v>
      </c>
      <c r="B1244" s="2" t="s">
        <v>10607</v>
      </c>
      <c r="C1244" s="2" t="s">
        <v>5275</v>
      </c>
      <c r="D1244" s="2" t="s">
        <v>6367</v>
      </c>
      <c r="E1244" s="2" t="s">
        <v>8750</v>
      </c>
      <c r="F1244" s="2" t="s">
        <v>10608</v>
      </c>
      <c r="G1244" s="2" t="s">
        <v>5022</v>
      </c>
      <c r="H1244" s="2" t="s">
        <v>5023</v>
      </c>
      <c r="I1244" s="2" t="s">
        <v>10609</v>
      </c>
      <c r="J1244" s="2"/>
      <c r="K1244" s="2"/>
      <c r="L1244" s="2"/>
      <c r="M1244" s="2" t="s">
        <v>10610</v>
      </c>
      <c r="N1244" s="2"/>
      <c r="O1244" s="2"/>
      <c r="P1244" s="2"/>
      <c r="Q1244" s="2"/>
    </row>
    <row r="1245" spans="1:17" x14ac:dyDescent="0.2">
      <c r="A1245" s="2" t="s">
        <v>2176</v>
      </c>
      <c r="B1245" s="2" t="s">
        <v>10611</v>
      </c>
      <c r="C1245" s="2" t="s">
        <v>10612</v>
      </c>
      <c r="D1245" s="2" t="s">
        <v>10613</v>
      </c>
      <c r="E1245" s="2" t="s">
        <v>5891</v>
      </c>
      <c r="F1245" s="2" t="s">
        <v>5486</v>
      </c>
      <c r="G1245" s="2" t="s">
        <v>5022</v>
      </c>
      <c r="H1245" s="2" t="s">
        <v>5023</v>
      </c>
      <c r="I1245" s="2" t="s">
        <v>10614</v>
      </c>
      <c r="J1245" s="2"/>
      <c r="K1245" s="2"/>
      <c r="L1245" s="2"/>
      <c r="M1245" s="2"/>
      <c r="N1245" s="2"/>
      <c r="O1245" s="2"/>
      <c r="P1245" s="2"/>
      <c r="Q1245" s="2"/>
    </row>
    <row r="1246" spans="1:17" x14ac:dyDescent="0.2">
      <c r="A1246" s="2" t="s">
        <v>503</v>
      </c>
      <c r="B1246" s="2" t="s">
        <v>10615</v>
      </c>
      <c r="C1246" s="2" t="s">
        <v>8573</v>
      </c>
      <c r="D1246" s="2" t="s">
        <v>10616</v>
      </c>
      <c r="E1246" s="2" t="s">
        <v>10617</v>
      </c>
      <c r="F1246" s="2" t="s">
        <v>8669</v>
      </c>
      <c r="G1246" s="2" t="s">
        <v>5022</v>
      </c>
      <c r="H1246" s="2" t="s">
        <v>5023</v>
      </c>
      <c r="I1246" s="2" t="s">
        <v>10618</v>
      </c>
      <c r="J1246" s="2"/>
      <c r="K1246" s="2"/>
      <c r="L1246" s="2"/>
      <c r="M1246" s="2" t="s">
        <v>10619</v>
      </c>
      <c r="N1246" s="2"/>
      <c r="O1246" s="2"/>
      <c r="P1246" s="2"/>
      <c r="Q1246" s="2"/>
    </row>
    <row r="1247" spans="1:17" x14ac:dyDescent="0.2">
      <c r="A1247" s="2" t="s">
        <v>938</v>
      </c>
      <c r="B1247" s="2" t="s">
        <v>9784</v>
      </c>
      <c r="C1247" s="2" t="s">
        <v>6300</v>
      </c>
      <c r="D1247" s="2" t="s">
        <v>10620</v>
      </c>
      <c r="E1247" s="2" t="s">
        <v>5100</v>
      </c>
      <c r="F1247" s="2" t="s">
        <v>7650</v>
      </c>
      <c r="G1247" s="2" t="s">
        <v>5022</v>
      </c>
      <c r="H1247" s="2" t="s">
        <v>5023</v>
      </c>
      <c r="I1247" s="2"/>
      <c r="J1247" s="2"/>
      <c r="K1247" s="2" t="s">
        <v>7651</v>
      </c>
      <c r="L1247" s="2"/>
      <c r="M1247" s="2"/>
      <c r="N1247" s="2"/>
      <c r="O1247" s="2"/>
      <c r="P1247" s="2"/>
      <c r="Q1247" s="2"/>
    </row>
    <row r="1248" spans="1:17" x14ac:dyDescent="0.2">
      <c r="A1248" s="2" t="s">
        <v>4528</v>
      </c>
      <c r="B1248" s="2" t="s">
        <v>10621</v>
      </c>
      <c r="C1248" s="2" t="s">
        <v>10622</v>
      </c>
      <c r="D1248" s="2" t="s">
        <v>5051</v>
      </c>
      <c r="E1248" s="2" t="s">
        <v>6846</v>
      </c>
      <c r="F1248" s="2" t="s">
        <v>6847</v>
      </c>
      <c r="G1248" s="2" t="s">
        <v>5022</v>
      </c>
      <c r="H1248" s="2" t="s">
        <v>5023</v>
      </c>
      <c r="I1248" s="2" t="s">
        <v>10623</v>
      </c>
      <c r="J1248" s="2"/>
      <c r="K1248" s="2"/>
      <c r="L1248" s="2"/>
      <c r="M1248" s="2" t="s">
        <v>10624</v>
      </c>
      <c r="N1248" s="2"/>
      <c r="O1248" s="2"/>
      <c r="P1248" s="2"/>
      <c r="Q1248" s="2"/>
    </row>
    <row r="1249" spans="1:17" x14ac:dyDescent="0.2">
      <c r="A1249" s="2" t="s">
        <v>1389</v>
      </c>
      <c r="B1249" s="2" t="s">
        <v>9850</v>
      </c>
      <c r="C1249" s="2" t="s">
        <v>9108</v>
      </c>
      <c r="D1249" s="2" t="s">
        <v>6755</v>
      </c>
      <c r="E1249" s="2" t="s">
        <v>6166</v>
      </c>
      <c r="F1249" s="2" t="s">
        <v>10625</v>
      </c>
      <c r="G1249" s="2" t="s">
        <v>5022</v>
      </c>
      <c r="H1249" s="2" t="s">
        <v>5023</v>
      </c>
      <c r="I1249" s="2" t="s">
        <v>10626</v>
      </c>
      <c r="J1249" s="2"/>
      <c r="K1249" s="2"/>
      <c r="L1249" s="2"/>
      <c r="M1249" s="2"/>
      <c r="N1249" s="2"/>
      <c r="O1249" s="2"/>
      <c r="P1249" s="2"/>
      <c r="Q1249" s="2"/>
    </row>
    <row r="1250" spans="1:17" x14ac:dyDescent="0.2">
      <c r="A1250" s="2" t="s">
        <v>2633</v>
      </c>
      <c r="B1250" s="2" t="s">
        <v>10627</v>
      </c>
      <c r="C1250" s="2" t="s">
        <v>8772</v>
      </c>
      <c r="D1250" s="2" t="s">
        <v>7767</v>
      </c>
      <c r="E1250" s="2" t="s">
        <v>10628</v>
      </c>
      <c r="F1250" s="2" t="s">
        <v>5128</v>
      </c>
      <c r="G1250" s="2" t="s">
        <v>5022</v>
      </c>
      <c r="H1250" s="2" t="s">
        <v>5023</v>
      </c>
      <c r="I1250" s="2"/>
      <c r="J1250" s="2"/>
      <c r="K1250" s="2" t="s">
        <v>7044</v>
      </c>
      <c r="L1250" s="2"/>
      <c r="M1250" s="2"/>
      <c r="N1250" s="2"/>
      <c r="O1250" s="2"/>
      <c r="P1250" s="2"/>
      <c r="Q1250" s="2"/>
    </row>
    <row r="1251" spans="1:17" x14ac:dyDescent="0.2">
      <c r="A1251" s="2" t="s">
        <v>4865</v>
      </c>
      <c r="B1251" s="2" t="s">
        <v>10629</v>
      </c>
      <c r="C1251" s="2" t="s">
        <v>10630</v>
      </c>
      <c r="D1251" s="2" t="s">
        <v>10631</v>
      </c>
      <c r="E1251" s="2" t="s">
        <v>10632</v>
      </c>
      <c r="F1251" s="2" t="s">
        <v>10633</v>
      </c>
      <c r="G1251" s="2" t="s">
        <v>5022</v>
      </c>
      <c r="H1251" s="2" t="s">
        <v>5023</v>
      </c>
      <c r="I1251" s="2" t="s">
        <v>10634</v>
      </c>
      <c r="J1251" s="2"/>
      <c r="K1251" s="2"/>
      <c r="L1251" s="2"/>
      <c r="M1251" s="2"/>
      <c r="N1251" s="2"/>
      <c r="O1251" s="2"/>
      <c r="P1251" s="2"/>
      <c r="Q1251" s="2"/>
    </row>
    <row r="1252" spans="1:17" x14ac:dyDescent="0.2">
      <c r="A1252" s="2" t="s">
        <v>1992</v>
      </c>
      <c r="B1252" s="2" t="s">
        <v>6142</v>
      </c>
      <c r="C1252" s="2" t="s">
        <v>5677</v>
      </c>
      <c r="D1252" s="2" t="s">
        <v>10635</v>
      </c>
      <c r="E1252" s="2" t="s">
        <v>6040</v>
      </c>
      <c r="F1252" s="2" t="s">
        <v>10636</v>
      </c>
      <c r="G1252" s="2" t="s">
        <v>5022</v>
      </c>
      <c r="H1252" s="2" t="s">
        <v>5023</v>
      </c>
      <c r="I1252" s="2" t="s">
        <v>10637</v>
      </c>
      <c r="J1252" s="2"/>
      <c r="K1252" s="2"/>
      <c r="L1252" s="2"/>
      <c r="M1252" s="2"/>
      <c r="N1252" s="2"/>
      <c r="O1252" s="2"/>
      <c r="P1252" s="2"/>
      <c r="Q1252" s="2"/>
    </row>
    <row r="1253" spans="1:17" x14ac:dyDescent="0.2">
      <c r="A1253" s="2" t="s">
        <v>1934</v>
      </c>
      <c r="B1253" s="2" t="s">
        <v>5038</v>
      </c>
      <c r="C1253" s="2" t="s">
        <v>10638</v>
      </c>
      <c r="D1253" s="2" t="s">
        <v>5193</v>
      </c>
      <c r="E1253" s="2" t="s">
        <v>10639</v>
      </c>
      <c r="F1253" s="2" t="s">
        <v>10640</v>
      </c>
      <c r="G1253" s="2" t="s">
        <v>5022</v>
      </c>
      <c r="H1253" s="2" t="s">
        <v>5023</v>
      </c>
      <c r="I1253" s="2" t="s">
        <v>10641</v>
      </c>
      <c r="J1253" s="2"/>
      <c r="K1253" s="2"/>
      <c r="L1253" s="2"/>
      <c r="M1253" s="2" t="s">
        <v>10642</v>
      </c>
      <c r="N1253" s="2"/>
      <c r="O1253" s="2"/>
      <c r="P1253" s="2"/>
      <c r="Q1253" s="2"/>
    </row>
    <row r="1254" spans="1:17" x14ac:dyDescent="0.2">
      <c r="A1254" s="2" t="s">
        <v>2852</v>
      </c>
      <c r="B1254" s="2" t="s">
        <v>10643</v>
      </c>
      <c r="C1254" s="2" t="s">
        <v>10644</v>
      </c>
      <c r="D1254" s="2" t="s">
        <v>5690</v>
      </c>
      <c r="E1254" s="2" t="s">
        <v>5708</v>
      </c>
      <c r="F1254" s="2" t="s">
        <v>10645</v>
      </c>
      <c r="G1254" s="2" t="s">
        <v>5022</v>
      </c>
      <c r="H1254" s="2" t="s">
        <v>5023</v>
      </c>
      <c r="I1254" s="2" t="s">
        <v>10646</v>
      </c>
      <c r="J1254" s="2"/>
      <c r="K1254" s="2"/>
      <c r="L1254" s="2"/>
      <c r="M1254" s="2"/>
      <c r="N1254" s="2"/>
      <c r="O1254" s="2"/>
      <c r="P1254" s="2"/>
      <c r="Q1254" s="2"/>
    </row>
    <row r="1255" spans="1:17" x14ac:dyDescent="0.2">
      <c r="A1255" s="2" t="s">
        <v>3543</v>
      </c>
      <c r="B1255" s="2" t="s">
        <v>10483</v>
      </c>
      <c r="C1255" s="2" t="s">
        <v>5961</v>
      </c>
      <c r="D1255" s="2" t="s">
        <v>10647</v>
      </c>
      <c r="E1255" s="2" t="s">
        <v>10648</v>
      </c>
      <c r="F1255" s="2" t="s">
        <v>7069</v>
      </c>
      <c r="G1255" s="2" t="s">
        <v>5022</v>
      </c>
      <c r="H1255" s="2" t="s">
        <v>5023</v>
      </c>
      <c r="I1255" s="2" t="s">
        <v>10649</v>
      </c>
      <c r="J1255" s="2"/>
      <c r="K1255" s="2"/>
      <c r="L1255" s="2"/>
      <c r="M1255" s="2" t="s">
        <v>10650</v>
      </c>
      <c r="N1255" s="2"/>
      <c r="O1255" s="2"/>
      <c r="P1255" s="2"/>
      <c r="Q1255" s="2"/>
    </row>
    <row r="1256" spans="1:17" x14ac:dyDescent="0.2">
      <c r="A1256" s="2" t="s">
        <v>3222</v>
      </c>
      <c r="B1256" s="2" t="s">
        <v>8063</v>
      </c>
      <c r="C1256" s="2" t="s">
        <v>10651</v>
      </c>
      <c r="D1256" s="2" t="s">
        <v>5263</v>
      </c>
      <c r="E1256" s="2" t="s">
        <v>10237</v>
      </c>
      <c r="F1256" s="2" t="s">
        <v>10652</v>
      </c>
      <c r="G1256" s="2" t="s">
        <v>5022</v>
      </c>
      <c r="H1256" s="2" t="s">
        <v>5023</v>
      </c>
      <c r="I1256" s="2" t="s">
        <v>10653</v>
      </c>
      <c r="J1256" s="2"/>
      <c r="K1256" s="2"/>
      <c r="L1256" s="2"/>
      <c r="M1256" s="2" t="s">
        <v>10654</v>
      </c>
      <c r="N1256" s="2"/>
      <c r="O1256" s="2"/>
      <c r="P1256" s="2"/>
      <c r="Q1256" s="2"/>
    </row>
    <row r="1257" spans="1:17" x14ac:dyDescent="0.2">
      <c r="A1257" s="2" t="s">
        <v>1911</v>
      </c>
      <c r="B1257" s="2" t="s">
        <v>10655</v>
      </c>
      <c r="C1257" s="2" t="s">
        <v>5428</v>
      </c>
      <c r="D1257" s="2" t="s">
        <v>10656</v>
      </c>
      <c r="E1257" s="2" t="s">
        <v>5318</v>
      </c>
      <c r="F1257" s="2" t="s">
        <v>10657</v>
      </c>
      <c r="G1257" s="2" t="s">
        <v>5022</v>
      </c>
      <c r="H1257" s="2" t="s">
        <v>5023</v>
      </c>
      <c r="I1257" s="2" t="s">
        <v>10658</v>
      </c>
      <c r="J1257" s="2"/>
      <c r="K1257" s="2"/>
      <c r="L1257" s="2"/>
      <c r="M1257" s="2" t="s">
        <v>10659</v>
      </c>
      <c r="N1257" s="2"/>
      <c r="O1257" s="2"/>
      <c r="P1257" s="2"/>
      <c r="Q1257" s="2"/>
    </row>
    <row r="1258" spans="1:17" x14ac:dyDescent="0.2">
      <c r="A1258" s="2" t="s">
        <v>1455</v>
      </c>
      <c r="B1258" s="2" t="s">
        <v>10660</v>
      </c>
      <c r="C1258" s="2" t="s">
        <v>10661</v>
      </c>
      <c r="D1258" s="2" t="s">
        <v>5458</v>
      </c>
      <c r="E1258" s="2" t="s">
        <v>5160</v>
      </c>
      <c r="F1258" s="2" t="s">
        <v>9093</v>
      </c>
      <c r="G1258" s="2" t="s">
        <v>5022</v>
      </c>
      <c r="H1258" s="2" t="s">
        <v>5023</v>
      </c>
      <c r="I1258" s="2" t="s">
        <v>10662</v>
      </c>
      <c r="J1258" s="2"/>
      <c r="K1258" s="2"/>
      <c r="L1258" s="2"/>
      <c r="M1258" s="2"/>
      <c r="N1258" s="2"/>
      <c r="O1258" s="2"/>
      <c r="P1258" s="2"/>
      <c r="Q1258" s="2"/>
    </row>
    <row r="1259" spans="1:17" x14ac:dyDescent="0.2">
      <c r="A1259" s="2" t="s">
        <v>118</v>
      </c>
      <c r="B1259" s="2" t="s">
        <v>10663</v>
      </c>
      <c r="C1259" s="2" t="s">
        <v>5275</v>
      </c>
      <c r="D1259" s="2" t="s">
        <v>6367</v>
      </c>
      <c r="E1259" s="2" t="s">
        <v>6166</v>
      </c>
      <c r="F1259" s="2" t="s">
        <v>6727</v>
      </c>
      <c r="G1259" s="2" t="s">
        <v>5022</v>
      </c>
      <c r="H1259" s="2" t="s">
        <v>5023</v>
      </c>
      <c r="I1259" s="2" t="s">
        <v>10664</v>
      </c>
      <c r="J1259" s="2"/>
      <c r="K1259" s="2"/>
      <c r="L1259" s="2"/>
      <c r="M1259" s="2"/>
      <c r="N1259" s="2"/>
      <c r="O1259" s="2"/>
      <c r="P1259" s="2"/>
      <c r="Q1259" s="2"/>
    </row>
    <row r="1260" spans="1:17" x14ac:dyDescent="0.2">
      <c r="A1260" s="2" t="s">
        <v>1508</v>
      </c>
      <c r="B1260" s="2" t="s">
        <v>6101</v>
      </c>
      <c r="C1260" s="2" t="s">
        <v>8122</v>
      </c>
      <c r="D1260" s="2" t="s">
        <v>10665</v>
      </c>
      <c r="E1260" s="2" t="s">
        <v>6826</v>
      </c>
      <c r="F1260" s="2" t="s">
        <v>8953</v>
      </c>
      <c r="G1260" s="2" t="s">
        <v>5022</v>
      </c>
      <c r="H1260" s="2" t="s">
        <v>5023</v>
      </c>
      <c r="I1260" s="2"/>
      <c r="J1260" s="2"/>
      <c r="K1260" s="2" t="s">
        <v>10666</v>
      </c>
      <c r="L1260" s="2"/>
      <c r="M1260" s="2"/>
      <c r="N1260" s="2"/>
      <c r="O1260" s="2"/>
      <c r="P1260" s="2"/>
      <c r="Q1260" s="2"/>
    </row>
    <row r="1261" spans="1:17" x14ac:dyDescent="0.2">
      <c r="A1261" s="2" t="s">
        <v>3356</v>
      </c>
      <c r="B1261" s="2" t="s">
        <v>10667</v>
      </c>
      <c r="C1261" s="2" t="s">
        <v>8297</v>
      </c>
      <c r="D1261" s="2" t="s">
        <v>10668</v>
      </c>
      <c r="E1261" s="2" t="s">
        <v>10669</v>
      </c>
      <c r="F1261" s="2" t="s">
        <v>8522</v>
      </c>
      <c r="G1261" s="2" t="s">
        <v>5022</v>
      </c>
      <c r="H1261" s="2" t="s">
        <v>5023</v>
      </c>
      <c r="I1261" s="2" t="s">
        <v>10670</v>
      </c>
      <c r="J1261" s="2"/>
      <c r="K1261" s="2"/>
      <c r="L1261" s="2"/>
      <c r="M1261" s="2" t="s">
        <v>10671</v>
      </c>
      <c r="N1261" s="2"/>
      <c r="O1261" s="2"/>
      <c r="P1261" s="2"/>
      <c r="Q1261" s="2"/>
    </row>
    <row r="1262" spans="1:17" x14ac:dyDescent="0.2">
      <c r="A1262" s="2" t="s">
        <v>2468</v>
      </c>
      <c r="B1262" s="2" t="s">
        <v>10672</v>
      </c>
      <c r="C1262" s="2" t="s">
        <v>5275</v>
      </c>
      <c r="D1262" s="2" t="s">
        <v>5374</v>
      </c>
      <c r="E1262" s="2" t="s">
        <v>10673</v>
      </c>
      <c r="F1262" s="2" t="s">
        <v>10674</v>
      </c>
      <c r="G1262" s="2" t="s">
        <v>5022</v>
      </c>
      <c r="H1262" s="2" t="s">
        <v>5023</v>
      </c>
      <c r="I1262" s="2"/>
      <c r="J1262" s="2"/>
      <c r="K1262" s="2" t="s">
        <v>10675</v>
      </c>
      <c r="L1262" s="2"/>
      <c r="M1262" s="2"/>
      <c r="N1262" s="2"/>
      <c r="O1262" s="2"/>
      <c r="P1262" s="2"/>
      <c r="Q1262" s="2"/>
    </row>
    <row r="1263" spans="1:17" x14ac:dyDescent="0.2">
      <c r="A1263" s="2" t="s">
        <v>1120</v>
      </c>
      <c r="B1263" s="2" t="s">
        <v>10676</v>
      </c>
      <c r="C1263" s="2" t="s">
        <v>10677</v>
      </c>
      <c r="D1263" s="2" t="s">
        <v>5228</v>
      </c>
      <c r="E1263" s="2" t="s">
        <v>10678</v>
      </c>
      <c r="F1263" s="2" t="s">
        <v>6576</v>
      </c>
      <c r="G1263" s="2" t="s">
        <v>5022</v>
      </c>
      <c r="H1263" s="2" t="s">
        <v>5023</v>
      </c>
      <c r="I1263" s="2" t="s">
        <v>10679</v>
      </c>
      <c r="J1263" s="2" t="s">
        <v>9876</v>
      </c>
      <c r="K1263" s="2"/>
      <c r="L1263" s="2"/>
      <c r="M1263" s="2" t="s">
        <v>10680</v>
      </c>
      <c r="N1263" s="2"/>
      <c r="O1263" s="2"/>
      <c r="P1263" s="2"/>
      <c r="Q1263" s="2"/>
    </row>
    <row r="1264" spans="1:17" x14ac:dyDescent="0.2">
      <c r="A1264" s="2" t="s">
        <v>2009</v>
      </c>
      <c r="B1264" s="2" t="s">
        <v>5684</v>
      </c>
      <c r="C1264" s="2" t="s">
        <v>6076</v>
      </c>
      <c r="D1264" s="2" t="s">
        <v>9706</v>
      </c>
      <c r="E1264" s="2" t="s">
        <v>5600</v>
      </c>
      <c r="F1264" s="2" t="s">
        <v>7479</v>
      </c>
      <c r="G1264" s="2" t="s">
        <v>5022</v>
      </c>
      <c r="H1264" s="2" t="s">
        <v>5023</v>
      </c>
      <c r="I1264" s="2" t="s">
        <v>10681</v>
      </c>
      <c r="J1264" s="2"/>
      <c r="K1264" s="2"/>
      <c r="L1264" s="2"/>
      <c r="M1264" s="2" t="s">
        <v>10682</v>
      </c>
      <c r="N1264" s="2"/>
      <c r="O1264" s="2"/>
      <c r="P1264" s="2"/>
      <c r="Q1264" s="2"/>
    </row>
    <row r="1265" spans="1:17" x14ac:dyDescent="0.2">
      <c r="A1265" s="2" t="s">
        <v>3313</v>
      </c>
      <c r="B1265" s="2" t="s">
        <v>10683</v>
      </c>
      <c r="C1265" s="2" t="s">
        <v>10684</v>
      </c>
      <c r="D1265" s="2" t="s">
        <v>10685</v>
      </c>
      <c r="E1265" s="2" t="s">
        <v>10686</v>
      </c>
      <c r="F1265" s="2" t="s">
        <v>10687</v>
      </c>
      <c r="G1265" s="2" t="s">
        <v>5022</v>
      </c>
      <c r="H1265" s="2" t="s">
        <v>5023</v>
      </c>
      <c r="I1265" s="2" t="s">
        <v>10688</v>
      </c>
      <c r="J1265" s="2"/>
      <c r="K1265" s="2"/>
      <c r="L1265" s="2"/>
      <c r="M1265" s="2" t="s">
        <v>10689</v>
      </c>
      <c r="N1265" s="2"/>
      <c r="O1265" s="2"/>
      <c r="P1265" s="2"/>
      <c r="Q1265" s="2"/>
    </row>
    <row r="1266" spans="1:17" x14ac:dyDescent="0.2">
      <c r="A1266" s="2" t="s">
        <v>372</v>
      </c>
      <c r="B1266" s="2" t="s">
        <v>10690</v>
      </c>
      <c r="C1266" s="2" t="s">
        <v>10369</v>
      </c>
      <c r="D1266" s="2" t="s">
        <v>6052</v>
      </c>
      <c r="E1266" s="2" t="s">
        <v>10691</v>
      </c>
      <c r="F1266" s="2" t="s">
        <v>6130</v>
      </c>
      <c r="G1266" s="2" t="s">
        <v>5022</v>
      </c>
      <c r="H1266" s="2" t="s">
        <v>5023</v>
      </c>
      <c r="I1266" s="2" t="s">
        <v>10692</v>
      </c>
      <c r="J1266" s="2"/>
      <c r="K1266" s="2"/>
      <c r="L1266" s="2"/>
      <c r="M1266" s="2" t="s">
        <v>10693</v>
      </c>
      <c r="N1266" s="2"/>
      <c r="O1266" s="2"/>
      <c r="P1266" s="2"/>
      <c r="Q1266" s="2"/>
    </row>
    <row r="1267" spans="1:17" x14ac:dyDescent="0.2">
      <c r="A1267" s="2" t="s">
        <v>1441</v>
      </c>
      <c r="B1267" s="2" t="s">
        <v>10694</v>
      </c>
      <c r="C1267" s="2" t="s">
        <v>7000</v>
      </c>
      <c r="D1267" s="2" t="s">
        <v>5901</v>
      </c>
      <c r="E1267" s="2" t="s">
        <v>10695</v>
      </c>
      <c r="F1267" s="2" t="s">
        <v>10696</v>
      </c>
      <c r="G1267" s="2" t="s">
        <v>5022</v>
      </c>
      <c r="H1267" s="2" t="s">
        <v>9245</v>
      </c>
      <c r="I1267" s="2" t="s">
        <v>10697</v>
      </c>
      <c r="J1267" s="2"/>
      <c r="K1267" s="2"/>
      <c r="L1267" s="2"/>
      <c r="M1267" s="2"/>
      <c r="N1267" s="2"/>
      <c r="O1267" s="2"/>
      <c r="P1267" s="2"/>
      <c r="Q1267" s="2"/>
    </row>
    <row r="1268" spans="1:17" x14ac:dyDescent="0.2">
      <c r="A1268" s="2" t="s">
        <v>2455</v>
      </c>
      <c r="B1268" s="2" t="s">
        <v>10698</v>
      </c>
      <c r="C1268" s="2" t="s">
        <v>10699</v>
      </c>
      <c r="D1268" s="2" t="s">
        <v>7252</v>
      </c>
      <c r="E1268" s="2" t="s">
        <v>7369</v>
      </c>
      <c r="F1268" s="2" t="s">
        <v>6416</v>
      </c>
      <c r="G1268" s="2" t="s">
        <v>5022</v>
      </c>
      <c r="H1268" s="2" t="s">
        <v>5023</v>
      </c>
      <c r="I1268" s="2"/>
      <c r="J1268" s="2"/>
      <c r="K1268" s="2" t="s">
        <v>10700</v>
      </c>
      <c r="L1268" s="2"/>
      <c r="M1268" s="2"/>
      <c r="N1268" s="2"/>
      <c r="O1268" s="2"/>
      <c r="P1268" s="2"/>
      <c r="Q1268" s="2"/>
    </row>
    <row r="1269" spans="1:17" x14ac:dyDescent="0.2">
      <c r="A1269" s="2" t="s">
        <v>2625</v>
      </c>
      <c r="B1269" s="2" t="s">
        <v>10701</v>
      </c>
      <c r="C1269" s="2" t="s">
        <v>5369</v>
      </c>
      <c r="D1269" s="2" t="s">
        <v>5853</v>
      </c>
      <c r="E1269" s="2" t="s">
        <v>10702</v>
      </c>
      <c r="F1269" s="2" t="s">
        <v>10703</v>
      </c>
      <c r="G1269" s="2" t="s">
        <v>5022</v>
      </c>
      <c r="H1269" s="2" t="s">
        <v>5023</v>
      </c>
      <c r="I1269" s="2" t="s">
        <v>10704</v>
      </c>
      <c r="J1269" s="2"/>
      <c r="K1269" s="2"/>
      <c r="L1269" s="2"/>
      <c r="M1269" s="2"/>
      <c r="N1269" s="2"/>
      <c r="O1269" s="2"/>
      <c r="P1269" s="2"/>
      <c r="Q1269" s="2"/>
    </row>
    <row r="1270" spans="1:17" x14ac:dyDescent="0.2">
      <c r="A1270" s="2" t="s">
        <v>2259</v>
      </c>
      <c r="B1270" s="2" t="s">
        <v>10705</v>
      </c>
      <c r="C1270" s="2" t="s">
        <v>5125</v>
      </c>
      <c r="D1270" s="2" t="s">
        <v>10706</v>
      </c>
      <c r="E1270" s="2" t="s">
        <v>5100</v>
      </c>
      <c r="F1270" s="2" t="s">
        <v>6600</v>
      </c>
      <c r="G1270" s="2" t="s">
        <v>5022</v>
      </c>
      <c r="H1270" s="2" t="s">
        <v>5023</v>
      </c>
      <c r="I1270" s="2" t="s">
        <v>10707</v>
      </c>
      <c r="J1270" s="2"/>
      <c r="K1270" s="2"/>
      <c r="L1270" s="2"/>
      <c r="M1270" s="2" t="s">
        <v>10708</v>
      </c>
      <c r="N1270" s="2"/>
      <c r="O1270" s="2"/>
      <c r="P1270" s="2"/>
      <c r="Q1270" s="2"/>
    </row>
    <row r="1271" spans="1:17" x14ac:dyDescent="0.2">
      <c r="A1271" s="2" t="s">
        <v>4099</v>
      </c>
      <c r="B1271" s="2" t="s">
        <v>10709</v>
      </c>
      <c r="C1271" s="2" t="s">
        <v>8676</v>
      </c>
      <c r="D1271" s="2" t="s">
        <v>10710</v>
      </c>
      <c r="E1271" s="2" t="s">
        <v>8512</v>
      </c>
      <c r="F1271" s="2" t="s">
        <v>10711</v>
      </c>
      <c r="G1271" s="2" t="s">
        <v>5022</v>
      </c>
      <c r="H1271" s="2" t="s">
        <v>5023</v>
      </c>
      <c r="I1271" s="2" t="s">
        <v>10712</v>
      </c>
      <c r="J1271" s="2"/>
      <c r="K1271" s="2"/>
      <c r="L1271" s="2"/>
      <c r="M1271" s="2"/>
      <c r="N1271" s="2"/>
      <c r="O1271" s="2"/>
      <c r="P1271" s="2"/>
      <c r="Q1271" s="2"/>
    </row>
    <row r="1272" spans="1:17" x14ac:dyDescent="0.2">
      <c r="A1272" s="2" t="s">
        <v>3624</v>
      </c>
      <c r="B1272" s="2" t="s">
        <v>10713</v>
      </c>
      <c r="C1272" s="2" t="s">
        <v>10714</v>
      </c>
      <c r="D1272" s="2" t="s">
        <v>9723</v>
      </c>
      <c r="E1272" s="2" t="s">
        <v>10715</v>
      </c>
      <c r="F1272" s="2" t="s">
        <v>6269</v>
      </c>
      <c r="G1272" s="2" t="s">
        <v>5022</v>
      </c>
      <c r="H1272" s="2" t="s">
        <v>5023</v>
      </c>
      <c r="I1272" s="2" t="s">
        <v>10716</v>
      </c>
      <c r="J1272" s="2"/>
      <c r="K1272" s="2"/>
      <c r="L1272" s="2"/>
      <c r="M1272" s="2" t="s">
        <v>10717</v>
      </c>
      <c r="N1272" s="2"/>
      <c r="O1272" s="2"/>
      <c r="P1272" s="2"/>
      <c r="Q1272" s="2"/>
    </row>
    <row r="1273" spans="1:17" x14ac:dyDescent="0.2">
      <c r="A1273" s="2" t="s">
        <v>1669</v>
      </c>
      <c r="B1273" s="2" t="s">
        <v>10718</v>
      </c>
      <c r="C1273" s="2" t="s">
        <v>6261</v>
      </c>
      <c r="D1273" s="2" t="s">
        <v>5189</v>
      </c>
      <c r="E1273" s="2" t="s">
        <v>10719</v>
      </c>
      <c r="F1273" s="2" t="s">
        <v>8508</v>
      </c>
      <c r="G1273" s="2" t="s">
        <v>5022</v>
      </c>
      <c r="H1273" s="2" t="s">
        <v>5023</v>
      </c>
      <c r="I1273" s="2" t="s">
        <v>10720</v>
      </c>
      <c r="J1273" s="2"/>
      <c r="K1273" s="2"/>
      <c r="L1273" s="2"/>
      <c r="M1273" s="2"/>
      <c r="N1273" s="2"/>
      <c r="O1273" s="2"/>
      <c r="P1273" s="2"/>
      <c r="Q1273" s="2"/>
    </row>
    <row r="1274" spans="1:17" x14ac:dyDescent="0.2">
      <c r="A1274" s="2" t="s">
        <v>1223</v>
      </c>
      <c r="B1274" s="2" t="s">
        <v>6110</v>
      </c>
      <c r="C1274" s="2" t="s">
        <v>5269</v>
      </c>
      <c r="D1274" s="2" t="s">
        <v>10721</v>
      </c>
      <c r="E1274" s="2" t="s">
        <v>10722</v>
      </c>
      <c r="F1274" s="2" t="s">
        <v>10723</v>
      </c>
      <c r="G1274" s="2" t="s">
        <v>5022</v>
      </c>
      <c r="H1274" s="2" t="s">
        <v>5023</v>
      </c>
      <c r="I1274" s="2" t="s">
        <v>10724</v>
      </c>
      <c r="J1274" s="2"/>
      <c r="K1274" s="2"/>
      <c r="L1274" s="2"/>
      <c r="M1274" s="2" t="s">
        <v>10725</v>
      </c>
      <c r="N1274" s="2"/>
      <c r="O1274" s="2"/>
      <c r="P1274" s="2"/>
      <c r="Q1274" s="2"/>
    </row>
    <row r="1275" spans="1:17" x14ac:dyDescent="0.2">
      <c r="A1275" s="2" t="s">
        <v>3793</v>
      </c>
      <c r="B1275" s="2" t="s">
        <v>10726</v>
      </c>
      <c r="C1275" s="2" t="s">
        <v>9427</v>
      </c>
      <c r="D1275" s="2" t="s">
        <v>9427</v>
      </c>
      <c r="E1275" s="2" t="s">
        <v>6064</v>
      </c>
      <c r="F1275" s="2" t="s">
        <v>8467</v>
      </c>
      <c r="G1275" s="2" t="s">
        <v>5022</v>
      </c>
      <c r="H1275" s="2" t="s">
        <v>5023</v>
      </c>
      <c r="I1275" s="2" t="s">
        <v>10727</v>
      </c>
      <c r="J1275" s="2"/>
      <c r="K1275" s="2"/>
      <c r="L1275" s="2"/>
      <c r="M1275" s="2" t="s">
        <v>10728</v>
      </c>
      <c r="N1275" s="2"/>
      <c r="O1275" s="2"/>
      <c r="P1275" s="2"/>
      <c r="Q1275" s="2"/>
    </row>
    <row r="1276" spans="1:17" x14ac:dyDescent="0.2">
      <c r="A1276" s="2" t="s">
        <v>3088</v>
      </c>
      <c r="B1276" s="2" t="s">
        <v>2575</v>
      </c>
      <c r="C1276" s="2" t="s">
        <v>5481</v>
      </c>
      <c r="D1276" s="2" t="s">
        <v>5649</v>
      </c>
      <c r="E1276" s="2" t="s">
        <v>8682</v>
      </c>
      <c r="F1276" s="2" t="s">
        <v>6258</v>
      </c>
      <c r="G1276" s="2" t="s">
        <v>5022</v>
      </c>
      <c r="H1276" s="2" t="s">
        <v>5023</v>
      </c>
      <c r="I1276" s="2" t="s">
        <v>10729</v>
      </c>
      <c r="J1276" s="2"/>
      <c r="K1276" s="2"/>
      <c r="L1276" s="2"/>
      <c r="M1276" s="2" t="s">
        <v>10730</v>
      </c>
      <c r="N1276" s="2"/>
      <c r="O1276" s="2"/>
      <c r="P1276" s="2"/>
      <c r="Q1276" s="2"/>
    </row>
    <row r="1277" spans="1:17" x14ac:dyDescent="0.2">
      <c r="A1277" s="2" t="s">
        <v>2817</v>
      </c>
      <c r="B1277" s="2" t="s">
        <v>10731</v>
      </c>
      <c r="C1277" s="2" t="s">
        <v>10732</v>
      </c>
      <c r="D1277" s="2" t="s">
        <v>10733</v>
      </c>
      <c r="E1277" s="2" t="s">
        <v>10734</v>
      </c>
      <c r="F1277" s="2" t="s">
        <v>10735</v>
      </c>
      <c r="G1277" s="2" t="s">
        <v>5022</v>
      </c>
      <c r="H1277" s="2" t="s">
        <v>5023</v>
      </c>
      <c r="I1277" s="2" t="s">
        <v>10736</v>
      </c>
      <c r="J1277" s="2"/>
      <c r="K1277" s="2"/>
      <c r="L1277" s="2"/>
      <c r="M1277" s="2"/>
      <c r="N1277" s="2"/>
      <c r="O1277" s="2"/>
      <c r="P1277" s="2"/>
      <c r="Q1277" s="2"/>
    </row>
    <row r="1278" spans="1:17" x14ac:dyDescent="0.2">
      <c r="A1278" s="2" t="s">
        <v>4392</v>
      </c>
      <c r="B1278" s="2" t="s">
        <v>10737</v>
      </c>
      <c r="C1278" s="2" t="s">
        <v>7182</v>
      </c>
      <c r="D1278" s="2" t="s">
        <v>5911</v>
      </c>
      <c r="E1278" s="2" t="s">
        <v>10738</v>
      </c>
      <c r="F1278" s="2" t="s">
        <v>10739</v>
      </c>
      <c r="G1278" s="2" t="s">
        <v>5022</v>
      </c>
      <c r="H1278" s="2" t="s">
        <v>5023</v>
      </c>
      <c r="I1278" s="2" t="s">
        <v>10740</v>
      </c>
      <c r="J1278" s="2"/>
      <c r="K1278" s="2"/>
      <c r="L1278" s="2"/>
      <c r="M1278" s="2" t="s">
        <v>10741</v>
      </c>
      <c r="N1278" s="2"/>
      <c r="O1278" s="2"/>
      <c r="P1278" s="2"/>
      <c r="Q1278" s="2"/>
    </row>
    <row r="1279" spans="1:17" x14ac:dyDescent="0.2">
      <c r="A1279" s="2" t="s">
        <v>3072</v>
      </c>
      <c r="B1279" s="2" t="s">
        <v>5038</v>
      </c>
      <c r="C1279" s="2" t="s">
        <v>5193</v>
      </c>
      <c r="D1279" s="2" t="s">
        <v>5293</v>
      </c>
      <c r="E1279" s="2" t="s">
        <v>10742</v>
      </c>
      <c r="F1279" s="2" t="s">
        <v>10703</v>
      </c>
      <c r="G1279" s="2" t="s">
        <v>5022</v>
      </c>
      <c r="H1279" s="2" t="s">
        <v>5023</v>
      </c>
      <c r="I1279" s="2"/>
      <c r="J1279" s="2"/>
      <c r="K1279" s="2" t="s">
        <v>10704</v>
      </c>
      <c r="L1279" s="2"/>
      <c r="M1279" s="2"/>
      <c r="N1279" s="2"/>
      <c r="O1279" s="2"/>
      <c r="P1279" s="2"/>
      <c r="Q1279" s="2"/>
    </row>
    <row r="1280" spans="1:17" x14ac:dyDescent="0.2">
      <c r="A1280" s="2" t="s">
        <v>152</v>
      </c>
      <c r="B1280" s="2" t="s">
        <v>10743</v>
      </c>
      <c r="C1280" s="2" t="s">
        <v>7556</v>
      </c>
      <c r="D1280" s="2" t="s">
        <v>5701</v>
      </c>
      <c r="E1280" s="2" t="s">
        <v>7471</v>
      </c>
      <c r="F1280" s="2" t="s">
        <v>5078</v>
      </c>
      <c r="G1280" s="2" t="s">
        <v>5022</v>
      </c>
      <c r="H1280" s="2" t="s">
        <v>5023</v>
      </c>
      <c r="I1280" s="2" t="s">
        <v>10744</v>
      </c>
      <c r="J1280" s="2"/>
      <c r="K1280" s="2"/>
      <c r="L1280" s="2"/>
      <c r="M1280" s="2"/>
      <c r="N1280" s="2"/>
      <c r="O1280" s="2"/>
      <c r="P1280" s="2"/>
      <c r="Q1280" s="2"/>
    </row>
    <row r="1281" spans="1:17" x14ac:dyDescent="0.2">
      <c r="A1281" s="2" t="s">
        <v>3657</v>
      </c>
      <c r="B1281" s="2" t="s">
        <v>4148</v>
      </c>
      <c r="C1281" s="2" t="s">
        <v>10745</v>
      </c>
      <c r="D1281" s="2" t="s">
        <v>6228</v>
      </c>
      <c r="E1281" s="2" t="s">
        <v>10746</v>
      </c>
      <c r="F1281" s="2" t="s">
        <v>6054</v>
      </c>
      <c r="G1281" s="2" t="s">
        <v>5022</v>
      </c>
      <c r="H1281" s="2" t="s">
        <v>5023</v>
      </c>
      <c r="I1281" s="2"/>
      <c r="J1281" s="2"/>
      <c r="K1281" s="2" t="s">
        <v>10747</v>
      </c>
      <c r="L1281" s="2"/>
      <c r="M1281" s="2"/>
      <c r="N1281" s="2"/>
      <c r="O1281" s="2"/>
      <c r="P1281" s="2"/>
      <c r="Q1281" s="2"/>
    </row>
    <row r="1282" spans="1:17" x14ac:dyDescent="0.2">
      <c r="A1282" s="2" t="s">
        <v>1901</v>
      </c>
      <c r="B1282" s="2" t="s">
        <v>98</v>
      </c>
      <c r="C1282" s="2" t="s">
        <v>7252</v>
      </c>
      <c r="D1282" s="2" t="s">
        <v>6409</v>
      </c>
      <c r="E1282" s="2" t="s">
        <v>10748</v>
      </c>
      <c r="F1282" s="2" t="s">
        <v>6949</v>
      </c>
      <c r="G1282" s="2" t="s">
        <v>5022</v>
      </c>
      <c r="H1282" s="2" t="s">
        <v>5023</v>
      </c>
      <c r="I1282" s="2"/>
      <c r="J1282" s="2"/>
      <c r="K1282" s="2" t="s">
        <v>10749</v>
      </c>
      <c r="L1282" s="2"/>
      <c r="M1282" s="2"/>
      <c r="N1282" s="2"/>
      <c r="O1282" s="2"/>
      <c r="P1282" s="2"/>
      <c r="Q1282" s="2"/>
    </row>
    <row r="1283" spans="1:17" x14ac:dyDescent="0.2">
      <c r="A1283" s="2" t="s">
        <v>1850</v>
      </c>
      <c r="B1283" s="2" t="s">
        <v>10750</v>
      </c>
      <c r="C1283" s="2" t="s">
        <v>10751</v>
      </c>
      <c r="D1283" s="2" t="s">
        <v>5028</v>
      </c>
      <c r="E1283" s="2" t="s">
        <v>10752</v>
      </c>
      <c r="F1283" s="2" t="s">
        <v>10753</v>
      </c>
      <c r="G1283" s="2" t="s">
        <v>5022</v>
      </c>
      <c r="H1283" s="2" t="s">
        <v>5023</v>
      </c>
      <c r="I1283" s="2" t="s">
        <v>10754</v>
      </c>
      <c r="J1283" s="2" t="s">
        <v>10755</v>
      </c>
      <c r="K1283" s="2"/>
      <c r="L1283" s="2"/>
      <c r="M1283" s="2"/>
      <c r="N1283" s="2"/>
      <c r="O1283" s="2"/>
      <c r="P1283" s="2"/>
      <c r="Q1283" s="2"/>
    </row>
    <row r="1284" spans="1:17" x14ac:dyDescent="0.2">
      <c r="A1284" s="2" t="s">
        <v>4647</v>
      </c>
      <c r="B1284" s="2" t="s">
        <v>10756</v>
      </c>
      <c r="C1284" s="2" t="s">
        <v>6995</v>
      </c>
      <c r="D1284" s="2" t="s">
        <v>6228</v>
      </c>
      <c r="E1284" s="2" t="s">
        <v>10757</v>
      </c>
      <c r="F1284" s="2" t="s">
        <v>10758</v>
      </c>
      <c r="G1284" s="2" t="s">
        <v>5022</v>
      </c>
      <c r="H1284" s="2" t="s">
        <v>5023</v>
      </c>
      <c r="I1284" s="2" t="s">
        <v>10759</v>
      </c>
      <c r="J1284" s="2"/>
      <c r="K1284" s="2"/>
      <c r="L1284" s="2"/>
      <c r="M1284" s="2" t="s">
        <v>10760</v>
      </c>
      <c r="N1284" s="2"/>
      <c r="O1284" s="2"/>
      <c r="P1284" s="2"/>
      <c r="Q1284" s="2"/>
    </row>
    <row r="1285" spans="1:17" x14ac:dyDescent="0.2">
      <c r="A1285" s="2" t="s">
        <v>3204</v>
      </c>
      <c r="B1285" s="2" t="s">
        <v>10761</v>
      </c>
      <c r="C1285" s="2" t="s">
        <v>5922</v>
      </c>
      <c r="D1285" s="2" t="s">
        <v>5081</v>
      </c>
      <c r="E1285" s="2" t="s">
        <v>10762</v>
      </c>
      <c r="F1285" s="2" t="s">
        <v>10763</v>
      </c>
      <c r="G1285" s="2" t="s">
        <v>5022</v>
      </c>
      <c r="H1285" s="2" t="s">
        <v>5023</v>
      </c>
      <c r="I1285" s="2" t="s">
        <v>10764</v>
      </c>
      <c r="J1285" s="2"/>
      <c r="K1285" s="2"/>
      <c r="L1285" s="2"/>
      <c r="M1285" s="2" t="s">
        <v>10765</v>
      </c>
      <c r="N1285" s="2"/>
      <c r="O1285" s="2"/>
      <c r="P1285" s="2"/>
      <c r="Q1285" s="2"/>
    </row>
    <row r="1286" spans="1:17" x14ac:dyDescent="0.2">
      <c r="A1286" s="2" t="s">
        <v>2333</v>
      </c>
      <c r="B1286" s="2" t="s">
        <v>8057</v>
      </c>
      <c r="C1286" s="2" t="s">
        <v>10766</v>
      </c>
      <c r="D1286" s="2" t="s">
        <v>9683</v>
      </c>
      <c r="E1286" s="2" t="s">
        <v>7751</v>
      </c>
      <c r="F1286" s="2" t="s">
        <v>5185</v>
      </c>
      <c r="G1286" s="2" t="s">
        <v>5022</v>
      </c>
      <c r="H1286" s="2" t="s">
        <v>5023</v>
      </c>
      <c r="I1286" s="2"/>
      <c r="J1286" s="2"/>
      <c r="K1286" s="2" t="s">
        <v>10767</v>
      </c>
      <c r="L1286" s="2"/>
      <c r="M1286" s="2"/>
      <c r="N1286" s="2"/>
      <c r="O1286" s="2"/>
      <c r="P1286" s="2"/>
      <c r="Q1286" s="2"/>
    </row>
    <row r="1287" spans="1:17" x14ac:dyDescent="0.2">
      <c r="A1287" s="2" t="s">
        <v>337</v>
      </c>
      <c r="B1287" s="2" t="s">
        <v>10768</v>
      </c>
      <c r="C1287" s="2" t="s">
        <v>7898</v>
      </c>
      <c r="D1287" s="2" t="s">
        <v>5126</v>
      </c>
      <c r="E1287" s="2" t="s">
        <v>10769</v>
      </c>
      <c r="F1287" s="2" t="s">
        <v>7462</v>
      </c>
      <c r="G1287" s="2" t="s">
        <v>5022</v>
      </c>
      <c r="H1287" s="2" t="s">
        <v>5023</v>
      </c>
      <c r="I1287" s="2" t="s">
        <v>10770</v>
      </c>
      <c r="J1287" s="2"/>
      <c r="K1287" s="2"/>
      <c r="L1287" s="2"/>
      <c r="M1287" s="2" t="s">
        <v>10771</v>
      </c>
      <c r="N1287" s="2"/>
      <c r="O1287" s="2"/>
      <c r="P1287" s="2"/>
      <c r="Q1287" s="2"/>
    </row>
    <row r="1288" spans="1:17" x14ac:dyDescent="0.2">
      <c r="A1288" s="2" t="s">
        <v>2193</v>
      </c>
      <c r="B1288" s="2" t="s">
        <v>5739</v>
      </c>
      <c r="C1288" s="2" t="s">
        <v>5880</v>
      </c>
      <c r="D1288" s="2" t="s">
        <v>5906</v>
      </c>
      <c r="E1288" s="2" t="s">
        <v>6019</v>
      </c>
      <c r="F1288" s="2" t="s">
        <v>10772</v>
      </c>
      <c r="G1288" s="2" t="s">
        <v>5022</v>
      </c>
      <c r="H1288" s="2" t="s">
        <v>5023</v>
      </c>
      <c r="I1288" s="2" t="s">
        <v>10773</v>
      </c>
      <c r="J1288" s="2"/>
      <c r="K1288" s="2"/>
      <c r="L1288" s="2"/>
      <c r="M1288" s="2"/>
      <c r="N1288" s="2"/>
      <c r="O1288" s="2"/>
      <c r="P1288" s="2"/>
      <c r="Q1288" s="2"/>
    </row>
    <row r="1289" spans="1:17" x14ac:dyDescent="0.2">
      <c r="A1289" s="2" t="s">
        <v>854</v>
      </c>
      <c r="B1289" s="2" t="s">
        <v>10774</v>
      </c>
      <c r="C1289" s="2" t="s">
        <v>10775</v>
      </c>
      <c r="D1289" s="2" t="s">
        <v>6604</v>
      </c>
      <c r="E1289" s="2" t="s">
        <v>5624</v>
      </c>
      <c r="F1289" s="2" t="s">
        <v>7023</v>
      </c>
      <c r="G1289" s="2" t="s">
        <v>5022</v>
      </c>
      <c r="H1289" s="2" t="s">
        <v>5023</v>
      </c>
      <c r="I1289" s="2" t="s">
        <v>10776</v>
      </c>
      <c r="J1289" s="2"/>
      <c r="K1289" s="2"/>
      <c r="L1289" s="2"/>
      <c r="M1289" s="2"/>
      <c r="N1289" s="2"/>
      <c r="O1289" s="2"/>
      <c r="P1289" s="2"/>
      <c r="Q1289" s="2"/>
    </row>
    <row r="1290" spans="1:17" x14ac:dyDescent="0.2">
      <c r="A1290" s="2" t="s">
        <v>4389</v>
      </c>
      <c r="B1290" s="2" t="s">
        <v>9746</v>
      </c>
      <c r="C1290" s="2" t="s">
        <v>8726</v>
      </c>
      <c r="D1290" s="2" t="s">
        <v>5323</v>
      </c>
      <c r="E1290" s="2" t="s">
        <v>5172</v>
      </c>
      <c r="F1290" s="2" t="s">
        <v>8192</v>
      </c>
      <c r="G1290" s="2" t="s">
        <v>5022</v>
      </c>
      <c r="H1290" s="2" t="s">
        <v>5023</v>
      </c>
      <c r="I1290" s="2" t="s">
        <v>10777</v>
      </c>
      <c r="J1290" s="2"/>
      <c r="K1290" s="2"/>
      <c r="L1290" s="2"/>
      <c r="M1290" s="2" t="s">
        <v>10778</v>
      </c>
      <c r="N1290" s="2"/>
      <c r="O1290" s="2"/>
      <c r="P1290" s="2"/>
      <c r="Q1290" s="2"/>
    </row>
    <row r="1291" spans="1:17" x14ac:dyDescent="0.2">
      <c r="A1291" s="2" t="s">
        <v>4724</v>
      </c>
      <c r="B1291" s="2" t="s">
        <v>10779</v>
      </c>
      <c r="C1291" s="2" t="s">
        <v>9477</v>
      </c>
      <c r="D1291" s="2" t="s">
        <v>9331</v>
      </c>
      <c r="E1291" s="2" t="s">
        <v>10780</v>
      </c>
      <c r="F1291" s="2" t="s">
        <v>10781</v>
      </c>
      <c r="G1291" s="2" t="s">
        <v>5022</v>
      </c>
      <c r="H1291" s="2" t="s">
        <v>5023</v>
      </c>
      <c r="I1291" s="2" t="s">
        <v>10782</v>
      </c>
      <c r="J1291" s="2"/>
      <c r="K1291" s="2"/>
      <c r="L1291" s="2"/>
      <c r="M1291" s="2" t="s">
        <v>10783</v>
      </c>
      <c r="N1291" s="2"/>
      <c r="O1291" s="2"/>
      <c r="P1291" s="2"/>
      <c r="Q1291" s="2"/>
    </row>
    <row r="1292" spans="1:17" x14ac:dyDescent="0.2">
      <c r="A1292" s="2" t="s">
        <v>400</v>
      </c>
      <c r="B1292" s="2" t="s">
        <v>10627</v>
      </c>
      <c r="C1292" s="2" t="s">
        <v>5374</v>
      </c>
      <c r="D1292" s="2" t="s">
        <v>7391</v>
      </c>
      <c r="E1292" s="2" t="s">
        <v>10086</v>
      </c>
      <c r="F1292" s="2" t="s">
        <v>9771</v>
      </c>
      <c r="G1292" s="2" t="s">
        <v>5022</v>
      </c>
      <c r="H1292" s="2" t="s">
        <v>5023</v>
      </c>
      <c r="I1292" s="2" t="s">
        <v>10784</v>
      </c>
      <c r="J1292" s="2"/>
      <c r="K1292" s="2"/>
      <c r="L1292" s="2"/>
      <c r="M1292" s="2" t="s">
        <v>10785</v>
      </c>
      <c r="N1292" s="2"/>
      <c r="O1292" s="2"/>
      <c r="P1292" s="2"/>
      <c r="Q1292" s="2"/>
    </row>
    <row r="1293" spans="1:17" x14ac:dyDescent="0.2">
      <c r="A1293" s="2" t="s">
        <v>3370</v>
      </c>
      <c r="B1293" s="2" t="s">
        <v>10502</v>
      </c>
      <c r="C1293" s="2" t="s">
        <v>5667</v>
      </c>
      <c r="D1293" s="2" t="s">
        <v>6726</v>
      </c>
      <c r="E1293" s="2" t="s">
        <v>10786</v>
      </c>
      <c r="F1293" s="2" t="s">
        <v>10787</v>
      </c>
      <c r="G1293" s="2" t="s">
        <v>5022</v>
      </c>
      <c r="H1293" s="2" t="s">
        <v>5023</v>
      </c>
      <c r="I1293" s="2" t="s">
        <v>10788</v>
      </c>
      <c r="J1293" s="2"/>
      <c r="K1293" s="2"/>
      <c r="L1293" s="2"/>
      <c r="M1293" s="2" t="s">
        <v>10789</v>
      </c>
      <c r="N1293" s="2"/>
      <c r="O1293" s="2"/>
      <c r="P1293" s="2"/>
      <c r="Q1293" s="2"/>
    </row>
    <row r="1294" spans="1:17" x14ac:dyDescent="0.2">
      <c r="A1294" s="2" t="s">
        <v>4630</v>
      </c>
      <c r="B1294" s="2" t="s">
        <v>10790</v>
      </c>
      <c r="C1294" s="2" t="s">
        <v>10791</v>
      </c>
      <c r="D1294" s="2" t="s">
        <v>7802</v>
      </c>
      <c r="E1294" s="2" t="s">
        <v>5094</v>
      </c>
      <c r="F1294" s="2" t="s">
        <v>7726</v>
      </c>
      <c r="G1294" s="2" t="s">
        <v>5022</v>
      </c>
      <c r="H1294" s="2" t="s">
        <v>5023</v>
      </c>
      <c r="I1294" s="2" t="s">
        <v>10792</v>
      </c>
      <c r="J1294" s="2"/>
      <c r="K1294" s="2"/>
      <c r="L1294" s="2"/>
      <c r="M1294" s="2"/>
      <c r="N1294" s="2"/>
      <c r="O1294" s="2"/>
      <c r="P1294" s="2"/>
      <c r="Q1294" s="2"/>
    </row>
    <row r="1295" spans="1:17" x14ac:dyDescent="0.2">
      <c r="A1295" s="2" t="s">
        <v>104</v>
      </c>
      <c r="B1295" s="2" t="s">
        <v>9629</v>
      </c>
      <c r="C1295" s="2" t="s">
        <v>5374</v>
      </c>
      <c r="D1295" s="2" t="s">
        <v>5158</v>
      </c>
      <c r="E1295" s="2" t="s">
        <v>10793</v>
      </c>
      <c r="F1295" s="2" t="s">
        <v>6732</v>
      </c>
      <c r="G1295" s="2" t="s">
        <v>5022</v>
      </c>
      <c r="H1295" s="2" t="s">
        <v>5023</v>
      </c>
      <c r="I1295" s="2" t="s">
        <v>10794</v>
      </c>
      <c r="J1295" s="2"/>
      <c r="K1295" s="2"/>
      <c r="L1295" s="2"/>
      <c r="M1295" s="2" t="s">
        <v>10795</v>
      </c>
      <c r="N1295" s="2"/>
      <c r="O1295" s="2"/>
      <c r="P1295" s="2"/>
      <c r="Q1295" s="2"/>
    </row>
    <row r="1296" spans="1:17" x14ac:dyDescent="0.2">
      <c r="A1296" s="2" t="s">
        <v>901</v>
      </c>
      <c r="B1296" s="2" t="s">
        <v>10796</v>
      </c>
      <c r="C1296" s="2" t="s">
        <v>5997</v>
      </c>
      <c r="D1296" s="2" t="s">
        <v>10797</v>
      </c>
      <c r="E1296" s="2" t="s">
        <v>6053</v>
      </c>
      <c r="F1296" s="2" t="s">
        <v>8098</v>
      </c>
      <c r="G1296" s="2" t="s">
        <v>5022</v>
      </c>
      <c r="H1296" s="2" t="s">
        <v>5023</v>
      </c>
      <c r="I1296" s="2"/>
      <c r="J1296" s="2"/>
      <c r="K1296" s="2" t="s">
        <v>10798</v>
      </c>
      <c r="L1296" s="2"/>
      <c r="M1296" s="2" t="s">
        <v>10799</v>
      </c>
      <c r="N1296" s="2"/>
      <c r="O1296" s="2"/>
      <c r="P1296" s="2"/>
      <c r="Q1296" s="2"/>
    </row>
    <row r="1297" spans="1:17" x14ac:dyDescent="0.2">
      <c r="A1297" s="2" t="s">
        <v>4928</v>
      </c>
      <c r="B1297" s="2" t="s">
        <v>10800</v>
      </c>
      <c r="C1297" s="2" t="s">
        <v>6076</v>
      </c>
      <c r="D1297" s="2" t="s">
        <v>10561</v>
      </c>
      <c r="E1297" s="2" t="s">
        <v>10108</v>
      </c>
      <c r="F1297" s="2" t="s">
        <v>10109</v>
      </c>
      <c r="G1297" s="2" t="s">
        <v>5022</v>
      </c>
      <c r="H1297" s="2" t="s">
        <v>5023</v>
      </c>
      <c r="I1297" s="2" t="s">
        <v>10801</v>
      </c>
      <c r="J1297" s="2"/>
      <c r="K1297" s="2"/>
      <c r="L1297" s="2"/>
      <c r="M1297" s="2"/>
      <c r="N1297" s="2"/>
      <c r="O1297" s="2"/>
      <c r="P1297" s="2"/>
      <c r="Q1297" s="2"/>
    </row>
    <row r="1298" spans="1:17" x14ac:dyDescent="0.2">
      <c r="A1298" s="2" t="s">
        <v>1548</v>
      </c>
      <c r="B1298" s="2" t="s">
        <v>10074</v>
      </c>
      <c r="C1298" s="2" t="s">
        <v>8685</v>
      </c>
      <c r="D1298" s="2" t="s">
        <v>5081</v>
      </c>
      <c r="E1298" s="2" t="s">
        <v>5230</v>
      </c>
      <c r="F1298" s="2" t="s">
        <v>10802</v>
      </c>
      <c r="G1298" s="2" t="s">
        <v>5022</v>
      </c>
      <c r="H1298" s="2" t="s">
        <v>5023</v>
      </c>
      <c r="I1298" s="2" t="s">
        <v>10803</v>
      </c>
      <c r="J1298" s="2"/>
      <c r="K1298" s="2"/>
      <c r="L1298" s="2"/>
      <c r="M1298" s="2"/>
      <c r="N1298" s="2"/>
      <c r="O1298" s="2"/>
      <c r="P1298" s="2"/>
      <c r="Q1298" s="2"/>
    </row>
    <row r="1299" spans="1:17" x14ac:dyDescent="0.2">
      <c r="A1299" s="2" t="s">
        <v>1789</v>
      </c>
      <c r="B1299" s="2" t="s">
        <v>9597</v>
      </c>
      <c r="C1299" s="2" t="s">
        <v>9044</v>
      </c>
      <c r="D1299" s="2" t="s">
        <v>10804</v>
      </c>
      <c r="E1299" s="2" t="s">
        <v>10805</v>
      </c>
      <c r="F1299" s="2" t="s">
        <v>6000</v>
      </c>
      <c r="G1299" s="2" t="s">
        <v>5022</v>
      </c>
      <c r="H1299" s="2" t="s">
        <v>5023</v>
      </c>
      <c r="I1299" s="2"/>
      <c r="J1299" s="2"/>
      <c r="K1299" s="2" t="s">
        <v>10806</v>
      </c>
      <c r="L1299" s="2"/>
      <c r="M1299" s="2"/>
      <c r="N1299" s="2"/>
      <c r="O1299" s="2"/>
      <c r="P1299" s="2"/>
      <c r="Q1299" s="2"/>
    </row>
    <row r="1300" spans="1:17" x14ac:dyDescent="0.2">
      <c r="A1300" s="2" t="s">
        <v>2534</v>
      </c>
      <c r="B1300" s="2" t="s">
        <v>551</v>
      </c>
      <c r="C1300" s="2" t="s">
        <v>10807</v>
      </c>
      <c r="D1300" s="2" t="s">
        <v>10808</v>
      </c>
      <c r="E1300" s="2" t="s">
        <v>9147</v>
      </c>
      <c r="F1300" s="2" t="s">
        <v>5371</v>
      </c>
      <c r="G1300" s="2" t="s">
        <v>5022</v>
      </c>
      <c r="H1300" s="2" t="s">
        <v>5023</v>
      </c>
      <c r="I1300" s="2"/>
      <c r="J1300" s="2"/>
      <c r="K1300" s="2" t="s">
        <v>10809</v>
      </c>
      <c r="L1300" s="2"/>
      <c r="M1300" s="2"/>
      <c r="N1300" s="2"/>
      <c r="O1300" s="2"/>
      <c r="P1300" s="2"/>
      <c r="Q1300" s="2"/>
    </row>
    <row r="1301" spans="1:17" x14ac:dyDescent="0.2">
      <c r="A1301" s="2" t="s">
        <v>397</v>
      </c>
      <c r="B1301" s="2" t="s">
        <v>10810</v>
      </c>
      <c r="C1301" s="2" t="s">
        <v>10811</v>
      </c>
      <c r="D1301" s="2" t="s">
        <v>5657</v>
      </c>
      <c r="E1301" s="2" t="s">
        <v>7461</v>
      </c>
      <c r="F1301" s="2" t="s">
        <v>10812</v>
      </c>
      <c r="G1301" s="2" t="s">
        <v>5022</v>
      </c>
      <c r="H1301" s="2" t="s">
        <v>5023</v>
      </c>
      <c r="I1301" s="2" t="s">
        <v>10813</v>
      </c>
      <c r="J1301" s="2"/>
      <c r="K1301" s="2"/>
      <c r="L1301" s="2"/>
      <c r="M1301" s="2" t="s">
        <v>10814</v>
      </c>
      <c r="N1301" s="2"/>
      <c r="O1301" s="2"/>
      <c r="P1301" s="2"/>
      <c r="Q1301" s="2"/>
    </row>
    <row r="1302" spans="1:17" x14ac:dyDescent="0.2">
      <c r="A1302" s="2" t="s">
        <v>4600</v>
      </c>
      <c r="B1302" s="2" t="s">
        <v>10815</v>
      </c>
      <c r="C1302" s="2" t="s">
        <v>10816</v>
      </c>
      <c r="D1302" s="2" t="s">
        <v>7822</v>
      </c>
      <c r="E1302" s="2" t="s">
        <v>8938</v>
      </c>
      <c r="F1302" s="2" t="s">
        <v>10238</v>
      </c>
      <c r="G1302" s="2" t="s">
        <v>5022</v>
      </c>
      <c r="H1302" s="2" t="s">
        <v>5023</v>
      </c>
      <c r="I1302" s="2" t="s">
        <v>10817</v>
      </c>
      <c r="J1302" s="2"/>
      <c r="K1302" s="2"/>
      <c r="L1302" s="2"/>
      <c r="M1302" s="2" t="s">
        <v>10818</v>
      </c>
      <c r="N1302" s="2"/>
      <c r="O1302" s="2"/>
      <c r="P1302" s="2"/>
      <c r="Q1302" s="2"/>
    </row>
    <row r="1303" spans="1:17" x14ac:dyDescent="0.2">
      <c r="A1303" s="2" t="s">
        <v>4842</v>
      </c>
      <c r="B1303" s="2" t="s">
        <v>10819</v>
      </c>
      <c r="C1303" s="2" t="s">
        <v>10820</v>
      </c>
      <c r="D1303" s="2" t="s">
        <v>10821</v>
      </c>
      <c r="E1303" s="2" t="s">
        <v>9971</v>
      </c>
      <c r="F1303" s="2" t="s">
        <v>10822</v>
      </c>
      <c r="G1303" s="2" t="s">
        <v>5022</v>
      </c>
      <c r="H1303" s="2" t="s">
        <v>5023</v>
      </c>
      <c r="I1303" s="2" t="s">
        <v>10823</v>
      </c>
      <c r="J1303" s="2"/>
      <c r="K1303" s="2"/>
      <c r="L1303" s="2"/>
      <c r="M1303" s="2"/>
      <c r="N1303" s="2"/>
      <c r="O1303" s="2"/>
      <c r="P1303" s="2"/>
      <c r="Q1303" s="2"/>
    </row>
    <row r="1304" spans="1:17" x14ac:dyDescent="0.2">
      <c r="A1304" s="2" t="s">
        <v>2710</v>
      </c>
      <c r="B1304" s="2" t="s">
        <v>10824</v>
      </c>
      <c r="C1304" s="2" t="s">
        <v>5147</v>
      </c>
      <c r="D1304" s="2" t="s">
        <v>10017</v>
      </c>
      <c r="E1304" s="2" t="s">
        <v>10825</v>
      </c>
      <c r="F1304" s="2" t="s">
        <v>7515</v>
      </c>
      <c r="G1304" s="2" t="s">
        <v>5022</v>
      </c>
      <c r="H1304" s="2" t="s">
        <v>5023</v>
      </c>
      <c r="I1304" s="2" t="s">
        <v>10826</v>
      </c>
      <c r="J1304" s="2"/>
      <c r="K1304" s="2"/>
      <c r="L1304" s="2"/>
      <c r="M1304" s="2" t="s">
        <v>10827</v>
      </c>
      <c r="N1304" s="2"/>
      <c r="O1304" s="2"/>
      <c r="P1304" s="2"/>
      <c r="Q1304" s="2"/>
    </row>
    <row r="1305" spans="1:17" x14ac:dyDescent="0.2">
      <c r="A1305" s="2" t="s">
        <v>746</v>
      </c>
      <c r="B1305" s="2" t="s">
        <v>10828</v>
      </c>
      <c r="C1305" s="2" t="s">
        <v>5218</v>
      </c>
      <c r="D1305" s="2" t="s">
        <v>10829</v>
      </c>
      <c r="E1305" s="2" t="s">
        <v>10830</v>
      </c>
      <c r="F1305" s="2" t="s">
        <v>10831</v>
      </c>
      <c r="G1305" s="2" t="s">
        <v>5022</v>
      </c>
      <c r="H1305" s="2" t="s">
        <v>5023</v>
      </c>
      <c r="I1305" s="2" t="s">
        <v>10832</v>
      </c>
      <c r="J1305" s="2"/>
      <c r="K1305" s="2"/>
      <c r="L1305" s="2"/>
      <c r="M1305" s="2" t="s">
        <v>10833</v>
      </c>
      <c r="N1305" s="2"/>
      <c r="O1305" s="2"/>
      <c r="P1305" s="2"/>
      <c r="Q1305" s="2"/>
    </row>
    <row r="1306" spans="1:17" x14ac:dyDescent="0.2">
      <c r="A1306" s="2" t="s">
        <v>3091</v>
      </c>
      <c r="B1306" s="2" t="s">
        <v>7318</v>
      </c>
      <c r="C1306" s="2" t="s">
        <v>6357</v>
      </c>
      <c r="D1306" s="2" t="s">
        <v>5947</v>
      </c>
      <c r="E1306" s="2" t="s">
        <v>10834</v>
      </c>
      <c r="F1306" s="2" t="s">
        <v>5435</v>
      </c>
      <c r="G1306" s="2" t="s">
        <v>5022</v>
      </c>
      <c r="H1306" s="2" t="s">
        <v>5023</v>
      </c>
      <c r="I1306" s="2" t="s">
        <v>10835</v>
      </c>
      <c r="J1306" s="2"/>
      <c r="K1306" s="2"/>
      <c r="L1306" s="2"/>
      <c r="M1306" s="2" t="s">
        <v>10836</v>
      </c>
      <c r="N1306" s="2"/>
      <c r="O1306" s="2"/>
      <c r="P1306" s="2"/>
      <c r="Q1306" s="2"/>
    </row>
    <row r="1307" spans="1:17" x14ac:dyDescent="0.2">
      <c r="A1307" s="2" t="s">
        <v>4339</v>
      </c>
      <c r="B1307" s="2" t="s">
        <v>10837</v>
      </c>
      <c r="C1307" s="2" t="s">
        <v>5773</v>
      </c>
      <c r="D1307" s="2" t="s">
        <v>10838</v>
      </c>
      <c r="E1307" s="2" t="s">
        <v>10839</v>
      </c>
      <c r="F1307" s="2" t="s">
        <v>10442</v>
      </c>
      <c r="G1307" s="2" t="s">
        <v>5022</v>
      </c>
      <c r="H1307" s="2" t="s">
        <v>5023</v>
      </c>
      <c r="I1307" s="2" t="s">
        <v>10840</v>
      </c>
      <c r="J1307" s="2"/>
      <c r="K1307" s="2"/>
      <c r="L1307" s="2"/>
      <c r="M1307" s="2"/>
      <c r="N1307" s="2"/>
      <c r="O1307" s="2"/>
      <c r="P1307" s="2"/>
      <c r="Q1307" s="2"/>
    </row>
    <row r="1308" spans="1:17" x14ac:dyDescent="0.2">
      <c r="A1308" s="2" t="s">
        <v>4434</v>
      </c>
      <c r="B1308" s="2" t="s">
        <v>10841</v>
      </c>
      <c r="C1308" s="2" t="s">
        <v>7450</v>
      </c>
      <c r="D1308" s="2" t="s">
        <v>5666</v>
      </c>
      <c r="E1308" s="2" t="s">
        <v>10842</v>
      </c>
      <c r="F1308" s="2" t="s">
        <v>10843</v>
      </c>
      <c r="G1308" s="2" t="s">
        <v>5022</v>
      </c>
      <c r="H1308" s="2" t="s">
        <v>5023</v>
      </c>
      <c r="I1308" s="2" t="s">
        <v>10844</v>
      </c>
      <c r="J1308" s="2"/>
      <c r="K1308" s="2"/>
      <c r="L1308" s="2"/>
      <c r="M1308" s="2" t="s">
        <v>10845</v>
      </c>
      <c r="N1308" s="2"/>
      <c r="O1308" s="2"/>
      <c r="P1308" s="2"/>
      <c r="Q1308" s="2"/>
    </row>
    <row r="1309" spans="1:17" x14ac:dyDescent="0.2">
      <c r="A1309" s="2" t="s">
        <v>1181</v>
      </c>
      <c r="B1309" s="2" t="s">
        <v>8000</v>
      </c>
      <c r="C1309" s="2" t="s">
        <v>10846</v>
      </c>
      <c r="D1309" s="2" t="s">
        <v>7939</v>
      </c>
      <c r="E1309" s="2" t="s">
        <v>9392</v>
      </c>
      <c r="F1309" s="2" t="s">
        <v>9393</v>
      </c>
      <c r="G1309" s="2" t="s">
        <v>5022</v>
      </c>
      <c r="H1309" s="2" t="s">
        <v>5023</v>
      </c>
      <c r="I1309" s="2" t="s">
        <v>10847</v>
      </c>
      <c r="J1309" s="2"/>
      <c r="K1309" s="2"/>
      <c r="L1309" s="2"/>
      <c r="M1309" s="2" t="s">
        <v>10848</v>
      </c>
      <c r="N1309" s="2"/>
      <c r="O1309" s="2"/>
      <c r="P1309" s="2"/>
      <c r="Q1309" s="2"/>
    </row>
    <row r="1310" spans="1:17" x14ac:dyDescent="0.2">
      <c r="A1310" s="2" t="s">
        <v>4820</v>
      </c>
      <c r="B1310" s="2" t="s">
        <v>9952</v>
      </c>
      <c r="C1310" s="2" t="s">
        <v>5428</v>
      </c>
      <c r="D1310" s="2" t="s">
        <v>10849</v>
      </c>
      <c r="E1310" s="2" t="s">
        <v>10850</v>
      </c>
      <c r="F1310" s="2" t="s">
        <v>10851</v>
      </c>
      <c r="G1310" s="2" t="s">
        <v>5022</v>
      </c>
      <c r="H1310" s="2" t="s">
        <v>5023</v>
      </c>
      <c r="I1310" s="2" t="s">
        <v>10852</v>
      </c>
      <c r="J1310" s="2"/>
      <c r="K1310" s="2"/>
      <c r="L1310" s="2"/>
      <c r="M1310" s="2"/>
      <c r="N1310" s="2"/>
      <c r="O1310" s="2"/>
      <c r="P1310" s="2"/>
      <c r="Q1310" s="2"/>
    </row>
    <row r="1311" spans="1:17" x14ac:dyDescent="0.2">
      <c r="A1311" s="2" t="s">
        <v>4857</v>
      </c>
      <c r="B1311" s="2" t="s">
        <v>10853</v>
      </c>
      <c r="C1311" s="2" t="s">
        <v>5228</v>
      </c>
      <c r="D1311" s="2" t="s">
        <v>6328</v>
      </c>
      <c r="E1311" s="2" t="s">
        <v>10854</v>
      </c>
      <c r="F1311" s="2" t="s">
        <v>10855</v>
      </c>
      <c r="G1311" s="2" t="s">
        <v>5022</v>
      </c>
      <c r="H1311" s="2" t="s">
        <v>5023</v>
      </c>
      <c r="I1311" s="2" t="s">
        <v>10856</v>
      </c>
      <c r="J1311" s="2"/>
      <c r="K1311" s="2"/>
      <c r="L1311" s="2"/>
      <c r="M1311" s="2"/>
      <c r="N1311" s="2"/>
      <c r="O1311" s="2"/>
      <c r="P1311" s="2"/>
      <c r="Q1311" s="2"/>
    </row>
    <row r="1312" spans="1:17" x14ac:dyDescent="0.2">
      <c r="A1312" s="2" t="s">
        <v>4268</v>
      </c>
      <c r="B1312" s="2" t="s">
        <v>10857</v>
      </c>
      <c r="C1312" s="2" t="s">
        <v>5409</v>
      </c>
      <c r="D1312" s="2" t="s">
        <v>6419</v>
      </c>
      <c r="E1312" s="2" t="s">
        <v>9513</v>
      </c>
      <c r="F1312" s="2" t="s">
        <v>10858</v>
      </c>
      <c r="G1312" s="2" t="s">
        <v>5022</v>
      </c>
      <c r="H1312" s="2" t="s">
        <v>5023</v>
      </c>
      <c r="I1312" s="2" t="s">
        <v>10859</v>
      </c>
      <c r="J1312" s="2"/>
      <c r="K1312" s="2"/>
      <c r="L1312" s="2"/>
      <c r="M1312" s="2" t="s">
        <v>10860</v>
      </c>
      <c r="N1312" s="2"/>
      <c r="O1312" s="2"/>
      <c r="P1312" s="2"/>
      <c r="Q1312" s="2"/>
    </row>
    <row r="1313" spans="1:17" x14ac:dyDescent="0.2">
      <c r="A1313" s="2" t="s">
        <v>1796</v>
      </c>
      <c r="B1313" s="2" t="s">
        <v>6735</v>
      </c>
      <c r="C1313" s="2" t="s">
        <v>6357</v>
      </c>
      <c r="D1313" s="2" t="s">
        <v>9004</v>
      </c>
      <c r="E1313" s="2" t="s">
        <v>10861</v>
      </c>
      <c r="F1313" s="2" t="s">
        <v>5149</v>
      </c>
      <c r="G1313" s="2" t="s">
        <v>5022</v>
      </c>
      <c r="H1313" s="2" t="s">
        <v>5023</v>
      </c>
      <c r="I1313" s="2" t="s">
        <v>10862</v>
      </c>
      <c r="J1313" s="2"/>
      <c r="K1313" s="2"/>
      <c r="L1313" s="2"/>
      <c r="M1313" s="2"/>
      <c r="N1313" s="2"/>
      <c r="O1313" s="2"/>
      <c r="P1313" s="2"/>
      <c r="Q1313" s="2"/>
    </row>
    <row r="1314" spans="1:17" x14ac:dyDescent="0.2">
      <c r="A1314" s="2" t="s">
        <v>1162</v>
      </c>
      <c r="B1314" s="2" t="s">
        <v>6265</v>
      </c>
      <c r="C1314" s="2" t="s">
        <v>6921</v>
      </c>
      <c r="D1314" s="2" t="s">
        <v>6960</v>
      </c>
      <c r="E1314" s="2" t="s">
        <v>5288</v>
      </c>
      <c r="F1314" s="2" t="s">
        <v>10863</v>
      </c>
      <c r="G1314" s="2" t="s">
        <v>5022</v>
      </c>
      <c r="H1314" s="2" t="s">
        <v>5023</v>
      </c>
      <c r="I1314" s="2" t="s">
        <v>10864</v>
      </c>
      <c r="J1314" s="2"/>
      <c r="K1314" s="2"/>
      <c r="L1314" s="2"/>
      <c r="M1314" s="2"/>
      <c r="N1314" s="2"/>
      <c r="O1314" s="2"/>
      <c r="P1314" s="2"/>
      <c r="Q1314" s="2"/>
    </row>
    <row r="1315" spans="1:17" x14ac:dyDescent="0.2">
      <c r="A1315" s="2" t="s">
        <v>3325</v>
      </c>
      <c r="B1315" s="2" t="s">
        <v>5407</v>
      </c>
      <c r="C1315" s="2" t="s">
        <v>5357</v>
      </c>
      <c r="D1315" s="2" t="s">
        <v>7295</v>
      </c>
      <c r="E1315" s="2" t="s">
        <v>8503</v>
      </c>
      <c r="F1315" s="2" t="s">
        <v>10865</v>
      </c>
      <c r="G1315" s="2" t="s">
        <v>5022</v>
      </c>
      <c r="H1315" s="2" t="s">
        <v>5023</v>
      </c>
      <c r="I1315" s="2" t="s">
        <v>10866</v>
      </c>
      <c r="J1315" s="2"/>
      <c r="K1315" s="2"/>
      <c r="L1315" s="2"/>
      <c r="M1315" s="2" t="s">
        <v>10867</v>
      </c>
      <c r="N1315" s="2"/>
      <c r="O1315" s="2"/>
      <c r="P1315" s="2"/>
      <c r="Q1315" s="2"/>
    </row>
    <row r="1316" spans="1:17" x14ac:dyDescent="0.2">
      <c r="A1316" s="2" t="s">
        <v>660</v>
      </c>
      <c r="B1316" s="2" t="s">
        <v>8307</v>
      </c>
      <c r="C1316" s="2" t="s">
        <v>6544</v>
      </c>
      <c r="D1316" s="2" t="s">
        <v>10868</v>
      </c>
      <c r="E1316" s="2" t="s">
        <v>10869</v>
      </c>
      <c r="F1316" s="2" t="s">
        <v>10870</v>
      </c>
      <c r="G1316" s="2" t="s">
        <v>5022</v>
      </c>
      <c r="H1316" s="2" t="s">
        <v>5023</v>
      </c>
      <c r="I1316" s="2" t="s">
        <v>10871</v>
      </c>
      <c r="J1316" s="2"/>
      <c r="K1316" s="2"/>
      <c r="L1316" s="2"/>
      <c r="M1316" s="2" t="s">
        <v>10872</v>
      </c>
      <c r="N1316" s="2"/>
      <c r="O1316" s="2"/>
      <c r="P1316" s="2"/>
      <c r="Q1316" s="2"/>
    </row>
    <row r="1317" spans="1:17" x14ac:dyDescent="0.2">
      <c r="A1317" s="2" t="s">
        <v>317</v>
      </c>
      <c r="B1317" s="2" t="s">
        <v>10873</v>
      </c>
      <c r="C1317" s="2" t="s">
        <v>5484</v>
      </c>
      <c r="D1317" s="2" t="s">
        <v>6305</v>
      </c>
      <c r="E1317" s="2" t="s">
        <v>10874</v>
      </c>
      <c r="F1317" s="2" t="s">
        <v>10875</v>
      </c>
      <c r="G1317" s="2" t="s">
        <v>5022</v>
      </c>
      <c r="H1317" s="2" t="s">
        <v>10038</v>
      </c>
      <c r="I1317" s="2"/>
      <c r="J1317" s="2"/>
      <c r="K1317" s="2" t="s">
        <v>10876</v>
      </c>
      <c r="L1317" s="2"/>
      <c r="M1317" s="2"/>
      <c r="N1317" s="2"/>
      <c r="O1317" s="2"/>
      <c r="P1317" s="2"/>
      <c r="Q1317" s="2"/>
    </row>
    <row r="1318" spans="1:17" x14ac:dyDescent="0.2">
      <c r="A1318" s="2" t="s">
        <v>4295</v>
      </c>
      <c r="B1318" s="2" t="s">
        <v>10877</v>
      </c>
      <c r="C1318" s="2" t="s">
        <v>5134</v>
      </c>
      <c r="D1318" s="2" t="s">
        <v>7031</v>
      </c>
      <c r="E1318" s="2" t="s">
        <v>10878</v>
      </c>
      <c r="F1318" s="2" t="s">
        <v>10879</v>
      </c>
      <c r="G1318" s="2" t="s">
        <v>5022</v>
      </c>
      <c r="H1318" s="2" t="s">
        <v>5023</v>
      </c>
      <c r="I1318" s="2" t="s">
        <v>10880</v>
      </c>
      <c r="J1318" s="2"/>
      <c r="K1318" s="2"/>
      <c r="L1318" s="2"/>
      <c r="M1318" s="2" t="s">
        <v>10881</v>
      </c>
      <c r="N1318" s="2"/>
      <c r="O1318" s="2"/>
      <c r="P1318" s="2"/>
      <c r="Q1318" s="2"/>
    </row>
    <row r="1319" spans="1:17" x14ac:dyDescent="0.2">
      <c r="A1319" s="2" t="s">
        <v>4681</v>
      </c>
      <c r="B1319" s="2" t="s">
        <v>9746</v>
      </c>
      <c r="C1319" s="2" t="s">
        <v>10882</v>
      </c>
      <c r="D1319" s="2" t="s">
        <v>5795</v>
      </c>
      <c r="E1319" s="2" t="s">
        <v>10883</v>
      </c>
      <c r="F1319" s="2" t="s">
        <v>9572</v>
      </c>
      <c r="G1319" s="2" t="s">
        <v>5022</v>
      </c>
      <c r="H1319" s="2" t="s">
        <v>5023</v>
      </c>
      <c r="I1319" s="2" t="s">
        <v>10884</v>
      </c>
      <c r="J1319" s="2"/>
      <c r="K1319" s="2"/>
      <c r="L1319" s="2"/>
      <c r="M1319" s="2" t="s">
        <v>10885</v>
      </c>
      <c r="N1319" s="2"/>
      <c r="O1319" s="2"/>
      <c r="P1319" s="2"/>
      <c r="Q1319" s="2"/>
    </row>
    <row r="1320" spans="1:17" x14ac:dyDescent="0.2">
      <c r="A1320" s="2" t="s">
        <v>1112</v>
      </c>
      <c r="B1320" s="2" t="s">
        <v>10886</v>
      </c>
      <c r="C1320" s="2" t="s">
        <v>10887</v>
      </c>
      <c r="D1320" s="2" t="s">
        <v>5421</v>
      </c>
      <c r="E1320" s="2" t="s">
        <v>9138</v>
      </c>
      <c r="F1320" s="2" t="s">
        <v>10625</v>
      </c>
      <c r="G1320" s="2" t="s">
        <v>5022</v>
      </c>
      <c r="H1320" s="2" t="s">
        <v>5023</v>
      </c>
      <c r="I1320" s="2"/>
      <c r="J1320" s="2"/>
      <c r="K1320" s="2" t="s">
        <v>10888</v>
      </c>
      <c r="L1320" s="2"/>
      <c r="M1320" s="2"/>
      <c r="N1320" s="2"/>
      <c r="O1320" s="2"/>
      <c r="P1320" s="2"/>
      <c r="Q1320" s="2"/>
    </row>
    <row r="1321" spans="1:17" x14ac:dyDescent="0.2">
      <c r="A1321" s="2" t="s">
        <v>4565</v>
      </c>
      <c r="B1321" s="2" t="s">
        <v>10889</v>
      </c>
      <c r="C1321" s="2" t="s">
        <v>10890</v>
      </c>
      <c r="D1321" s="2" t="s">
        <v>5323</v>
      </c>
      <c r="E1321" s="2" t="s">
        <v>10891</v>
      </c>
      <c r="F1321" s="2" t="s">
        <v>6334</v>
      </c>
      <c r="G1321" s="2" t="s">
        <v>5022</v>
      </c>
      <c r="H1321" s="2" t="s">
        <v>5023</v>
      </c>
      <c r="I1321" s="2" t="s">
        <v>10892</v>
      </c>
      <c r="J1321" s="2"/>
      <c r="K1321" s="2"/>
      <c r="L1321" s="2"/>
      <c r="M1321" s="2"/>
      <c r="N1321" s="2"/>
      <c r="O1321" s="2"/>
      <c r="P1321" s="2"/>
      <c r="Q1321" s="2"/>
    </row>
    <row r="1322" spans="1:17" x14ac:dyDescent="0.2">
      <c r="A1322" s="2" t="s">
        <v>831</v>
      </c>
      <c r="B1322" s="2" t="s">
        <v>10502</v>
      </c>
      <c r="C1322" s="2" t="s">
        <v>6337</v>
      </c>
      <c r="D1322" s="2" t="s">
        <v>8837</v>
      </c>
      <c r="E1322" s="2" t="s">
        <v>10893</v>
      </c>
      <c r="F1322" s="2" t="s">
        <v>8892</v>
      </c>
      <c r="G1322" s="2" t="s">
        <v>5022</v>
      </c>
      <c r="H1322" s="2" t="s">
        <v>5023</v>
      </c>
      <c r="I1322" s="2" t="s">
        <v>10894</v>
      </c>
      <c r="J1322" s="2"/>
      <c r="K1322" s="2"/>
      <c r="L1322" s="2"/>
      <c r="M1322" s="2"/>
      <c r="N1322" s="2"/>
      <c r="O1322" s="2"/>
      <c r="P1322" s="2"/>
      <c r="Q1322" s="2"/>
    </row>
    <row r="1323" spans="1:17" x14ac:dyDescent="0.2">
      <c r="A1323" s="2" t="s">
        <v>1473</v>
      </c>
      <c r="B1323" s="2" t="s">
        <v>6868</v>
      </c>
      <c r="C1323" s="2" t="s">
        <v>5375</v>
      </c>
      <c r="D1323" s="2" t="s">
        <v>10895</v>
      </c>
      <c r="E1323" s="2" t="s">
        <v>5891</v>
      </c>
      <c r="F1323" s="2" t="s">
        <v>10896</v>
      </c>
      <c r="G1323" s="2" t="s">
        <v>5022</v>
      </c>
      <c r="H1323" s="2" t="s">
        <v>5023</v>
      </c>
      <c r="I1323" s="2" t="s">
        <v>10897</v>
      </c>
      <c r="J1323" s="2"/>
      <c r="K1323" s="2"/>
      <c r="L1323" s="2"/>
      <c r="M1323" s="2"/>
      <c r="N1323" s="2"/>
      <c r="O1323" s="2"/>
      <c r="P1323" s="2"/>
      <c r="Q1323" s="2"/>
    </row>
    <row r="1324" spans="1:17" x14ac:dyDescent="0.2">
      <c r="A1324" s="2" t="s">
        <v>3791</v>
      </c>
      <c r="B1324" s="2" t="s">
        <v>10898</v>
      </c>
      <c r="C1324" s="2" t="s">
        <v>9427</v>
      </c>
      <c r="D1324" s="2" t="s">
        <v>5414</v>
      </c>
      <c r="E1324" s="2" t="s">
        <v>10899</v>
      </c>
      <c r="F1324" s="2" t="s">
        <v>10900</v>
      </c>
      <c r="G1324" s="2" t="s">
        <v>5022</v>
      </c>
      <c r="H1324" s="2" t="s">
        <v>5023</v>
      </c>
      <c r="I1324" s="2" t="s">
        <v>10901</v>
      </c>
      <c r="J1324" s="2"/>
      <c r="K1324" s="2"/>
      <c r="L1324" s="2"/>
      <c r="M1324" s="2" t="s">
        <v>10902</v>
      </c>
      <c r="N1324" s="2"/>
      <c r="O1324" s="2"/>
      <c r="P1324" s="2"/>
      <c r="Q1324" s="2"/>
    </row>
    <row r="1325" spans="1:17" x14ac:dyDescent="0.2">
      <c r="A1325" s="2" t="s">
        <v>2605</v>
      </c>
      <c r="B1325" s="2" t="s">
        <v>4684</v>
      </c>
      <c r="C1325" s="2" t="s">
        <v>6143</v>
      </c>
      <c r="D1325" s="2" t="s">
        <v>10903</v>
      </c>
      <c r="E1325" s="2" t="s">
        <v>10904</v>
      </c>
      <c r="F1325" s="2" t="s">
        <v>10905</v>
      </c>
      <c r="G1325" s="2" t="s">
        <v>5022</v>
      </c>
      <c r="H1325" s="2" t="s">
        <v>5023</v>
      </c>
      <c r="I1325" s="2" t="s">
        <v>10906</v>
      </c>
      <c r="J1325" s="2"/>
      <c r="K1325" s="2"/>
      <c r="L1325" s="2"/>
      <c r="M1325" s="2" t="s">
        <v>10907</v>
      </c>
      <c r="N1325" s="2"/>
      <c r="O1325" s="2"/>
      <c r="P1325" s="2"/>
      <c r="Q1325" s="2"/>
    </row>
    <row r="1326" spans="1:17" x14ac:dyDescent="0.2">
      <c r="A1326" s="2" t="s">
        <v>3535</v>
      </c>
      <c r="B1326" s="2" t="s">
        <v>1984</v>
      </c>
      <c r="C1326" s="2" t="s">
        <v>8502</v>
      </c>
      <c r="D1326" s="2" t="s">
        <v>9097</v>
      </c>
      <c r="E1326" s="2" t="s">
        <v>10908</v>
      </c>
      <c r="F1326" s="2" t="s">
        <v>10909</v>
      </c>
      <c r="G1326" s="2" t="s">
        <v>5022</v>
      </c>
      <c r="H1326" s="2" t="s">
        <v>5023</v>
      </c>
      <c r="I1326" s="2" t="s">
        <v>10910</v>
      </c>
      <c r="J1326" s="2"/>
      <c r="K1326" s="2"/>
      <c r="L1326" s="2"/>
      <c r="M1326" s="2" t="s">
        <v>10911</v>
      </c>
      <c r="N1326" s="2"/>
      <c r="O1326" s="2"/>
      <c r="P1326" s="2"/>
      <c r="Q1326" s="2"/>
    </row>
    <row r="1327" spans="1:17" x14ac:dyDescent="0.2">
      <c r="A1327" s="2" t="s">
        <v>921</v>
      </c>
      <c r="B1327" s="2" t="s">
        <v>10912</v>
      </c>
      <c r="C1327" s="2" t="s">
        <v>5734</v>
      </c>
      <c r="D1327" s="2" t="s">
        <v>5734</v>
      </c>
      <c r="E1327" s="2" t="s">
        <v>10913</v>
      </c>
      <c r="F1327" s="2" t="s">
        <v>5759</v>
      </c>
      <c r="G1327" s="2" t="s">
        <v>5022</v>
      </c>
      <c r="H1327" s="2" t="s">
        <v>5023</v>
      </c>
      <c r="I1327" s="2"/>
      <c r="J1327" s="2"/>
      <c r="K1327" s="2" t="s">
        <v>10914</v>
      </c>
      <c r="L1327" s="2"/>
      <c r="M1327" s="2"/>
      <c r="N1327" s="2"/>
      <c r="O1327" s="2"/>
      <c r="P1327" s="2"/>
      <c r="Q1327" s="2"/>
    </row>
    <row r="1328" spans="1:17" x14ac:dyDescent="0.2">
      <c r="A1328" s="2" t="s">
        <v>2522</v>
      </c>
      <c r="B1328" s="2" t="s">
        <v>10915</v>
      </c>
      <c r="C1328" s="2" t="s">
        <v>6003</v>
      </c>
      <c r="D1328" s="2" t="s">
        <v>9919</v>
      </c>
      <c r="E1328" s="2" t="s">
        <v>10916</v>
      </c>
      <c r="F1328" s="2" t="s">
        <v>9501</v>
      </c>
      <c r="G1328" s="2" t="s">
        <v>5022</v>
      </c>
      <c r="H1328" s="2" t="s">
        <v>5023</v>
      </c>
      <c r="I1328" s="2" t="s">
        <v>10917</v>
      </c>
      <c r="J1328" s="2"/>
      <c r="K1328" s="2"/>
      <c r="L1328" s="2"/>
      <c r="M1328" s="2" t="s">
        <v>10918</v>
      </c>
      <c r="N1328" s="2"/>
      <c r="O1328" s="2"/>
      <c r="P1328" s="2"/>
      <c r="Q1328" s="2"/>
    </row>
    <row r="1329" spans="1:17" x14ac:dyDescent="0.2">
      <c r="A1329" s="2" t="s">
        <v>2415</v>
      </c>
      <c r="B1329" s="2" t="s">
        <v>10919</v>
      </c>
      <c r="C1329" s="2" t="s">
        <v>6137</v>
      </c>
      <c r="D1329" s="2" t="s">
        <v>6288</v>
      </c>
      <c r="E1329" s="2" t="s">
        <v>10920</v>
      </c>
      <c r="F1329" s="2" t="s">
        <v>10921</v>
      </c>
      <c r="G1329" s="2" t="s">
        <v>5022</v>
      </c>
      <c r="H1329" s="2" t="s">
        <v>5023</v>
      </c>
      <c r="I1329" s="2" t="s">
        <v>10922</v>
      </c>
      <c r="J1329" s="2"/>
      <c r="K1329" s="2"/>
      <c r="L1329" s="2"/>
      <c r="M1329" s="2"/>
      <c r="N1329" s="2"/>
      <c r="O1329" s="2"/>
      <c r="P1329" s="2"/>
      <c r="Q1329" s="2"/>
    </row>
    <row r="1330" spans="1:17" x14ac:dyDescent="0.2">
      <c r="A1330" s="2" t="s">
        <v>743</v>
      </c>
      <c r="B1330" s="2" t="s">
        <v>6101</v>
      </c>
      <c r="C1330" s="2" t="s">
        <v>5421</v>
      </c>
      <c r="D1330" s="2" t="s">
        <v>10347</v>
      </c>
      <c r="E1330" s="2" t="s">
        <v>6166</v>
      </c>
      <c r="F1330" s="2" t="s">
        <v>5867</v>
      </c>
      <c r="G1330" s="2" t="s">
        <v>5022</v>
      </c>
      <c r="H1330" s="2" t="s">
        <v>5023</v>
      </c>
      <c r="I1330" s="2"/>
      <c r="J1330" s="2"/>
      <c r="K1330" s="2" t="s">
        <v>10923</v>
      </c>
      <c r="L1330" s="2"/>
      <c r="M1330" s="2"/>
      <c r="N1330" s="2"/>
      <c r="O1330" s="2"/>
      <c r="P1330" s="2"/>
      <c r="Q1330" s="2"/>
    </row>
    <row r="1331" spans="1:17" x14ac:dyDescent="0.2">
      <c r="A1331" s="2" t="s">
        <v>2978</v>
      </c>
      <c r="B1331" s="2" t="s">
        <v>8275</v>
      </c>
      <c r="C1331" s="2" t="s">
        <v>6726</v>
      </c>
      <c r="D1331" s="2" t="s">
        <v>7774</v>
      </c>
      <c r="E1331" s="2" t="s">
        <v>10924</v>
      </c>
      <c r="F1331" s="2" t="s">
        <v>6015</v>
      </c>
      <c r="G1331" s="2" t="s">
        <v>5022</v>
      </c>
      <c r="H1331" s="2" t="s">
        <v>5023</v>
      </c>
      <c r="I1331" s="2" t="s">
        <v>10925</v>
      </c>
      <c r="J1331" s="2"/>
      <c r="K1331" s="2"/>
      <c r="L1331" s="2"/>
      <c r="M1331" s="2"/>
      <c r="N1331" s="2"/>
      <c r="O1331" s="2"/>
      <c r="P1331" s="2"/>
      <c r="Q1331" s="2"/>
    </row>
    <row r="1332" spans="1:17" x14ac:dyDescent="0.2">
      <c r="A1332" s="2" t="s">
        <v>704</v>
      </c>
      <c r="B1332" s="2" t="s">
        <v>7529</v>
      </c>
      <c r="C1332" s="2" t="s">
        <v>5712</v>
      </c>
      <c r="D1332" s="2" t="s">
        <v>7659</v>
      </c>
      <c r="E1332" s="2" t="s">
        <v>9742</v>
      </c>
      <c r="F1332" s="2" t="s">
        <v>6767</v>
      </c>
      <c r="G1332" s="2" t="s">
        <v>5022</v>
      </c>
      <c r="H1332" s="2" t="s">
        <v>5023</v>
      </c>
      <c r="I1332" s="2" t="s">
        <v>10926</v>
      </c>
      <c r="J1332" s="2"/>
      <c r="K1332" s="2"/>
      <c r="L1332" s="2"/>
      <c r="M1332" s="2" t="s">
        <v>10927</v>
      </c>
      <c r="N1332" s="2"/>
      <c r="O1332" s="2"/>
      <c r="P1332" s="2"/>
      <c r="Q1332" s="2"/>
    </row>
    <row r="1333" spans="1:17" x14ac:dyDescent="0.2">
      <c r="A1333" s="2" t="s">
        <v>3763</v>
      </c>
      <c r="B1333" s="2" t="s">
        <v>10928</v>
      </c>
      <c r="C1333" s="2" t="s">
        <v>7797</v>
      </c>
      <c r="D1333" s="2" t="s">
        <v>7295</v>
      </c>
      <c r="E1333" s="2" t="s">
        <v>8111</v>
      </c>
      <c r="F1333" s="2" t="s">
        <v>10929</v>
      </c>
      <c r="G1333" s="2" t="s">
        <v>5022</v>
      </c>
      <c r="H1333" s="2" t="s">
        <v>5023</v>
      </c>
      <c r="I1333" s="2" t="s">
        <v>10930</v>
      </c>
      <c r="J1333" s="2"/>
      <c r="K1333" s="2"/>
      <c r="L1333" s="2"/>
      <c r="M1333" s="2" t="s">
        <v>10931</v>
      </c>
      <c r="N1333" s="2"/>
      <c r="O1333" s="2"/>
      <c r="P1333" s="2"/>
      <c r="Q1333" s="2"/>
    </row>
    <row r="1334" spans="1:17" x14ac:dyDescent="0.2">
      <c r="A1334" s="2" t="s">
        <v>2661</v>
      </c>
      <c r="B1334" s="2" t="s">
        <v>10932</v>
      </c>
      <c r="C1334" s="2" t="s">
        <v>10933</v>
      </c>
      <c r="D1334" s="2" t="s">
        <v>7880</v>
      </c>
      <c r="E1334" s="2" t="s">
        <v>6663</v>
      </c>
      <c r="F1334" s="2" t="s">
        <v>7882</v>
      </c>
      <c r="G1334" s="2" t="s">
        <v>5022</v>
      </c>
      <c r="H1334" s="2" t="s">
        <v>5023</v>
      </c>
      <c r="I1334" s="2" t="s">
        <v>7883</v>
      </c>
      <c r="J1334" s="2"/>
      <c r="K1334" s="2"/>
      <c r="L1334" s="2"/>
      <c r="M1334" s="2"/>
      <c r="N1334" s="2"/>
      <c r="O1334" s="2"/>
      <c r="P1334" s="2"/>
      <c r="Q1334" s="2"/>
    </row>
    <row r="1335" spans="1:17" x14ac:dyDescent="0.2">
      <c r="A1335" s="2" t="s">
        <v>1287</v>
      </c>
      <c r="B1335" s="2" t="s">
        <v>9597</v>
      </c>
      <c r="C1335" s="2" t="s">
        <v>6662</v>
      </c>
      <c r="D1335" s="2" t="s">
        <v>10934</v>
      </c>
      <c r="E1335" s="2" t="s">
        <v>10935</v>
      </c>
      <c r="F1335" s="2" t="s">
        <v>8769</v>
      </c>
      <c r="G1335" s="2" t="s">
        <v>5022</v>
      </c>
      <c r="H1335" s="2" t="s">
        <v>5023</v>
      </c>
      <c r="I1335" s="2" t="s">
        <v>10936</v>
      </c>
      <c r="J1335" s="2"/>
      <c r="K1335" s="2"/>
      <c r="L1335" s="2"/>
      <c r="M1335" s="2" t="s">
        <v>10937</v>
      </c>
      <c r="N1335" s="2"/>
      <c r="O1335" s="2"/>
      <c r="P1335" s="2"/>
      <c r="Q1335" s="2"/>
    </row>
    <row r="1336" spans="1:17" x14ac:dyDescent="0.2">
      <c r="A1336" s="2" t="s">
        <v>1110</v>
      </c>
      <c r="B1336" s="2" t="s">
        <v>10938</v>
      </c>
      <c r="C1336" s="2" t="s">
        <v>6409</v>
      </c>
      <c r="D1336" s="2" t="s">
        <v>10347</v>
      </c>
      <c r="E1336" s="2" t="s">
        <v>10939</v>
      </c>
      <c r="F1336" s="2" t="s">
        <v>10410</v>
      </c>
      <c r="G1336" s="2" t="s">
        <v>5022</v>
      </c>
      <c r="H1336" s="2" t="s">
        <v>5023</v>
      </c>
      <c r="I1336" s="2" t="s">
        <v>10940</v>
      </c>
      <c r="J1336" s="2"/>
      <c r="K1336" s="2"/>
      <c r="L1336" s="2"/>
      <c r="M1336" s="2" t="s">
        <v>10941</v>
      </c>
      <c r="N1336" s="2"/>
      <c r="O1336" s="2"/>
      <c r="P1336" s="2"/>
      <c r="Q1336" s="2"/>
    </row>
    <row r="1337" spans="1:17" x14ac:dyDescent="0.2">
      <c r="A1337" s="2" t="s">
        <v>211</v>
      </c>
      <c r="B1337" s="2" t="s">
        <v>10942</v>
      </c>
      <c r="C1337" s="2" t="s">
        <v>6357</v>
      </c>
      <c r="D1337" s="2" t="s">
        <v>6424</v>
      </c>
      <c r="E1337" s="2" t="s">
        <v>10943</v>
      </c>
      <c r="F1337" s="2" t="s">
        <v>6426</v>
      </c>
      <c r="G1337" s="2" t="s">
        <v>5022</v>
      </c>
      <c r="H1337" s="2" t="s">
        <v>5023</v>
      </c>
      <c r="I1337" s="2" t="s">
        <v>10944</v>
      </c>
      <c r="J1337" s="2"/>
      <c r="K1337" s="2"/>
      <c r="L1337" s="2"/>
      <c r="M1337" s="2"/>
      <c r="N1337" s="2"/>
      <c r="O1337" s="2"/>
      <c r="P1337" s="2"/>
      <c r="Q1337" s="2"/>
    </row>
    <row r="1338" spans="1:17" x14ac:dyDescent="0.2">
      <c r="A1338" s="2" t="s">
        <v>4394</v>
      </c>
      <c r="B1338" s="2" t="s">
        <v>7228</v>
      </c>
      <c r="C1338" s="2" t="s">
        <v>5588</v>
      </c>
      <c r="D1338" s="2" t="s">
        <v>7242</v>
      </c>
      <c r="E1338" s="2" t="s">
        <v>10945</v>
      </c>
      <c r="F1338" s="2" t="s">
        <v>10946</v>
      </c>
      <c r="G1338" s="2" t="s">
        <v>5022</v>
      </c>
      <c r="H1338" s="2" t="s">
        <v>5023</v>
      </c>
      <c r="I1338" s="2" t="s">
        <v>10947</v>
      </c>
      <c r="J1338" s="2"/>
      <c r="K1338" s="2"/>
      <c r="L1338" s="2"/>
      <c r="M1338" s="2" t="s">
        <v>10948</v>
      </c>
      <c r="N1338" s="2"/>
      <c r="O1338" s="2"/>
      <c r="P1338" s="2"/>
      <c r="Q1338" s="2"/>
    </row>
    <row r="1339" spans="1:17" x14ac:dyDescent="0.2">
      <c r="A1339" s="2" t="s">
        <v>2552</v>
      </c>
      <c r="B1339" s="2" t="s">
        <v>1984</v>
      </c>
      <c r="C1339" s="2" t="s">
        <v>7031</v>
      </c>
      <c r="D1339" s="2" t="s">
        <v>7136</v>
      </c>
      <c r="E1339" s="2" t="s">
        <v>10949</v>
      </c>
      <c r="F1339" s="2" t="s">
        <v>6072</v>
      </c>
      <c r="G1339" s="2" t="s">
        <v>5022</v>
      </c>
      <c r="H1339" s="2" t="s">
        <v>5023</v>
      </c>
      <c r="I1339" s="2" t="s">
        <v>7144</v>
      </c>
      <c r="J1339" s="2" t="s">
        <v>10950</v>
      </c>
      <c r="K1339" s="2"/>
      <c r="L1339" s="2"/>
      <c r="M1339" s="2"/>
      <c r="N1339" s="2"/>
      <c r="O1339" s="2"/>
      <c r="P1339" s="2"/>
      <c r="Q1339" s="2"/>
    </row>
    <row r="1340" spans="1:17" x14ac:dyDescent="0.2">
      <c r="A1340" s="2" t="s">
        <v>3723</v>
      </c>
      <c r="B1340" s="2" t="s">
        <v>2575</v>
      </c>
      <c r="C1340" s="2" t="s">
        <v>10951</v>
      </c>
      <c r="D1340" s="2" t="s">
        <v>5176</v>
      </c>
      <c r="E1340" s="2" t="s">
        <v>5178</v>
      </c>
      <c r="F1340" s="2" t="s">
        <v>5179</v>
      </c>
      <c r="G1340" s="2" t="s">
        <v>5022</v>
      </c>
      <c r="H1340" s="2" t="s">
        <v>5023</v>
      </c>
      <c r="I1340" s="2" t="s">
        <v>10952</v>
      </c>
      <c r="J1340" s="2"/>
      <c r="K1340" s="2"/>
      <c r="L1340" s="2"/>
      <c r="M1340" s="2"/>
      <c r="N1340" s="2"/>
      <c r="O1340" s="2"/>
      <c r="P1340" s="2"/>
      <c r="Q1340" s="2"/>
    </row>
    <row r="1341" spans="1:17" x14ac:dyDescent="0.2">
      <c r="A1341" s="2" t="s">
        <v>2755</v>
      </c>
      <c r="B1341" s="2" t="s">
        <v>7375</v>
      </c>
      <c r="C1341" s="2" t="s">
        <v>5338</v>
      </c>
      <c r="D1341" s="2" t="s">
        <v>5119</v>
      </c>
      <c r="E1341" s="2" t="s">
        <v>10953</v>
      </c>
      <c r="F1341" s="2" t="s">
        <v>9965</v>
      </c>
      <c r="G1341" s="2" t="s">
        <v>5022</v>
      </c>
      <c r="H1341" s="2" t="s">
        <v>5023</v>
      </c>
      <c r="I1341" s="2" t="s">
        <v>10954</v>
      </c>
      <c r="J1341" s="2"/>
      <c r="K1341" s="2"/>
      <c r="L1341" s="2"/>
      <c r="M1341" s="2"/>
      <c r="N1341" s="2"/>
      <c r="O1341" s="2"/>
      <c r="P1341" s="2"/>
      <c r="Q1341" s="2"/>
    </row>
    <row r="1342" spans="1:17" x14ac:dyDescent="0.2">
      <c r="A1342" s="2" t="s">
        <v>3734</v>
      </c>
      <c r="B1342" s="2" t="s">
        <v>10955</v>
      </c>
      <c r="C1342" s="2" t="s">
        <v>5677</v>
      </c>
      <c r="D1342" s="2" t="s">
        <v>8708</v>
      </c>
      <c r="E1342" s="2" t="s">
        <v>9522</v>
      </c>
      <c r="F1342" s="2" t="s">
        <v>8305</v>
      </c>
      <c r="G1342" s="2" t="s">
        <v>5022</v>
      </c>
      <c r="H1342" s="2" t="s">
        <v>5023</v>
      </c>
      <c r="I1342" s="2" t="s">
        <v>10956</v>
      </c>
      <c r="J1342" s="2"/>
      <c r="K1342" s="2"/>
      <c r="L1342" s="2"/>
      <c r="M1342" s="2" t="s">
        <v>10957</v>
      </c>
      <c r="N1342" s="2"/>
      <c r="O1342" s="2"/>
      <c r="P1342" s="2"/>
      <c r="Q1342" s="2"/>
    </row>
    <row r="1343" spans="1:17" x14ac:dyDescent="0.2">
      <c r="A1343" s="2" t="s">
        <v>4619</v>
      </c>
      <c r="B1343" s="2" t="s">
        <v>9083</v>
      </c>
      <c r="C1343" s="2" t="s">
        <v>10958</v>
      </c>
      <c r="D1343" s="2" t="s">
        <v>5183</v>
      </c>
      <c r="E1343" s="2" t="s">
        <v>10959</v>
      </c>
      <c r="F1343" s="2" t="s">
        <v>10960</v>
      </c>
      <c r="G1343" s="2" t="s">
        <v>5022</v>
      </c>
      <c r="H1343" s="2" t="s">
        <v>5023</v>
      </c>
      <c r="I1343" s="2" t="s">
        <v>10961</v>
      </c>
      <c r="J1343" s="2"/>
      <c r="K1343" s="2"/>
      <c r="L1343" s="2"/>
      <c r="M1343" s="2"/>
      <c r="N1343" s="2"/>
      <c r="O1343" s="2"/>
      <c r="P1343" s="2"/>
      <c r="Q1343" s="2"/>
    </row>
    <row r="1344" spans="1:17" x14ac:dyDescent="0.2">
      <c r="A1344" s="2" t="s">
        <v>3604</v>
      </c>
      <c r="B1344" s="2" t="s">
        <v>10962</v>
      </c>
      <c r="C1344" s="2" t="s">
        <v>5722</v>
      </c>
      <c r="D1344" s="2" t="s">
        <v>5352</v>
      </c>
      <c r="E1344" s="2" t="s">
        <v>9436</v>
      </c>
      <c r="F1344" s="2" t="s">
        <v>10963</v>
      </c>
      <c r="G1344" s="2" t="s">
        <v>5022</v>
      </c>
      <c r="H1344" s="2" t="s">
        <v>5023</v>
      </c>
      <c r="I1344" s="2" t="s">
        <v>10964</v>
      </c>
      <c r="J1344" s="2"/>
      <c r="K1344" s="2"/>
      <c r="L1344" s="2"/>
      <c r="M1344" s="2" t="s">
        <v>10965</v>
      </c>
      <c r="N1344" s="2"/>
      <c r="O1344" s="2"/>
      <c r="P1344" s="2"/>
      <c r="Q1344" s="2"/>
    </row>
    <row r="1345" spans="1:17" x14ac:dyDescent="0.2">
      <c r="A1345" s="2" t="s">
        <v>1138</v>
      </c>
      <c r="B1345" s="2" t="s">
        <v>10966</v>
      </c>
      <c r="C1345" s="2" t="s">
        <v>6498</v>
      </c>
      <c r="D1345" s="2" t="s">
        <v>5623</v>
      </c>
      <c r="E1345" s="2" t="s">
        <v>7931</v>
      </c>
      <c r="F1345" s="2" t="s">
        <v>10967</v>
      </c>
      <c r="G1345" s="2" t="s">
        <v>5022</v>
      </c>
      <c r="H1345" s="2" t="s">
        <v>5023</v>
      </c>
      <c r="I1345" s="2" t="s">
        <v>10968</v>
      </c>
      <c r="J1345" s="2"/>
      <c r="K1345" s="2"/>
      <c r="L1345" s="2"/>
      <c r="M1345" s="2"/>
      <c r="N1345" s="2"/>
      <c r="O1345" s="2"/>
      <c r="P1345" s="2"/>
      <c r="Q1345" s="2"/>
    </row>
    <row r="1346" spans="1:17" x14ac:dyDescent="0.2">
      <c r="A1346" s="2" t="s">
        <v>1376</v>
      </c>
      <c r="B1346" s="2" t="s">
        <v>10969</v>
      </c>
      <c r="C1346" s="2" t="s">
        <v>10970</v>
      </c>
      <c r="D1346" s="2" t="s">
        <v>10971</v>
      </c>
      <c r="E1346" s="2" t="s">
        <v>9891</v>
      </c>
      <c r="F1346" s="2" t="s">
        <v>10972</v>
      </c>
      <c r="G1346" s="2" t="s">
        <v>5022</v>
      </c>
      <c r="H1346" s="2" t="s">
        <v>5023</v>
      </c>
      <c r="I1346" s="2" t="s">
        <v>10973</v>
      </c>
      <c r="J1346" s="2"/>
      <c r="K1346" s="2"/>
      <c r="L1346" s="2"/>
      <c r="M1346" s="2" t="s">
        <v>10974</v>
      </c>
      <c r="N1346" s="2"/>
      <c r="O1346" s="2"/>
      <c r="P1346" s="2"/>
      <c r="Q1346" s="2"/>
    </row>
    <row r="1347" spans="1:17" x14ac:dyDescent="0.2">
      <c r="A1347" s="2" t="s">
        <v>1037</v>
      </c>
      <c r="B1347" s="2" t="s">
        <v>8436</v>
      </c>
      <c r="C1347" s="2" t="s">
        <v>9026</v>
      </c>
      <c r="D1347" s="2" t="s">
        <v>10975</v>
      </c>
      <c r="E1347" s="2" t="s">
        <v>10976</v>
      </c>
      <c r="F1347" s="2" t="s">
        <v>10977</v>
      </c>
      <c r="G1347" s="2" t="s">
        <v>5022</v>
      </c>
      <c r="H1347" s="2" t="s">
        <v>5023</v>
      </c>
      <c r="I1347" s="2" t="s">
        <v>10978</v>
      </c>
      <c r="J1347" s="2"/>
      <c r="K1347" s="2"/>
      <c r="L1347" s="2"/>
      <c r="M1347" s="2" t="s">
        <v>10979</v>
      </c>
      <c r="N1347" s="2"/>
      <c r="O1347" s="2"/>
      <c r="P1347" s="2"/>
      <c r="Q1347" s="2"/>
    </row>
    <row r="1348" spans="1:17" x14ac:dyDescent="0.2">
      <c r="A1348" s="2" t="s">
        <v>885</v>
      </c>
      <c r="B1348" s="2" t="s">
        <v>10980</v>
      </c>
      <c r="C1348" s="2" t="s">
        <v>10766</v>
      </c>
      <c r="D1348" s="2" t="s">
        <v>5387</v>
      </c>
      <c r="E1348" s="2" t="s">
        <v>5248</v>
      </c>
      <c r="F1348" s="2" t="s">
        <v>10981</v>
      </c>
      <c r="G1348" s="2" t="s">
        <v>5022</v>
      </c>
      <c r="H1348" s="2" t="s">
        <v>5023</v>
      </c>
      <c r="I1348" s="2" t="s">
        <v>10982</v>
      </c>
      <c r="J1348" s="2"/>
      <c r="K1348" s="2"/>
      <c r="L1348" s="2"/>
      <c r="M1348" s="2" t="s">
        <v>10983</v>
      </c>
      <c r="N1348" s="2"/>
      <c r="O1348" s="2"/>
      <c r="P1348" s="2"/>
      <c r="Q1348" s="2"/>
    </row>
    <row r="1349" spans="1:17" x14ac:dyDescent="0.2">
      <c r="A1349" s="2" t="s">
        <v>998</v>
      </c>
      <c r="B1349" s="2" t="s">
        <v>10984</v>
      </c>
      <c r="C1349" s="2" t="s">
        <v>8475</v>
      </c>
      <c r="D1349" s="2" t="s">
        <v>5567</v>
      </c>
      <c r="E1349" s="2" t="s">
        <v>9496</v>
      </c>
      <c r="F1349" s="2" t="s">
        <v>5807</v>
      </c>
      <c r="G1349" s="2" t="s">
        <v>5022</v>
      </c>
      <c r="H1349" s="2" t="s">
        <v>5023</v>
      </c>
      <c r="I1349" s="2" t="s">
        <v>10985</v>
      </c>
      <c r="J1349" s="2"/>
      <c r="K1349" s="2"/>
      <c r="L1349" s="2"/>
      <c r="M1349" s="2" t="s">
        <v>10986</v>
      </c>
      <c r="N1349" s="2"/>
      <c r="O1349" s="2"/>
      <c r="P1349" s="2"/>
      <c r="Q1349" s="2"/>
    </row>
    <row r="1350" spans="1:17" x14ac:dyDescent="0.2">
      <c r="A1350" s="2" t="s">
        <v>4640</v>
      </c>
      <c r="B1350" s="2" t="s">
        <v>10987</v>
      </c>
      <c r="C1350" s="2" t="s">
        <v>5666</v>
      </c>
      <c r="D1350" s="2" t="s">
        <v>5323</v>
      </c>
      <c r="E1350" s="2" t="s">
        <v>9449</v>
      </c>
      <c r="F1350" s="2" t="s">
        <v>9337</v>
      </c>
      <c r="G1350" s="2" t="s">
        <v>5022</v>
      </c>
      <c r="H1350" s="2" t="s">
        <v>5023</v>
      </c>
      <c r="I1350" s="2" t="s">
        <v>10988</v>
      </c>
      <c r="J1350" s="2"/>
      <c r="K1350" s="2"/>
      <c r="L1350" s="2"/>
      <c r="M1350" s="2"/>
      <c r="N1350" s="2"/>
      <c r="O1350" s="2"/>
      <c r="P1350" s="2"/>
      <c r="Q1350" s="2"/>
    </row>
    <row r="1351" spans="1:17" x14ac:dyDescent="0.2">
      <c r="A1351" s="2" t="s">
        <v>4907</v>
      </c>
      <c r="B1351" s="2" t="s">
        <v>10989</v>
      </c>
      <c r="C1351" s="2" t="s">
        <v>5183</v>
      </c>
      <c r="D1351" s="2" t="s">
        <v>6712</v>
      </c>
      <c r="E1351" s="2" t="s">
        <v>10990</v>
      </c>
      <c r="F1351" s="2" t="s">
        <v>7964</v>
      </c>
      <c r="G1351" s="2" t="s">
        <v>5022</v>
      </c>
      <c r="H1351" s="2" t="s">
        <v>5023</v>
      </c>
      <c r="I1351" s="2" t="s">
        <v>10991</v>
      </c>
      <c r="J1351" s="2"/>
      <c r="K1351" s="2"/>
      <c r="L1351" s="2"/>
      <c r="M1351" s="2" t="s">
        <v>10992</v>
      </c>
      <c r="N1351" s="2"/>
      <c r="O1351" s="2"/>
      <c r="P1351" s="2"/>
      <c r="Q1351" s="2"/>
    </row>
    <row r="1352" spans="1:17" x14ac:dyDescent="0.2">
      <c r="A1352" s="2" t="s">
        <v>4201</v>
      </c>
      <c r="B1352" s="2" t="s">
        <v>10074</v>
      </c>
      <c r="C1352" s="2" t="s">
        <v>10993</v>
      </c>
      <c r="D1352" s="2" t="s">
        <v>10994</v>
      </c>
      <c r="E1352" s="2" t="s">
        <v>10995</v>
      </c>
      <c r="F1352" s="2" t="s">
        <v>5629</v>
      </c>
      <c r="G1352" s="2" t="s">
        <v>5022</v>
      </c>
      <c r="H1352" s="2" t="s">
        <v>5023</v>
      </c>
      <c r="I1352" s="2" t="s">
        <v>10996</v>
      </c>
      <c r="J1352" s="2"/>
      <c r="K1352" s="2"/>
      <c r="L1352" s="2"/>
      <c r="M1352" s="2" t="s">
        <v>10997</v>
      </c>
      <c r="N1352" s="2"/>
      <c r="O1352" s="2"/>
      <c r="P1352" s="2"/>
      <c r="Q1352" s="2"/>
    </row>
    <row r="1353" spans="1:17" x14ac:dyDescent="0.2">
      <c r="A1353" s="2" t="s">
        <v>3995</v>
      </c>
      <c r="B1353" s="2" t="s">
        <v>8850</v>
      </c>
      <c r="C1353" s="2" t="s">
        <v>9716</v>
      </c>
      <c r="D1353" s="2" t="s">
        <v>10998</v>
      </c>
      <c r="E1353" s="2" t="s">
        <v>10999</v>
      </c>
      <c r="F1353" s="2" t="s">
        <v>9855</v>
      </c>
      <c r="G1353" s="2" t="s">
        <v>5022</v>
      </c>
      <c r="H1353" s="2" t="s">
        <v>5023</v>
      </c>
      <c r="I1353" s="2" t="s">
        <v>11000</v>
      </c>
      <c r="J1353" s="2"/>
      <c r="K1353" s="2"/>
      <c r="L1353" s="2"/>
      <c r="M1353" s="2" t="s">
        <v>11001</v>
      </c>
      <c r="N1353" s="2"/>
      <c r="O1353" s="2"/>
      <c r="P1353" s="2"/>
      <c r="Q1353" s="2"/>
    </row>
    <row r="1354" spans="1:17" x14ac:dyDescent="0.2">
      <c r="A1354" s="2" t="s">
        <v>3134</v>
      </c>
      <c r="B1354" s="2" t="s">
        <v>11002</v>
      </c>
      <c r="C1354" s="2" t="s">
        <v>9004</v>
      </c>
      <c r="D1354" s="2" t="s">
        <v>6890</v>
      </c>
      <c r="E1354" s="2" t="s">
        <v>11003</v>
      </c>
      <c r="F1354" s="2" t="s">
        <v>11004</v>
      </c>
      <c r="G1354" s="2" t="s">
        <v>5022</v>
      </c>
      <c r="H1354" s="2" t="s">
        <v>5023</v>
      </c>
      <c r="I1354" s="2" t="s">
        <v>11005</v>
      </c>
      <c r="J1354" s="2"/>
      <c r="K1354" s="2"/>
      <c r="L1354" s="2"/>
      <c r="M1354" s="2" t="s">
        <v>11006</v>
      </c>
      <c r="N1354" s="2"/>
      <c r="O1354" s="2"/>
      <c r="P1354" s="2"/>
      <c r="Q1354" s="2"/>
    </row>
    <row r="1355" spans="1:17" x14ac:dyDescent="0.2">
      <c r="A1355" s="2" t="s">
        <v>2307</v>
      </c>
      <c r="B1355" s="2" t="s">
        <v>11007</v>
      </c>
      <c r="C1355" s="2" t="s">
        <v>6726</v>
      </c>
      <c r="D1355" s="2" t="s">
        <v>11008</v>
      </c>
      <c r="E1355" s="2" t="s">
        <v>11009</v>
      </c>
      <c r="F1355" s="2" t="s">
        <v>11010</v>
      </c>
      <c r="G1355" s="2" t="s">
        <v>5022</v>
      </c>
      <c r="H1355" s="2" t="s">
        <v>5023</v>
      </c>
      <c r="I1355" s="2" t="s">
        <v>11011</v>
      </c>
      <c r="J1355" s="2"/>
      <c r="K1355" s="2"/>
      <c r="L1355" s="2"/>
      <c r="M1355" s="2" t="s">
        <v>11012</v>
      </c>
      <c r="N1355" s="2"/>
      <c r="O1355" s="2"/>
      <c r="P1355" s="2"/>
      <c r="Q1355" s="2"/>
    </row>
    <row r="1356" spans="1:17" x14ac:dyDescent="0.2">
      <c r="A1356" s="2" t="s">
        <v>2169</v>
      </c>
      <c r="B1356" s="2" t="s">
        <v>10819</v>
      </c>
      <c r="C1356" s="2" t="s">
        <v>5369</v>
      </c>
      <c r="D1356" s="2" t="s">
        <v>11013</v>
      </c>
      <c r="E1356" s="2" t="s">
        <v>11014</v>
      </c>
      <c r="F1356" s="2" t="s">
        <v>11015</v>
      </c>
      <c r="G1356" s="2" t="s">
        <v>5022</v>
      </c>
      <c r="H1356" s="2" t="s">
        <v>5023</v>
      </c>
      <c r="I1356" s="2" t="s">
        <v>11016</v>
      </c>
      <c r="J1356" s="2"/>
      <c r="K1356" s="2"/>
      <c r="L1356" s="2"/>
      <c r="M1356" s="2"/>
      <c r="N1356" s="2"/>
      <c r="O1356" s="2"/>
      <c r="P1356" s="2"/>
      <c r="Q1356" s="2"/>
    </row>
    <row r="1357" spans="1:17" x14ac:dyDescent="0.2">
      <c r="A1357" s="2" t="s">
        <v>4317</v>
      </c>
      <c r="B1357" s="2" t="s">
        <v>11017</v>
      </c>
      <c r="C1357" s="2" t="s">
        <v>5666</v>
      </c>
      <c r="D1357" s="2" t="s">
        <v>5076</v>
      </c>
      <c r="E1357" s="2" t="s">
        <v>11018</v>
      </c>
      <c r="F1357" s="2" t="s">
        <v>11019</v>
      </c>
      <c r="G1357" s="2" t="s">
        <v>5022</v>
      </c>
      <c r="H1357" s="2" t="s">
        <v>5023</v>
      </c>
      <c r="I1357" s="2" t="s">
        <v>11020</v>
      </c>
      <c r="J1357" s="2"/>
      <c r="K1357" s="2"/>
      <c r="L1357" s="2"/>
      <c r="M1357" s="2" t="s">
        <v>11021</v>
      </c>
      <c r="N1357" s="2"/>
      <c r="O1357" s="2"/>
      <c r="P1357" s="2"/>
      <c r="Q1357" s="2"/>
    </row>
    <row r="1358" spans="1:17" x14ac:dyDescent="0.2">
      <c r="A1358" s="2" t="s">
        <v>4957</v>
      </c>
      <c r="B1358" s="2" t="s">
        <v>6221</v>
      </c>
      <c r="C1358" s="2" t="s">
        <v>11022</v>
      </c>
      <c r="D1358" s="2" t="s">
        <v>11023</v>
      </c>
      <c r="E1358" s="2" t="s">
        <v>11024</v>
      </c>
      <c r="F1358" s="2" t="s">
        <v>9526</v>
      </c>
      <c r="G1358" s="2" t="s">
        <v>5022</v>
      </c>
      <c r="H1358" s="2" t="s">
        <v>5023</v>
      </c>
      <c r="I1358" s="2" t="s">
        <v>11025</v>
      </c>
      <c r="J1358" s="2"/>
      <c r="K1358" s="2"/>
      <c r="L1358" s="2"/>
      <c r="M1358" s="2" t="s">
        <v>11026</v>
      </c>
      <c r="N1358" s="2"/>
      <c r="O1358" s="2"/>
      <c r="P1358" s="2"/>
      <c r="Q1358" s="2"/>
    </row>
    <row r="1359" spans="1:17" x14ac:dyDescent="0.2">
      <c r="A1359" s="2" t="s">
        <v>4537</v>
      </c>
      <c r="B1359" s="2" t="s">
        <v>9555</v>
      </c>
      <c r="C1359" s="2" t="s">
        <v>6155</v>
      </c>
      <c r="D1359" s="2" t="s">
        <v>5050</v>
      </c>
      <c r="E1359" s="2" t="s">
        <v>11027</v>
      </c>
      <c r="F1359" s="2" t="s">
        <v>11028</v>
      </c>
      <c r="G1359" s="2" t="s">
        <v>5022</v>
      </c>
      <c r="H1359" s="2" t="s">
        <v>5023</v>
      </c>
      <c r="I1359" s="2" t="s">
        <v>11029</v>
      </c>
      <c r="J1359" s="2"/>
      <c r="K1359" s="2"/>
      <c r="L1359" s="2"/>
      <c r="M1359" s="2"/>
      <c r="N1359" s="2"/>
      <c r="O1359" s="2"/>
      <c r="P1359" s="2"/>
      <c r="Q1359" s="2"/>
    </row>
    <row r="1360" spans="1:17" x14ac:dyDescent="0.2">
      <c r="A1360" s="2" t="s">
        <v>2472</v>
      </c>
      <c r="B1360" s="2" t="s">
        <v>11030</v>
      </c>
      <c r="C1360" s="2" t="s">
        <v>5118</v>
      </c>
      <c r="D1360" s="2" t="s">
        <v>8039</v>
      </c>
      <c r="E1360" s="2" t="s">
        <v>11031</v>
      </c>
      <c r="F1360" s="2" t="s">
        <v>10442</v>
      </c>
      <c r="G1360" s="2" t="s">
        <v>5022</v>
      </c>
      <c r="H1360" s="2" t="s">
        <v>5023</v>
      </c>
      <c r="I1360" s="2" t="s">
        <v>11032</v>
      </c>
      <c r="J1360" s="2"/>
      <c r="K1360" s="2"/>
      <c r="L1360" s="2"/>
      <c r="M1360" s="2" t="s">
        <v>11033</v>
      </c>
      <c r="N1360" s="2"/>
      <c r="O1360" s="2"/>
      <c r="P1360" s="2"/>
      <c r="Q1360" s="2"/>
    </row>
    <row r="1361" spans="1:17" x14ac:dyDescent="0.2">
      <c r="A1361" s="2" t="s">
        <v>1005</v>
      </c>
      <c r="B1361" s="2" t="s">
        <v>9017</v>
      </c>
      <c r="C1361" s="2" t="s">
        <v>11034</v>
      </c>
      <c r="D1361" s="2" t="s">
        <v>6449</v>
      </c>
      <c r="E1361" s="2" t="s">
        <v>5736</v>
      </c>
      <c r="F1361" s="2" t="s">
        <v>11035</v>
      </c>
      <c r="G1361" s="2" t="s">
        <v>5022</v>
      </c>
      <c r="H1361" s="2" t="s">
        <v>5023</v>
      </c>
      <c r="I1361" s="2"/>
      <c r="J1361" s="2"/>
      <c r="K1361" s="2" t="s">
        <v>11036</v>
      </c>
      <c r="L1361" s="2"/>
      <c r="M1361" s="2" t="s">
        <v>11037</v>
      </c>
      <c r="N1361" s="2"/>
      <c r="O1361" s="2"/>
      <c r="P1361" s="2"/>
      <c r="Q1361" s="2"/>
    </row>
    <row r="1362" spans="1:17" x14ac:dyDescent="0.2">
      <c r="A1362" s="2" t="s">
        <v>3081</v>
      </c>
      <c r="B1362" s="2" t="s">
        <v>7476</v>
      </c>
      <c r="C1362" s="2" t="s">
        <v>6960</v>
      </c>
      <c r="D1362" s="2" t="s">
        <v>5388</v>
      </c>
      <c r="E1362" s="2" t="s">
        <v>11038</v>
      </c>
      <c r="F1362" s="2" t="s">
        <v>11039</v>
      </c>
      <c r="G1362" s="2" t="s">
        <v>5022</v>
      </c>
      <c r="H1362" s="2" t="s">
        <v>5023</v>
      </c>
      <c r="I1362" s="2"/>
      <c r="J1362" s="2"/>
      <c r="K1362" s="2" t="s">
        <v>11040</v>
      </c>
      <c r="L1362" s="2"/>
      <c r="M1362" s="2" t="s">
        <v>11041</v>
      </c>
      <c r="N1362" s="2"/>
      <c r="O1362" s="2"/>
      <c r="P1362" s="2"/>
      <c r="Q1362" s="2"/>
    </row>
    <row r="1363" spans="1:17" x14ac:dyDescent="0.2">
      <c r="A1363" s="2" t="s">
        <v>2062</v>
      </c>
      <c r="B1363" s="2" t="s">
        <v>10667</v>
      </c>
      <c r="C1363" s="2" t="s">
        <v>6419</v>
      </c>
      <c r="D1363" s="2" t="s">
        <v>11042</v>
      </c>
      <c r="E1363" s="2" t="s">
        <v>11043</v>
      </c>
      <c r="F1363" s="2" t="s">
        <v>11044</v>
      </c>
      <c r="G1363" s="2" t="s">
        <v>5022</v>
      </c>
      <c r="H1363" s="2" t="s">
        <v>10333</v>
      </c>
      <c r="I1363" s="2" t="s">
        <v>11045</v>
      </c>
      <c r="J1363" s="2"/>
      <c r="K1363" s="2"/>
      <c r="L1363" s="2"/>
      <c r="M1363" s="2" t="s">
        <v>11046</v>
      </c>
      <c r="N1363" s="2"/>
      <c r="O1363" s="2"/>
      <c r="P1363" s="2"/>
      <c r="Q1363" s="2"/>
    </row>
    <row r="1364" spans="1:17" x14ac:dyDescent="0.2">
      <c r="A1364" s="2" t="s">
        <v>3598</v>
      </c>
      <c r="B1364" s="2" t="s">
        <v>9867</v>
      </c>
      <c r="C1364" s="2" t="s">
        <v>8720</v>
      </c>
      <c r="D1364" s="2" t="s">
        <v>2781</v>
      </c>
      <c r="E1364" s="2" t="s">
        <v>11047</v>
      </c>
      <c r="F1364" s="2" t="s">
        <v>11048</v>
      </c>
      <c r="G1364" s="2" t="s">
        <v>5022</v>
      </c>
      <c r="H1364" s="2" t="s">
        <v>5023</v>
      </c>
      <c r="I1364" s="2" t="s">
        <v>11049</v>
      </c>
      <c r="J1364" s="2"/>
      <c r="K1364" s="2"/>
      <c r="L1364" s="2"/>
      <c r="M1364" s="2"/>
      <c r="N1364" s="2"/>
      <c r="O1364" s="2"/>
      <c r="P1364" s="2"/>
      <c r="Q1364" s="2"/>
    </row>
    <row r="1365" spans="1:17" x14ac:dyDescent="0.2">
      <c r="A1365" s="2" t="s">
        <v>1305</v>
      </c>
      <c r="B1365" s="2" t="s">
        <v>11050</v>
      </c>
      <c r="C1365" s="2" t="s">
        <v>5433</v>
      </c>
      <c r="D1365" s="2" t="s">
        <v>5997</v>
      </c>
      <c r="E1365" s="2" t="s">
        <v>5891</v>
      </c>
      <c r="F1365" s="2" t="s">
        <v>11051</v>
      </c>
      <c r="G1365" s="2" t="s">
        <v>5022</v>
      </c>
      <c r="H1365" s="2" t="s">
        <v>5023</v>
      </c>
      <c r="I1365" s="2" t="s">
        <v>11052</v>
      </c>
      <c r="J1365" s="2"/>
      <c r="K1365" s="2"/>
      <c r="L1365" s="2"/>
      <c r="M1365" s="2" t="s">
        <v>11053</v>
      </c>
      <c r="N1365" s="2"/>
      <c r="O1365" s="2"/>
      <c r="P1365" s="2"/>
      <c r="Q1365" s="2"/>
    </row>
    <row r="1366" spans="1:17" x14ac:dyDescent="0.2">
      <c r="A1366" s="2" t="s">
        <v>286</v>
      </c>
      <c r="B1366" s="2" t="s">
        <v>9793</v>
      </c>
      <c r="C1366" s="2" t="s">
        <v>5105</v>
      </c>
      <c r="D1366" s="2" t="s">
        <v>11054</v>
      </c>
      <c r="E1366" s="2" t="s">
        <v>6871</v>
      </c>
      <c r="F1366" s="2" t="s">
        <v>9281</v>
      </c>
      <c r="G1366" s="2" t="s">
        <v>5022</v>
      </c>
      <c r="H1366" s="2" t="s">
        <v>5023</v>
      </c>
      <c r="I1366" s="2" t="s">
        <v>11055</v>
      </c>
      <c r="J1366" s="2"/>
      <c r="K1366" s="2"/>
      <c r="L1366" s="2"/>
      <c r="M1366" s="2" t="s">
        <v>11056</v>
      </c>
      <c r="N1366" s="2"/>
      <c r="O1366" s="2"/>
      <c r="P1366" s="2"/>
      <c r="Q1366" s="2"/>
    </row>
    <row r="1367" spans="1:17" x14ac:dyDescent="0.2">
      <c r="A1367" s="2" t="s">
        <v>1140</v>
      </c>
      <c r="B1367" s="2" t="s">
        <v>8576</v>
      </c>
      <c r="C1367" s="2" t="s">
        <v>5189</v>
      </c>
      <c r="D1367" s="2" t="s">
        <v>7291</v>
      </c>
      <c r="E1367" s="2" t="s">
        <v>11057</v>
      </c>
      <c r="F1367" s="2" t="s">
        <v>6719</v>
      </c>
      <c r="G1367" s="2" t="s">
        <v>5022</v>
      </c>
      <c r="H1367" s="2" t="s">
        <v>5023</v>
      </c>
      <c r="I1367" s="2" t="s">
        <v>11058</v>
      </c>
      <c r="J1367" s="2"/>
      <c r="K1367" s="2"/>
      <c r="L1367" s="2"/>
      <c r="M1367" s="2" t="s">
        <v>11059</v>
      </c>
      <c r="N1367" s="2"/>
      <c r="O1367" s="2"/>
      <c r="P1367" s="2"/>
      <c r="Q1367" s="2"/>
    </row>
    <row r="1368" spans="1:17" x14ac:dyDescent="0.2">
      <c r="A1368" s="2" t="s">
        <v>1040</v>
      </c>
      <c r="B1368" s="2" t="s">
        <v>11060</v>
      </c>
      <c r="C1368" s="2" t="s">
        <v>6954</v>
      </c>
      <c r="D1368" s="2" t="s">
        <v>5712</v>
      </c>
      <c r="E1368" s="2" t="s">
        <v>11061</v>
      </c>
      <c r="F1368" s="2" t="s">
        <v>7321</v>
      </c>
      <c r="G1368" s="2" t="s">
        <v>5022</v>
      </c>
      <c r="H1368" s="2" t="s">
        <v>5023</v>
      </c>
      <c r="I1368" s="2" t="s">
        <v>11062</v>
      </c>
      <c r="J1368" s="2"/>
      <c r="K1368" s="2"/>
      <c r="L1368" s="2"/>
      <c r="M1368" s="2"/>
      <c r="N1368" s="2"/>
      <c r="O1368" s="2"/>
      <c r="P1368" s="2"/>
      <c r="Q1368" s="2"/>
    </row>
    <row r="1369" spans="1:17" x14ac:dyDescent="0.2">
      <c r="A1369" s="2" t="s">
        <v>4287</v>
      </c>
      <c r="B1369" s="2" t="s">
        <v>5604</v>
      </c>
      <c r="C1369" s="2" t="s">
        <v>11063</v>
      </c>
      <c r="D1369" s="2" t="s">
        <v>11064</v>
      </c>
      <c r="E1369" s="2" t="s">
        <v>11065</v>
      </c>
      <c r="F1369" s="2" t="s">
        <v>5867</v>
      </c>
      <c r="G1369" s="2" t="s">
        <v>5022</v>
      </c>
      <c r="H1369" s="2" t="s">
        <v>5023</v>
      </c>
      <c r="I1369" s="2" t="s">
        <v>11066</v>
      </c>
      <c r="J1369" s="2"/>
      <c r="K1369" s="2"/>
      <c r="L1369" s="2"/>
      <c r="M1369" s="2" t="s">
        <v>11067</v>
      </c>
      <c r="N1369" s="2"/>
      <c r="O1369" s="2"/>
      <c r="P1369" s="2"/>
      <c r="Q1369" s="2"/>
    </row>
    <row r="1370" spans="1:17" x14ac:dyDescent="0.2">
      <c r="A1370" s="2" t="s">
        <v>1451</v>
      </c>
      <c r="B1370" s="2" t="s">
        <v>9850</v>
      </c>
      <c r="C1370" s="2" t="s">
        <v>5422</v>
      </c>
      <c r="D1370" s="2" t="s">
        <v>6906</v>
      </c>
      <c r="E1370" s="2" t="s">
        <v>11068</v>
      </c>
      <c r="F1370" s="2" t="s">
        <v>11069</v>
      </c>
      <c r="G1370" s="2" t="s">
        <v>5022</v>
      </c>
      <c r="H1370" s="2" t="s">
        <v>5023</v>
      </c>
      <c r="I1370" s="2" t="s">
        <v>11070</v>
      </c>
      <c r="J1370" s="2"/>
      <c r="K1370" s="2"/>
      <c r="L1370" s="2"/>
      <c r="M1370" s="2"/>
      <c r="N1370" s="2"/>
      <c r="O1370" s="2"/>
      <c r="P1370" s="2"/>
      <c r="Q1370" s="2"/>
    </row>
    <row r="1371" spans="1:17" x14ac:dyDescent="0.2">
      <c r="A1371" s="2" t="s">
        <v>3562</v>
      </c>
      <c r="B1371" s="2" t="s">
        <v>5055</v>
      </c>
      <c r="C1371" s="2" t="s">
        <v>5164</v>
      </c>
      <c r="D1371" s="2" t="s">
        <v>6327</v>
      </c>
      <c r="E1371" s="2" t="s">
        <v>11071</v>
      </c>
      <c r="F1371" s="2" t="s">
        <v>7828</v>
      </c>
      <c r="G1371" s="2" t="s">
        <v>5022</v>
      </c>
      <c r="H1371" s="2" t="s">
        <v>5023</v>
      </c>
      <c r="I1371" s="2" t="s">
        <v>11072</v>
      </c>
      <c r="J1371" s="2"/>
      <c r="K1371" s="2"/>
      <c r="L1371" s="2"/>
      <c r="M1371" s="2" t="s">
        <v>11073</v>
      </c>
      <c r="N1371" s="2"/>
      <c r="O1371" s="2"/>
      <c r="P1371" s="2"/>
      <c r="Q1371" s="2"/>
    </row>
    <row r="1372" spans="1:17" x14ac:dyDescent="0.2">
      <c r="A1372" s="2" t="s">
        <v>2856</v>
      </c>
      <c r="B1372" s="2" t="s">
        <v>10694</v>
      </c>
      <c r="C1372" s="2" t="s">
        <v>11074</v>
      </c>
      <c r="D1372" s="2" t="s">
        <v>5980</v>
      </c>
      <c r="E1372" s="2" t="s">
        <v>9891</v>
      </c>
      <c r="F1372" s="2" t="s">
        <v>6698</v>
      </c>
      <c r="G1372" s="2" t="s">
        <v>5022</v>
      </c>
      <c r="H1372" s="2" t="s">
        <v>5023</v>
      </c>
      <c r="I1372" s="2"/>
      <c r="J1372" s="2"/>
      <c r="K1372" s="2" t="s">
        <v>11075</v>
      </c>
      <c r="L1372" s="2"/>
      <c r="M1372" s="2"/>
      <c r="N1372" s="2"/>
      <c r="O1372" s="2"/>
      <c r="P1372" s="2"/>
      <c r="Q1372" s="2"/>
    </row>
    <row r="1373" spans="1:17" x14ac:dyDescent="0.2">
      <c r="A1373" s="2" t="s">
        <v>1489</v>
      </c>
      <c r="B1373" s="2" t="s">
        <v>7890</v>
      </c>
      <c r="C1373" s="2" t="s">
        <v>11076</v>
      </c>
      <c r="D1373" s="2" t="s">
        <v>6498</v>
      </c>
      <c r="E1373" s="2" t="s">
        <v>9891</v>
      </c>
      <c r="F1373" s="2" t="s">
        <v>9000</v>
      </c>
      <c r="G1373" s="2" t="s">
        <v>5022</v>
      </c>
      <c r="H1373" s="2" t="s">
        <v>5023</v>
      </c>
      <c r="I1373" s="2" t="s">
        <v>11077</v>
      </c>
      <c r="J1373" s="2"/>
      <c r="K1373" s="2"/>
      <c r="L1373" s="2"/>
      <c r="M1373" s="2" t="s">
        <v>11078</v>
      </c>
      <c r="N1373" s="2"/>
      <c r="O1373" s="2"/>
      <c r="P1373" s="2"/>
      <c r="Q1373" s="2"/>
    </row>
    <row r="1374" spans="1:17" x14ac:dyDescent="0.2">
      <c r="A1374" s="2" t="s">
        <v>2162</v>
      </c>
      <c r="B1374" s="2" t="s">
        <v>11079</v>
      </c>
      <c r="C1374" s="2" t="s">
        <v>5339</v>
      </c>
      <c r="D1374" s="2" t="s">
        <v>10440</v>
      </c>
      <c r="E1374" s="2" t="s">
        <v>11080</v>
      </c>
      <c r="F1374" s="2" t="s">
        <v>5048</v>
      </c>
      <c r="G1374" s="2" t="s">
        <v>5022</v>
      </c>
      <c r="H1374" s="2" t="s">
        <v>5023</v>
      </c>
      <c r="I1374" s="2" t="s">
        <v>11081</v>
      </c>
      <c r="J1374" s="2"/>
      <c r="K1374" s="2"/>
      <c r="L1374" s="2"/>
      <c r="M1374" s="2" t="s">
        <v>11082</v>
      </c>
      <c r="N1374" s="2"/>
      <c r="O1374" s="2"/>
      <c r="P1374" s="2"/>
      <c r="Q1374" s="2"/>
    </row>
    <row r="1375" spans="1:17" x14ac:dyDescent="0.2">
      <c r="A1375" s="2" t="s">
        <v>4649</v>
      </c>
      <c r="B1375" s="2" t="s">
        <v>11083</v>
      </c>
      <c r="C1375" s="2" t="s">
        <v>5895</v>
      </c>
      <c r="D1375" s="2" t="s">
        <v>7031</v>
      </c>
      <c r="E1375" s="2" t="s">
        <v>11084</v>
      </c>
      <c r="F1375" s="2" t="s">
        <v>9389</v>
      </c>
      <c r="G1375" s="2" t="s">
        <v>5022</v>
      </c>
      <c r="H1375" s="2" t="s">
        <v>5023</v>
      </c>
      <c r="I1375" s="2" t="s">
        <v>11085</v>
      </c>
      <c r="J1375" s="2"/>
      <c r="K1375" s="2"/>
      <c r="L1375" s="2"/>
      <c r="M1375" s="2" t="s">
        <v>11086</v>
      </c>
      <c r="N1375" s="2"/>
      <c r="O1375" s="2"/>
      <c r="P1375" s="2"/>
      <c r="Q1375" s="2"/>
    </row>
    <row r="1376" spans="1:17" x14ac:dyDescent="0.2">
      <c r="A1376" s="2" t="s">
        <v>4469</v>
      </c>
      <c r="B1376" s="2" t="s">
        <v>11087</v>
      </c>
      <c r="C1376" s="2" t="s">
        <v>8567</v>
      </c>
      <c r="D1376" s="2" t="s">
        <v>8075</v>
      </c>
      <c r="E1376" s="2" t="s">
        <v>9697</v>
      </c>
      <c r="F1376" s="2" t="s">
        <v>11088</v>
      </c>
      <c r="G1376" s="2" t="s">
        <v>5022</v>
      </c>
      <c r="H1376" s="2" t="s">
        <v>5023</v>
      </c>
      <c r="I1376" s="2" t="s">
        <v>11089</v>
      </c>
      <c r="J1376" s="2"/>
      <c r="K1376" s="2"/>
      <c r="L1376" s="2"/>
      <c r="M1376" s="2" t="s">
        <v>11090</v>
      </c>
      <c r="N1376" s="2"/>
      <c r="O1376" s="2"/>
      <c r="P1376" s="2"/>
      <c r="Q1376" s="2"/>
    </row>
    <row r="1377" spans="1:17" x14ac:dyDescent="0.2">
      <c r="A1377" s="2" t="s">
        <v>650</v>
      </c>
      <c r="B1377" s="2" t="s">
        <v>5576</v>
      </c>
      <c r="C1377" s="2" t="s">
        <v>5931</v>
      </c>
      <c r="D1377" s="2" t="s">
        <v>10616</v>
      </c>
      <c r="E1377" s="2" t="s">
        <v>5253</v>
      </c>
      <c r="F1377" s="2" t="s">
        <v>7011</v>
      </c>
      <c r="G1377" s="2" t="s">
        <v>5022</v>
      </c>
      <c r="H1377" s="2" t="s">
        <v>5023</v>
      </c>
      <c r="I1377" s="2" t="s">
        <v>11091</v>
      </c>
      <c r="J1377" s="2"/>
      <c r="K1377" s="2"/>
      <c r="L1377" s="2"/>
      <c r="M1377" s="2"/>
      <c r="N1377" s="2"/>
      <c r="O1377" s="2"/>
      <c r="P1377" s="2"/>
      <c r="Q1377" s="2"/>
    </row>
    <row r="1378" spans="1:17" x14ac:dyDescent="0.2">
      <c r="A1378" s="2" t="s">
        <v>2844</v>
      </c>
      <c r="B1378" s="2" t="s">
        <v>6122</v>
      </c>
      <c r="C1378" s="2" t="s">
        <v>11092</v>
      </c>
      <c r="D1378" s="2" t="s">
        <v>8745</v>
      </c>
      <c r="E1378" s="2" t="s">
        <v>7154</v>
      </c>
      <c r="F1378" s="2" t="s">
        <v>8292</v>
      </c>
      <c r="G1378" s="2" t="s">
        <v>5022</v>
      </c>
      <c r="H1378" s="2" t="s">
        <v>5023</v>
      </c>
      <c r="I1378" s="2"/>
      <c r="J1378" s="2"/>
      <c r="K1378" s="2" t="s">
        <v>11093</v>
      </c>
      <c r="L1378" s="2"/>
      <c r="M1378" s="2"/>
      <c r="N1378" s="2"/>
      <c r="O1378" s="2"/>
      <c r="P1378" s="2"/>
      <c r="Q1378" s="2"/>
    </row>
    <row r="1379" spans="1:17" x14ac:dyDescent="0.2">
      <c r="A1379" s="2" t="s">
        <v>4597</v>
      </c>
      <c r="B1379" s="2" t="s">
        <v>11094</v>
      </c>
      <c r="C1379" s="2" t="s">
        <v>7214</v>
      </c>
      <c r="D1379" s="2" t="s">
        <v>5827</v>
      </c>
      <c r="E1379" s="2" t="s">
        <v>11095</v>
      </c>
      <c r="F1379" s="2" t="s">
        <v>11096</v>
      </c>
      <c r="G1379" s="2" t="s">
        <v>5022</v>
      </c>
      <c r="H1379" s="2" t="s">
        <v>5023</v>
      </c>
      <c r="I1379" s="2" t="s">
        <v>11097</v>
      </c>
      <c r="J1379" s="2"/>
      <c r="K1379" s="2"/>
      <c r="L1379" s="2"/>
      <c r="M1379" s="2" t="s">
        <v>11098</v>
      </c>
      <c r="N1379" s="2"/>
      <c r="O1379" s="2"/>
      <c r="P1379" s="2"/>
      <c r="Q1379" s="2"/>
    </row>
    <row r="1380" spans="1:17" x14ac:dyDescent="0.2">
      <c r="A1380" s="2" t="s">
        <v>183</v>
      </c>
      <c r="B1380" s="2" t="s">
        <v>11099</v>
      </c>
      <c r="C1380" s="2" t="s">
        <v>9026</v>
      </c>
      <c r="D1380" s="2" t="s">
        <v>6717</v>
      </c>
      <c r="E1380" s="2" t="s">
        <v>6718</v>
      </c>
      <c r="F1380" s="2" t="s">
        <v>6719</v>
      </c>
      <c r="G1380" s="2" t="s">
        <v>5022</v>
      </c>
      <c r="H1380" s="2" t="s">
        <v>5023</v>
      </c>
      <c r="I1380" s="2" t="s">
        <v>11100</v>
      </c>
      <c r="J1380" s="2"/>
      <c r="K1380" s="2"/>
      <c r="L1380" s="2"/>
      <c r="M1380" s="2"/>
      <c r="N1380" s="2"/>
      <c r="O1380" s="2"/>
      <c r="P1380" s="2"/>
      <c r="Q1380" s="2"/>
    </row>
    <row r="1381" spans="1:17" x14ac:dyDescent="0.2">
      <c r="A1381" s="2" t="s">
        <v>1134</v>
      </c>
      <c r="B1381" s="2" t="s">
        <v>11101</v>
      </c>
      <c r="C1381" s="2" t="s">
        <v>5741</v>
      </c>
      <c r="D1381" s="2" t="s">
        <v>5409</v>
      </c>
      <c r="E1381" s="2" t="s">
        <v>11102</v>
      </c>
      <c r="F1381" s="2" t="s">
        <v>7267</v>
      </c>
      <c r="G1381" s="2" t="s">
        <v>5022</v>
      </c>
      <c r="H1381" s="2" t="s">
        <v>10333</v>
      </c>
      <c r="I1381" s="2" t="s">
        <v>11103</v>
      </c>
      <c r="J1381" s="2"/>
      <c r="K1381" s="2"/>
      <c r="L1381" s="2"/>
      <c r="M1381" s="2"/>
      <c r="N1381" s="2"/>
      <c r="O1381" s="2"/>
      <c r="P1381" s="2"/>
      <c r="Q1381" s="2"/>
    </row>
    <row r="1382" spans="1:17" x14ac:dyDescent="0.2">
      <c r="A1382" s="2" t="s">
        <v>266</v>
      </c>
      <c r="B1382" s="2" t="s">
        <v>11104</v>
      </c>
      <c r="C1382" s="2" t="s">
        <v>11105</v>
      </c>
      <c r="D1382" s="2" t="s">
        <v>11106</v>
      </c>
      <c r="E1382" s="2" t="s">
        <v>6035</v>
      </c>
      <c r="F1382" s="2" t="s">
        <v>11107</v>
      </c>
      <c r="G1382" s="2" t="s">
        <v>5022</v>
      </c>
      <c r="H1382" s="2" t="s">
        <v>5023</v>
      </c>
      <c r="I1382" s="2" t="s">
        <v>11108</v>
      </c>
      <c r="J1382" s="2"/>
      <c r="K1382" s="2"/>
      <c r="L1382" s="2"/>
      <c r="M1382" s="2" t="s">
        <v>11109</v>
      </c>
      <c r="N1382" s="2"/>
      <c r="O1382" s="2"/>
      <c r="P1382" s="2"/>
      <c r="Q1382" s="2"/>
    </row>
    <row r="1383" spans="1:17" x14ac:dyDescent="0.2">
      <c r="A1383" s="2" t="s">
        <v>3481</v>
      </c>
      <c r="B1383" s="2" t="s">
        <v>10074</v>
      </c>
      <c r="C1383" s="2" t="s">
        <v>6004</v>
      </c>
      <c r="D1383" s="2" t="s">
        <v>10076</v>
      </c>
      <c r="E1383" s="2" t="s">
        <v>11110</v>
      </c>
      <c r="F1383" s="2" t="s">
        <v>10251</v>
      </c>
      <c r="G1383" s="2" t="s">
        <v>5022</v>
      </c>
      <c r="H1383" s="2" t="s">
        <v>5023</v>
      </c>
      <c r="I1383" s="2" t="s">
        <v>11111</v>
      </c>
      <c r="J1383" s="2"/>
      <c r="K1383" s="2"/>
      <c r="L1383" s="2"/>
      <c r="M1383" s="2" t="s">
        <v>11112</v>
      </c>
      <c r="N1383" s="2"/>
      <c r="O1383" s="2"/>
      <c r="P1383" s="2"/>
      <c r="Q1383" s="2"/>
    </row>
    <row r="1384" spans="1:17" x14ac:dyDescent="0.2">
      <c r="A1384" s="2" t="s">
        <v>2618</v>
      </c>
      <c r="B1384" s="2" t="s">
        <v>11113</v>
      </c>
      <c r="C1384" s="2" t="s">
        <v>7659</v>
      </c>
      <c r="D1384" s="2" t="s">
        <v>7004</v>
      </c>
      <c r="E1384" s="2" t="s">
        <v>7760</v>
      </c>
      <c r="F1384" s="2" t="s">
        <v>10087</v>
      </c>
      <c r="G1384" s="2" t="s">
        <v>5022</v>
      </c>
      <c r="H1384" s="2" t="s">
        <v>5023</v>
      </c>
      <c r="I1384" s="2"/>
      <c r="J1384" s="2"/>
      <c r="K1384" s="2" t="s">
        <v>11114</v>
      </c>
      <c r="L1384" s="2"/>
      <c r="M1384" s="2"/>
      <c r="N1384" s="2"/>
      <c r="O1384" s="2"/>
      <c r="P1384" s="2"/>
      <c r="Q1384" s="2"/>
    </row>
    <row r="1385" spans="1:17" x14ac:dyDescent="0.2">
      <c r="A1385" s="2" t="s">
        <v>4278</v>
      </c>
      <c r="B1385" s="2" t="s">
        <v>11115</v>
      </c>
      <c r="C1385" s="2" t="s">
        <v>11116</v>
      </c>
      <c r="D1385" s="2" t="s">
        <v>5481</v>
      </c>
      <c r="E1385" s="2" t="s">
        <v>11117</v>
      </c>
      <c r="F1385" s="2" t="s">
        <v>11118</v>
      </c>
      <c r="G1385" s="2" t="s">
        <v>5022</v>
      </c>
      <c r="H1385" s="2" t="s">
        <v>5023</v>
      </c>
      <c r="I1385" s="2" t="s">
        <v>11119</v>
      </c>
      <c r="J1385" s="2"/>
      <c r="K1385" s="2"/>
      <c r="L1385" s="2"/>
      <c r="M1385" s="2" t="s">
        <v>11120</v>
      </c>
      <c r="N1385" s="2"/>
      <c r="O1385" s="2"/>
      <c r="P1385" s="2"/>
      <c r="Q1385" s="2"/>
    </row>
    <row r="1386" spans="1:17" x14ac:dyDescent="0.2">
      <c r="A1386" s="2" t="s">
        <v>1009</v>
      </c>
      <c r="B1386" s="2" t="s">
        <v>10241</v>
      </c>
      <c r="C1386" s="2" t="s">
        <v>6014</v>
      </c>
      <c r="D1386" s="2" t="s">
        <v>5189</v>
      </c>
      <c r="E1386" s="2" t="s">
        <v>11121</v>
      </c>
      <c r="F1386" s="2" t="s">
        <v>6015</v>
      </c>
      <c r="G1386" s="2" t="s">
        <v>5022</v>
      </c>
      <c r="H1386" s="2" t="s">
        <v>5023</v>
      </c>
      <c r="I1386" s="2"/>
      <c r="J1386" s="2"/>
      <c r="K1386" s="2" t="s">
        <v>11122</v>
      </c>
      <c r="L1386" s="2"/>
      <c r="M1386" s="2"/>
      <c r="N1386" s="2"/>
      <c r="O1386" s="2"/>
      <c r="P1386" s="2"/>
      <c r="Q1386" s="2"/>
    </row>
    <row r="1387" spans="1:17" x14ac:dyDescent="0.2">
      <c r="A1387" s="2" t="s">
        <v>1423</v>
      </c>
      <c r="B1387" s="2" t="s">
        <v>9878</v>
      </c>
      <c r="C1387" s="2" t="s">
        <v>5611</v>
      </c>
      <c r="D1387" s="2" t="s">
        <v>11123</v>
      </c>
      <c r="E1387" s="2" t="s">
        <v>11124</v>
      </c>
      <c r="F1387" s="2" t="s">
        <v>11125</v>
      </c>
      <c r="G1387" s="2" t="s">
        <v>5022</v>
      </c>
      <c r="H1387" s="2" t="s">
        <v>5023</v>
      </c>
      <c r="I1387" s="2" t="s">
        <v>11126</v>
      </c>
      <c r="J1387" s="2"/>
      <c r="K1387" s="2"/>
      <c r="L1387" s="2"/>
      <c r="M1387" s="2"/>
      <c r="N1387" s="2"/>
      <c r="O1387" s="2"/>
      <c r="P1387" s="2"/>
      <c r="Q1387" s="2"/>
    </row>
    <row r="1388" spans="1:17" x14ac:dyDescent="0.2">
      <c r="A1388" s="2" t="s">
        <v>2860</v>
      </c>
      <c r="B1388" s="2" t="s">
        <v>9207</v>
      </c>
      <c r="C1388" s="2" t="s">
        <v>6836</v>
      </c>
      <c r="D1388" s="2" t="s">
        <v>6836</v>
      </c>
      <c r="E1388" s="2" t="s">
        <v>5891</v>
      </c>
      <c r="F1388" s="2" t="s">
        <v>11127</v>
      </c>
      <c r="G1388" s="2" t="s">
        <v>5022</v>
      </c>
      <c r="H1388" s="2" t="s">
        <v>5023</v>
      </c>
      <c r="I1388" s="2"/>
      <c r="J1388" s="2"/>
      <c r="K1388" s="2" t="s">
        <v>11128</v>
      </c>
      <c r="L1388" s="2"/>
      <c r="M1388" s="2"/>
      <c r="N1388" s="2"/>
      <c r="O1388" s="2"/>
      <c r="P1388" s="2"/>
      <c r="Q1388" s="2"/>
    </row>
    <row r="1389" spans="1:17" x14ac:dyDescent="0.2">
      <c r="A1389" s="2" t="s">
        <v>2103</v>
      </c>
      <c r="B1389" s="2" t="s">
        <v>11129</v>
      </c>
      <c r="C1389" s="2" t="s">
        <v>5075</v>
      </c>
      <c r="D1389" s="2" t="s">
        <v>10020</v>
      </c>
      <c r="E1389" s="2" t="s">
        <v>4966</v>
      </c>
      <c r="F1389" s="2" t="s">
        <v>7259</v>
      </c>
      <c r="G1389" s="2" t="s">
        <v>5022</v>
      </c>
      <c r="H1389" s="2" t="s">
        <v>5023</v>
      </c>
      <c r="I1389" s="2" t="s">
        <v>11130</v>
      </c>
      <c r="J1389" s="2"/>
      <c r="K1389" s="2"/>
      <c r="L1389" s="2"/>
      <c r="M1389" s="2" t="s">
        <v>11131</v>
      </c>
      <c r="N1389" s="2"/>
      <c r="O1389" s="2"/>
      <c r="P1389" s="2"/>
      <c r="Q1389" s="2"/>
    </row>
    <row r="1390" spans="1:17" x14ac:dyDescent="0.2">
      <c r="A1390" s="2" t="s">
        <v>4844</v>
      </c>
      <c r="B1390" s="2" t="s">
        <v>11132</v>
      </c>
      <c r="C1390" s="2" t="s">
        <v>6651</v>
      </c>
      <c r="D1390" s="2" t="s">
        <v>9141</v>
      </c>
      <c r="E1390" s="2" t="s">
        <v>11133</v>
      </c>
      <c r="F1390" s="2" t="s">
        <v>11134</v>
      </c>
      <c r="G1390" s="2" t="s">
        <v>5022</v>
      </c>
      <c r="H1390" s="2" t="s">
        <v>5023</v>
      </c>
      <c r="I1390" s="2" t="s">
        <v>11135</v>
      </c>
      <c r="J1390" s="2"/>
      <c r="K1390" s="2"/>
      <c r="L1390" s="2"/>
      <c r="M1390" s="2" t="s">
        <v>11136</v>
      </c>
      <c r="N1390" s="2"/>
      <c r="O1390" s="2"/>
      <c r="P1390" s="2"/>
      <c r="Q1390" s="2"/>
    </row>
    <row r="1391" spans="1:17" x14ac:dyDescent="0.2">
      <c r="A1391" s="2" t="s">
        <v>4384</v>
      </c>
      <c r="B1391" s="2" t="s">
        <v>11137</v>
      </c>
      <c r="C1391" s="2" t="s">
        <v>5223</v>
      </c>
      <c r="D1391" s="2" t="s">
        <v>6726</v>
      </c>
      <c r="E1391" s="2" t="s">
        <v>11138</v>
      </c>
      <c r="F1391" s="2" t="s">
        <v>11139</v>
      </c>
      <c r="G1391" s="2" t="s">
        <v>5022</v>
      </c>
      <c r="H1391" s="2" t="s">
        <v>5023</v>
      </c>
      <c r="I1391" s="2" t="s">
        <v>11140</v>
      </c>
      <c r="J1391" s="2"/>
      <c r="K1391" s="2"/>
      <c r="L1391" s="2"/>
      <c r="M1391" s="2" t="s">
        <v>11141</v>
      </c>
      <c r="N1391" s="2"/>
      <c r="O1391" s="2"/>
      <c r="P1391" s="2"/>
      <c r="Q1391" s="2"/>
    </row>
    <row r="1392" spans="1:17" x14ac:dyDescent="0.2">
      <c r="A1392" s="2" t="s">
        <v>379</v>
      </c>
      <c r="B1392" s="2" t="s">
        <v>11142</v>
      </c>
      <c r="C1392" s="2" t="s">
        <v>8573</v>
      </c>
      <c r="D1392" s="2" t="s">
        <v>7252</v>
      </c>
      <c r="E1392" s="2" t="s">
        <v>5450</v>
      </c>
      <c r="F1392" s="2" t="s">
        <v>8043</v>
      </c>
      <c r="G1392" s="2" t="s">
        <v>5022</v>
      </c>
      <c r="H1392" s="2" t="s">
        <v>5023</v>
      </c>
      <c r="I1392" s="2"/>
      <c r="J1392" s="2"/>
      <c r="K1392" s="2" t="s">
        <v>8044</v>
      </c>
      <c r="L1392" s="2"/>
      <c r="M1392" s="2"/>
      <c r="N1392" s="2"/>
      <c r="O1392" s="2"/>
      <c r="P1392" s="2"/>
      <c r="Q1392" s="2"/>
    </row>
    <row r="1393" spans="1:17" x14ac:dyDescent="0.2">
      <c r="A1393" s="2" t="s">
        <v>3528</v>
      </c>
      <c r="B1393" s="2" t="s">
        <v>1984</v>
      </c>
      <c r="C1393" s="2" t="s">
        <v>5119</v>
      </c>
      <c r="D1393" s="2" t="s">
        <v>5481</v>
      </c>
      <c r="E1393" s="2" t="s">
        <v>6262</v>
      </c>
      <c r="F1393" s="2" t="s">
        <v>7409</v>
      </c>
      <c r="G1393" s="2" t="s">
        <v>5022</v>
      </c>
      <c r="H1393" s="2" t="s">
        <v>5023</v>
      </c>
      <c r="I1393" s="2" t="s">
        <v>11143</v>
      </c>
      <c r="J1393" s="2"/>
      <c r="K1393" s="2"/>
      <c r="L1393" s="2"/>
      <c r="M1393" s="2" t="s">
        <v>11144</v>
      </c>
      <c r="N1393" s="2"/>
      <c r="O1393" s="2"/>
      <c r="P1393" s="2"/>
      <c r="Q1393" s="2"/>
    </row>
    <row r="1394" spans="1:17" x14ac:dyDescent="0.2">
      <c r="A1394" s="2" t="s">
        <v>4076</v>
      </c>
      <c r="B1394" s="2" t="s">
        <v>10483</v>
      </c>
      <c r="C1394" s="2" t="s">
        <v>10684</v>
      </c>
      <c r="D1394" s="2" t="s">
        <v>10685</v>
      </c>
      <c r="E1394" s="2" t="s">
        <v>11145</v>
      </c>
      <c r="F1394" s="2" t="s">
        <v>10687</v>
      </c>
      <c r="G1394" s="2" t="s">
        <v>5022</v>
      </c>
      <c r="H1394" s="2" t="s">
        <v>5023</v>
      </c>
      <c r="I1394" s="2" t="s">
        <v>11146</v>
      </c>
      <c r="J1394" s="2"/>
      <c r="K1394" s="2"/>
      <c r="L1394" s="2"/>
      <c r="M1394" s="2" t="s">
        <v>11147</v>
      </c>
      <c r="N1394" s="2"/>
      <c r="O1394" s="2"/>
      <c r="P1394" s="2"/>
      <c r="Q1394" s="2"/>
    </row>
    <row r="1395" spans="1:17" x14ac:dyDescent="0.2">
      <c r="A1395" s="2" t="s">
        <v>2457</v>
      </c>
      <c r="B1395" s="2" t="s">
        <v>11148</v>
      </c>
      <c r="C1395" s="2" t="s">
        <v>6023</v>
      </c>
      <c r="D1395" s="2" t="s">
        <v>6534</v>
      </c>
      <c r="E1395" s="2" t="s">
        <v>11149</v>
      </c>
      <c r="F1395" s="2" t="s">
        <v>6851</v>
      </c>
      <c r="G1395" s="2" t="s">
        <v>5022</v>
      </c>
      <c r="H1395" s="2" t="s">
        <v>5023</v>
      </c>
      <c r="I1395" s="2" t="s">
        <v>11150</v>
      </c>
      <c r="J1395" s="2"/>
      <c r="K1395" s="2"/>
      <c r="L1395" s="2"/>
      <c r="M1395" s="2"/>
      <c r="N1395" s="2"/>
      <c r="O1395" s="2"/>
      <c r="P1395" s="2"/>
      <c r="Q1395" s="2"/>
    </row>
    <row r="1396" spans="1:17" x14ac:dyDescent="0.2">
      <c r="A1396" s="2" t="s">
        <v>2628</v>
      </c>
      <c r="B1396" s="2" t="s">
        <v>11151</v>
      </c>
      <c r="C1396" s="2" t="s">
        <v>6820</v>
      </c>
      <c r="D1396" s="2" t="s">
        <v>9306</v>
      </c>
      <c r="E1396" s="2" t="s">
        <v>11152</v>
      </c>
      <c r="F1396" s="2" t="s">
        <v>5128</v>
      </c>
      <c r="G1396" s="2" t="s">
        <v>5022</v>
      </c>
      <c r="H1396" s="2" t="s">
        <v>5023</v>
      </c>
      <c r="I1396" s="2"/>
      <c r="J1396" s="2"/>
      <c r="K1396" s="2" t="s">
        <v>7044</v>
      </c>
      <c r="L1396" s="2"/>
      <c r="M1396" s="2"/>
      <c r="N1396" s="2"/>
      <c r="O1396" s="2"/>
      <c r="P1396" s="2"/>
      <c r="Q1396" s="2"/>
    </row>
    <row r="1397" spans="1:17" x14ac:dyDescent="0.2">
      <c r="A1397" s="2" t="s">
        <v>3228</v>
      </c>
      <c r="B1397" s="2" t="s">
        <v>11153</v>
      </c>
      <c r="C1397" s="2" t="s">
        <v>11154</v>
      </c>
      <c r="D1397" s="2" t="s">
        <v>8908</v>
      </c>
      <c r="E1397" s="2" t="s">
        <v>11155</v>
      </c>
      <c r="F1397" s="2" t="s">
        <v>11156</v>
      </c>
      <c r="G1397" s="2" t="s">
        <v>5022</v>
      </c>
      <c r="H1397" s="2" t="s">
        <v>5023</v>
      </c>
      <c r="I1397" s="2" t="s">
        <v>11157</v>
      </c>
      <c r="J1397" s="2"/>
      <c r="K1397" s="2"/>
      <c r="L1397" s="2"/>
      <c r="M1397" s="2" t="s">
        <v>11158</v>
      </c>
      <c r="N1397" s="2"/>
      <c r="O1397" s="2"/>
      <c r="P1397" s="2"/>
      <c r="Q1397" s="2"/>
    </row>
    <row r="1398" spans="1:17" x14ac:dyDescent="0.2">
      <c r="A1398" s="2" t="s">
        <v>1519</v>
      </c>
      <c r="B1398" s="2" t="s">
        <v>11159</v>
      </c>
      <c r="C1398" s="2" t="s">
        <v>10766</v>
      </c>
      <c r="D1398" s="2" t="s">
        <v>9683</v>
      </c>
      <c r="E1398" s="2" t="s">
        <v>5714</v>
      </c>
      <c r="F1398" s="2" t="s">
        <v>5185</v>
      </c>
      <c r="G1398" s="2" t="s">
        <v>5022</v>
      </c>
      <c r="H1398" s="2" t="s">
        <v>5023</v>
      </c>
      <c r="I1398" s="2" t="s">
        <v>11160</v>
      </c>
      <c r="J1398" s="2"/>
      <c r="K1398" s="2"/>
      <c r="L1398" s="2"/>
      <c r="M1398" s="2"/>
      <c r="N1398" s="2"/>
      <c r="O1398" s="2"/>
      <c r="P1398" s="2"/>
      <c r="Q1398" s="2"/>
    </row>
    <row r="1399" spans="1:17" x14ac:dyDescent="0.2">
      <c r="A1399" s="2" t="s">
        <v>1092</v>
      </c>
      <c r="B1399" s="2" t="s">
        <v>406</v>
      </c>
      <c r="C1399" s="2" t="s">
        <v>11161</v>
      </c>
      <c r="D1399" s="2" t="s">
        <v>6498</v>
      </c>
      <c r="E1399" s="2" t="s">
        <v>11162</v>
      </c>
      <c r="F1399" s="2" t="s">
        <v>11163</v>
      </c>
      <c r="G1399" s="2" t="s">
        <v>5022</v>
      </c>
      <c r="H1399" s="2" t="s">
        <v>5023</v>
      </c>
      <c r="I1399" s="2" t="s">
        <v>11164</v>
      </c>
      <c r="J1399" s="2"/>
      <c r="K1399" s="2"/>
      <c r="L1399" s="2"/>
      <c r="M1399" s="2" t="s">
        <v>11165</v>
      </c>
      <c r="N1399" s="2"/>
      <c r="O1399" s="2"/>
      <c r="P1399" s="2"/>
      <c r="Q1399" s="2"/>
    </row>
    <row r="1400" spans="1:17" x14ac:dyDescent="0.2">
      <c r="A1400" s="2" t="s">
        <v>4401</v>
      </c>
      <c r="B1400" s="2" t="s">
        <v>11166</v>
      </c>
      <c r="C1400" s="2" t="s">
        <v>5057</v>
      </c>
      <c r="D1400" s="2" t="s">
        <v>7630</v>
      </c>
      <c r="E1400" s="2" t="s">
        <v>10854</v>
      </c>
      <c r="F1400" s="2" t="s">
        <v>11167</v>
      </c>
      <c r="G1400" s="2" t="s">
        <v>5022</v>
      </c>
      <c r="H1400" s="2" t="s">
        <v>5023</v>
      </c>
      <c r="I1400" s="2" t="s">
        <v>11168</v>
      </c>
      <c r="J1400" s="2"/>
      <c r="K1400" s="2"/>
      <c r="L1400" s="2"/>
      <c r="M1400" s="2" t="s">
        <v>11169</v>
      </c>
      <c r="N1400" s="2"/>
      <c r="O1400" s="2"/>
      <c r="P1400" s="2"/>
      <c r="Q1400" s="2"/>
    </row>
    <row r="1401" spans="1:17" x14ac:dyDescent="0.2">
      <c r="A1401" s="2" t="s">
        <v>2294</v>
      </c>
      <c r="B1401" s="2" t="s">
        <v>10493</v>
      </c>
      <c r="C1401" s="2" t="s">
        <v>5369</v>
      </c>
      <c r="D1401" s="2" t="s">
        <v>5223</v>
      </c>
      <c r="E1401" s="2" t="s">
        <v>11170</v>
      </c>
      <c r="F1401" s="2" t="s">
        <v>11171</v>
      </c>
      <c r="G1401" s="2" t="s">
        <v>5022</v>
      </c>
      <c r="H1401" s="2" t="s">
        <v>5023</v>
      </c>
      <c r="I1401" s="2" t="s">
        <v>11172</v>
      </c>
      <c r="J1401" s="2"/>
      <c r="K1401" s="2"/>
      <c r="L1401" s="2"/>
      <c r="M1401" s="2"/>
      <c r="N1401" s="2"/>
      <c r="O1401" s="2"/>
      <c r="P1401" s="2"/>
      <c r="Q1401" s="2"/>
    </row>
    <row r="1402" spans="1:17" x14ac:dyDescent="0.2">
      <c r="A1402" s="2" t="s">
        <v>4432</v>
      </c>
      <c r="B1402" s="2" t="s">
        <v>11173</v>
      </c>
      <c r="C1402" s="2" t="s">
        <v>5588</v>
      </c>
      <c r="D1402" s="2" t="s">
        <v>5722</v>
      </c>
      <c r="E1402" s="2" t="s">
        <v>11174</v>
      </c>
      <c r="F1402" s="2" t="s">
        <v>11175</v>
      </c>
      <c r="G1402" s="2" t="s">
        <v>5022</v>
      </c>
      <c r="H1402" s="2" t="s">
        <v>5023</v>
      </c>
      <c r="I1402" s="2" t="s">
        <v>11176</v>
      </c>
      <c r="J1402" s="2"/>
      <c r="K1402" s="2"/>
      <c r="L1402" s="2"/>
      <c r="M1402" s="2" t="s">
        <v>11177</v>
      </c>
      <c r="N1402" s="2"/>
      <c r="O1402" s="2"/>
      <c r="P1402" s="2"/>
      <c r="Q1402" s="2"/>
    </row>
    <row r="1403" spans="1:17" x14ac:dyDescent="0.2">
      <c r="A1403" s="2" t="s">
        <v>4534</v>
      </c>
      <c r="B1403" s="2" t="s">
        <v>4311</v>
      </c>
      <c r="C1403" s="2" t="s">
        <v>10281</v>
      </c>
      <c r="D1403" s="2" t="s">
        <v>5877</v>
      </c>
      <c r="E1403" s="2" t="s">
        <v>11178</v>
      </c>
      <c r="F1403" s="2" t="s">
        <v>6457</v>
      </c>
      <c r="G1403" s="2" t="s">
        <v>5022</v>
      </c>
      <c r="H1403" s="2" t="s">
        <v>5023</v>
      </c>
      <c r="I1403" s="2" t="s">
        <v>11179</v>
      </c>
      <c r="J1403" s="2"/>
      <c r="K1403" s="2"/>
      <c r="L1403" s="2"/>
      <c r="M1403" s="2" t="s">
        <v>11180</v>
      </c>
      <c r="N1403" s="2"/>
      <c r="O1403" s="2"/>
      <c r="P1403" s="2"/>
      <c r="Q1403" s="2"/>
    </row>
    <row r="1404" spans="1:17" x14ac:dyDescent="0.2">
      <c r="A1404" s="2" t="s">
        <v>4291</v>
      </c>
      <c r="B1404" s="2" t="s">
        <v>5846</v>
      </c>
      <c r="C1404" s="2" t="s">
        <v>11181</v>
      </c>
      <c r="D1404" s="2" t="s">
        <v>5164</v>
      </c>
      <c r="E1404" s="2" t="s">
        <v>11182</v>
      </c>
      <c r="F1404" s="2" t="s">
        <v>11183</v>
      </c>
      <c r="G1404" s="2" t="s">
        <v>5022</v>
      </c>
      <c r="H1404" s="2" t="s">
        <v>5023</v>
      </c>
      <c r="I1404" s="2" t="s">
        <v>11184</v>
      </c>
      <c r="J1404" s="2"/>
      <c r="K1404" s="2"/>
      <c r="L1404" s="2"/>
      <c r="M1404" s="2" t="s">
        <v>11185</v>
      </c>
      <c r="N1404" s="2"/>
      <c r="O1404" s="2"/>
      <c r="P1404" s="2"/>
      <c r="Q1404" s="2"/>
    </row>
    <row r="1405" spans="1:17" x14ac:dyDescent="0.2">
      <c r="A1405" s="2" t="s">
        <v>3013</v>
      </c>
      <c r="B1405" s="2" t="s">
        <v>11186</v>
      </c>
      <c r="C1405" s="2" t="s">
        <v>6169</v>
      </c>
      <c r="D1405" s="2" t="s">
        <v>5443</v>
      </c>
      <c r="E1405" s="2" t="s">
        <v>6005</v>
      </c>
      <c r="F1405" s="2" t="s">
        <v>11187</v>
      </c>
      <c r="G1405" s="2" t="s">
        <v>5022</v>
      </c>
      <c r="H1405" s="2" t="s">
        <v>5023</v>
      </c>
      <c r="I1405" s="2" t="s">
        <v>11188</v>
      </c>
      <c r="J1405" s="2"/>
      <c r="K1405" s="2"/>
      <c r="L1405" s="2"/>
      <c r="M1405" s="2" t="s">
        <v>11189</v>
      </c>
      <c r="N1405" s="2"/>
      <c r="O1405" s="2"/>
      <c r="P1405" s="2"/>
      <c r="Q1405" s="2"/>
    </row>
    <row r="1406" spans="1:17" x14ac:dyDescent="0.2">
      <c r="A1406" s="2" t="s">
        <v>4715</v>
      </c>
      <c r="B1406" s="2" t="s">
        <v>11190</v>
      </c>
      <c r="C1406" s="2" t="s">
        <v>5164</v>
      </c>
      <c r="D1406" s="2" t="s">
        <v>5205</v>
      </c>
      <c r="E1406" s="2" t="s">
        <v>5094</v>
      </c>
      <c r="F1406" s="2" t="s">
        <v>6381</v>
      </c>
      <c r="G1406" s="2" t="s">
        <v>5022</v>
      </c>
      <c r="H1406" s="2" t="s">
        <v>5023</v>
      </c>
      <c r="I1406" s="2" t="s">
        <v>11191</v>
      </c>
      <c r="J1406" s="2"/>
      <c r="K1406" s="2"/>
      <c r="L1406" s="2"/>
      <c r="M1406" s="2" t="s">
        <v>11192</v>
      </c>
      <c r="N1406" s="2"/>
      <c r="O1406" s="2"/>
      <c r="P1406" s="2"/>
      <c r="Q1406" s="2"/>
    </row>
    <row r="1407" spans="1:17" x14ac:dyDescent="0.2">
      <c r="A1407" s="2" t="s">
        <v>341</v>
      </c>
      <c r="B1407" s="2" t="s">
        <v>11193</v>
      </c>
      <c r="C1407" s="2" t="s">
        <v>5940</v>
      </c>
      <c r="D1407" s="2" t="s">
        <v>6662</v>
      </c>
      <c r="E1407" s="2" t="s">
        <v>6251</v>
      </c>
      <c r="F1407" s="2" t="s">
        <v>7210</v>
      </c>
      <c r="G1407" s="2" t="s">
        <v>5022</v>
      </c>
      <c r="H1407" s="2" t="s">
        <v>5023</v>
      </c>
      <c r="I1407" s="2" t="s">
        <v>11194</v>
      </c>
      <c r="J1407" s="2"/>
      <c r="K1407" s="2"/>
      <c r="L1407" s="2"/>
      <c r="M1407" s="2" t="s">
        <v>6913</v>
      </c>
      <c r="N1407" s="2"/>
      <c r="O1407" s="2"/>
      <c r="P1407" s="2"/>
      <c r="Q1407" s="2"/>
    </row>
    <row r="1408" spans="1:17" x14ac:dyDescent="0.2">
      <c r="A1408" s="2" t="s">
        <v>3436</v>
      </c>
      <c r="B1408" s="2" t="s">
        <v>9850</v>
      </c>
      <c r="C1408" s="2" t="s">
        <v>6960</v>
      </c>
      <c r="D1408" s="2" t="s">
        <v>6052</v>
      </c>
      <c r="E1408" s="2" t="s">
        <v>5891</v>
      </c>
      <c r="F1408" s="2" t="s">
        <v>6043</v>
      </c>
      <c r="G1408" s="2" t="s">
        <v>5022</v>
      </c>
      <c r="H1408" s="2" t="s">
        <v>5023</v>
      </c>
      <c r="I1408" s="2"/>
      <c r="J1408" s="2"/>
      <c r="K1408" s="2" t="s">
        <v>11195</v>
      </c>
      <c r="L1408" s="2"/>
      <c r="M1408" s="2" t="s">
        <v>11196</v>
      </c>
      <c r="N1408" s="2"/>
      <c r="O1408" s="2"/>
      <c r="P1408" s="2"/>
      <c r="Q1408" s="2"/>
    </row>
    <row r="1409" spans="1:17" x14ac:dyDescent="0.2">
      <c r="A1409" s="2" t="s">
        <v>4859</v>
      </c>
      <c r="B1409" s="2" t="s">
        <v>11197</v>
      </c>
      <c r="C1409" s="2" t="s">
        <v>5774</v>
      </c>
      <c r="D1409" s="2" t="s">
        <v>6357</v>
      </c>
      <c r="E1409" s="2" t="s">
        <v>11198</v>
      </c>
      <c r="F1409" s="2" t="s">
        <v>11187</v>
      </c>
      <c r="G1409" s="2" t="s">
        <v>5022</v>
      </c>
      <c r="H1409" s="2" t="s">
        <v>5023</v>
      </c>
      <c r="I1409" s="2" t="s">
        <v>11199</v>
      </c>
      <c r="J1409" s="2"/>
      <c r="K1409" s="2"/>
      <c r="L1409" s="2"/>
      <c r="M1409" s="2"/>
      <c r="N1409" s="2"/>
      <c r="O1409" s="2"/>
      <c r="P1409" s="2"/>
      <c r="Q1409" s="2"/>
    </row>
    <row r="1410" spans="1:17" x14ac:dyDescent="0.2">
      <c r="A1410" s="2" t="s">
        <v>197</v>
      </c>
      <c r="B1410" s="2" t="s">
        <v>5038</v>
      </c>
      <c r="C1410" s="2" t="s">
        <v>11200</v>
      </c>
      <c r="D1410" s="2" t="s">
        <v>5275</v>
      </c>
      <c r="E1410" s="2" t="s">
        <v>8258</v>
      </c>
      <c r="F1410" s="2" t="s">
        <v>11201</v>
      </c>
      <c r="G1410" s="2" t="s">
        <v>5022</v>
      </c>
      <c r="H1410" s="2" t="s">
        <v>5023</v>
      </c>
      <c r="I1410" s="2"/>
      <c r="J1410" s="2"/>
      <c r="K1410" s="2" t="s">
        <v>11202</v>
      </c>
      <c r="L1410" s="2"/>
      <c r="M1410" s="2" t="s">
        <v>11203</v>
      </c>
      <c r="N1410" s="2"/>
      <c r="O1410" s="2"/>
      <c r="P1410" s="2"/>
      <c r="Q1410" s="2"/>
    </row>
    <row r="1411" spans="1:17" x14ac:dyDescent="0.2">
      <c r="A1411" s="2" t="s">
        <v>888</v>
      </c>
      <c r="B1411" s="2" t="s">
        <v>11204</v>
      </c>
      <c r="C1411" s="2" t="s">
        <v>11205</v>
      </c>
      <c r="D1411" s="2" t="s">
        <v>7275</v>
      </c>
      <c r="E1411" s="2" t="s">
        <v>11206</v>
      </c>
      <c r="F1411" s="2" t="s">
        <v>7276</v>
      </c>
      <c r="G1411" s="2" t="s">
        <v>5022</v>
      </c>
      <c r="H1411" s="2" t="s">
        <v>5023</v>
      </c>
      <c r="I1411" s="2" t="s">
        <v>11207</v>
      </c>
      <c r="J1411" s="2"/>
      <c r="K1411" s="2"/>
      <c r="L1411" s="2"/>
      <c r="M1411" s="2"/>
      <c r="N1411" s="2"/>
      <c r="O1411" s="2"/>
      <c r="P1411" s="2"/>
      <c r="Q1411" s="2"/>
    </row>
    <row r="1412" spans="1:17" x14ac:dyDescent="0.2">
      <c r="A1412" s="2" t="s">
        <v>4122</v>
      </c>
      <c r="B1412" s="2" t="s">
        <v>11208</v>
      </c>
      <c r="C1412" s="2" t="s">
        <v>11209</v>
      </c>
      <c r="D1412" s="2" t="s">
        <v>8966</v>
      </c>
      <c r="E1412" s="2" t="s">
        <v>11210</v>
      </c>
      <c r="F1412" s="2" t="s">
        <v>11211</v>
      </c>
      <c r="G1412" s="2" t="s">
        <v>5022</v>
      </c>
      <c r="H1412" s="2" t="s">
        <v>5023</v>
      </c>
      <c r="I1412" s="2" t="s">
        <v>11212</v>
      </c>
      <c r="J1412" s="2"/>
      <c r="K1412" s="2"/>
      <c r="L1412" s="2"/>
      <c r="M1412" s="2" t="s">
        <v>11213</v>
      </c>
      <c r="N1412" s="2"/>
      <c r="O1412" s="2"/>
      <c r="P1412" s="2"/>
      <c r="Q1412" s="2"/>
    </row>
    <row r="1413" spans="1:17" x14ac:dyDescent="0.2">
      <c r="A1413" s="2" t="s">
        <v>1546</v>
      </c>
      <c r="B1413" s="2" t="s">
        <v>10507</v>
      </c>
      <c r="C1413" s="2" t="s">
        <v>11214</v>
      </c>
      <c r="D1413" s="2" t="s">
        <v>5051</v>
      </c>
      <c r="E1413" s="2" t="s">
        <v>11215</v>
      </c>
      <c r="F1413" s="2" t="s">
        <v>11216</v>
      </c>
      <c r="G1413" s="2" t="s">
        <v>5022</v>
      </c>
      <c r="H1413" s="2" t="s">
        <v>5023</v>
      </c>
      <c r="I1413" s="2" t="s">
        <v>11217</v>
      </c>
      <c r="J1413" s="2"/>
      <c r="K1413" s="2"/>
      <c r="L1413" s="2"/>
      <c r="M1413" s="2"/>
      <c r="N1413" s="2"/>
      <c r="O1413" s="2"/>
      <c r="P1413" s="2"/>
      <c r="Q1413" s="2"/>
    </row>
    <row r="1414" spans="1:17" x14ac:dyDescent="0.2">
      <c r="A1414" s="2" t="s">
        <v>2077</v>
      </c>
      <c r="B1414" s="2" t="s">
        <v>9597</v>
      </c>
      <c r="C1414" s="2" t="s">
        <v>6003</v>
      </c>
      <c r="D1414" s="2" t="s">
        <v>5076</v>
      </c>
      <c r="E1414" s="2" t="s">
        <v>11218</v>
      </c>
      <c r="F1414" s="2" t="s">
        <v>5071</v>
      </c>
      <c r="G1414" s="2" t="s">
        <v>5022</v>
      </c>
      <c r="H1414" s="2" t="s">
        <v>5023</v>
      </c>
      <c r="I1414" s="2"/>
      <c r="J1414" s="2"/>
      <c r="K1414" s="2" t="s">
        <v>11219</v>
      </c>
      <c r="L1414" s="2"/>
      <c r="M1414" s="2"/>
      <c r="N1414" s="2"/>
      <c r="O1414" s="2"/>
      <c r="P1414" s="2"/>
      <c r="Q1414" s="2"/>
    </row>
    <row r="1415" spans="1:17" x14ac:dyDescent="0.2">
      <c r="A1415" s="2" t="s">
        <v>1569</v>
      </c>
      <c r="B1415" s="2" t="s">
        <v>11220</v>
      </c>
      <c r="C1415" s="2" t="s">
        <v>5282</v>
      </c>
      <c r="D1415" s="2" t="s">
        <v>5119</v>
      </c>
      <c r="E1415" s="2" t="s">
        <v>11221</v>
      </c>
      <c r="F1415" s="2" t="s">
        <v>5136</v>
      </c>
      <c r="G1415" s="2" t="s">
        <v>5022</v>
      </c>
      <c r="H1415" s="2" t="s">
        <v>5023</v>
      </c>
      <c r="I1415" s="2" t="s">
        <v>11222</v>
      </c>
      <c r="J1415" s="2"/>
      <c r="K1415" s="2"/>
      <c r="L1415" s="2"/>
      <c r="M1415" s="2"/>
      <c r="N1415" s="2"/>
      <c r="O1415" s="2"/>
      <c r="P1415" s="2"/>
      <c r="Q1415" s="2"/>
    </row>
    <row r="1416" spans="1:17" x14ac:dyDescent="0.2">
      <c r="A1416" s="2" t="s">
        <v>2134</v>
      </c>
      <c r="B1416" s="2" t="s">
        <v>10262</v>
      </c>
      <c r="C1416" s="2" t="s">
        <v>5189</v>
      </c>
      <c r="D1416" s="2" t="s">
        <v>5189</v>
      </c>
      <c r="E1416" s="2" t="s">
        <v>11223</v>
      </c>
      <c r="F1416" s="2" t="s">
        <v>5128</v>
      </c>
      <c r="G1416" s="2" t="s">
        <v>5022</v>
      </c>
      <c r="H1416" s="2" t="s">
        <v>5023</v>
      </c>
      <c r="I1416" s="2"/>
      <c r="J1416" s="2"/>
      <c r="K1416" s="2" t="s">
        <v>11224</v>
      </c>
      <c r="L1416" s="2"/>
      <c r="M1416" s="2"/>
      <c r="N1416" s="2"/>
      <c r="O1416" s="2"/>
      <c r="P1416" s="2"/>
      <c r="Q1416" s="2"/>
    </row>
    <row r="1417" spans="1:17" x14ac:dyDescent="0.2">
      <c r="A1417" s="2" t="s">
        <v>895</v>
      </c>
      <c r="B1417" s="2" t="s">
        <v>9597</v>
      </c>
      <c r="C1417" s="2" t="s">
        <v>11225</v>
      </c>
      <c r="D1417" s="2" t="s">
        <v>7700</v>
      </c>
      <c r="E1417" s="2" t="s">
        <v>11226</v>
      </c>
      <c r="F1417" s="2" t="s">
        <v>11227</v>
      </c>
      <c r="G1417" s="2" t="s">
        <v>5022</v>
      </c>
      <c r="H1417" s="2" t="s">
        <v>5023</v>
      </c>
      <c r="I1417" s="2" t="s">
        <v>9507</v>
      </c>
      <c r="J1417" s="2"/>
      <c r="K1417" s="2"/>
      <c r="L1417" s="2"/>
      <c r="M1417" s="2" t="s">
        <v>11228</v>
      </c>
      <c r="N1417" s="2"/>
      <c r="O1417" s="2"/>
      <c r="P1417" s="2"/>
      <c r="Q1417" s="2"/>
    </row>
    <row r="1418" spans="1:17" x14ac:dyDescent="0.2">
      <c r="A1418" s="2" t="s">
        <v>4110</v>
      </c>
      <c r="B1418" s="2" t="s">
        <v>9083</v>
      </c>
      <c r="C1418" s="2" t="s">
        <v>5147</v>
      </c>
      <c r="D1418" s="2" t="s">
        <v>10647</v>
      </c>
      <c r="E1418" s="2" t="s">
        <v>11229</v>
      </c>
      <c r="F1418" s="2" t="s">
        <v>8494</v>
      </c>
      <c r="G1418" s="2" t="s">
        <v>5022</v>
      </c>
      <c r="H1418" s="2" t="s">
        <v>5023</v>
      </c>
      <c r="I1418" s="2" t="s">
        <v>11230</v>
      </c>
      <c r="J1418" s="2"/>
      <c r="K1418" s="2"/>
      <c r="L1418" s="2"/>
      <c r="M1418" s="2"/>
      <c r="N1418" s="2"/>
      <c r="O1418" s="2"/>
      <c r="P1418" s="2"/>
      <c r="Q1418" s="2"/>
    </row>
    <row r="1419" spans="1:17" x14ac:dyDescent="0.2">
      <c r="A1419" s="2" t="s">
        <v>3218</v>
      </c>
      <c r="B1419" s="2" t="s">
        <v>10117</v>
      </c>
      <c r="C1419" s="2" t="s">
        <v>5119</v>
      </c>
      <c r="D1419" s="2" t="s">
        <v>7759</v>
      </c>
      <c r="E1419" s="2" t="s">
        <v>6991</v>
      </c>
      <c r="F1419" s="2" t="s">
        <v>6719</v>
      </c>
      <c r="G1419" s="2" t="s">
        <v>5022</v>
      </c>
      <c r="H1419" s="2" t="s">
        <v>5023</v>
      </c>
      <c r="I1419" s="2" t="s">
        <v>11231</v>
      </c>
      <c r="J1419" s="2"/>
      <c r="K1419" s="2"/>
      <c r="L1419" s="2"/>
      <c r="M1419" s="2" t="s">
        <v>11232</v>
      </c>
      <c r="N1419" s="2"/>
      <c r="O1419" s="2"/>
      <c r="P1419" s="2"/>
      <c r="Q1419" s="2"/>
    </row>
    <row r="1420" spans="1:17" x14ac:dyDescent="0.2">
      <c r="A1420" s="2" t="s">
        <v>3758</v>
      </c>
      <c r="B1420" s="2" t="s">
        <v>4311</v>
      </c>
      <c r="C1420" s="2" t="s">
        <v>5323</v>
      </c>
      <c r="D1420" s="2" t="s">
        <v>6004</v>
      </c>
      <c r="E1420" s="2" t="s">
        <v>6647</v>
      </c>
      <c r="F1420" s="2" t="s">
        <v>5400</v>
      </c>
      <c r="G1420" s="2" t="s">
        <v>5022</v>
      </c>
      <c r="H1420" s="2" t="s">
        <v>5023</v>
      </c>
      <c r="I1420" s="2" t="s">
        <v>6648</v>
      </c>
      <c r="J1420" s="2"/>
      <c r="K1420" s="2"/>
      <c r="L1420" s="2"/>
      <c r="M1420" s="2" t="s">
        <v>6649</v>
      </c>
      <c r="N1420" s="2"/>
      <c r="O1420" s="2"/>
      <c r="P1420" s="2"/>
      <c r="Q1420" s="2"/>
    </row>
    <row r="1421" spans="1:17" x14ac:dyDescent="0.2">
      <c r="A1421" s="2" t="s">
        <v>3416</v>
      </c>
      <c r="B1421" s="2" t="s">
        <v>11151</v>
      </c>
      <c r="C1421" s="2" t="s">
        <v>11233</v>
      </c>
      <c r="D1421" s="2" t="s">
        <v>11234</v>
      </c>
      <c r="E1421" s="2" t="s">
        <v>11235</v>
      </c>
      <c r="F1421" s="2" t="s">
        <v>11236</v>
      </c>
      <c r="G1421" s="2" t="s">
        <v>5022</v>
      </c>
      <c r="H1421" s="2" t="s">
        <v>5023</v>
      </c>
      <c r="I1421" s="2"/>
      <c r="J1421" s="2"/>
      <c r="K1421" s="2" t="s">
        <v>11237</v>
      </c>
      <c r="L1421" s="2"/>
      <c r="M1421" s="2"/>
      <c r="N1421" s="2"/>
      <c r="O1421" s="2"/>
      <c r="P1421" s="2"/>
      <c r="Q1421" s="2"/>
    </row>
    <row r="1422" spans="1:17" x14ac:dyDescent="0.2">
      <c r="A1422" s="2" t="s">
        <v>3610</v>
      </c>
      <c r="B1422" s="2" t="s">
        <v>11238</v>
      </c>
      <c r="C1422" s="2" t="s">
        <v>5358</v>
      </c>
      <c r="D1422" s="2" t="s">
        <v>5409</v>
      </c>
      <c r="E1422" s="2" t="s">
        <v>11239</v>
      </c>
      <c r="F1422" s="2" t="s">
        <v>7027</v>
      </c>
      <c r="G1422" s="2" t="s">
        <v>5022</v>
      </c>
      <c r="H1422" s="2" t="s">
        <v>5023</v>
      </c>
      <c r="I1422" s="2" t="s">
        <v>11240</v>
      </c>
      <c r="J1422" s="2"/>
      <c r="K1422" s="2"/>
      <c r="L1422" s="2"/>
      <c r="M1422" s="2" t="s">
        <v>7029</v>
      </c>
      <c r="N1422" s="2"/>
      <c r="O1422" s="2"/>
      <c r="P1422" s="2"/>
      <c r="Q1422" s="2"/>
    </row>
    <row r="1423" spans="1:17" x14ac:dyDescent="0.2">
      <c r="A1423" s="2" t="s">
        <v>2951</v>
      </c>
      <c r="B1423" s="2" t="s">
        <v>6548</v>
      </c>
      <c r="C1423" s="2" t="s">
        <v>6651</v>
      </c>
      <c r="D1423" s="2" t="s">
        <v>6651</v>
      </c>
      <c r="E1423" s="2" t="s">
        <v>6420</v>
      </c>
      <c r="F1423" s="2" t="s">
        <v>9000</v>
      </c>
      <c r="G1423" s="2" t="s">
        <v>5022</v>
      </c>
      <c r="H1423" s="2" t="s">
        <v>5023</v>
      </c>
      <c r="I1423" s="2" t="s">
        <v>10578</v>
      </c>
      <c r="J1423" s="2"/>
      <c r="K1423" s="2"/>
      <c r="L1423" s="2"/>
      <c r="M1423" s="2"/>
      <c r="N1423" s="2"/>
      <c r="O1423" s="2"/>
      <c r="P1423" s="2"/>
      <c r="Q1423" s="2"/>
    </row>
    <row r="1424" spans="1:17" x14ac:dyDescent="0.2">
      <c r="A1424" s="2" t="s">
        <v>966</v>
      </c>
      <c r="B1424" s="2" t="s">
        <v>6616</v>
      </c>
      <c r="C1424" s="2" t="s">
        <v>6821</v>
      </c>
      <c r="D1424" s="2" t="s">
        <v>5158</v>
      </c>
      <c r="E1424" s="2" t="s">
        <v>8750</v>
      </c>
      <c r="F1424" s="2" t="s">
        <v>11241</v>
      </c>
      <c r="G1424" s="2" t="s">
        <v>5022</v>
      </c>
      <c r="H1424" s="2" t="s">
        <v>5023</v>
      </c>
      <c r="I1424" s="2"/>
      <c r="J1424" s="2"/>
      <c r="K1424" s="2" t="s">
        <v>11242</v>
      </c>
      <c r="L1424" s="2"/>
      <c r="M1424" s="2"/>
      <c r="N1424" s="2"/>
      <c r="O1424" s="2"/>
      <c r="P1424" s="2"/>
      <c r="Q1424" s="2"/>
    </row>
    <row r="1425" spans="1:17" x14ac:dyDescent="0.2">
      <c r="A1425" s="2" t="s">
        <v>1464</v>
      </c>
      <c r="B1425" s="2" t="s">
        <v>5939</v>
      </c>
      <c r="C1425" s="2" t="s">
        <v>11243</v>
      </c>
      <c r="D1425" s="2" t="s">
        <v>5567</v>
      </c>
      <c r="E1425" s="2" t="s">
        <v>11244</v>
      </c>
      <c r="F1425" s="2" t="s">
        <v>11245</v>
      </c>
      <c r="G1425" s="2" t="s">
        <v>5022</v>
      </c>
      <c r="H1425" s="2" t="s">
        <v>5023</v>
      </c>
      <c r="I1425" s="2" t="s">
        <v>11246</v>
      </c>
      <c r="J1425" s="2"/>
      <c r="K1425" s="2"/>
      <c r="L1425" s="2"/>
      <c r="M1425" s="2" t="s">
        <v>11247</v>
      </c>
      <c r="N1425" s="2"/>
      <c r="O1425" s="2"/>
      <c r="P1425" s="2"/>
      <c r="Q1425" s="2"/>
    </row>
    <row r="1426" spans="1:17" x14ac:dyDescent="0.2">
      <c r="A1426" s="2" t="s">
        <v>3830</v>
      </c>
      <c r="B1426" s="2" t="s">
        <v>11248</v>
      </c>
      <c r="C1426" s="2" t="s">
        <v>11249</v>
      </c>
      <c r="D1426" s="2" t="s">
        <v>5299</v>
      </c>
      <c r="E1426" s="2" t="s">
        <v>11250</v>
      </c>
      <c r="F1426" s="2" t="s">
        <v>8174</v>
      </c>
      <c r="G1426" s="2" t="s">
        <v>5022</v>
      </c>
      <c r="H1426" s="2" t="s">
        <v>5023</v>
      </c>
      <c r="I1426" s="2" t="s">
        <v>11251</v>
      </c>
      <c r="J1426" s="2"/>
      <c r="K1426" s="2"/>
      <c r="L1426" s="2"/>
      <c r="M1426" s="2" t="s">
        <v>11252</v>
      </c>
      <c r="N1426" s="2"/>
      <c r="O1426" s="2"/>
      <c r="P1426" s="2"/>
      <c r="Q1426" s="2"/>
    </row>
    <row r="1427" spans="1:17" x14ac:dyDescent="0.2">
      <c r="A1427" s="2" t="s">
        <v>677</v>
      </c>
      <c r="B1427" s="2" t="s">
        <v>11253</v>
      </c>
      <c r="C1427" s="2" t="s">
        <v>11254</v>
      </c>
      <c r="D1427" s="2" t="s">
        <v>11255</v>
      </c>
      <c r="E1427" s="2" t="s">
        <v>5450</v>
      </c>
      <c r="F1427" s="2" t="s">
        <v>7388</v>
      </c>
      <c r="G1427" s="2" t="s">
        <v>5022</v>
      </c>
      <c r="H1427" s="2" t="s">
        <v>5023</v>
      </c>
      <c r="I1427" s="2" t="s">
        <v>11256</v>
      </c>
      <c r="J1427" s="2"/>
      <c r="K1427" s="2"/>
      <c r="L1427" s="2"/>
      <c r="M1427" s="2" t="s">
        <v>11257</v>
      </c>
      <c r="N1427" s="2"/>
      <c r="O1427" s="2"/>
      <c r="P1427" s="2"/>
      <c r="Q1427" s="2"/>
    </row>
    <row r="1428" spans="1:17" x14ac:dyDescent="0.2">
      <c r="A1428" s="2" t="s">
        <v>2005</v>
      </c>
      <c r="B1428" s="2" t="s">
        <v>2434</v>
      </c>
      <c r="C1428" s="2" t="s">
        <v>11258</v>
      </c>
      <c r="D1428" s="2" t="s">
        <v>11259</v>
      </c>
      <c r="E1428" s="2" t="s">
        <v>5253</v>
      </c>
      <c r="F1428" s="2" t="s">
        <v>11260</v>
      </c>
      <c r="G1428" s="2" t="s">
        <v>5022</v>
      </c>
      <c r="H1428" s="2" t="s">
        <v>5023</v>
      </c>
      <c r="I1428" s="2"/>
      <c r="J1428" s="2"/>
      <c r="K1428" s="2" t="s">
        <v>11261</v>
      </c>
      <c r="L1428" s="2"/>
      <c r="M1428" s="2"/>
      <c r="N1428" s="2"/>
      <c r="O1428" s="2"/>
      <c r="P1428" s="2"/>
      <c r="Q1428" s="2"/>
    </row>
    <row r="1429" spans="1:17" x14ac:dyDescent="0.2">
      <c r="A1429" s="2" t="s">
        <v>100</v>
      </c>
      <c r="B1429" s="2" t="s">
        <v>2575</v>
      </c>
      <c r="C1429" s="2" t="s">
        <v>6076</v>
      </c>
      <c r="D1429" s="2" t="s">
        <v>6915</v>
      </c>
      <c r="E1429" s="2" t="s">
        <v>5094</v>
      </c>
      <c r="F1429" s="2" t="s">
        <v>5491</v>
      </c>
      <c r="G1429" s="2" t="s">
        <v>5022</v>
      </c>
      <c r="H1429" s="2" t="s">
        <v>5023</v>
      </c>
      <c r="I1429" s="2" t="s">
        <v>11262</v>
      </c>
      <c r="J1429" s="2"/>
      <c r="K1429" s="2"/>
      <c r="L1429" s="2"/>
      <c r="M1429" s="2"/>
      <c r="N1429" s="2"/>
      <c r="O1429" s="2"/>
      <c r="P1429" s="2"/>
      <c r="Q1429" s="2"/>
    </row>
    <row r="1430" spans="1:17" x14ac:dyDescent="0.2">
      <c r="A1430" s="2" t="s">
        <v>1538</v>
      </c>
      <c r="B1430" s="2" t="s">
        <v>11263</v>
      </c>
      <c r="C1430" s="2" t="s">
        <v>6383</v>
      </c>
      <c r="D1430" s="2" t="s">
        <v>5118</v>
      </c>
      <c r="E1430" s="2" t="s">
        <v>6545</v>
      </c>
      <c r="F1430" s="2" t="s">
        <v>8314</v>
      </c>
      <c r="G1430" s="2" t="s">
        <v>5022</v>
      </c>
      <c r="H1430" s="2" t="s">
        <v>5023</v>
      </c>
      <c r="I1430" s="2" t="s">
        <v>11264</v>
      </c>
      <c r="J1430" s="2"/>
      <c r="K1430" s="2"/>
      <c r="L1430" s="2"/>
      <c r="M1430" s="2" t="s">
        <v>11265</v>
      </c>
      <c r="N1430" s="2"/>
      <c r="O1430" s="2"/>
      <c r="P1430" s="2"/>
      <c r="Q1430" s="2"/>
    </row>
    <row r="1431" spans="1:17" x14ac:dyDescent="0.2">
      <c r="A1431" s="2" t="s">
        <v>4926</v>
      </c>
      <c r="B1431" s="2" t="s">
        <v>11266</v>
      </c>
      <c r="C1431" s="2" t="s">
        <v>6779</v>
      </c>
      <c r="D1431" s="2" t="s">
        <v>8685</v>
      </c>
      <c r="E1431" s="2" t="s">
        <v>11267</v>
      </c>
      <c r="F1431" s="2" t="s">
        <v>10309</v>
      </c>
      <c r="G1431" s="2" t="s">
        <v>5022</v>
      </c>
      <c r="H1431" s="2" t="s">
        <v>5023</v>
      </c>
      <c r="I1431" s="2" t="s">
        <v>11268</v>
      </c>
      <c r="J1431" s="2"/>
      <c r="K1431" s="2"/>
      <c r="L1431" s="2"/>
      <c r="M1431" s="2" t="s">
        <v>11269</v>
      </c>
      <c r="N1431" s="2"/>
      <c r="O1431" s="2"/>
      <c r="P1431" s="2"/>
      <c r="Q1431" s="2"/>
    </row>
    <row r="1432" spans="1:17" x14ac:dyDescent="0.2">
      <c r="A1432" s="2" t="s">
        <v>3254</v>
      </c>
      <c r="B1432" s="2" t="s">
        <v>11270</v>
      </c>
      <c r="C1432" s="2" t="s">
        <v>11271</v>
      </c>
      <c r="D1432" s="2" t="s">
        <v>5269</v>
      </c>
      <c r="E1432" s="2" t="s">
        <v>3255</v>
      </c>
      <c r="F1432" s="2" t="s">
        <v>5128</v>
      </c>
      <c r="G1432" s="2" t="s">
        <v>5022</v>
      </c>
      <c r="H1432" s="2" t="s">
        <v>5023</v>
      </c>
      <c r="I1432" s="2"/>
      <c r="J1432" s="2"/>
      <c r="K1432" s="2" t="s">
        <v>11272</v>
      </c>
      <c r="L1432" s="2"/>
      <c r="M1432" s="2"/>
      <c r="N1432" s="2"/>
      <c r="O1432" s="2"/>
      <c r="P1432" s="2"/>
      <c r="Q1432" s="2"/>
    </row>
    <row r="1433" spans="1:17" x14ac:dyDescent="0.2">
      <c r="A1433" s="2" t="s">
        <v>1071</v>
      </c>
      <c r="B1433" s="2" t="s">
        <v>11273</v>
      </c>
      <c r="C1433" s="2" t="s">
        <v>5147</v>
      </c>
      <c r="D1433" s="2" t="s">
        <v>11274</v>
      </c>
      <c r="E1433" s="2" t="s">
        <v>11275</v>
      </c>
      <c r="F1433" s="2" t="s">
        <v>11276</v>
      </c>
      <c r="G1433" s="2" t="s">
        <v>5022</v>
      </c>
      <c r="H1433" s="2" t="s">
        <v>5023</v>
      </c>
      <c r="I1433" s="2" t="s">
        <v>11277</v>
      </c>
      <c r="J1433" s="2"/>
      <c r="K1433" s="2"/>
      <c r="L1433" s="2"/>
      <c r="M1433" s="2"/>
      <c r="N1433" s="2"/>
      <c r="O1433" s="2"/>
      <c r="P1433" s="2"/>
      <c r="Q1433" s="2"/>
    </row>
    <row r="1434" spans="1:17" x14ac:dyDescent="0.2">
      <c r="A1434" s="2" t="s">
        <v>2649</v>
      </c>
      <c r="B1434" s="2" t="s">
        <v>10667</v>
      </c>
      <c r="C1434" s="2" t="s">
        <v>6789</v>
      </c>
      <c r="D1434" s="2" t="s">
        <v>6789</v>
      </c>
      <c r="E1434" s="2" t="s">
        <v>11278</v>
      </c>
      <c r="F1434" s="2" t="s">
        <v>10772</v>
      </c>
      <c r="G1434" s="2" t="s">
        <v>5022</v>
      </c>
      <c r="H1434" s="2" t="s">
        <v>5023</v>
      </c>
      <c r="I1434" s="2" t="s">
        <v>11279</v>
      </c>
      <c r="J1434" s="2"/>
      <c r="K1434" s="2"/>
      <c r="L1434" s="2"/>
      <c r="M1434" s="2"/>
      <c r="N1434" s="2"/>
      <c r="O1434" s="2"/>
      <c r="P1434" s="2"/>
      <c r="Q1434" s="2"/>
    </row>
    <row r="1435" spans="1:17" x14ac:dyDescent="0.2">
      <c r="A1435" s="2" t="s">
        <v>2185</v>
      </c>
      <c r="B1435" s="2" t="s">
        <v>10074</v>
      </c>
      <c r="C1435" s="2" t="s">
        <v>8190</v>
      </c>
      <c r="D1435" s="2" t="s">
        <v>11280</v>
      </c>
      <c r="E1435" s="2" t="s">
        <v>11281</v>
      </c>
      <c r="F1435" s="2" t="s">
        <v>8853</v>
      </c>
      <c r="G1435" s="2" t="s">
        <v>5022</v>
      </c>
      <c r="H1435" s="2" t="s">
        <v>5023</v>
      </c>
      <c r="I1435" s="2" t="s">
        <v>8854</v>
      </c>
      <c r="J1435" s="2"/>
      <c r="K1435" s="2"/>
      <c r="L1435" s="2"/>
      <c r="M1435" s="2" t="s">
        <v>11282</v>
      </c>
      <c r="N1435" s="2"/>
      <c r="O1435" s="2"/>
      <c r="P1435" s="2"/>
      <c r="Q1435" s="2"/>
    </row>
    <row r="1436" spans="1:17" x14ac:dyDescent="0.2">
      <c r="A1436" s="2" t="s">
        <v>2963</v>
      </c>
      <c r="B1436" s="2" t="s">
        <v>10877</v>
      </c>
      <c r="C1436" s="2" t="s">
        <v>11283</v>
      </c>
      <c r="D1436" s="2" t="s">
        <v>11283</v>
      </c>
      <c r="E1436" s="2" t="s">
        <v>11284</v>
      </c>
      <c r="F1436" s="2" t="s">
        <v>5486</v>
      </c>
      <c r="G1436" s="2" t="s">
        <v>5022</v>
      </c>
      <c r="H1436" s="2" t="s">
        <v>5023</v>
      </c>
      <c r="I1436" s="2" t="s">
        <v>10614</v>
      </c>
      <c r="J1436" s="2"/>
      <c r="K1436" s="2"/>
      <c r="L1436" s="2"/>
      <c r="M1436" s="2"/>
      <c r="N1436" s="2"/>
      <c r="O1436" s="2"/>
      <c r="P1436" s="2"/>
      <c r="Q1436" s="2"/>
    </row>
    <row r="1437" spans="1:17" x14ac:dyDescent="0.2">
      <c r="A1437" s="2" t="s">
        <v>2810</v>
      </c>
      <c r="B1437" s="2" t="s">
        <v>11285</v>
      </c>
      <c r="C1437" s="2" t="s">
        <v>6388</v>
      </c>
      <c r="D1437" s="2" t="s">
        <v>6388</v>
      </c>
      <c r="E1437" s="2" t="s">
        <v>5600</v>
      </c>
      <c r="F1437" s="2" t="s">
        <v>11127</v>
      </c>
      <c r="G1437" s="2" t="s">
        <v>5022</v>
      </c>
      <c r="H1437" s="2" t="s">
        <v>5023</v>
      </c>
      <c r="I1437" s="2" t="s">
        <v>11128</v>
      </c>
      <c r="J1437" s="2"/>
      <c r="K1437" s="2"/>
      <c r="L1437" s="2"/>
      <c r="M1437" s="2"/>
      <c r="N1437" s="2"/>
      <c r="O1437" s="2"/>
      <c r="P1437" s="2"/>
      <c r="Q1437" s="2"/>
    </row>
    <row r="1438" spans="1:17" x14ac:dyDescent="0.2">
      <c r="A1438" s="2" t="s">
        <v>2358</v>
      </c>
      <c r="B1438" s="2" t="s">
        <v>10493</v>
      </c>
      <c r="C1438" s="2" t="s">
        <v>7594</v>
      </c>
      <c r="D1438" s="2" t="s">
        <v>5481</v>
      </c>
      <c r="E1438" s="2" t="s">
        <v>11286</v>
      </c>
      <c r="F1438" s="2" t="s">
        <v>11287</v>
      </c>
      <c r="G1438" s="2" t="s">
        <v>5022</v>
      </c>
      <c r="H1438" s="2" t="s">
        <v>5023</v>
      </c>
      <c r="I1438" s="2" t="s">
        <v>11288</v>
      </c>
      <c r="J1438" s="2"/>
      <c r="K1438" s="2"/>
      <c r="L1438" s="2"/>
      <c r="M1438" s="2"/>
      <c r="N1438" s="2"/>
      <c r="O1438" s="2"/>
      <c r="P1438" s="2"/>
      <c r="Q1438" s="2"/>
    </row>
    <row r="1439" spans="1:17" x14ac:dyDescent="0.2">
      <c r="A1439" s="2" t="s">
        <v>1060</v>
      </c>
      <c r="B1439" s="2" t="s">
        <v>11289</v>
      </c>
      <c r="C1439" s="2" t="s">
        <v>5623</v>
      </c>
      <c r="D1439" s="2" t="s">
        <v>11290</v>
      </c>
      <c r="E1439" s="2" t="s">
        <v>6450</v>
      </c>
      <c r="F1439" s="2" t="s">
        <v>11291</v>
      </c>
      <c r="G1439" s="2" t="s">
        <v>5022</v>
      </c>
      <c r="H1439" s="2" t="s">
        <v>5023</v>
      </c>
      <c r="I1439" s="2" t="s">
        <v>11292</v>
      </c>
      <c r="J1439" s="2"/>
      <c r="K1439" s="2"/>
      <c r="L1439" s="2"/>
      <c r="M1439" s="2" t="s">
        <v>11293</v>
      </c>
      <c r="N1439" s="2"/>
      <c r="O1439" s="2"/>
      <c r="P1439" s="2"/>
      <c r="Q1439" s="2"/>
    </row>
    <row r="1440" spans="1:17" x14ac:dyDescent="0.2">
      <c r="A1440" s="2" t="s">
        <v>3826</v>
      </c>
      <c r="B1440" s="2" t="s">
        <v>11294</v>
      </c>
      <c r="C1440" s="2" t="s">
        <v>5224</v>
      </c>
      <c r="D1440" s="2" t="s">
        <v>11295</v>
      </c>
      <c r="E1440" s="2" t="s">
        <v>11296</v>
      </c>
      <c r="F1440" s="2" t="s">
        <v>11051</v>
      </c>
      <c r="G1440" s="2" t="s">
        <v>5022</v>
      </c>
      <c r="H1440" s="2" t="s">
        <v>5023</v>
      </c>
      <c r="I1440" s="2"/>
      <c r="J1440" s="2"/>
      <c r="K1440" s="2" t="s">
        <v>11297</v>
      </c>
      <c r="L1440" s="2"/>
      <c r="M1440" s="2"/>
      <c r="N1440" s="2"/>
      <c r="O1440" s="2"/>
      <c r="P1440" s="2"/>
      <c r="Q1440" s="2"/>
    </row>
    <row r="1441" spans="1:17" x14ac:dyDescent="0.2">
      <c r="A1441" s="2" t="s">
        <v>2159</v>
      </c>
      <c r="B1441" s="2" t="s">
        <v>9197</v>
      </c>
      <c r="C1441" s="2" t="s">
        <v>5523</v>
      </c>
      <c r="D1441" s="2" t="s">
        <v>5306</v>
      </c>
      <c r="E1441" s="2" t="s">
        <v>11298</v>
      </c>
      <c r="F1441" s="2" t="s">
        <v>5807</v>
      </c>
      <c r="G1441" s="2" t="s">
        <v>5022</v>
      </c>
      <c r="H1441" s="2" t="s">
        <v>5023</v>
      </c>
      <c r="I1441" s="2" t="s">
        <v>11299</v>
      </c>
      <c r="J1441" s="2"/>
      <c r="K1441" s="2"/>
      <c r="L1441" s="2"/>
      <c r="M1441" s="2"/>
      <c r="N1441" s="2"/>
      <c r="O1441" s="2"/>
      <c r="P1441" s="2"/>
      <c r="Q1441" s="2"/>
    </row>
    <row r="1442" spans="1:17" x14ac:dyDescent="0.2">
      <c r="A1442" s="2" t="s">
        <v>995</v>
      </c>
      <c r="B1442" s="2" t="s">
        <v>8402</v>
      </c>
      <c r="C1442" s="2" t="s">
        <v>5240</v>
      </c>
      <c r="D1442" s="2" t="s">
        <v>5936</v>
      </c>
      <c r="E1442" s="2" t="s">
        <v>8258</v>
      </c>
      <c r="F1442" s="2" t="s">
        <v>5807</v>
      </c>
      <c r="G1442" s="2" t="s">
        <v>5022</v>
      </c>
      <c r="H1442" s="2" t="s">
        <v>5023</v>
      </c>
      <c r="I1442" s="2" t="s">
        <v>11299</v>
      </c>
      <c r="J1442" s="2"/>
      <c r="K1442" s="2"/>
      <c r="L1442" s="2"/>
      <c r="M1442" s="2" t="s">
        <v>11300</v>
      </c>
      <c r="N1442" s="2"/>
      <c r="O1442" s="2"/>
      <c r="P1442" s="2"/>
      <c r="Q1442" s="2"/>
    </row>
    <row r="1443" spans="1:17" x14ac:dyDescent="0.2">
      <c r="A1443" s="2" t="s">
        <v>1567</v>
      </c>
      <c r="B1443" s="2" t="s">
        <v>11294</v>
      </c>
      <c r="C1443" s="2" t="s">
        <v>5229</v>
      </c>
      <c r="D1443" s="2" t="s">
        <v>5119</v>
      </c>
      <c r="E1443" s="2" t="s">
        <v>11301</v>
      </c>
      <c r="F1443" s="2" t="s">
        <v>11302</v>
      </c>
      <c r="G1443" s="2" t="s">
        <v>5022</v>
      </c>
      <c r="H1443" s="2" t="s">
        <v>5023</v>
      </c>
      <c r="I1443" s="2" t="s">
        <v>11303</v>
      </c>
      <c r="J1443" s="2"/>
      <c r="K1443" s="2"/>
      <c r="L1443" s="2"/>
      <c r="M1443" s="2"/>
      <c r="N1443" s="2"/>
      <c r="O1443" s="2"/>
      <c r="P1443" s="2"/>
      <c r="Q1443" s="2"/>
    </row>
    <row r="1444" spans="1:17" x14ac:dyDescent="0.2">
      <c r="A1444" s="2" t="s">
        <v>4931</v>
      </c>
      <c r="B1444" s="2" t="s">
        <v>9395</v>
      </c>
      <c r="C1444" s="2" t="s">
        <v>6651</v>
      </c>
      <c r="D1444" s="2" t="s">
        <v>7262</v>
      </c>
      <c r="E1444" s="2" t="s">
        <v>6493</v>
      </c>
      <c r="F1444" s="2" t="s">
        <v>5465</v>
      </c>
      <c r="G1444" s="2" t="s">
        <v>5022</v>
      </c>
      <c r="H1444" s="2" t="s">
        <v>5023</v>
      </c>
      <c r="I1444" s="2" t="s">
        <v>11304</v>
      </c>
      <c r="J1444" s="2"/>
      <c r="K1444" s="2"/>
      <c r="L1444" s="2"/>
      <c r="M1444" s="2" t="s">
        <v>11305</v>
      </c>
      <c r="N1444" s="2"/>
      <c r="O1444" s="2"/>
      <c r="P1444" s="2"/>
      <c r="Q1444" s="2"/>
    </row>
    <row r="1445" spans="1:17" x14ac:dyDescent="0.2">
      <c r="A1445" s="2" t="s">
        <v>3784</v>
      </c>
      <c r="B1445" s="2" t="s">
        <v>11306</v>
      </c>
      <c r="C1445" s="2" t="s">
        <v>11307</v>
      </c>
      <c r="D1445" s="2" t="s">
        <v>11308</v>
      </c>
      <c r="E1445" s="2" t="s">
        <v>11309</v>
      </c>
      <c r="F1445" s="2" t="s">
        <v>11310</v>
      </c>
      <c r="G1445" s="2" t="s">
        <v>5022</v>
      </c>
      <c r="H1445" s="2" t="s">
        <v>5023</v>
      </c>
      <c r="I1445" s="2"/>
      <c r="J1445" s="2"/>
      <c r="K1445" s="2" t="s">
        <v>11311</v>
      </c>
      <c r="L1445" s="2"/>
      <c r="M1445" s="2"/>
      <c r="N1445" s="2"/>
      <c r="O1445" s="2"/>
      <c r="P1445" s="2"/>
      <c r="Q1445" s="2"/>
    </row>
    <row r="1446" spans="1:17" x14ac:dyDescent="0.2">
      <c r="A1446" s="2" t="s">
        <v>2955</v>
      </c>
      <c r="B1446" s="2" t="s">
        <v>8188</v>
      </c>
      <c r="C1446" s="2" t="s">
        <v>5684</v>
      </c>
      <c r="D1446" s="2" t="s">
        <v>5323</v>
      </c>
      <c r="E1446" s="2" t="s">
        <v>11312</v>
      </c>
      <c r="F1446" s="2" t="s">
        <v>11313</v>
      </c>
      <c r="G1446" s="2" t="s">
        <v>5022</v>
      </c>
      <c r="H1446" s="2" t="s">
        <v>5023</v>
      </c>
      <c r="I1446" s="2" t="s">
        <v>11314</v>
      </c>
      <c r="J1446" s="2"/>
      <c r="K1446" s="2"/>
      <c r="L1446" s="2"/>
      <c r="M1446" s="2"/>
      <c r="N1446" s="2"/>
      <c r="O1446" s="2"/>
      <c r="P1446" s="2"/>
      <c r="Q1446" s="2"/>
    </row>
    <row r="1447" spans="1:17" x14ac:dyDescent="0.2">
      <c r="A1447" s="2" t="s">
        <v>1744</v>
      </c>
      <c r="B1447" s="2" t="s">
        <v>988</v>
      </c>
      <c r="C1447" s="2" t="s">
        <v>6574</v>
      </c>
      <c r="D1447" s="2" t="s">
        <v>5218</v>
      </c>
      <c r="E1447" s="2" t="s">
        <v>11315</v>
      </c>
      <c r="F1447" s="2" t="s">
        <v>11316</v>
      </c>
      <c r="G1447" s="2" t="s">
        <v>5022</v>
      </c>
      <c r="H1447" s="2" t="s">
        <v>5023</v>
      </c>
      <c r="I1447" s="2" t="s">
        <v>11317</v>
      </c>
      <c r="J1447" s="2"/>
      <c r="K1447" s="2"/>
      <c r="L1447" s="2"/>
      <c r="M1447" s="2"/>
      <c r="N1447" s="2"/>
      <c r="O1447" s="2"/>
      <c r="P1447" s="2"/>
      <c r="Q1447" s="2"/>
    </row>
    <row r="1448" spans="1:17" x14ac:dyDescent="0.2">
      <c r="A1448" s="2" t="s">
        <v>1959</v>
      </c>
      <c r="B1448" s="2" t="s">
        <v>11318</v>
      </c>
      <c r="C1448" s="2" t="s">
        <v>11319</v>
      </c>
      <c r="D1448" s="2" t="s">
        <v>11320</v>
      </c>
      <c r="E1448" s="2" t="s">
        <v>11321</v>
      </c>
      <c r="F1448" s="2" t="s">
        <v>9930</v>
      </c>
      <c r="G1448" s="2" t="s">
        <v>5022</v>
      </c>
      <c r="H1448" s="2" t="s">
        <v>5023</v>
      </c>
      <c r="I1448" s="2" t="s">
        <v>11322</v>
      </c>
      <c r="J1448" s="2"/>
      <c r="K1448" s="2"/>
      <c r="L1448" s="2"/>
      <c r="M1448" s="2" t="s">
        <v>11323</v>
      </c>
      <c r="N1448" s="2"/>
      <c r="O1448" s="2"/>
      <c r="P1448" s="2"/>
      <c r="Q1448" s="2"/>
    </row>
    <row r="1449" spans="1:17" x14ac:dyDescent="0.2">
      <c r="A1449" s="2" t="s">
        <v>3049</v>
      </c>
      <c r="B1449" s="2" t="s">
        <v>7938</v>
      </c>
      <c r="C1449" s="2" t="s">
        <v>8398</v>
      </c>
      <c r="D1449" s="2" t="s">
        <v>8398</v>
      </c>
      <c r="E1449" s="2" t="s">
        <v>11324</v>
      </c>
      <c r="F1449" s="2" t="s">
        <v>5506</v>
      </c>
      <c r="G1449" s="2" t="s">
        <v>5022</v>
      </c>
      <c r="H1449" s="2" t="s">
        <v>5023</v>
      </c>
      <c r="I1449" s="2"/>
      <c r="J1449" s="2"/>
      <c r="K1449" s="2" t="s">
        <v>11325</v>
      </c>
      <c r="L1449" s="2"/>
      <c r="M1449" s="2"/>
      <c r="N1449" s="2"/>
      <c r="O1449" s="2"/>
      <c r="P1449" s="2"/>
      <c r="Q1449" s="2"/>
    </row>
    <row r="1450" spans="1:17" x14ac:dyDescent="0.2">
      <c r="A1450" s="2" t="s">
        <v>4084</v>
      </c>
      <c r="B1450" s="2" t="s">
        <v>11326</v>
      </c>
      <c r="C1450" s="2" t="s">
        <v>11327</v>
      </c>
      <c r="D1450" s="2" t="s">
        <v>5911</v>
      </c>
      <c r="E1450" s="2" t="s">
        <v>5094</v>
      </c>
      <c r="F1450" s="2" t="s">
        <v>11328</v>
      </c>
      <c r="G1450" s="2" t="s">
        <v>5022</v>
      </c>
      <c r="H1450" s="2" t="s">
        <v>5023</v>
      </c>
      <c r="I1450" s="2" t="s">
        <v>11329</v>
      </c>
      <c r="J1450" s="2"/>
      <c r="K1450" s="2"/>
      <c r="L1450" s="2"/>
      <c r="M1450" s="2"/>
      <c r="N1450" s="2"/>
      <c r="O1450" s="2"/>
      <c r="P1450" s="2"/>
      <c r="Q1450" s="2"/>
    </row>
    <row r="1451" spans="1:17" x14ac:dyDescent="0.2">
      <c r="A1451" s="2" t="s">
        <v>4694</v>
      </c>
      <c r="B1451" s="2" t="s">
        <v>9136</v>
      </c>
      <c r="C1451" s="2" t="s">
        <v>7594</v>
      </c>
      <c r="D1451" s="2" t="s">
        <v>5523</v>
      </c>
      <c r="E1451" s="2" t="s">
        <v>11330</v>
      </c>
      <c r="F1451" s="2" t="s">
        <v>8373</v>
      </c>
      <c r="G1451" s="2" t="s">
        <v>5022</v>
      </c>
      <c r="H1451" s="2" t="s">
        <v>5023</v>
      </c>
      <c r="I1451" s="2" t="s">
        <v>11331</v>
      </c>
      <c r="J1451" s="2"/>
      <c r="K1451" s="2"/>
      <c r="L1451" s="2"/>
      <c r="M1451" s="2"/>
      <c r="N1451" s="2"/>
      <c r="O1451" s="2"/>
      <c r="P1451" s="2"/>
      <c r="Q1451" s="2"/>
    </row>
    <row r="1452" spans="1:17" x14ac:dyDescent="0.2">
      <c r="A1452" s="2" t="s">
        <v>2276</v>
      </c>
      <c r="B1452" s="2" t="s">
        <v>11332</v>
      </c>
      <c r="C1452" s="2" t="s">
        <v>11333</v>
      </c>
      <c r="D1452" s="2" t="s">
        <v>11334</v>
      </c>
      <c r="E1452" s="2" t="s">
        <v>11335</v>
      </c>
      <c r="F1452" s="2" t="s">
        <v>6006</v>
      </c>
      <c r="G1452" s="2" t="s">
        <v>5022</v>
      </c>
      <c r="H1452" s="2" t="s">
        <v>5023</v>
      </c>
      <c r="I1452" s="2"/>
      <c r="J1452" s="2"/>
      <c r="K1452" s="2" t="s">
        <v>11336</v>
      </c>
      <c r="L1452" s="2"/>
      <c r="M1452" s="2" t="s">
        <v>11337</v>
      </c>
      <c r="N1452" s="2"/>
      <c r="O1452" s="2"/>
      <c r="P1452" s="2"/>
      <c r="Q1452" s="2"/>
    </row>
    <row r="1453" spans="1:17" x14ac:dyDescent="0.2">
      <c r="A1453" s="2" t="s">
        <v>3330</v>
      </c>
      <c r="B1453" s="2" t="s">
        <v>11338</v>
      </c>
      <c r="C1453" s="2" t="s">
        <v>11339</v>
      </c>
      <c r="D1453" s="2" t="s">
        <v>7449</v>
      </c>
      <c r="E1453" s="2" t="s">
        <v>11145</v>
      </c>
      <c r="F1453" s="2" t="s">
        <v>11340</v>
      </c>
      <c r="G1453" s="2" t="s">
        <v>5022</v>
      </c>
      <c r="H1453" s="2" t="s">
        <v>5023</v>
      </c>
      <c r="I1453" s="2" t="s">
        <v>11341</v>
      </c>
      <c r="J1453" s="2"/>
      <c r="K1453" s="2"/>
      <c r="L1453" s="2"/>
      <c r="M1453" s="2" t="s">
        <v>11342</v>
      </c>
      <c r="N1453" s="2"/>
      <c r="O1453" s="2"/>
      <c r="P1453" s="2"/>
      <c r="Q1453" s="2"/>
    </row>
    <row r="1454" spans="1:17" x14ac:dyDescent="0.2">
      <c r="A1454" s="2" t="s">
        <v>2301</v>
      </c>
      <c r="B1454" s="2" t="s">
        <v>11343</v>
      </c>
      <c r="C1454" s="2" t="s">
        <v>11344</v>
      </c>
      <c r="D1454" s="2" t="s">
        <v>11345</v>
      </c>
      <c r="E1454" s="2" t="s">
        <v>11346</v>
      </c>
      <c r="F1454" s="2" t="s">
        <v>8866</v>
      </c>
      <c r="G1454" s="2" t="s">
        <v>5022</v>
      </c>
      <c r="H1454" s="2" t="s">
        <v>5023</v>
      </c>
      <c r="I1454" s="2"/>
      <c r="J1454" s="2"/>
      <c r="K1454" s="2" t="s">
        <v>11347</v>
      </c>
      <c r="L1454" s="2" t="s">
        <v>11348</v>
      </c>
      <c r="M1454" s="2" t="s">
        <v>11349</v>
      </c>
      <c r="N1454" s="2"/>
      <c r="O1454" s="2"/>
      <c r="P1454" s="2"/>
      <c r="Q1454" s="2"/>
    </row>
    <row r="1455" spans="1:17" x14ac:dyDescent="0.2">
      <c r="A1455" s="2" t="s">
        <v>2504</v>
      </c>
      <c r="B1455" s="2" t="s">
        <v>10241</v>
      </c>
      <c r="C1455" s="2" t="s">
        <v>11350</v>
      </c>
      <c r="D1455" s="2" t="s">
        <v>6868</v>
      </c>
      <c r="E1455" s="2" t="s">
        <v>6410</v>
      </c>
      <c r="F1455" s="2" t="s">
        <v>8192</v>
      </c>
      <c r="G1455" s="2" t="s">
        <v>5022</v>
      </c>
      <c r="H1455" s="2" t="s">
        <v>5023</v>
      </c>
      <c r="I1455" s="2"/>
      <c r="J1455" s="2"/>
      <c r="K1455" s="2" t="s">
        <v>11351</v>
      </c>
      <c r="L1455" s="2"/>
      <c r="M1455" s="2"/>
      <c r="N1455" s="2"/>
      <c r="O1455" s="2"/>
      <c r="P1455" s="2"/>
      <c r="Q1455" s="2"/>
    </row>
    <row r="1456" spans="1:17" x14ac:dyDescent="0.2">
      <c r="A1456" s="2" t="s">
        <v>4224</v>
      </c>
      <c r="B1456" s="2" t="s">
        <v>11352</v>
      </c>
      <c r="C1456" s="2" t="s">
        <v>11353</v>
      </c>
      <c r="D1456" s="2" t="s">
        <v>11354</v>
      </c>
      <c r="E1456" s="2" t="s">
        <v>6420</v>
      </c>
      <c r="F1456" s="2" t="s">
        <v>6902</v>
      </c>
      <c r="G1456" s="2" t="s">
        <v>5022</v>
      </c>
      <c r="H1456" s="2" t="s">
        <v>5023</v>
      </c>
      <c r="I1456" s="2" t="s">
        <v>11355</v>
      </c>
      <c r="J1456" s="2"/>
      <c r="K1456" s="2"/>
      <c r="L1456" s="2"/>
      <c r="M1456" s="2" t="s">
        <v>11356</v>
      </c>
      <c r="N1456" s="2"/>
      <c r="O1456" s="2"/>
      <c r="P1456" s="2"/>
      <c r="Q1456" s="2"/>
    </row>
    <row r="1457" spans="1:17" x14ac:dyDescent="0.2">
      <c r="A1457" s="2" t="s">
        <v>1532</v>
      </c>
      <c r="B1457" s="2" t="s">
        <v>11357</v>
      </c>
      <c r="C1457" s="2" t="s">
        <v>11358</v>
      </c>
      <c r="D1457" s="2" t="s">
        <v>11359</v>
      </c>
      <c r="E1457" s="2" t="s">
        <v>11360</v>
      </c>
      <c r="F1457" s="2" t="s">
        <v>11361</v>
      </c>
      <c r="G1457" s="2" t="s">
        <v>5022</v>
      </c>
      <c r="H1457" s="2" t="s">
        <v>5023</v>
      </c>
      <c r="I1457" s="2" t="s">
        <v>11362</v>
      </c>
      <c r="J1457" s="2"/>
      <c r="K1457" s="2"/>
      <c r="L1457" s="2"/>
      <c r="M1457" s="2" t="s">
        <v>11363</v>
      </c>
      <c r="N1457" s="2"/>
      <c r="O1457" s="2"/>
      <c r="P1457" s="2"/>
      <c r="Q1457" s="2"/>
    </row>
    <row r="1458" spans="1:17" x14ac:dyDescent="0.2">
      <c r="A1458" s="2" t="s">
        <v>1754</v>
      </c>
      <c r="B1458" s="2" t="s">
        <v>11364</v>
      </c>
      <c r="C1458" s="2" t="s">
        <v>6861</v>
      </c>
      <c r="D1458" s="2" t="s">
        <v>6657</v>
      </c>
      <c r="E1458" s="2" t="s">
        <v>5736</v>
      </c>
      <c r="F1458" s="2" t="s">
        <v>11365</v>
      </c>
      <c r="G1458" s="2" t="s">
        <v>5022</v>
      </c>
      <c r="H1458" s="2" t="s">
        <v>5023</v>
      </c>
      <c r="I1458" s="2"/>
      <c r="J1458" s="2"/>
      <c r="K1458" s="2" t="s">
        <v>11366</v>
      </c>
      <c r="L1458" s="2"/>
      <c r="M1458" s="2"/>
      <c r="N1458" s="2"/>
      <c r="O1458" s="2"/>
      <c r="P1458" s="2"/>
      <c r="Q1458" s="2"/>
    </row>
    <row r="1459" spans="1:17" x14ac:dyDescent="0.2">
      <c r="A1459" s="2" t="s">
        <v>3445</v>
      </c>
      <c r="B1459" s="2" t="s">
        <v>3391</v>
      </c>
      <c r="C1459" s="2" t="s">
        <v>5056</v>
      </c>
      <c r="D1459" s="2" t="s">
        <v>11367</v>
      </c>
      <c r="E1459" s="2" t="s">
        <v>11368</v>
      </c>
      <c r="F1459" s="2" t="s">
        <v>11369</v>
      </c>
      <c r="G1459" s="2" t="s">
        <v>5022</v>
      </c>
      <c r="H1459" s="2" t="s">
        <v>5023</v>
      </c>
      <c r="I1459" s="2" t="s">
        <v>11370</v>
      </c>
      <c r="J1459" s="2"/>
      <c r="K1459" s="2"/>
      <c r="L1459" s="2"/>
      <c r="M1459" s="2" t="s">
        <v>11371</v>
      </c>
      <c r="N1459" s="2"/>
      <c r="O1459" s="2"/>
      <c r="P1459" s="2"/>
      <c r="Q1459" s="2"/>
    </row>
    <row r="1460" spans="1:17" x14ac:dyDescent="0.2">
      <c r="A1460" s="2" t="s">
        <v>2916</v>
      </c>
      <c r="B1460" s="2" t="s">
        <v>11372</v>
      </c>
      <c r="C1460" s="2" t="s">
        <v>11373</v>
      </c>
      <c r="D1460" s="2" t="s">
        <v>11373</v>
      </c>
      <c r="E1460" s="2" t="s">
        <v>11374</v>
      </c>
      <c r="F1460" s="2" t="s">
        <v>5128</v>
      </c>
      <c r="G1460" s="2" t="s">
        <v>5022</v>
      </c>
      <c r="H1460" s="2" t="s">
        <v>5023</v>
      </c>
      <c r="I1460" s="2"/>
      <c r="J1460" s="2"/>
      <c r="K1460" s="2" t="s">
        <v>11375</v>
      </c>
      <c r="L1460" s="2"/>
      <c r="M1460" s="2"/>
      <c r="N1460" s="2"/>
      <c r="O1460" s="2"/>
      <c r="P1460" s="2"/>
      <c r="Q1460" s="2"/>
    </row>
    <row r="1461" spans="1:17" x14ac:dyDescent="0.2">
      <c r="A1461" s="2" t="s">
        <v>3703</v>
      </c>
      <c r="B1461" s="2" t="s">
        <v>11376</v>
      </c>
      <c r="C1461" s="2" t="s">
        <v>11377</v>
      </c>
      <c r="D1461" s="2" t="s">
        <v>8327</v>
      </c>
      <c r="E1461" s="2" t="s">
        <v>11378</v>
      </c>
      <c r="F1461" s="2" t="s">
        <v>8657</v>
      </c>
      <c r="G1461" s="2" t="s">
        <v>5022</v>
      </c>
      <c r="H1461" s="2" t="s">
        <v>5023</v>
      </c>
      <c r="I1461" s="2" t="s">
        <v>11379</v>
      </c>
      <c r="J1461" s="2"/>
      <c r="K1461" s="2"/>
      <c r="L1461" s="2"/>
      <c r="M1461" s="2"/>
      <c r="N1461" s="2"/>
      <c r="O1461" s="2"/>
      <c r="P1461" s="2"/>
      <c r="Q1461" s="2"/>
    </row>
    <row r="1462" spans="1:17" x14ac:dyDescent="0.2">
      <c r="A1462" s="2" t="s">
        <v>4277</v>
      </c>
      <c r="B1462" s="2" t="s">
        <v>11380</v>
      </c>
      <c r="C1462" s="2" t="s">
        <v>11381</v>
      </c>
      <c r="D1462" s="2" t="s">
        <v>5947</v>
      </c>
      <c r="E1462" s="2" t="s">
        <v>11382</v>
      </c>
      <c r="F1462" s="2" t="s">
        <v>8657</v>
      </c>
      <c r="G1462" s="2" t="s">
        <v>5022</v>
      </c>
      <c r="H1462" s="2" t="s">
        <v>5023</v>
      </c>
      <c r="I1462" s="2" t="s">
        <v>11383</v>
      </c>
      <c r="J1462" s="2"/>
      <c r="K1462" s="2"/>
      <c r="L1462" s="2"/>
      <c r="M1462" s="2" t="s">
        <v>11384</v>
      </c>
      <c r="N1462" s="2"/>
      <c r="O1462" s="2"/>
      <c r="P1462" s="2"/>
      <c r="Q1462" s="2"/>
    </row>
    <row r="1463" spans="1:17" x14ac:dyDescent="0.2">
      <c r="A1463" s="2" t="s">
        <v>243</v>
      </c>
      <c r="B1463" s="2" t="s">
        <v>7699</v>
      </c>
      <c r="C1463" s="2" t="s">
        <v>6367</v>
      </c>
      <c r="D1463" s="2" t="s">
        <v>5275</v>
      </c>
      <c r="E1463" s="2" t="s">
        <v>5891</v>
      </c>
      <c r="F1463" s="2" t="s">
        <v>8657</v>
      </c>
      <c r="G1463" s="2" t="s">
        <v>5022</v>
      </c>
      <c r="H1463" s="2" t="s">
        <v>5023</v>
      </c>
      <c r="I1463" s="2"/>
      <c r="J1463" s="2"/>
      <c r="K1463" s="2"/>
      <c r="L1463" s="2"/>
      <c r="M1463" s="2" t="s">
        <v>11385</v>
      </c>
      <c r="N1463" s="2"/>
      <c r="O1463" s="2"/>
      <c r="P1463" s="2"/>
      <c r="Q1463" s="2"/>
    </row>
    <row r="1464" spans="1:17" x14ac:dyDescent="0.2">
      <c r="A1464" s="2" t="s">
        <v>3541</v>
      </c>
      <c r="B1464" s="2" t="s">
        <v>8275</v>
      </c>
      <c r="C1464" s="2" t="s">
        <v>11386</v>
      </c>
      <c r="D1464" s="2" t="s">
        <v>11387</v>
      </c>
      <c r="E1464" s="2" t="s">
        <v>11388</v>
      </c>
      <c r="F1464" s="2" t="s">
        <v>11389</v>
      </c>
      <c r="G1464" s="2" t="s">
        <v>5022</v>
      </c>
      <c r="H1464" s="2" t="s">
        <v>5023</v>
      </c>
      <c r="I1464" s="2" t="s">
        <v>11390</v>
      </c>
      <c r="J1464" s="2"/>
      <c r="K1464" s="2"/>
      <c r="L1464" s="2"/>
      <c r="M1464" s="2"/>
      <c r="N1464" s="2"/>
      <c r="O1464" s="2"/>
      <c r="P1464" s="2"/>
      <c r="Q1464" s="2"/>
    </row>
    <row r="1465" spans="1:17" x14ac:dyDescent="0.2">
      <c r="A1465" s="2" t="s">
        <v>2360</v>
      </c>
      <c r="B1465" s="2" t="s">
        <v>8774</v>
      </c>
      <c r="C1465" s="2" t="s">
        <v>7242</v>
      </c>
      <c r="D1465" s="2" t="s">
        <v>11391</v>
      </c>
      <c r="E1465" s="2" t="s">
        <v>11392</v>
      </c>
      <c r="F1465" s="2" t="s">
        <v>6551</v>
      </c>
      <c r="G1465" s="2" t="s">
        <v>5022</v>
      </c>
      <c r="H1465" s="2" t="s">
        <v>5023</v>
      </c>
      <c r="I1465" s="2" t="s">
        <v>11393</v>
      </c>
      <c r="J1465" s="2"/>
      <c r="K1465" s="2"/>
      <c r="L1465" s="2"/>
      <c r="M1465" s="2" t="s">
        <v>11394</v>
      </c>
      <c r="N1465" s="2"/>
      <c r="O1465" s="2"/>
      <c r="P1465" s="2"/>
      <c r="Q1465" s="2"/>
    </row>
    <row r="1466" spans="1:17" x14ac:dyDescent="0.2">
      <c r="A1466" s="2" t="s">
        <v>1322</v>
      </c>
      <c r="B1466" s="2" t="s">
        <v>11395</v>
      </c>
      <c r="C1466" s="2" t="s">
        <v>11396</v>
      </c>
      <c r="D1466" s="2" t="s">
        <v>5275</v>
      </c>
      <c r="E1466" s="2" t="s">
        <v>5791</v>
      </c>
      <c r="F1466" s="2" t="s">
        <v>11397</v>
      </c>
      <c r="G1466" s="2" t="s">
        <v>5022</v>
      </c>
      <c r="H1466" s="2" t="s">
        <v>5023</v>
      </c>
      <c r="I1466" s="2" t="s">
        <v>11398</v>
      </c>
      <c r="J1466" s="2"/>
      <c r="K1466" s="2"/>
      <c r="L1466" s="2"/>
      <c r="M1466" s="2"/>
      <c r="N1466" s="2"/>
      <c r="O1466" s="2"/>
      <c r="P1466" s="2"/>
      <c r="Q1466" s="2"/>
    </row>
    <row r="1467" spans="1:17" x14ac:dyDescent="0.2">
      <c r="A1467" s="2" t="s">
        <v>3426</v>
      </c>
      <c r="B1467" s="2" t="s">
        <v>11399</v>
      </c>
      <c r="C1467" s="2" t="s">
        <v>5443</v>
      </c>
      <c r="D1467" s="2" t="s">
        <v>5780</v>
      </c>
      <c r="E1467" s="2" t="s">
        <v>11400</v>
      </c>
      <c r="F1467" s="2" t="s">
        <v>11401</v>
      </c>
      <c r="G1467" s="2" t="s">
        <v>5022</v>
      </c>
      <c r="H1467" s="2" t="s">
        <v>5023</v>
      </c>
      <c r="I1467" s="2" t="s">
        <v>11402</v>
      </c>
      <c r="J1467" s="2"/>
      <c r="K1467" s="2"/>
      <c r="L1467" s="2"/>
      <c r="M1467" s="2" t="s">
        <v>11403</v>
      </c>
      <c r="N1467" s="2"/>
      <c r="O1467" s="2"/>
      <c r="P1467" s="2"/>
      <c r="Q1467" s="2"/>
    </row>
    <row r="1468" spans="1:17" x14ac:dyDescent="0.2">
      <c r="A1468" s="2" t="s">
        <v>4849</v>
      </c>
      <c r="B1468" s="2" t="s">
        <v>11404</v>
      </c>
      <c r="C1468" s="2" t="s">
        <v>11405</v>
      </c>
      <c r="D1468" s="2" t="s">
        <v>8726</v>
      </c>
      <c r="E1468" s="2" t="s">
        <v>11406</v>
      </c>
      <c r="F1468" s="2" t="s">
        <v>11407</v>
      </c>
      <c r="G1468" s="2" t="s">
        <v>5022</v>
      </c>
      <c r="H1468" s="2" t="s">
        <v>5023</v>
      </c>
      <c r="I1468" s="2" t="s">
        <v>11408</v>
      </c>
      <c r="J1468" s="2"/>
      <c r="K1468" s="2"/>
      <c r="L1468" s="2"/>
      <c r="M1468" s="2" t="s">
        <v>11409</v>
      </c>
      <c r="N1468" s="2"/>
      <c r="O1468" s="2"/>
      <c r="P1468" s="2"/>
      <c r="Q1468" s="2"/>
    </row>
    <row r="1469" spans="1:17" x14ac:dyDescent="0.2">
      <c r="A1469" s="2" t="s">
        <v>847</v>
      </c>
      <c r="B1469" s="2" t="s">
        <v>4960</v>
      </c>
      <c r="C1469" s="2" t="s">
        <v>11410</v>
      </c>
      <c r="D1469" s="2" t="s">
        <v>9727</v>
      </c>
      <c r="E1469" s="2" t="s">
        <v>11411</v>
      </c>
      <c r="F1469" s="2" t="s">
        <v>8826</v>
      </c>
      <c r="G1469" s="2" t="s">
        <v>5022</v>
      </c>
      <c r="H1469" s="2" t="s">
        <v>5023</v>
      </c>
      <c r="I1469" s="2" t="s">
        <v>11412</v>
      </c>
      <c r="J1469" s="2"/>
      <c r="K1469" s="2"/>
      <c r="L1469" s="2"/>
      <c r="M1469" s="2"/>
      <c r="N1469" s="2"/>
      <c r="O1469" s="2"/>
      <c r="P1469" s="2"/>
      <c r="Q1469" s="2"/>
    </row>
    <row r="1470" spans="1:17" x14ac:dyDescent="0.2">
      <c r="A1470" s="2" t="s">
        <v>2227</v>
      </c>
      <c r="B1470" s="2" t="s">
        <v>11413</v>
      </c>
      <c r="C1470" s="2" t="s">
        <v>7630</v>
      </c>
      <c r="D1470" s="2" t="s">
        <v>8918</v>
      </c>
      <c r="E1470" s="2" t="s">
        <v>11414</v>
      </c>
      <c r="F1470" s="2" t="s">
        <v>11415</v>
      </c>
      <c r="G1470" s="2" t="s">
        <v>5022</v>
      </c>
      <c r="H1470" s="2" t="s">
        <v>5023</v>
      </c>
      <c r="I1470" s="2" t="s">
        <v>11416</v>
      </c>
      <c r="J1470" s="2"/>
      <c r="K1470" s="2"/>
      <c r="L1470" s="2"/>
      <c r="M1470" s="2"/>
      <c r="N1470" s="2"/>
      <c r="O1470" s="2"/>
      <c r="P1470" s="2"/>
      <c r="Q1470" s="2"/>
    </row>
    <row r="1471" spans="1:17" x14ac:dyDescent="0.2">
      <c r="A1471" s="2" t="s">
        <v>3197</v>
      </c>
      <c r="B1471" s="2" t="s">
        <v>5427</v>
      </c>
      <c r="C1471" s="2" t="s">
        <v>9477</v>
      </c>
      <c r="D1471" s="2" t="s">
        <v>11417</v>
      </c>
      <c r="E1471" s="2" t="s">
        <v>6019</v>
      </c>
      <c r="F1471" s="2" t="s">
        <v>5807</v>
      </c>
      <c r="G1471" s="2" t="s">
        <v>5022</v>
      </c>
      <c r="H1471" s="2" t="s">
        <v>5023</v>
      </c>
      <c r="I1471" s="2" t="s">
        <v>11418</v>
      </c>
      <c r="J1471" s="2"/>
      <c r="K1471" s="2"/>
      <c r="L1471" s="2"/>
      <c r="M1471" s="2"/>
      <c r="N1471" s="2"/>
      <c r="O1471" s="2"/>
      <c r="P1471" s="2"/>
      <c r="Q1471" s="2"/>
    </row>
    <row r="1472" spans="1:17" x14ac:dyDescent="0.2">
      <c r="A1472" s="2" t="s">
        <v>2138</v>
      </c>
      <c r="B1472" s="2" t="s">
        <v>11419</v>
      </c>
      <c r="C1472" s="2" t="s">
        <v>5051</v>
      </c>
      <c r="D1472" s="2" t="s">
        <v>10423</v>
      </c>
      <c r="E1472" s="2" t="s">
        <v>11014</v>
      </c>
      <c r="F1472" s="2" t="s">
        <v>11420</v>
      </c>
      <c r="G1472" s="2" t="s">
        <v>5022</v>
      </c>
      <c r="H1472" s="2" t="s">
        <v>5023</v>
      </c>
      <c r="I1472" s="2" t="s">
        <v>11421</v>
      </c>
      <c r="J1472" s="2"/>
      <c r="K1472" s="2"/>
      <c r="L1472" s="2"/>
      <c r="M1472" s="2"/>
      <c r="N1472" s="2"/>
      <c r="O1472" s="2"/>
      <c r="P1472" s="2"/>
      <c r="Q1472" s="2"/>
    </row>
    <row r="1473" spans="1:17" x14ac:dyDescent="0.2">
      <c r="A1473" s="2" t="s">
        <v>2247</v>
      </c>
      <c r="B1473" s="2" t="s">
        <v>5145</v>
      </c>
      <c r="C1473" s="2" t="s">
        <v>5649</v>
      </c>
      <c r="D1473" s="2" t="s">
        <v>11422</v>
      </c>
      <c r="E1473" s="2" t="s">
        <v>6932</v>
      </c>
      <c r="F1473" s="2" t="s">
        <v>11423</v>
      </c>
      <c r="G1473" s="2" t="s">
        <v>5022</v>
      </c>
      <c r="H1473" s="2" t="s">
        <v>5023</v>
      </c>
      <c r="I1473" s="2" t="s">
        <v>11424</v>
      </c>
      <c r="J1473" s="2"/>
      <c r="K1473" s="2"/>
      <c r="L1473" s="2"/>
      <c r="M1473" s="2"/>
      <c r="N1473" s="2"/>
      <c r="O1473" s="2"/>
      <c r="P1473" s="2"/>
      <c r="Q1473" s="2"/>
    </row>
    <row r="1474" spans="1:17" x14ac:dyDescent="0.2">
      <c r="A1474" s="2" t="s">
        <v>4168</v>
      </c>
      <c r="B1474" s="2" t="s">
        <v>11425</v>
      </c>
      <c r="C1474" s="2" t="s">
        <v>9004</v>
      </c>
      <c r="D1474" s="2" t="s">
        <v>11426</v>
      </c>
      <c r="E1474" s="2" t="s">
        <v>6745</v>
      </c>
      <c r="F1474" s="2" t="s">
        <v>11427</v>
      </c>
      <c r="G1474" s="2" t="s">
        <v>5022</v>
      </c>
      <c r="H1474" s="2" t="s">
        <v>5023</v>
      </c>
      <c r="I1474" s="2" t="s">
        <v>11428</v>
      </c>
      <c r="J1474" s="2"/>
      <c r="K1474" s="2"/>
      <c r="L1474" s="2"/>
      <c r="M1474" s="2"/>
      <c r="N1474" s="2"/>
      <c r="O1474" s="2"/>
      <c r="P1474" s="2"/>
      <c r="Q1474" s="2"/>
    </row>
    <row r="1475" spans="1:17" x14ac:dyDescent="0.2">
      <c r="A1475" s="2" t="s">
        <v>3478</v>
      </c>
      <c r="B1475" s="2" t="s">
        <v>5779</v>
      </c>
      <c r="C1475" s="2" t="s">
        <v>8766</v>
      </c>
      <c r="D1475" s="2" t="s">
        <v>11429</v>
      </c>
      <c r="E1475" s="2" t="s">
        <v>11430</v>
      </c>
      <c r="F1475" s="2" t="s">
        <v>11431</v>
      </c>
      <c r="G1475" s="2" t="s">
        <v>5022</v>
      </c>
      <c r="H1475" s="2" t="s">
        <v>5023</v>
      </c>
      <c r="I1475" s="2" t="s">
        <v>11432</v>
      </c>
      <c r="J1475" s="2"/>
      <c r="K1475" s="2"/>
      <c r="L1475" s="2"/>
      <c r="M1475" s="2" t="s">
        <v>11433</v>
      </c>
      <c r="N1475" s="2"/>
      <c r="O1475" s="2"/>
      <c r="P1475" s="2"/>
      <c r="Q1475" s="2"/>
    </row>
    <row r="1476" spans="1:17" x14ac:dyDescent="0.2">
      <c r="A1476" s="2" t="s">
        <v>733</v>
      </c>
      <c r="B1476" s="2" t="s">
        <v>1976</v>
      </c>
      <c r="C1476" s="2" t="s">
        <v>6256</v>
      </c>
      <c r="D1476" s="2" t="s">
        <v>8712</v>
      </c>
      <c r="E1476" s="2" t="s">
        <v>11434</v>
      </c>
      <c r="F1476" s="2" t="s">
        <v>7210</v>
      </c>
      <c r="G1476" s="2" t="s">
        <v>5022</v>
      </c>
      <c r="H1476" s="2" t="s">
        <v>5023</v>
      </c>
      <c r="I1476" s="2" t="s">
        <v>11435</v>
      </c>
      <c r="J1476" s="2"/>
      <c r="K1476" s="2"/>
      <c r="L1476" s="2"/>
      <c r="M1476" s="2" t="s">
        <v>11436</v>
      </c>
      <c r="N1476" s="2"/>
      <c r="O1476" s="2"/>
      <c r="P1476" s="2"/>
      <c r="Q1476" s="2"/>
    </row>
    <row r="1477" spans="1:17" x14ac:dyDescent="0.2">
      <c r="A1477" s="2" t="s">
        <v>3922</v>
      </c>
      <c r="B1477" s="2" t="s">
        <v>8188</v>
      </c>
      <c r="C1477" s="2" t="s">
        <v>8190</v>
      </c>
      <c r="D1477" s="2" t="s">
        <v>6995</v>
      </c>
      <c r="E1477" s="2" t="s">
        <v>11437</v>
      </c>
      <c r="F1477" s="2" t="s">
        <v>11438</v>
      </c>
      <c r="G1477" s="2" t="s">
        <v>5022</v>
      </c>
      <c r="H1477" s="2" t="s">
        <v>5023</v>
      </c>
      <c r="I1477" s="2" t="s">
        <v>11439</v>
      </c>
      <c r="J1477" s="2"/>
      <c r="K1477" s="2"/>
      <c r="L1477" s="2"/>
      <c r="M1477" s="2" t="s">
        <v>11440</v>
      </c>
      <c r="N1477" s="2"/>
      <c r="O1477" s="2"/>
      <c r="P1477" s="2"/>
      <c r="Q1477" s="2"/>
    </row>
    <row r="1478" spans="1:17" x14ac:dyDescent="0.2">
      <c r="A1478" s="2" t="s">
        <v>125</v>
      </c>
      <c r="B1478" s="2" t="s">
        <v>11441</v>
      </c>
      <c r="C1478" s="2" t="s">
        <v>11442</v>
      </c>
      <c r="D1478" s="2" t="s">
        <v>11443</v>
      </c>
      <c r="E1478" s="2" t="s">
        <v>5450</v>
      </c>
      <c r="F1478" s="2" t="s">
        <v>6224</v>
      </c>
      <c r="G1478" s="2" t="s">
        <v>5022</v>
      </c>
      <c r="H1478" s="2" t="s">
        <v>5023</v>
      </c>
      <c r="I1478" s="2" t="s">
        <v>11444</v>
      </c>
      <c r="J1478" s="2"/>
      <c r="K1478" s="2"/>
      <c r="L1478" s="2"/>
      <c r="M1478" s="2"/>
      <c r="N1478" s="2"/>
      <c r="O1478" s="2"/>
      <c r="P1478" s="2"/>
      <c r="Q1478" s="2"/>
    </row>
    <row r="1479" spans="1:17" x14ac:dyDescent="0.2">
      <c r="A1479" s="2" t="s">
        <v>762</v>
      </c>
      <c r="B1479" s="2" t="s">
        <v>11445</v>
      </c>
      <c r="C1479" s="2" t="s">
        <v>9880</v>
      </c>
      <c r="D1479" s="2" t="s">
        <v>11446</v>
      </c>
      <c r="E1479" s="2" t="s">
        <v>5736</v>
      </c>
      <c r="F1479" s="2" t="s">
        <v>5435</v>
      </c>
      <c r="G1479" s="2" t="s">
        <v>5022</v>
      </c>
      <c r="H1479" s="2" t="s">
        <v>5023</v>
      </c>
      <c r="I1479" s="2" t="s">
        <v>11447</v>
      </c>
      <c r="J1479" s="2"/>
      <c r="K1479" s="2"/>
      <c r="L1479" s="2"/>
      <c r="M1479" s="2"/>
      <c r="N1479" s="2"/>
      <c r="O1479" s="2"/>
      <c r="P1479" s="2"/>
      <c r="Q1479" s="2"/>
    </row>
    <row r="1480" spans="1:17" x14ac:dyDescent="0.2">
      <c r="A1480" s="2" t="s">
        <v>4775</v>
      </c>
      <c r="B1480" s="2" t="s">
        <v>11448</v>
      </c>
      <c r="C1480" s="2" t="s">
        <v>11449</v>
      </c>
      <c r="D1480" s="2" t="s">
        <v>5853</v>
      </c>
      <c r="E1480" s="2" t="s">
        <v>8339</v>
      </c>
      <c r="F1480" s="2" t="s">
        <v>11107</v>
      </c>
      <c r="G1480" s="2" t="s">
        <v>5022</v>
      </c>
      <c r="H1480" s="2" t="s">
        <v>5023</v>
      </c>
      <c r="I1480" s="2" t="s">
        <v>11450</v>
      </c>
      <c r="J1480" s="2"/>
      <c r="K1480" s="2"/>
      <c r="L1480" s="2"/>
      <c r="M1480" s="2"/>
      <c r="N1480" s="2"/>
      <c r="O1480" s="2"/>
      <c r="P1480" s="2"/>
      <c r="Q1480" s="2"/>
    </row>
    <row r="1481" spans="1:17" x14ac:dyDescent="0.2">
      <c r="A1481" s="2" t="s">
        <v>4734</v>
      </c>
      <c r="B1481" s="2" t="s">
        <v>6084</v>
      </c>
      <c r="C1481" s="2" t="s">
        <v>11451</v>
      </c>
      <c r="D1481" s="2" t="s">
        <v>7214</v>
      </c>
      <c r="E1481" s="2" t="s">
        <v>11452</v>
      </c>
      <c r="F1481" s="2" t="s">
        <v>10604</v>
      </c>
      <c r="G1481" s="2" t="s">
        <v>5022</v>
      </c>
      <c r="H1481" s="2" t="s">
        <v>5023</v>
      </c>
      <c r="I1481" s="2" t="s">
        <v>11453</v>
      </c>
      <c r="J1481" s="2"/>
      <c r="K1481" s="2"/>
      <c r="L1481" s="2"/>
      <c r="M1481" s="2"/>
      <c r="N1481" s="2"/>
      <c r="O1481" s="2"/>
      <c r="P1481" s="2"/>
      <c r="Q1481" s="2"/>
    </row>
    <row r="1482" spans="1:17" x14ac:dyDescent="0.2">
      <c r="A1482" s="2" t="s">
        <v>2538</v>
      </c>
      <c r="B1482" s="2" t="s">
        <v>11454</v>
      </c>
      <c r="C1482" s="2" t="s">
        <v>11455</v>
      </c>
      <c r="D1482" s="2" t="s">
        <v>11456</v>
      </c>
      <c r="E1482" s="2" t="s">
        <v>7292</v>
      </c>
      <c r="F1482" s="2" t="s">
        <v>6767</v>
      </c>
      <c r="G1482" s="2" t="s">
        <v>5022</v>
      </c>
      <c r="H1482" s="2" t="s">
        <v>5023</v>
      </c>
      <c r="I1482" s="2"/>
      <c r="J1482" s="2"/>
      <c r="K1482" s="2" t="s">
        <v>11457</v>
      </c>
      <c r="L1482" s="2"/>
      <c r="M1482" s="2"/>
      <c r="N1482" s="2"/>
      <c r="O1482" s="2"/>
      <c r="P1482" s="2"/>
      <c r="Q1482" s="2"/>
    </row>
    <row r="1483" spans="1:17" x14ac:dyDescent="0.2">
      <c r="A1483" s="2" t="s">
        <v>624</v>
      </c>
      <c r="B1483" s="2" t="s">
        <v>11458</v>
      </c>
      <c r="C1483" s="2" t="s">
        <v>11459</v>
      </c>
      <c r="D1483" s="2" t="s">
        <v>11290</v>
      </c>
      <c r="E1483" s="2" t="s">
        <v>11460</v>
      </c>
      <c r="F1483" s="2" t="s">
        <v>8395</v>
      </c>
      <c r="G1483" s="2" t="s">
        <v>5022</v>
      </c>
      <c r="H1483" s="2" t="s">
        <v>5023</v>
      </c>
      <c r="I1483" s="2" t="s">
        <v>11461</v>
      </c>
      <c r="J1483" s="2"/>
      <c r="K1483" s="2"/>
      <c r="L1483" s="2"/>
      <c r="M1483" s="2"/>
      <c r="N1483" s="2"/>
      <c r="O1483" s="2"/>
      <c r="P1483" s="2"/>
      <c r="Q1483" s="2"/>
    </row>
    <row r="1484" spans="1:17" x14ac:dyDescent="0.2">
      <c r="A1484" s="2" t="s">
        <v>1244</v>
      </c>
      <c r="B1484" s="2" t="s">
        <v>11462</v>
      </c>
      <c r="C1484" s="2" t="s">
        <v>6498</v>
      </c>
      <c r="D1484" s="2" t="s">
        <v>8904</v>
      </c>
      <c r="E1484" s="2" t="s">
        <v>5891</v>
      </c>
      <c r="F1484" s="2" t="s">
        <v>8727</v>
      </c>
      <c r="G1484" s="2" t="s">
        <v>5022</v>
      </c>
      <c r="H1484" s="2" t="s">
        <v>5023</v>
      </c>
      <c r="I1484" s="2" t="s">
        <v>11463</v>
      </c>
      <c r="J1484" s="2"/>
      <c r="K1484" s="2"/>
      <c r="L1484" s="2"/>
      <c r="M1484" s="2"/>
      <c r="N1484" s="2"/>
      <c r="O1484" s="2"/>
      <c r="P1484" s="2"/>
      <c r="Q1484" s="2"/>
    </row>
    <row r="1485" spans="1:17" x14ac:dyDescent="0.2">
      <c r="A1485" s="2" t="s">
        <v>3641</v>
      </c>
      <c r="B1485" s="2" t="s">
        <v>2800</v>
      </c>
      <c r="C1485" s="2" t="s">
        <v>11464</v>
      </c>
      <c r="D1485" s="2" t="s">
        <v>11465</v>
      </c>
      <c r="E1485" s="2" t="s">
        <v>11466</v>
      </c>
      <c r="F1485" s="2" t="s">
        <v>11467</v>
      </c>
      <c r="G1485" s="2" t="s">
        <v>5022</v>
      </c>
      <c r="H1485" s="2" t="s">
        <v>5023</v>
      </c>
      <c r="I1485" s="2" t="s">
        <v>11468</v>
      </c>
      <c r="J1485" s="2"/>
      <c r="K1485" s="2"/>
      <c r="L1485" s="2"/>
      <c r="M1485" s="2"/>
      <c r="N1485" s="2"/>
      <c r="O1485" s="2"/>
      <c r="P1485" s="2"/>
      <c r="Q1485" s="2"/>
    </row>
    <row r="1486" spans="1:17" x14ac:dyDescent="0.2">
      <c r="A1486" s="2" t="s">
        <v>715</v>
      </c>
      <c r="B1486" s="2" t="s">
        <v>11469</v>
      </c>
      <c r="C1486" s="2" t="s">
        <v>11470</v>
      </c>
      <c r="D1486" s="2" t="s">
        <v>11471</v>
      </c>
      <c r="E1486" s="2" t="s">
        <v>11472</v>
      </c>
      <c r="F1486" s="2" t="s">
        <v>6781</v>
      </c>
      <c r="G1486" s="2" t="s">
        <v>5022</v>
      </c>
      <c r="H1486" s="2" t="s">
        <v>5023</v>
      </c>
      <c r="I1486" s="2" t="s">
        <v>11473</v>
      </c>
      <c r="J1486" s="2"/>
      <c r="K1486" s="2"/>
      <c r="L1486" s="2"/>
      <c r="M1486" s="2"/>
      <c r="N1486" s="2"/>
      <c r="O1486" s="2"/>
      <c r="P1486" s="2"/>
      <c r="Q1486" s="2"/>
    </row>
    <row r="1487" spans="1:17" x14ac:dyDescent="0.2">
      <c r="A1487" s="2" t="s">
        <v>2671</v>
      </c>
      <c r="B1487" s="2" t="s">
        <v>11474</v>
      </c>
      <c r="C1487" s="2" t="s">
        <v>5409</v>
      </c>
      <c r="D1487" s="2" t="s">
        <v>11475</v>
      </c>
      <c r="E1487" s="2" t="s">
        <v>5600</v>
      </c>
      <c r="F1487" s="2" t="s">
        <v>11476</v>
      </c>
      <c r="G1487" s="2" t="s">
        <v>5022</v>
      </c>
      <c r="H1487" s="2" t="s">
        <v>5023</v>
      </c>
      <c r="I1487" s="2" t="s">
        <v>11477</v>
      </c>
      <c r="J1487" s="2"/>
      <c r="K1487" s="2"/>
      <c r="L1487" s="2"/>
      <c r="M1487" s="2"/>
      <c r="N1487" s="2"/>
      <c r="O1487" s="2"/>
      <c r="P1487" s="2"/>
      <c r="Q1487" s="2"/>
    </row>
    <row r="1488" spans="1:17" x14ac:dyDescent="0.2">
      <c r="A1488" s="2" t="s">
        <v>735</v>
      </c>
      <c r="B1488" s="2" t="s">
        <v>11478</v>
      </c>
      <c r="C1488" s="2" t="s">
        <v>5644</v>
      </c>
      <c r="D1488" s="2" t="s">
        <v>11479</v>
      </c>
      <c r="E1488" s="2" t="s">
        <v>7493</v>
      </c>
      <c r="F1488" s="2" t="s">
        <v>11480</v>
      </c>
      <c r="G1488" s="2" t="s">
        <v>5022</v>
      </c>
      <c r="H1488" s="2" t="s">
        <v>5023</v>
      </c>
      <c r="I1488" s="2" t="s">
        <v>11481</v>
      </c>
      <c r="J1488" s="2"/>
      <c r="K1488" s="2"/>
      <c r="L1488" s="2"/>
      <c r="M1488" s="2"/>
      <c r="N1488" s="2"/>
      <c r="O1488" s="2"/>
      <c r="P1488" s="2"/>
      <c r="Q1488" s="2"/>
    </row>
    <row r="1489" spans="1:17" x14ac:dyDescent="0.2">
      <c r="A1489" s="2" t="s">
        <v>2590</v>
      </c>
      <c r="B1489" s="2" t="s">
        <v>11482</v>
      </c>
      <c r="C1489" s="2" t="s">
        <v>11483</v>
      </c>
      <c r="D1489" s="2" t="s">
        <v>6261</v>
      </c>
      <c r="E1489" s="2" t="s">
        <v>5094</v>
      </c>
      <c r="F1489" s="2" t="s">
        <v>5354</v>
      </c>
      <c r="G1489" s="2" t="s">
        <v>5022</v>
      </c>
      <c r="H1489" s="2" t="s">
        <v>5023</v>
      </c>
      <c r="I1489" s="2" t="s">
        <v>11484</v>
      </c>
      <c r="J1489" s="2"/>
      <c r="K1489" s="2"/>
      <c r="L1489" s="2"/>
      <c r="M1489" s="2"/>
      <c r="N1489" s="2"/>
      <c r="O1489" s="2"/>
      <c r="P1489" s="2"/>
      <c r="Q1489" s="2"/>
    </row>
    <row r="1490" spans="1:17" x14ac:dyDescent="0.2">
      <c r="A1490" s="2" t="s">
        <v>3066</v>
      </c>
      <c r="B1490" s="2" t="s">
        <v>11485</v>
      </c>
      <c r="C1490" s="2" t="s">
        <v>5961</v>
      </c>
      <c r="D1490" s="2" t="s">
        <v>5523</v>
      </c>
      <c r="E1490" s="2" t="s">
        <v>11486</v>
      </c>
      <c r="F1490" s="2" t="s">
        <v>6043</v>
      </c>
      <c r="G1490" s="2" t="s">
        <v>5022</v>
      </c>
      <c r="H1490" s="2" t="s">
        <v>5023</v>
      </c>
      <c r="I1490" s="2" t="s">
        <v>11487</v>
      </c>
      <c r="J1490" s="2"/>
      <c r="K1490" s="2"/>
      <c r="L1490" s="2"/>
      <c r="M1490" s="2"/>
      <c r="N1490" s="2"/>
      <c r="O1490" s="2"/>
      <c r="P1490" s="2"/>
      <c r="Q1490" s="2"/>
    </row>
    <row r="1491" spans="1:17" x14ac:dyDescent="0.2">
      <c r="A1491" s="2" t="s">
        <v>2039</v>
      </c>
      <c r="B1491" s="2" t="s">
        <v>10026</v>
      </c>
      <c r="C1491" s="2" t="s">
        <v>11488</v>
      </c>
      <c r="D1491" s="2" t="s">
        <v>8475</v>
      </c>
      <c r="E1491" s="2" t="s">
        <v>6612</v>
      </c>
      <c r="F1491" s="2" t="s">
        <v>11489</v>
      </c>
      <c r="G1491" s="2" t="s">
        <v>5022</v>
      </c>
      <c r="H1491" s="2" t="s">
        <v>5023</v>
      </c>
      <c r="I1491" s="2"/>
      <c r="J1491" s="2"/>
      <c r="K1491" s="2" t="s">
        <v>11490</v>
      </c>
      <c r="L1491" s="2"/>
      <c r="M1491" s="2"/>
      <c r="N1491" s="2"/>
      <c r="O1491" s="2"/>
      <c r="P1491" s="2"/>
      <c r="Q1491" s="2"/>
    </row>
    <row r="1492" spans="1:17" x14ac:dyDescent="0.2">
      <c r="A1492" s="2" t="s">
        <v>3094</v>
      </c>
      <c r="B1492" s="2" t="s">
        <v>11491</v>
      </c>
      <c r="C1492" s="2" t="s">
        <v>5118</v>
      </c>
      <c r="D1492" s="2" t="s">
        <v>5051</v>
      </c>
      <c r="E1492" s="2" t="s">
        <v>11492</v>
      </c>
      <c r="F1492" s="2" t="s">
        <v>10357</v>
      </c>
      <c r="G1492" s="2" t="s">
        <v>5022</v>
      </c>
      <c r="H1492" s="2" t="s">
        <v>5023</v>
      </c>
      <c r="I1492" s="2" t="s">
        <v>11493</v>
      </c>
      <c r="J1492" s="2"/>
      <c r="K1492" s="2"/>
      <c r="L1492" s="2"/>
      <c r="M1492" s="2" t="s">
        <v>11494</v>
      </c>
      <c r="N1492" s="2"/>
      <c r="O1492" s="2"/>
      <c r="P1492" s="2"/>
      <c r="Q1492" s="2"/>
    </row>
    <row r="1493" spans="1:17" x14ac:dyDescent="0.2">
      <c r="A1493" s="2" t="s">
        <v>4019</v>
      </c>
      <c r="B1493" s="2" t="s">
        <v>5356</v>
      </c>
      <c r="C1493" s="2" t="s">
        <v>5075</v>
      </c>
      <c r="D1493" s="2" t="s">
        <v>5409</v>
      </c>
      <c r="E1493" s="2" t="s">
        <v>11495</v>
      </c>
      <c r="F1493" s="2" t="s">
        <v>9526</v>
      </c>
      <c r="G1493" s="2" t="s">
        <v>5022</v>
      </c>
      <c r="H1493" s="2" t="s">
        <v>5023</v>
      </c>
      <c r="I1493" s="2" t="s">
        <v>11496</v>
      </c>
      <c r="J1493" s="2"/>
      <c r="K1493" s="2"/>
      <c r="L1493" s="2"/>
      <c r="M1493" s="2"/>
      <c r="N1493" s="2"/>
      <c r="O1493" s="2"/>
      <c r="P1493" s="2"/>
      <c r="Q1493" s="2"/>
    </row>
    <row r="1494" spans="1:17" x14ac:dyDescent="0.2">
      <c r="A1494" s="2" t="s">
        <v>3077</v>
      </c>
      <c r="B1494" s="2" t="s">
        <v>11497</v>
      </c>
      <c r="C1494" s="2" t="s">
        <v>8726</v>
      </c>
      <c r="D1494" s="2" t="s">
        <v>7220</v>
      </c>
      <c r="E1494" s="2" t="s">
        <v>5410</v>
      </c>
      <c r="F1494" s="2" t="s">
        <v>11498</v>
      </c>
      <c r="G1494" s="2" t="s">
        <v>5022</v>
      </c>
      <c r="H1494" s="2" t="s">
        <v>5023</v>
      </c>
      <c r="I1494" s="2" t="s">
        <v>11499</v>
      </c>
      <c r="J1494" s="2"/>
      <c r="K1494" s="2"/>
      <c r="L1494" s="2"/>
      <c r="M1494" s="2" t="s">
        <v>11500</v>
      </c>
      <c r="N1494" s="2"/>
      <c r="O1494" s="2"/>
      <c r="P1494" s="2"/>
      <c r="Q1494" s="2"/>
    </row>
    <row r="1495" spans="1:17" x14ac:dyDescent="0.2">
      <c r="A1495" s="2" t="s">
        <v>3376</v>
      </c>
      <c r="B1495" s="2" t="s">
        <v>5049</v>
      </c>
      <c r="C1495" s="2" t="s">
        <v>5922</v>
      </c>
      <c r="D1495" s="2" t="s">
        <v>5147</v>
      </c>
      <c r="E1495" s="2" t="s">
        <v>6932</v>
      </c>
      <c r="F1495" s="2" t="s">
        <v>11501</v>
      </c>
      <c r="G1495" s="2" t="s">
        <v>5022</v>
      </c>
      <c r="H1495" s="2" t="s">
        <v>5023</v>
      </c>
      <c r="I1495" s="2" t="s">
        <v>11502</v>
      </c>
      <c r="J1495" s="2"/>
      <c r="K1495" s="2"/>
      <c r="L1495" s="2"/>
      <c r="M1495" s="2"/>
      <c r="N1495" s="2"/>
      <c r="O1495" s="2"/>
      <c r="P1495" s="2"/>
      <c r="Q1495" s="2"/>
    </row>
    <row r="1496" spans="1:17" x14ac:dyDescent="0.2">
      <c r="A1496" s="2" t="s">
        <v>2369</v>
      </c>
      <c r="B1496" s="2" t="s">
        <v>11503</v>
      </c>
      <c r="C1496" s="2" t="s">
        <v>6337</v>
      </c>
      <c r="D1496" s="2" t="s">
        <v>6931</v>
      </c>
      <c r="E1496" s="2" t="s">
        <v>11504</v>
      </c>
      <c r="F1496" s="2" t="s">
        <v>11505</v>
      </c>
      <c r="G1496" s="2" t="s">
        <v>5022</v>
      </c>
      <c r="H1496" s="2" t="s">
        <v>5023</v>
      </c>
      <c r="I1496" s="2" t="s">
        <v>11506</v>
      </c>
      <c r="J1496" s="2"/>
      <c r="K1496" s="2"/>
      <c r="L1496" s="2"/>
      <c r="M1496" s="2" t="s">
        <v>11507</v>
      </c>
      <c r="N1496" s="2" t="s">
        <v>11508</v>
      </c>
      <c r="O1496" s="2"/>
      <c r="P1496" s="2"/>
      <c r="Q1496" s="2"/>
    </row>
    <row r="1497" spans="1:17" x14ac:dyDescent="0.2">
      <c r="A1497" s="2" t="s">
        <v>2728</v>
      </c>
      <c r="B1497" s="2" t="s">
        <v>11509</v>
      </c>
      <c r="C1497" s="2" t="s">
        <v>10558</v>
      </c>
      <c r="D1497" s="2" t="s">
        <v>11510</v>
      </c>
      <c r="E1497" s="2" t="s">
        <v>11511</v>
      </c>
      <c r="F1497" s="2" t="s">
        <v>9983</v>
      </c>
      <c r="G1497" s="2" t="s">
        <v>5022</v>
      </c>
      <c r="H1497" s="2" t="s">
        <v>5023</v>
      </c>
      <c r="I1497" s="2" t="s">
        <v>11512</v>
      </c>
      <c r="J1497" s="2"/>
      <c r="K1497" s="2"/>
      <c r="L1497" s="2"/>
      <c r="M1497" s="2"/>
      <c r="N1497" s="2"/>
      <c r="O1497" s="2"/>
      <c r="P1497" s="2"/>
      <c r="Q1497" s="2"/>
    </row>
    <row r="1498" spans="1:17" x14ac:dyDescent="0.2">
      <c r="A1498" s="2" t="s">
        <v>1171</v>
      </c>
      <c r="B1498" s="2" t="s">
        <v>11513</v>
      </c>
      <c r="C1498" s="2" t="s">
        <v>7606</v>
      </c>
      <c r="D1498" s="2" t="s">
        <v>11514</v>
      </c>
      <c r="E1498" s="2" t="s">
        <v>11515</v>
      </c>
      <c r="F1498" s="2" t="s">
        <v>9049</v>
      </c>
      <c r="G1498" s="2" t="s">
        <v>5022</v>
      </c>
      <c r="H1498" s="2" t="s">
        <v>5023</v>
      </c>
      <c r="I1498" s="2"/>
      <c r="J1498" s="2"/>
      <c r="K1498" s="2" t="s">
        <v>11516</v>
      </c>
      <c r="L1498" s="2"/>
      <c r="M1498" s="2"/>
      <c r="N1498" s="2"/>
      <c r="O1498" s="2"/>
      <c r="P1498" s="2"/>
      <c r="Q1498" s="2"/>
    </row>
    <row r="1499" spans="1:17" x14ac:dyDescent="0.2">
      <c r="A1499" s="2" t="s">
        <v>1579</v>
      </c>
      <c r="B1499" s="2" t="s">
        <v>11517</v>
      </c>
      <c r="C1499" s="2" t="s">
        <v>7797</v>
      </c>
      <c r="D1499" s="2" t="s">
        <v>5316</v>
      </c>
      <c r="E1499" s="2" t="s">
        <v>11518</v>
      </c>
      <c r="F1499" s="2" t="s">
        <v>11519</v>
      </c>
      <c r="G1499" s="2" t="s">
        <v>5022</v>
      </c>
      <c r="H1499" s="2" t="s">
        <v>5023</v>
      </c>
      <c r="I1499" s="2" t="s">
        <v>11520</v>
      </c>
      <c r="J1499" s="2"/>
      <c r="K1499" s="2"/>
      <c r="L1499" s="2"/>
      <c r="M1499" s="2"/>
      <c r="N1499" s="2"/>
      <c r="O1499" s="2"/>
      <c r="P1499" s="2"/>
      <c r="Q1499" s="2"/>
    </row>
    <row r="1500" spans="1:17" x14ac:dyDescent="0.2">
      <c r="A1500" s="2" t="s">
        <v>1239</v>
      </c>
      <c r="B1500" s="2" t="s">
        <v>11521</v>
      </c>
      <c r="C1500" s="2" t="s">
        <v>5241</v>
      </c>
      <c r="D1500" s="2" t="s">
        <v>11522</v>
      </c>
      <c r="E1500" s="2" t="s">
        <v>11523</v>
      </c>
      <c r="F1500" s="2" t="s">
        <v>8138</v>
      </c>
      <c r="G1500" s="2" t="s">
        <v>5022</v>
      </c>
      <c r="H1500" s="2" t="s">
        <v>5023</v>
      </c>
      <c r="I1500" s="2" t="s">
        <v>11524</v>
      </c>
      <c r="J1500" s="2"/>
      <c r="K1500" s="2"/>
      <c r="L1500" s="2"/>
      <c r="M1500" s="2"/>
      <c r="N1500" s="2"/>
      <c r="O1500" s="2"/>
      <c r="P1500" s="2"/>
      <c r="Q1500" s="2"/>
    </row>
    <row r="1501" spans="1:17" x14ac:dyDescent="0.2">
      <c r="A1501" s="2" t="s">
        <v>2567</v>
      </c>
      <c r="B1501" s="2" t="s">
        <v>2800</v>
      </c>
      <c r="C1501" s="2" t="s">
        <v>7822</v>
      </c>
      <c r="D1501" s="2" t="s">
        <v>11475</v>
      </c>
      <c r="E1501" s="2" t="s">
        <v>11525</v>
      </c>
      <c r="F1501" s="2" t="s">
        <v>8171</v>
      </c>
      <c r="G1501" s="2" t="s">
        <v>5022</v>
      </c>
      <c r="H1501" s="2" t="s">
        <v>5023</v>
      </c>
      <c r="I1501" s="2" t="s">
        <v>11526</v>
      </c>
      <c r="J1501" s="2"/>
      <c r="K1501" s="2"/>
      <c r="L1501" s="2"/>
      <c r="M1501" s="2"/>
      <c r="N1501" s="2" t="s">
        <v>11527</v>
      </c>
      <c r="O1501" s="2"/>
      <c r="P1501" s="2"/>
      <c r="Q1501" s="2"/>
    </row>
    <row r="1502" spans="1:17" x14ac:dyDescent="0.2">
      <c r="A1502" s="2" t="s">
        <v>2337</v>
      </c>
      <c r="B1502" s="2" t="s">
        <v>11528</v>
      </c>
      <c r="C1502" s="2" t="s">
        <v>8837</v>
      </c>
      <c r="D1502" s="2" t="s">
        <v>8610</v>
      </c>
      <c r="E1502" s="2" t="s">
        <v>11529</v>
      </c>
      <c r="F1502" s="2" t="s">
        <v>11530</v>
      </c>
      <c r="G1502" s="2" t="s">
        <v>5022</v>
      </c>
      <c r="H1502" s="2" t="s">
        <v>5122</v>
      </c>
      <c r="I1502" s="2"/>
      <c r="J1502" s="2"/>
      <c r="K1502" s="2"/>
      <c r="L1502" s="2"/>
      <c r="M1502" s="2"/>
      <c r="N1502" s="2"/>
      <c r="O1502" s="2"/>
      <c r="P1502" s="2"/>
      <c r="Q1502" s="2"/>
    </row>
    <row r="1503" spans="1:17" x14ac:dyDescent="0.2">
      <c r="A1503" s="2" t="s">
        <v>1460</v>
      </c>
      <c r="B1503" s="2" t="s">
        <v>1185</v>
      </c>
      <c r="C1503" s="2" t="s">
        <v>11531</v>
      </c>
      <c r="D1503" s="2" t="s">
        <v>11532</v>
      </c>
      <c r="E1503" s="2" t="s">
        <v>11533</v>
      </c>
      <c r="F1503" s="2" t="s">
        <v>11534</v>
      </c>
      <c r="G1503" s="2" t="s">
        <v>5022</v>
      </c>
      <c r="H1503" s="2" t="s">
        <v>5023</v>
      </c>
      <c r="I1503" s="2" t="s">
        <v>11535</v>
      </c>
      <c r="J1503" s="2"/>
      <c r="K1503" s="2"/>
      <c r="L1503" s="2"/>
      <c r="M1503" s="2"/>
      <c r="N1503" s="2"/>
      <c r="O1503" s="2"/>
      <c r="P1503" s="2"/>
      <c r="Q1503" s="2"/>
    </row>
    <row r="1504" spans="1:17" x14ac:dyDescent="0.2">
      <c r="A1504" s="2" t="s">
        <v>4474</v>
      </c>
      <c r="B1504" s="2" t="s">
        <v>11536</v>
      </c>
      <c r="C1504" s="2" t="s">
        <v>11295</v>
      </c>
      <c r="D1504" s="2" t="s">
        <v>7031</v>
      </c>
      <c r="E1504" s="2" t="s">
        <v>11537</v>
      </c>
      <c r="F1504" s="2" t="s">
        <v>6795</v>
      </c>
      <c r="G1504" s="2" t="s">
        <v>5022</v>
      </c>
      <c r="H1504" s="2" t="s">
        <v>5023</v>
      </c>
      <c r="I1504" s="2" t="s">
        <v>11538</v>
      </c>
      <c r="J1504" s="2"/>
      <c r="K1504" s="2"/>
      <c r="L1504" s="2"/>
      <c r="M1504" s="2"/>
      <c r="N1504" s="2"/>
      <c r="O1504" s="2"/>
      <c r="P1504" s="2"/>
      <c r="Q1504" s="2"/>
    </row>
    <row r="1505" spans="1:17" x14ac:dyDescent="0.2">
      <c r="A1505" s="2" t="s">
        <v>450</v>
      </c>
      <c r="B1505" s="2" t="s">
        <v>11539</v>
      </c>
      <c r="C1505" s="2" t="s">
        <v>5690</v>
      </c>
      <c r="D1505" s="2" t="s">
        <v>11540</v>
      </c>
      <c r="E1505" s="2" t="s">
        <v>11541</v>
      </c>
      <c r="F1505" s="2" t="s">
        <v>7373</v>
      </c>
      <c r="G1505" s="2" t="s">
        <v>5022</v>
      </c>
      <c r="H1505" s="2" t="s">
        <v>5023</v>
      </c>
      <c r="I1505" s="2" t="s">
        <v>8438</v>
      </c>
      <c r="J1505" s="2"/>
      <c r="K1505" s="2"/>
      <c r="L1505" s="2"/>
      <c r="M1505" s="2"/>
      <c r="N1505" s="2"/>
      <c r="O1505" s="2"/>
      <c r="P1505" s="2"/>
      <c r="Q1505" s="2"/>
    </row>
    <row r="1506" spans="1:17" x14ac:dyDescent="0.2">
      <c r="A1506" s="2" t="s">
        <v>2254</v>
      </c>
      <c r="B1506" s="2" t="s">
        <v>6226</v>
      </c>
      <c r="C1506" s="2" t="s">
        <v>7031</v>
      </c>
      <c r="D1506" s="2" t="s">
        <v>11542</v>
      </c>
      <c r="E1506" s="2" t="s">
        <v>11543</v>
      </c>
      <c r="F1506" s="2" t="s">
        <v>11544</v>
      </c>
      <c r="G1506" s="2" t="s">
        <v>5022</v>
      </c>
      <c r="H1506" s="2" t="s">
        <v>5023</v>
      </c>
      <c r="I1506" s="2"/>
      <c r="J1506" s="2"/>
      <c r="K1506" s="2"/>
      <c r="L1506" s="2"/>
      <c r="M1506" s="2"/>
      <c r="N1506" s="2"/>
      <c r="O1506" s="2"/>
      <c r="P1506" s="2"/>
      <c r="Q1506" s="2"/>
    </row>
    <row r="1507" spans="1:17" x14ac:dyDescent="0.2">
      <c r="A1507" s="2" t="s">
        <v>3873</v>
      </c>
      <c r="B1507" s="2" t="s">
        <v>11545</v>
      </c>
      <c r="C1507" s="2" t="s">
        <v>5164</v>
      </c>
      <c r="D1507" s="2" t="s">
        <v>10140</v>
      </c>
      <c r="E1507" s="2" t="s">
        <v>11546</v>
      </c>
      <c r="F1507" s="2" t="s">
        <v>11547</v>
      </c>
      <c r="G1507" s="2" t="s">
        <v>5022</v>
      </c>
      <c r="H1507" s="2" t="s">
        <v>5023</v>
      </c>
      <c r="I1507" s="2" t="s">
        <v>11548</v>
      </c>
      <c r="J1507" s="2"/>
      <c r="K1507" s="2"/>
      <c r="L1507" s="2"/>
      <c r="M1507" s="2" t="s">
        <v>11549</v>
      </c>
      <c r="N1507" s="2"/>
      <c r="O1507" s="2"/>
      <c r="P1507" s="2"/>
      <c r="Q1507" s="2"/>
    </row>
    <row r="1508" spans="1:17" x14ac:dyDescent="0.2">
      <c r="A1508" s="2" t="s">
        <v>592</v>
      </c>
      <c r="B1508" s="2" t="s">
        <v>11550</v>
      </c>
      <c r="C1508" s="2" t="s">
        <v>6028</v>
      </c>
      <c r="D1508" s="2" t="s">
        <v>5900</v>
      </c>
      <c r="E1508" s="2" t="s">
        <v>11551</v>
      </c>
      <c r="F1508" s="2" t="s">
        <v>11552</v>
      </c>
      <c r="G1508" s="2" t="s">
        <v>5022</v>
      </c>
      <c r="H1508" s="2" t="s">
        <v>5023</v>
      </c>
      <c r="I1508" s="2" t="s">
        <v>11553</v>
      </c>
      <c r="J1508" s="2"/>
      <c r="K1508" s="2"/>
      <c r="L1508" s="2"/>
      <c r="M1508" s="2" t="s">
        <v>11554</v>
      </c>
      <c r="N1508" s="2"/>
      <c r="O1508" s="2"/>
      <c r="P1508" s="2"/>
      <c r="Q1508" s="2"/>
    </row>
    <row r="1509" spans="1:17" x14ac:dyDescent="0.2">
      <c r="A1509" s="2" t="s">
        <v>1077</v>
      </c>
      <c r="B1509" s="2" t="s">
        <v>11555</v>
      </c>
      <c r="C1509" s="2" t="s">
        <v>11556</v>
      </c>
      <c r="D1509" s="2" t="s">
        <v>6409</v>
      </c>
      <c r="E1509" s="2" t="s">
        <v>5114</v>
      </c>
      <c r="F1509" s="2" t="s">
        <v>11557</v>
      </c>
      <c r="G1509" s="2" t="s">
        <v>5022</v>
      </c>
      <c r="H1509" s="2" t="s">
        <v>5023</v>
      </c>
      <c r="I1509" s="2" t="s">
        <v>11558</v>
      </c>
      <c r="J1509" s="2"/>
      <c r="K1509" s="2"/>
      <c r="L1509" s="2"/>
      <c r="M1509" s="2" t="s">
        <v>11559</v>
      </c>
      <c r="N1509" s="2"/>
      <c r="O1509" s="2"/>
      <c r="P1509" s="2"/>
      <c r="Q1509" s="2"/>
    </row>
    <row r="1510" spans="1:17" x14ac:dyDescent="0.2">
      <c r="A1510" s="2" t="s">
        <v>4264</v>
      </c>
      <c r="B1510" s="2" t="s">
        <v>11560</v>
      </c>
      <c r="C1510" s="2" t="s">
        <v>11561</v>
      </c>
      <c r="D1510" s="2" t="s">
        <v>11561</v>
      </c>
      <c r="E1510" s="2" t="s">
        <v>5265</v>
      </c>
      <c r="F1510" s="2" t="s">
        <v>9346</v>
      </c>
      <c r="G1510" s="2" t="s">
        <v>5022</v>
      </c>
      <c r="H1510" s="2" t="s">
        <v>5023</v>
      </c>
      <c r="I1510" s="2" t="s">
        <v>11562</v>
      </c>
      <c r="J1510" s="2"/>
      <c r="K1510" s="2"/>
      <c r="L1510" s="2"/>
      <c r="M1510" s="2" t="s">
        <v>11563</v>
      </c>
      <c r="N1510" s="2"/>
      <c r="O1510" s="2"/>
      <c r="P1510" s="2"/>
      <c r="Q1510" s="2"/>
    </row>
    <row r="1511" spans="1:17" x14ac:dyDescent="0.2">
      <c r="A1511" s="2" t="s">
        <v>3466</v>
      </c>
      <c r="B1511" s="2" t="s">
        <v>6310</v>
      </c>
      <c r="C1511" s="2" t="s">
        <v>5119</v>
      </c>
      <c r="D1511" s="2" t="s">
        <v>11564</v>
      </c>
      <c r="E1511" s="2" t="s">
        <v>11565</v>
      </c>
      <c r="F1511" s="2" t="s">
        <v>11566</v>
      </c>
      <c r="G1511" s="2" t="s">
        <v>5022</v>
      </c>
      <c r="H1511" s="2" t="s">
        <v>5023</v>
      </c>
      <c r="I1511" s="2" t="s">
        <v>11567</v>
      </c>
      <c r="J1511" s="2"/>
      <c r="K1511" s="2"/>
      <c r="L1511" s="2"/>
      <c r="M1511" s="2" t="s">
        <v>11568</v>
      </c>
      <c r="N1511" s="2"/>
      <c r="O1511" s="2"/>
      <c r="P1511" s="2"/>
      <c r="Q1511" s="2"/>
    </row>
    <row r="1512" spans="1:17" x14ac:dyDescent="0.2">
      <c r="A1512" s="2" t="s">
        <v>3860</v>
      </c>
      <c r="B1512" s="2" t="s">
        <v>8188</v>
      </c>
      <c r="C1512" s="2" t="s">
        <v>5323</v>
      </c>
      <c r="D1512" s="2" t="s">
        <v>11569</v>
      </c>
      <c r="E1512" s="2" t="s">
        <v>11570</v>
      </c>
      <c r="F1512" s="2" t="s">
        <v>11571</v>
      </c>
      <c r="G1512" s="2" t="s">
        <v>5022</v>
      </c>
      <c r="H1512" s="2" t="s">
        <v>5023</v>
      </c>
      <c r="I1512" s="2" t="s">
        <v>11572</v>
      </c>
      <c r="J1512" s="2"/>
      <c r="K1512" s="2"/>
      <c r="L1512" s="2"/>
      <c r="M1512" s="2"/>
      <c r="N1512" s="2"/>
      <c r="O1512" s="2"/>
      <c r="P1512" s="2"/>
      <c r="Q1512" s="2"/>
    </row>
    <row r="1513" spans="1:17" x14ac:dyDescent="0.2">
      <c r="A1513" s="2" t="s">
        <v>120</v>
      </c>
      <c r="B1513" s="2" t="s">
        <v>5643</v>
      </c>
      <c r="C1513" s="2" t="s">
        <v>7252</v>
      </c>
      <c r="D1513" s="2" t="s">
        <v>11573</v>
      </c>
      <c r="E1513" s="2" t="s">
        <v>11574</v>
      </c>
      <c r="F1513" s="2" t="s">
        <v>11575</v>
      </c>
      <c r="G1513" s="2" t="s">
        <v>5022</v>
      </c>
      <c r="H1513" s="2" t="s">
        <v>5023</v>
      </c>
      <c r="I1513" s="2" t="s">
        <v>11576</v>
      </c>
      <c r="J1513" s="2"/>
      <c r="K1513" s="2"/>
      <c r="L1513" s="2"/>
      <c r="M1513" s="2"/>
      <c r="N1513" s="2"/>
      <c r="O1513" s="2"/>
      <c r="P1513" s="2"/>
      <c r="Q1513" s="2"/>
    </row>
    <row r="1514" spans="1:17" x14ac:dyDescent="0.2">
      <c r="A1514" s="2" t="s">
        <v>3140</v>
      </c>
      <c r="B1514" s="2" t="s">
        <v>5910</v>
      </c>
      <c r="C1514" s="2" t="s">
        <v>5028</v>
      </c>
      <c r="D1514" s="2" t="s">
        <v>5028</v>
      </c>
      <c r="E1514" s="2" t="s">
        <v>11577</v>
      </c>
      <c r="F1514" s="2" t="s">
        <v>7302</v>
      </c>
      <c r="G1514" s="2" t="s">
        <v>5022</v>
      </c>
      <c r="H1514" s="2" t="s">
        <v>5023</v>
      </c>
      <c r="I1514" s="2" t="s">
        <v>11578</v>
      </c>
      <c r="J1514" s="2"/>
      <c r="K1514" s="2"/>
      <c r="L1514" s="2"/>
      <c r="M1514" s="2"/>
      <c r="N1514" s="2"/>
      <c r="O1514" s="2"/>
      <c r="P1514" s="2"/>
      <c r="Q1514" s="2"/>
    </row>
    <row r="1515" spans="1:17" x14ac:dyDescent="0.2">
      <c r="A1515" s="2" t="s">
        <v>2924</v>
      </c>
      <c r="B1515" s="2" t="s">
        <v>11579</v>
      </c>
      <c r="C1515" s="2" t="s">
        <v>11580</v>
      </c>
      <c r="D1515" s="2" t="s">
        <v>5463</v>
      </c>
      <c r="E1515" s="2" t="s">
        <v>5253</v>
      </c>
      <c r="F1515" s="2" t="s">
        <v>11581</v>
      </c>
      <c r="G1515" s="2" t="s">
        <v>5022</v>
      </c>
      <c r="H1515" s="2" t="s">
        <v>5023</v>
      </c>
      <c r="I1515" s="2"/>
      <c r="J1515" s="2"/>
      <c r="K1515" s="2" t="s">
        <v>11582</v>
      </c>
      <c r="L1515" s="2"/>
      <c r="M1515" s="2"/>
      <c r="N1515" s="2"/>
      <c r="O1515" s="2"/>
      <c r="P1515" s="2"/>
      <c r="Q1515" s="2"/>
    </row>
    <row r="1516" spans="1:17" x14ac:dyDescent="0.2">
      <c r="A1516" s="2" t="s">
        <v>1625</v>
      </c>
      <c r="B1516" s="2" t="s">
        <v>11583</v>
      </c>
      <c r="C1516" s="2" t="s">
        <v>7252</v>
      </c>
      <c r="D1516" s="2" t="s">
        <v>5729</v>
      </c>
      <c r="E1516" s="2" t="s">
        <v>6679</v>
      </c>
      <c r="F1516" s="2" t="s">
        <v>11584</v>
      </c>
      <c r="G1516" s="2" t="s">
        <v>5022</v>
      </c>
      <c r="H1516" s="2" t="s">
        <v>5023</v>
      </c>
      <c r="I1516" s="2" t="s">
        <v>11585</v>
      </c>
      <c r="J1516" s="2"/>
      <c r="K1516" s="2"/>
      <c r="L1516" s="2"/>
      <c r="M1516" s="2"/>
      <c r="N1516" s="2"/>
      <c r="O1516" s="2"/>
      <c r="P1516" s="2"/>
      <c r="Q1516" s="2"/>
    </row>
    <row r="1517" spans="1:17" x14ac:dyDescent="0.2">
      <c r="A1517" s="2" t="s">
        <v>320</v>
      </c>
      <c r="B1517" s="2" t="s">
        <v>9471</v>
      </c>
      <c r="C1517" s="2" t="s">
        <v>5931</v>
      </c>
      <c r="D1517" s="2" t="s">
        <v>6498</v>
      </c>
      <c r="E1517" s="2" t="s">
        <v>5253</v>
      </c>
      <c r="F1517" s="2" t="s">
        <v>7011</v>
      </c>
      <c r="G1517" s="2" t="s">
        <v>5022</v>
      </c>
      <c r="H1517" s="2" t="s">
        <v>5023</v>
      </c>
      <c r="I1517" s="2" t="s">
        <v>11586</v>
      </c>
      <c r="J1517" s="2"/>
      <c r="K1517" s="2"/>
      <c r="L1517" s="2"/>
      <c r="M1517" s="2" t="s">
        <v>11587</v>
      </c>
      <c r="N1517" s="2"/>
      <c r="O1517" s="2"/>
      <c r="P1517" s="2"/>
      <c r="Q1517" s="2"/>
    </row>
    <row r="1518" spans="1:17" x14ac:dyDescent="0.2">
      <c r="A1518" s="2" t="s">
        <v>4765</v>
      </c>
      <c r="B1518" s="2" t="s">
        <v>5479</v>
      </c>
      <c r="C1518" s="2" t="s">
        <v>5877</v>
      </c>
      <c r="D1518" s="2" t="s">
        <v>11588</v>
      </c>
      <c r="E1518" s="2" t="s">
        <v>11589</v>
      </c>
      <c r="F1518" s="2" t="s">
        <v>6984</v>
      </c>
      <c r="G1518" s="2" t="s">
        <v>5022</v>
      </c>
      <c r="H1518" s="2" t="s">
        <v>5023</v>
      </c>
      <c r="I1518" s="2" t="s">
        <v>11590</v>
      </c>
      <c r="J1518" s="2"/>
      <c r="K1518" s="2"/>
      <c r="L1518" s="2"/>
      <c r="M1518" s="2"/>
      <c r="N1518" s="2"/>
      <c r="O1518" s="2"/>
      <c r="P1518" s="2"/>
      <c r="Q1518" s="2"/>
    </row>
    <row r="1519" spans="1:17" x14ac:dyDescent="0.2">
      <c r="A1519" s="2" t="s">
        <v>4762</v>
      </c>
      <c r="B1519" s="2" t="s">
        <v>5344</v>
      </c>
      <c r="C1519" s="2" t="s">
        <v>10469</v>
      </c>
      <c r="D1519" s="2" t="s">
        <v>11591</v>
      </c>
      <c r="E1519" s="2" t="s">
        <v>11592</v>
      </c>
      <c r="F1519" s="2" t="s">
        <v>10472</v>
      </c>
      <c r="G1519" s="2" t="s">
        <v>5022</v>
      </c>
      <c r="H1519" s="2" t="s">
        <v>5023</v>
      </c>
      <c r="I1519" s="2" t="s">
        <v>11593</v>
      </c>
      <c r="J1519" s="2"/>
      <c r="K1519" s="2"/>
      <c r="L1519" s="2"/>
      <c r="M1519" s="2" t="s">
        <v>11594</v>
      </c>
      <c r="N1519" s="2"/>
      <c r="O1519" s="2"/>
      <c r="P1519" s="2"/>
      <c r="Q1519" s="2"/>
    </row>
    <row r="1520" spans="1:17" x14ac:dyDescent="0.2">
      <c r="A1520" s="2" t="s">
        <v>1261</v>
      </c>
      <c r="B1520" s="2" t="s">
        <v>11595</v>
      </c>
      <c r="C1520" s="2" t="s">
        <v>6337</v>
      </c>
      <c r="D1520" s="2" t="s">
        <v>11596</v>
      </c>
      <c r="E1520" s="2" t="s">
        <v>9320</v>
      </c>
      <c r="F1520" s="2" t="s">
        <v>9006</v>
      </c>
      <c r="G1520" s="2" t="s">
        <v>5022</v>
      </c>
      <c r="H1520" s="2" t="s">
        <v>5023</v>
      </c>
      <c r="I1520" s="2" t="s">
        <v>11597</v>
      </c>
      <c r="J1520" s="2"/>
      <c r="K1520" s="2"/>
      <c r="L1520" s="2"/>
      <c r="M1520" s="2"/>
      <c r="N1520" s="2"/>
      <c r="O1520" s="2"/>
      <c r="P1520" s="2"/>
      <c r="Q1520" s="2"/>
    </row>
    <row r="1521" spans="1:17" x14ac:dyDescent="0.2">
      <c r="A1521" s="2" t="s">
        <v>4781</v>
      </c>
      <c r="B1521" s="2" t="s">
        <v>11419</v>
      </c>
      <c r="C1521" s="2" t="s">
        <v>10998</v>
      </c>
      <c r="D1521" s="2" t="s">
        <v>5498</v>
      </c>
      <c r="E1521" s="2" t="s">
        <v>11598</v>
      </c>
      <c r="F1521" s="2" t="s">
        <v>5302</v>
      </c>
      <c r="G1521" s="2" t="s">
        <v>5022</v>
      </c>
      <c r="H1521" s="2" t="s">
        <v>5023</v>
      </c>
      <c r="I1521" s="2" t="s">
        <v>11599</v>
      </c>
      <c r="J1521" s="2"/>
      <c r="K1521" s="2"/>
      <c r="L1521" s="2"/>
      <c r="M1521" s="2"/>
      <c r="N1521" s="2"/>
      <c r="O1521" s="2"/>
      <c r="P1521" s="2"/>
      <c r="Q1521" s="2"/>
    </row>
    <row r="1522" spans="1:17" x14ac:dyDescent="0.2">
      <c r="A1522" s="2" t="s">
        <v>485</v>
      </c>
      <c r="B1522" s="2" t="s">
        <v>11600</v>
      </c>
      <c r="C1522" s="2" t="s">
        <v>8122</v>
      </c>
      <c r="D1522" s="2" t="s">
        <v>7252</v>
      </c>
      <c r="E1522" s="2" t="s">
        <v>5569</v>
      </c>
      <c r="F1522" s="2" t="s">
        <v>7882</v>
      </c>
      <c r="G1522" s="2" t="s">
        <v>5022</v>
      </c>
      <c r="H1522" s="2" t="s">
        <v>5023</v>
      </c>
      <c r="I1522" s="2" t="s">
        <v>7044</v>
      </c>
      <c r="J1522" s="2"/>
      <c r="K1522" s="2" t="s">
        <v>11601</v>
      </c>
      <c r="L1522" s="2"/>
      <c r="M1522" s="2" t="s">
        <v>11602</v>
      </c>
      <c r="N1522" s="2"/>
      <c r="O1522" s="2"/>
      <c r="P1522" s="2"/>
      <c r="Q1522" s="2"/>
    </row>
    <row r="1523" spans="1:17" x14ac:dyDescent="0.2">
      <c r="A1523" s="2" t="s">
        <v>289</v>
      </c>
      <c r="B1523" s="2" t="s">
        <v>11603</v>
      </c>
      <c r="C1523" s="2" t="s">
        <v>11604</v>
      </c>
      <c r="D1523" s="2" t="s">
        <v>1203</v>
      </c>
      <c r="E1523" s="2" t="s">
        <v>11605</v>
      </c>
      <c r="F1523" s="2" t="s">
        <v>5653</v>
      </c>
      <c r="G1523" s="2" t="s">
        <v>5022</v>
      </c>
      <c r="H1523" s="2" t="s">
        <v>5023</v>
      </c>
      <c r="I1523" s="2" t="s">
        <v>11606</v>
      </c>
      <c r="J1523" s="2"/>
      <c r="K1523" s="2"/>
      <c r="L1523" s="2"/>
      <c r="M1523" s="2" t="s">
        <v>11607</v>
      </c>
      <c r="N1523" s="2"/>
      <c r="O1523" s="2"/>
      <c r="P1523" s="2"/>
      <c r="Q1523" s="2"/>
    </row>
    <row r="1524" spans="1:17" x14ac:dyDescent="0.2">
      <c r="A1524" s="2" t="s">
        <v>2676</v>
      </c>
      <c r="B1524" s="2" t="s">
        <v>11608</v>
      </c>
      <c r="C1524" s="2" t="s">
        <v>8566</v>
      </c>
      <c r="D1524" s="2" t="s">
        <v>5363</v>
      </c>
      <c r="E1524" s="2" t="s">
        <v>7078</v>
      </c>
      <c r="F1524" s="2" t="s">
        <v>9652</v>
      </c>
      <c r="G1524" s="2" t="s">
        <v>5022</v>
      </c>
      <c r="H1524" s="2" t="s">
        <v>5023</v>
      </c>
      <c r="I1524" s="2" t="s">
        <v>11609</v>
      </c>
      <c r="J1524" s="2"/>
      <c r="K1524" s="2"/>
      <c r="L1524" s="2"/>
      <c r="M1524" s="2"/>
      <c r="N1524" s="2"/>
      <c r="O1524" s="2"/>
      <c r="P1524" s="2"/>
      <c r="Q1524" s="2"/>
    </row>
    <row r="1525" spans="1:17" x14ac:dyDescent="0.2">
      <c r="A1525" s="2" t="s">
        <v>3126</v>
      </c>
      <c r="B1525" s="2" t="s">
        <v>5111</v>
      </c>
      <c r="C1525" s="2" t="s">
        <v>6472</v>
      </c>
      <c r="D1525" s="2" t="s">
        <v>5105</v>
      </c>
      <c r="E1525" s="2" t="s">
        <v>11610</v>
      </c>
      <c r="F1525" s="2" t="s">
        <v>9669</v>
      </c>
      <c r="G1525" s="2" t="s">
        <v>5022</v>
      </c>
      <c r="H1525" s="2" t="s">
        <v>5023</v>
      </c>
      <c r="I1525" s="2"/>
      <c r="J1525" s="2"/>
      <c r="K1525" s="2" t="s">
        <v>11611</v>
      </c>
      <c r="L1525" s="2"/>
      <c r="M1525" s="2"/>
      <c r="N1525" s="2"/>
      <c r="O1525" s="2"/>
      <c r="P1525" s="2"/>
      <c r="Q1525" s="2"/>
    </row>
    <row r="1526" spans="1:17" x14ac:dyDescent="0.2">
      <c r="A1526" s="2" t="s">
        <v>4009</v>
      </c>
      <c r="B1526" s="2" t="s">
        <v>11612</v>
      </c>
      <c r="C1526" s="2" t="s">
        <v>11613</v>
      </c>
      <c r="D1526" s="2" t="s">
        <v>7583</v>
      </c>
      <c r="E1526" s="2" t="s">
        <v>11095</v>
      </c>
      <c r="F1526" s="2" t="s">
        <v>11614</v>
      </c>
      <c r="G1526" s="2" t="s">
        <v>5022</v>
      </c>
      <c r="H1526" s="2" t="s">
        <v>5023</v>
      </c>
      <c r="I1526" s="2" t="s">
        <v>11615</v>
      </c>
      <c r="J1526" s="2"/>
      <c r="K1526" s="2"/>
      <c r="L1526" s="2"/>
      <c r="M1526" s="2" t="s">
        <v>11616</v>
      </c>
      <c r="N1526" s="2"/>
      <c r="O1526" s="2"/>
      <c r="P1526" s="2"/>
      <c r="Q1526" s="2"/>
    </row>
    <row r="1527" spans="1:17" x14ac:dyDescent="0.2">
      <c r="A1527" s="2" t="s">
        <v>2373</v>
      </c>
      <c r="B1527" s="2" t="s">
        <v>11617</v>
      </c>
      <c r="C1527" s="2" t="s">
        <v>11618</v>
      </c>
      <c r="D1527" s="2" t="s">
        <v>11619</v>
      </c>
      <c r="E1527" s="2" t="s">
        <v>11620</v>
      </c>
      <c r="F1527" s="2" t="s">
        <v>11389</v>
      </c>
      <c r="G1527" s="2" t="s">
        <v>5022</v>
      </c>
      <c r="H1527" s="2" t="s">
        <v>5023</v>
      </c>
      <c r="I1527" s="2" t="s">
        <v>11621</v>
      </c>
      <c r="J1527" s="2"/>
      <c r="K1527" s="2"/>
      <c r="L1527" s="2"/>
      <c r="M1527" s="2"/>
      <c r="N1527" s="2"/>
      <c r="O1527" s="2"/>
      <c r="P1527" s="2"/>
      <c r="Q1527" s="2"/>
    </row>
    <row r="1528" spans="1:17" x14ac:dyDescent="0.2">
      <c r="A1528" s="2" t="s">
        <v>1609</v>
      </c>
      <c r="B1528" s="2" t="s">
        <v>5910</v>
      </c>
      <c r="C1528" s="2" t="s">
        <v>6915</v>
      </c>
      <c r="D1528" s="2" t="s">
        <v>5678</v>
      </c>
      <c r="E1528" s="2" t="s">
        <v>11622</v>
      </c>
      <c r="F1528" s="2" t="s">
        <v>11623</v>
      </c>
      <c r="G1528" s="2" t="s">
        <v>5022</v>
      </c>
      <c r="H1528" s="2" t="s">
        <v>5023</v>
      </c>
      <c r="I1528" s="2" t="s">
        <v>11624</v>
      </c>
      <c r="J1528" s="2"/>
      <c r="K1528" s="2"/>
      <c r="L1528" s="2"/>
      <c r="M1528" s="2"/>
      <c r="N1528" s="2"/>
      <c r="O1528" s="2"/>
      <c r="P1528" s="2"/>
      <c r="Q1528" s="2"/>
    </row>
    <row r="1529" spans="1:17" x14ac:dyDescent="0.2">
      <c r="A1529" s="2" t="s">
        <v>2770</v>
      </c>
      <c r="B1529" s="2" t="s">
        <v>11625</v>
      </c>
      <c r="C1529" s="2" t="s">
        <v>11626</v>
      </c>
      <c r="D1529" s="2" t="s">
        <v>6662</v>
      </c>
      <c r="E1529" s="2" t="s">
        <v>5064</v>
      </c>
      <c r="F1529" s="2" t="s">
        <v>6684</v>
      </c>
      <c r="G1529" s="2" t="s">
        <v>5022</v>
      </c>
      <c r="H1529" s="2" t="s">
        <v>5023</v>
      </c>
      <c r="I1529" s="2"/>
      <c r="J1529" s="2"/>
      <c r="K1529" s="2" t="s">
        <v>11627</v>
      </c>
      <c r="L1529" s="2"/>
      <c r="M1529" s="2"/>
      <c r="N1529" s="2"/>
      <c r="O1529" s="2"/>
      <c r="P1529" s="2"/>
      <c r="Q1529" s="2"/>
    </row>
    <row r="1530" spans="1:17" x14ac:dyDescent="0.2">
      <c r="A1530" s="2" t="s">
        <v>4622</v>
      </c>
      <c r="B1530" s="2" t="s">
        <v>11583</v>
      </c>
      <c r="C1530" s="2" t="s">
        <v>11628</v>
      </c>
      <c r="D1530" s="2" t="s">
        <v>5877</v>
      </c>
      <c r="E1530" s="2" t="s">
        <v>11537</v>
      </c>
      <c r="F1530" s="2" t="s">
        <v>8055</v>
      </c>
      <c r="G1530" s="2" t="s">
        <v>5022</v>
      </c>
      <c r="H1530" s="2" t="s">
        <v>5023</v>
      </c>
      <c r="I1530" s="2" t="s">
        <v>11629</v>
      </c>
      <c r="J1530" s="2"/>
      <c r="K1530" s="2"/>
      <c r="L1530" s="2"/>
      <c r="M1530" s="2"/>
      <c r="N1530" s="2"/>
      <c r="O1530" s="2"/>
      <c r="P1530" s="2"/>
      <c r="Q1530" s="2"/>
    </row>
    <row r="1531" spans="1:17" x14ac:dyDescent="0.2">
      <c r="A1531" s="2" t="s">
        <v>2806</v>
      </c>
      <c r="B1531" s="2" t="s">
        <v>11630</v>
      </c>
      <c r="C1531" s="2" t="s">
        <v>8720</v>
      </c>
      <c r="D1531" s="2" t="s">
        <v>11631</v>
      </c>
      <c r="E1531" s="2" t="s">
        <v>11632</v>
      </c>
      <c r="F1531" s="2" t="s">
        <v>9882</v>
      </c>
      <c r="G1531" s="2" t="s">
        <v>5022</v>
      </c>
      <c r="H1531" s="2" t="s">
        <v>5023</v>
      </c>
      <c r="I1531" s="2" t="s">
        <v>11633</v>
      </c>
      <c r="J1531" s="2"/>
      <c r="K1531" s="2"/>
      <c r="L1531" s="2"/>
      <c r="M1531" s="2"/>
      <c r="N1531" s="2"/>
      <c r="O1531" s="2"/>
      <c r="P1531" s="2"/>
      <c r="Q1531" s="2"/>
    </row>
    <row r="1532" spans="1:17" x14ac:dyDescent="0.2">
      <c r="A1532" s="2" t="s">
        <v>436</v>
      </c>
      <c r="B1532" s="2" t="s">
        <v>11634</v>
      </c>
      <c r="C1532" s="2" t="s">
        <v>11635</v>
      </c>
      <c r="D1532" s="2" t="s">
        <v>11636</v>
      </c>
      <c r="E1532" s="2" t="s">
        <v>11637</v>
      </c>
      <c r="F1532" s="2" t="s">
        <v>6082</v>
      </c>
      <c r="G1532" s="2" t="s">
        <v>5022</v>
      </c>
      <c r="H1532" s="2" t="s">
        <v>5023</v>
      </c>
      <c r="I1532" s="2" t="s">
        <v>11638</v>
      </c>
      <c r="J1532" s="2"/>
      <c r="K1532" s="2"/>
      <c r="L1532" s="2"/>
      <c r="M1532" s="2" t="s">
        <v>11639</v>
      </c>
      <c r="N1532" s="2"/>
      <c r="O1532" s="2"/>
      <c r="P1532" s="2"/>
      <c r="Q1532" s="2"/>
    </row>
    <row r="1533" spans="1:17" x14ac:dyDescent="0.2">
      <c r="A1533" s="2" t="s">
        <v>4353</v>
      </c>
      <c r="B1533" s="2" t="s">
        <v>5407</v>
      </c>
      <c r="C1533" s="2" t="s">
        <v>5051</v>
      </c>
      <c r="D1533" s="2" t="s">
        <v>5887</v>
      </c>
      <c r="E1533" s="2" t="s">
        <v>11640</v>
      </c>
      <c r="F1533" s="2" t="s">
        <v>11641</v>
      </c>
      <c r="G1533" s="2" t="s">
        <v>5022</v>
      </c>
      <c r="H1533" s="2" t="s">
        <v>5023</v>
      </c>
      <c r="I1533" s="2" t="s">
        <v>11642</v>
      </c>
      <c r="J1533" s="2"/>
      <c r="K1533" s="2"/>
      <c r="L1533" s="2"/>
      <c r="M1533" s="2"/>
      <c r="N1533" s="2"/>
      <c r="O1533" s="2"/>
      <c r="P1533" s="2"/>
      <c r="Q1533" s="2"/>
    </row>
    <row r="1534" spans="1:17" x14ac:dyDescent="0.2">
      <c r="A1534" s="2" t="s">
        <v>442</v>
      </c>
      <c r="B1534" s="2" t="s">
        <v>11643</v>
      </c>
      <c r="C1534" s="2" t="s">
        <v>5493</v>
      </c>
      <c r="D1534" s="2" t="s">
        <v>5374</v>
      </c>
      <c r="E1534" s="2" t="s">
        <v>5403</v>
      </c>
      <c r="F1534" s="2" t="s">
        <v>11644</v>
      </c>
      <c r="G1534" s="2" t="s">
        <v>5022</v>
      </c>
      <c r="H1534" s="2" t="s">
        <v>5023</v>
      </c>
      <c r="I1534" s="2" t="s">
        <v>11645</v>
      </c>
      <c r="J1534" s="2"/>
      <c r="K1534" s="2"/>
      <c r="L1534" s="2"/>
      <c r="M1534" s="2"/>
      <c r="N1534" s="2"/>
      <c r="O1534" s="2"/>
      <c r="P1534" s="2"/>
      <c r="Q1534" s="2"/>
    </row>
    <row r="1535" spans="1:17" x14ac:dyDescent="0.2">
      <c r="A1535" s="2" t="s">
        <v>1194</v>
      </c>
      <c r="B1535" s="2" t="s">
        <v>5111</v>
      </c>
      <c r="C1535" s="2" t="s">
        <v>11646</v>
      </c>
      <c r="D1535" s="2" t="s">
        <v>6544</v>
      </c>
      <c r="E1535" s="2" t="s">
        <v>9625</v>
      </c>
      <c r="F1535" s="2" t="s">
        <v>5792</v>
      </c>
      <c r="G1535" s="2" t="s">
        <v>5022</v>
      </c>
      <c r="H1535" s="2" t="s">
        <v>5023</v>
      </c>
      <c r="I1535" s="2" t="s">
        <v>11647</v>
      </c>
      <c r="J1535" s="2"/>
      <c r="K1535" s="2"/>
      <c r="L1535" s="2"/>
      <c r="M1535" s="2"/>
      <c r="N1535" s="2"/>
      <c r="O1535" s="2"/>
      <c r="P1535" s="2"/>
      <c r="Q1535" s="2"/>
    </row>
    <row r="1536" spans="1:17" x14ac:dyDescent="0.2">
      <c r="A1536" s="2" t="s">
        <v>951</v>
      </c>
      <c r="B1536" s="2" t="s">
        <v>11648</v>
      </c>
      <c r="C1536" s="2" t="s">
        <v>6352</v>
      </c>
      <c r="D1536" s="2" t="s">
        <v>6820</v>
      </c>
      <c r="E1536" s="2" t="s">
        <v>6605</v>
      </c>
      <c r="F1536" s="2" t="s">
        <v>9892</v>
      </c>
      <c r="G1536" s="2" t="s">
        <v>5022</v>
      </c>
      <c r="H1536" s="2" t="s">
        <v>5023</v>
      </c>
      <c r="I1536" s="2" t="s">
        <v>11649</v>
      </c>
      <c r="J1536" s="2"/>
      <c r="K1536" s="2"/>
      <c r="L1536" s="2"/>
      <c r="M1536" s="2"/>
      <c r="N1536" s="2"/>
      <c r="O1536" s="2"/>
      <c r="P1536" s="2"/>
      <c r="Q1536" s="2"/>
    </row>
    <row r="1537" spans="1:17" x14ac:dyDescent="0.2">
      <c r="A1537" s="2" t="s">
        <v>3693</v>
      </c>
      <c r="B1537" s="2" t="s">
        <v>4360</v>
      </c>
      <c r="C1537" s="2" t="s">
        <v>5880</v>
      </c>
      <c r="D1537" s="2" t="s">
        <v>6357</v>
      </c>
      <c r="E1537" s="2" t="s">
        <v>11650</v>
      </c>
      <c r="F1537" s="2" t="s">
        <v>11651</v>
      </c>
      <c r="G1537" s="2" t="s">
        <v>5022</v>
      </c>
      <c r="H1537" s="2" t="s">
        <v>5023</v>
      </c>
      <c r="I1537" s="2" t="s">
        <v>11652</v>
      </c>
      <c r="J1537" s="2"/>
      <c r="K1537" s="2"/>
      <c r="L1537" s="2"/>
      <c r="M1537" s="2"/>
      <c r="N1537" s="2"/>
      <c r="O1537" s="2"/>
      <c r="P1537" s="2"/>
      <c r="Q1537" s="2"/>
    </row>
    <row r="1538" spans="1:17" x14ac:dyDescent="0.2">
      <c r="A1538" s="2" t="s">
        <v>845</v>
      </c>
      <c r="B1538" s="2" t="s">
        <v>5636</v>
      </c>
      <c r="C1538" s="2" t="s">
        <v>11653</v>
      </c>
      <c r="D1538" s="2" t="s">
        <v>5433</v>
      </c>
      <c r="E1538" s="2" t="s">
        <v>7780</v>
      </c>
      <c r="F1538" s="2" t="s">
        <v>11654</v>
      </c>
      <c r="G1538" s="2" t="s">
        <v>5022</v>
      </c>
      <c r="H1538" s="2" t="s">
        <v>5023</v>
      </c>
      <c r="I1538" s="2" t="s">
        <v>11655</v>
      </c>
      <c r="J1538" s="2"/>
      <c r="K1538" s="2"/>
      <c r="L1538" s="2"/>
      <c r="M1538" s="2" t="s">
        <v>11656</v>
      </c>
      <c r="N1538" s="2"/>
      <c r="O1538" s="2"/>
      <c r="P1538" s="2"/>
      <c r="Q1538" s="2"/>
    </row>
    <row r="1539" spans="1:17" x14ac:dyDescent="0.2">
      <c r="A1539" s="2" t="s">
        <v>1219</v>
      </c>
      <c r="B1539" s="2" t="s">
        <v>11478</v>
      </c>
      <c r="C1539" s="2" t="s">
        <v>11657</v>
      </c>
      <c r="D1539" s="2" t="s">
        <v>11658</v>
      </c>
      <c r="E1539" s="2" t="s">
        <v>11659</v>
      </c>
      <c r="F1539" s="2" t="s">
        <v>11660</v>
      </c>
      <c r="G1539" s="2" t="s">
        <v>5022</v>
      </c>
      <c r="H1539" s="2" t="s">
        <v>5023</v>
      </c>
      <c r="I1539" s="2" t="s">
        <v>11661</v>
      </c>
      <c r="J1539" s="2"/>
      <c r="K1539" s="2"/>
      <c r="L1539" s="2"/>
      <c r="M1539" s="2"/>
      <c r="N1539" s="2"/>
      <c r="O1539" s="2"/>
      <c r="P1539" s="2"/>
      <c r="Q1539" s="2"/>
    </row>
    <row r="1540" spans="1:17" x14ac:dyDescent="0.2">
      <c r="A1540" s="2" t="s">
        <v>2110</v>
      </c>
      <c r="B1540" s="2" t="s">
        <v>11662</v>
      </c>
      <c r="C1540" s="2" t="s">
        <v>11663</v>
      </c>
      <c r="D1540" s="2" t="s">
        <v>5133</v>
      </c>
      <c r="E1540" s="2" t="s">
        <v>11664</v>
      </c>
      <c r="F1540" s="2" t="s">
        <v>11665</v>
      </c>
      <c r="G1540" s="2" t="s">
        <v>5022</v>
      </c>
      <c r="H1540" s="2" t="s">
        <v>5023</v>
      </c>
      <c r="I1540" s="2"/>
      <c r="J1540" s="2"/>
      <c r="K1540" s="2" t="s">
        <v>11666</v>
      </c>
      <c r="L1540" s="2"/>
      <c r="M1540" s="2"/>
      <c r="N1540" s="2"/>
      <c r="O1540" s="2"/>
      <c r="P1540" s="2"/>
      <c r="Q1540" s="2"/>
    </row>
    <row r="1541" spans="1:17" x14ac:dyDescent="0.2">
      <c r="A1541" s="2" t="s">
        <v>162</v>
      </c>
      <c r="B1541" s="2" t="s">
        <v>6793</v>
      </c>
      <c r="C1541" s="2" t="s">
        <v>10887</v>
      </c>
      <c r="D1541" s="2" t="s">
        <v>11667</v>
      </c>
      <c r="E1541" s="2" t="s">
        <v>11668</v>
      </c>
      <c r="F1541" s="2" t="s">
        <v>7027</v>
      </c>
      <c r="G1541" s="2" t="s">
        <v>5022</v>
      </c>
      <c r="H1541" s="2" t="s">
        <v>5023</v>
      </c>
      <c r="I1541" s="2" t="s">
        <v>11669</v>
      </c>
      <c r="J1541" s="2"/>
      <c r="K1541" s="2"/>
      <c r="L1541" s="2"/>
      <c r="M1541" s="2"/>
      <c r="N1541" s="2"/>
      <c r="O1541" s="2"/>
      <c r="P1541" s="2"/>
      <c r="Q1541" s="2"/>
    </row>
    <row r="1542" spans="1:17" x14ac:dyDescent="0.2">
      <c r="A1542" s="2" t="s">
        <v>2571</v>
      </c>
      <c r="B1542" s="2" t="s">
        <v>11670</v>
      </c>
      <c r="C1542" s="2" t="s">
        <v>5392</v>
      </c>
      <c r="D1542" s="2" t="s">
        <v>6915</v>
      </c>
      <c r="E1542" s="2" t="s">
        <v>6991</v>
      </c>
      <c r="F1542" s="2" t="s">
        <v>11671</v>
      </c>
      <c r="G1542" s="2" t="s">
        <v>5022</v>
      </c>
      <c r="H1542" s="2" t="s">
        <v>5023</v>
      </c>
      <c r="I1542" s="2" t="s">
        <v>11672</v>
      </c>
      <c r="J1542" s="2"/>
      <c r="K1542" s="2"/>
      <c r="L1542" s="2"/>
      <c r="M1542" s="2"/>
      <c r="N1542" s="2"/>
      <c r="O1542" s="2"/>
      <c r="P1542" s="2"/>
      <c r="Q1542" s="2"/>
    </row>
    <row r="1543" spans="1:17" x14ac:dyDescent="0.2">
      <c r="A1543" s="2" t="s">
        <v>4670</v>
      </c>
      <c r="B1543" s="2" t="s">
        <v>11673</v>
      </c>
      <c r="C1543" s="2" t="s">
        <v>5193</v>
      </c>
      <c r="D1543" s="2" t="s">
        <v>11674</v>
      </c>
      <c r="E1543" s="2" t="s">
        <v>6312</v>
      </c>
      <c r="F1543" s="2" t="s">
        <v>11675</v>
      </c>
      <c r="G1543" s="2" t="s">
        <v>5022</v>
      </c>
      <c r="H1543" s="2" t="s">
        <v>5023</v>
      </c>
      <c r="I1543" s="2" t="s">
        <v>11676</v>
      </c>
      <c r="J1543" s="2"/>
      <c r="K1543" s="2"/>
      <c r="L1543" s="2"/>
      <c r="M1543" s="2"/>
      <c r="N1543" s="2"/>
      <c r="O1543" s="2"/>
      <c r="P1543" s="2"/>
      <c r="Q1543" s="2"/>
    </row>
    <row r="1544" spans="1:17" x14ac:dyDescent="0.2">
      <c r="A1544" s="2" t="s">
        <v>4675</v>
      </c>
      <c r="B1544" s="2" t="s">
        <v>6578</v>
      </c>
      <c r="C1544" s="2" t="s">
        <v>5895</v>
      </c>
      <c r="D1544" s="2" t="s">
        <v>5409</v>
      </c>
      <c r="E1544" s="2" t="s">
        <v>11677</v>
      </c>
      <c r="F1544" s="2" t="s">
        <v>11415</v>
      </c>
      <c r="G1544" s="2" t="s">
        <v>5022</v>
      </c>
      <c r="H1544" s="2" t="s">
        <v>5023</v>
      </c>
      <c r="I1544" s="2" t="s">
        <v>11678</v>
      </c>
      <c r="J1544" s="2"/>
      <c r="K1544" s="2"/>
      <c r="L1544" s="2"/>
      <c r="M1544" s="2" t="s">
        <v>11679</v>
      </c>
      <c r="N1544" s="2"/>
      <c r="O1544" s="2"/>
      <c r="P1544" s="2"/>
      <c r="Q1544" s="2"/>
    </row>
    <row r="1545" spans="1:17" x14ac:dyDescent="0.2">
      <c r="A1545" s="2" t="s">
        <v>255</v>
      </c>
      <c r="B1545" s="2" t="s">
        <v>11680</v>
      </c>
      <c r="C1545" s="2" t="s">
        <v>7589</v>
      </c>
      <c r="D1545" s="2" t="s">
        <v>11681</v>
      </c>
      <c r="E1545" s="2" t="s">
        <v>11682</v>
      </c>
      <c r="F1545" s="2" t="s">
        <v>9690</v>
      </c>
      <c r="G1545" s="2" t="s">
        <v>5022</v>
      </c>
      <c r="H1545" s="2" t="s">
        <v>5023</v>
      </c>
      <c r="I1545" s="2" t="s">
        <v>11683</v>
      </c>
      <c r="J1545" s="2" t="s">
        <v>11684</v>
      </c>
      <c r="K1545" s="2"/>
      <c r="L1545" s="2"/>
      <c r="M1545" s="2"/>
      <c r="N1545" s="2"/>
      <c r="O1545" s="2"/>
      <c r="P1545" s="2"/>
      <c r="Q1545" s="2"/>
    </row>
    <row r="1546" spans="1:17" x14ac:dyDescent="0.2">
      <c r="A1546" s="2" t="s">
        <v>911</v>
      </c>
      <c r="B1546" s="2" t="s">
        <v>2152</v>
      </c>
      <c r="C1546" s="2" t="s">
        <v>6337</v>
      </c>
      <c r="D1546" s="2" t="s">
        <v>11596</v>
      </c>
      <c r="E1546" s="2" t="s">
        <v>11685</v>
      </c>
      <c r="F1546" s="2" t="s">
        <v>11686</v>
      </c>
      <c r="G1546" s="2" t="s">
        <v>5022</v>
      </c>
      <c r="H1546" s="2" t="s">
        <v>5023</v>
      </c>
      <c r="I1546" s="2" t="s">
        <v>11687</v>
      </c>
      <c r="J1546" s="2"/>
      <c r="K1546" s="2"/>
      <c r="L1546" s="2"/>
      <c r="M1546" s="2"/>
      <c r="N1546" s="2"/>
      <c r="O1546" s="2"/>
      <c r="P1546" s="2"/>
      <c r="Q1546" s="2"/>
    </row>
    <row r="1547" spans="1:17" x14ac:dyDescent="0.2">
      <c r="A1547" s="2" t="s">
        <v>2541</v>
      </c>
      <c r="B1547" s="2" t="s">
        <v>7166</v>
      </c>
      <c r="C1547" s="2" t="s">
        <v>5936</v>
      </c>
      <c r="D1547" s="2" t="s">
        <v>5292</v>
      </c>
      <c r="E1547" s="2" t="s">
        <v>5569</v>
      </c>
      <c r="F1547" s="2" t="s">
        <v>7363</v>
      </c>
      <c r="G1547" s="2" t="s">
        <v>5022</v>
      </c>
      <c r="H1547" s="2" t="s">
        <v>5023</v>
      </c>
      <c r="I1547" s="2"/>
      <c r="J1547" s="2"/>
      <c r="K1547" s="2" t="s">
        <v>11688</v>
      </c>
      <c r="L1547" s="2"/>
      <c r="M1547" s="2"/>
      <c r="N1547" s="2"/>
      <c r="O1547" s="2"/>
      <c r="P1547" s="2"/>
      <c r="Q1547" s="2"/>
    </row>
    <row r="1548" spans="1:17" x14ac:dyDescent="0.2">
      <c r="A1548" s="2" t="s">
        <v>4139</v>
      </c>
      <c r="B1548" s="2" t="s">
        <v>5437</v>
      </c>
      <c r="C1548" s="2" t="s">
        <v>8681</v>
      </c>
      <c r="D1548" s="2" t="s">
        <v>5428</v>
      </c>
      <c r="E1548" s="2" t="s">
        <v>8793</v>
      </c>
      <c r="F1548" s="2" t="s">
        <v>11689</v>
      </c>
      <c r="G1548" s="2" t="s">
        <v>5022</v>
      </c>
      <c r="H1548" s="2" t="s">
        <v>5023</v>
      </c>
      <c r="I1548" s="2" t="s">
        <v>11690</v>
      </c>
      <c r="J1548" s="2"/>
      <c r="K1548" s="2"/>
      <c r="L1548" s="2"/>
      <c r="M1548" s="2"/>
      <c r="N1548" s="2"/>
      <c r="O1548" s="2"/>
      <c r="P1548" s="2"/>
      <c r="Q1548" s="2"/>
    </row>
    <row r="1549" spans="1:17" x14ac:dyDescent="0.2">
      <c r="A1549" s="2" t="s">
        <v>4320</v>
      </c>
      <c r="B1549" s="2" t="s">
        <v>6403</v>
      </c>
      <c r="C1549" s="2" t="s">
        <v>5961</v>
      </c>
      <c r="D1549" s="2" t="s">
        <v>9964</v>
      </c>
      <c r="E1549" s="2" t="s">
        <v>11691</v>
      </c>
      <c r="F1549" s="2" t="s">
        <v>11692</v>
      </c>
      <c r="G1549" s="2" t="s">
        <v>5022</v>
      </c>
      <c r="H1549" s="2" t="s">
        <v>5023</v>
      </c>
      <c r="I1549" s="2" t="s">
        <v>11693</v>
      </c>
      <c r="J1549" s="2"/>
      <c r="K1549" s="2"/>
      <c r="L1549" s="2"/>
      <c r="M1549" s="2"/>
      <c r="N1549" s="2"/>
      <c r="O1549" s="2"/>
      <c r="P1549" s="2"/>
      <c r="Q1549" s="2"/>
    </row>
    <row r="1550" spans="1:17" x14ac:dyDescent="0.2">
      <c r="A1550" s="2" t="s">
        <v>669</v>
      </c>
      <c r="B1550" s="2" t="s">
        <v>11694</v>
      </c>
      <c r="C1550" s="2" t="s">
        <v>5387</v>
      </c>
      <c r="D1550" s="2" t="s">
        <v>11653</v>
      </c>
      <c r="E1550" s="2" t="s">
        <v>6035</v>
      </c>
      <c r="F1550" s="2" t="s">
        <v>11695</v>
      </c>
      <c r="G1550" s="2" t="s">
        <v>5022</v>
      </c>
      <c r="H1550" s="2" t="s">
        <v>5023</v>
      </c>
      <c r="I1550" s="2" t="s">
        <v>11696</v>
      </c>
      <c r="J1550" s="2"/>
      <c r="K1550" s="2"/>
      <c r="L1550" s="2"/>
      <c r="M1550" s="2"/>
      <c r="N1550" s="2"/>
      <c r="O1550" s="2"/>
      <c r="P1550" s="2"/>
      <c r="Q1550" s="2"/>
    </row>
    <row r="1551" spans="1:17" x14ac:dyDescent="0.2">
      <c r="A1551" s="2" t="s">
        <v>346</v>
      </c>
      <c r="B1551" s="2" t="s">
        <v>11697</v>
      </c>
      <c r="C1551" s="2" t="s">
        <v>6518</v>
      </c>
      <c r="D1551" s="2" t="s">
        <v>6941</v>
      </c>
      <c r="E1551" s="2" t="s">
        <v>5594</v>
      </c>
      <c r="F1551" s="2" t="s">
        <v>6668</v>
      </c>
      <c r="G1551" s="2" t="s">
        <v>5022</v>
      </c>
      <c r="H1551" s="2" t="s">
        <v>5023</v>
      </c>
      <c r="I1551" s="2" t="s">
        <v>11698</v>
      </c>
      <c r="J1551" s="2"/>
      <c r="K1551" s="2"/>
      <c r="L1551" s="2"/>
      <c r="M1551" s="2" t="s">
        <v>11699</v>
      </c>
      <c r="N1551" s="2"/>
      <c r="O1551" s="2"/>
      <c r="P1551" s="2"/>
      <c r="Q1551" s="2"/>
    </row>
    <row r="1552" spans="1:17" x14ac:dyDescent="0.2">
      <c r="A1552" s="2" t="s">
        <v>3365</v>
      </c>
      <c r="B1552" s="2" t="s">
        <v>7003</v>
      </c>
      <c r="C1552" s="2" t="s">
        <v>5489</v>
      </c>
      <c r="D1552" s="2" t="s">
        <v>11700</v>
      </c>
      <c r="E1552" s="2" t="s">
        <v>5294</v>
      </c>
      <c r="F1552" s="2" t="s">
        <v>10812</v>
      </c>
      <c r="G1552" s="2" t="s">
        <v>5022</v>
      </c>
      <c r="H1552" s="2" t="s">
        <v>5023</v>
      </c>
      <c r="I1552" s="2"/>
      <c r="J1552" s="2"/>
      <c r="K1552" s="2" t="s">
        <v>11701</v>
      </c>
      <c r="L1552" s="2"/>
      <c r="M1552" s="2"/>
      <c r="N1552" s="2"/>
      <c r="O1552" s="2"/>
      <c r="P1552" s="2"/>
      <c r="Q1552" s="2"/>
    </row>
    <row r="1553" spans="1:17" x14ac:dyDescent="0.2">
      <c r="A1553" s="2" t="s">
        <v>1241</v>
      </c>
      <c r="B1553" s="2" t="s">
        <v>11702</v>
      </c>
      <c r="C1553" s="2" t="s">
        <v>11703</v>
      </c>
      <c r="D1553" s="2" t="s">
        <v>11704</v>
      </c>
      <c r="E1553" s="2" t="s">
        <v>11705</v>
      </c>
      <c r="F1553" s="2" t="s">
        <v>5555</v>
      </c>
      <c r="G1553" s="2" t="s">
        <v>5022</v>
      </c>
      <c r="H1553" s="2" t="s">
        <v>5023</v>
      </c>
      <c r="I1553" s="2" t="s">
        <v>11706</v>
      </c>
      <c r="J1553" s="2"/>
      <c r="K1553" s="2"/>
      <c r="L1553" s="2"/>
      <c r="M1553" s="2"/>
      <c r="N1553" s="2"/>
      <c r="O1553" s="2"/>
      <c r="P1553" s="2"/>
      <c r="Q1553" s="2"/>
    </row>
    <row r="1554" spans="1:17" x14ac:dyDescent="0.2">
      <c r="A1554" s="2" t="s">
        <v>2669</v>
      </c>
      <c r="B1554" s="2" t="s">
        <v>11707</v>
      </c>
      <c r="C1554" s="2" t="s">
        <v>5409</v>
      </c>
      <c r="D1554" s="2" t="s">
        <v>5323</v>
      </c>
      <c r="E1554" s="2" t="s">
        <v>9284</v>
      </c>
      <c r="F1554" s="2" t="s">
        <v>11708</v>
      </c>
      <c r="G1554" s="2" t="s">
        <v>5022</v>
      </c>
      <c r="H1554" s="2" t="s">
        <v>5023</v>
      </c>
      <c r="I1554" s="2"/>
      <c r="J1554" s="2"/>
      <c r="K1554" s="2"/>
      <c r="L1554" s="2"/>
      <c r="M1554" s="2"/>
      <c r="N1554" s="2"/>
      <c r="O1554" s="2"/>
      <c r="P1554" s="2"/>
      <c r="Q1554" s="2"/>
    </row>
    <row r="1555" spans="1:17" x14ac:dyDescent="0.2">
      <c r="A1555" s="2" t="s">
        <v>2939</v>
      </c>
      <c r="B1555" s="2" t="s">
        <v>3785</v>
      </c>
      <c r="C1555" s="2" t="s">
        <v>6003</v>
      </c>
      <c r="D1555" s="2" t="s">
        <v>5223</v>
      </c>
      <c r="E1555" s="2" t="s">
        <v>8111</v>
      </c>
      <c r="F1555" s="2" t="s">
        <v>7118</v>
      </c>
      <c r="G1555" s="2" t="s">
        <v>5022</v>
      </c>
      <c r="H1555" s="2" t="s">
        <v>5023</v>
      </c>
      <c r="I1555" s="2" t="s">
        <v>11709</v>
      </c>
      <c r="J1555" s="2"/>
      <c r="K1555" s="2"/>
      <c r="L1555" s="2"/>
      <c r="M1555" s="2"/>
      <c r="N1555" s="2"/>
      <c r="O1555" s="2"/>
      <c r="P1555" s="2"/>
      <c r="Q1555" s="2"/>
    </row>
    <row r="1556" spans="1:17" x14ac:dyDescent="0.2">
      <c r="A1556" s="2" t="s">
        <v>3450</v>
      </c>
      <c r="B1556" s="2" t="s">
        <v>11197</v>
      </c>
      <c r="C1556" s="2" t="s">
        <v>7807</v>
      </c>
      <c r="D1556" s="2" t="s">
        <v>6357</v>
      </c>
      <c r="E1556" s="2" t="s">
        <v>7149</v>
      </c>
      <c r="F1556" s="2" t="s">
        <v>10298</v>
      </c>
      <c r="G1556" s="2" t="s">
        <v>5022</v>
      </c>
      <c r="H1556" s="2" t="s">
        <v>5023</v>
      </c>
      <c r="I1556" s="2" t="s">
        <v>11710</v>
      </c>
      <c r="J1556" s="2"/>
      <c r="K1556" s="2"/>
      <c r="L1556" s="2"/>
      <c r="M1556" s="2"/>
      <c r="N1556" s="2"/>
      <c r="O1556" s="2"/>
      <c r="P1556" s="2"/>
      <c r="Q1556" s="2"/>
    </row>
    <row r="1557" spans="1:17" x14ac:dyDescent="0.2">
      <c r="A1557" s="2" t="s">
        <v>849</v>
      </c>
      <c r="B1557" s="2" t="s">
        <v>6642</v>
      </c>
      <c r="C1557" s="2" t="s">
        <v>5133</v>
      </c>
      <c r="D1557" s="2" t="s">
        <v>7460</v>
      </c>
      <c r="E1557" s="2" t="s">
        <v>8574</v>
      </c>
      <c r="F1557" s="2" t="s">
        <v>8579</v>
      </c>
      <c r="G1557" s="2" t="s">
        <v>5022</v>
      </c>
      <c r="H1557" s="2" t="s">
        <v>5023</v>
      </c>
      <c r="I1557" s="2" t="s">
        <v>11711</v>
      </c>
      <c r="J1557" s="2"/>
      <c r="K1557" s="2"/>
      <c r="L1557" s="2"/>
      <c r="M1557" s="2"/>
      <c r="N1557" s="2"/>
      <c r="O1557" s="2"/>
      <c r="P1557" s="2"/>
      <c r="Q1557" s="2"/>
    </row>
    <row r="1558" spans="1:17" x14ac:dyDescent="0.2">
      <c r="A1558" s="2" t="s">
        <v>4965</v>
      </c>
      <c r="B1558" s="2" t="s">
        <v>7963</v>
      </c>
      <c r="C1558" s="2" t="s">
        <v>11712</v>
      </c>
      <c r="D1558" s="2" t="s">
        <v>11713</v>
      </c>
      <c r="E1558" s="2" t="s">
        <v>11714</v>
      </c>
      <c r="F1558" s="2" t="s">
        <v>11715</v>
      </c>
      <c r="G1558" s="2" t="s">
        <v>5022</v>
      </c>
      <c r="H1558" s="2" t="s">
        <v>5023</v>
      </c>
      <c r="I1558" s="2" t="s">
        <v>11716</v>
      </c>
      <c r="J1558" s="2"/>
      <c r="K1558" s="2"/>
      <c r="L1558" s="2"/>
      <c r="M1558" s="2"/>
      <c r="N1558" s="2"/>
      <c r="O1558" s="2"/>
      <c r="P1558" s="2"/>
      <c r="Q1558" s="2"/>
    </row>
    <row r="1559" spans="1:17" x14ac:dyDescent="0.2">
      <c r="A1559" s="2" t="s">
        <v>1886</v>
      </c>
      <c r="B1559" s="2" t="s">
        <v>11717</v>
      </c>
      <c r="C1559" s="2" t="s">
        <v>8048</v>
      </c>
      <c r="D1559" s="2" t="s">
        <v>11718</v>
      </c>
      <c r="E1559" s="2" t="s">
        <v>5135</v>
      </c>
      <c r="F1559" s="2" t="s">
        <v>7748</v>
      </c>
      <c r="G1559" s="2" t="s">
        <v>5022</v>
      </c>
      <c r="H1559" s="2" t="s">
        <v>5023</v>
      </c>
      <c r="I1559" s="2" t="s">
        <v>11719</v>
      </c>
      <c r="J1559" s="2"/>
      <c r="K1559" s="2"/>
      <c r="L1559" s="2"/>
      <c r="M1559" s="2"/>
      <c r="N1559" s="2"/>
      <c r="O1559" s="2"/>
      <c r="P1559" s="2"/>
      <c r="Q1559" s="2"/>
    </row>
    <row r="1560" spans="1:17" x14ac:dyDescent="0.2">
      <c r="A1560" s="2" t="s">
        <v>1447</v>
      </c>
      <c r="B1560" s="2" t="s">
        <v>11720</v>
      </c>
      <c r="C1560" s="2" t="s">
        <v>5976</v>
      </c>
      <c r="D1560" s="2" t="s">
        <v>6722</v>
      </c>
      <c r="E1560" s="2" t="s">
        <v>6545</v>
      </c>
      <c r="F1560" s="2" t="s">
        <v>11721</v>
      </c>
      <c r="G1560" s="2" t="s">
        <v>5022</v>
      </c>
      <c r="H1560" s="2" t="s">
        <v>5023</v>
      </c>
      <c r="I1560" s="2" t="s">
        <v>11722</v>
      </c>
      <c r="J1560" s="2"/>
      <c r="K1560" s="2"/>
      <c r="L1560" s="2"/>
      <c r="M1560" s="2"/>
      <c r="N1560" s="2"/>
      <c r="O1560" s="2"/>
      <c r="P1560" s="2"/>
      <c r="Q1560" s="2"/>
    </row>
    <row r="1561" spans="1:17" x14ac:dyDescent="0.2">
      <c r="A1561" s="2" t="s">
        <v>2106</v>
      </c>
      <c r="B1561" s="2" t="s">
        <v>11723</v>
      </c>
      <c r="C1561" s="2" t="s">
        <v>8312</v>
      </c>
      <c r="D1561" s="2" t="s">
        <v>5877</v>
      </c>
      <c r="E1561" s="2" t="s">
        <v>11724</v>
      </c>
      <c r="F1561" s="2" t="s">
        <v>11725</v>
      </c>
      <c r="G1561" s="2" t="s">
        <v>5022</v>
      </c>
      <c r="H1561" s="2" t="s">
        <v>5023</v>
      </c>
      <c r="I1561" s="2" t="s">
        <v>11726</v>
      </c>
      <c r="J1561" s="2"/>
      <c r="K1561" s="2"/>
      <c r="L1561" s="2"/>
      <c r="M1561" s="2" t="s">
        <v>11727</v>
      </c>
      <c r="N1561" s="2"/>
      <c r="O1561" s="2"/>
      <c r="P1561" s="2"/>
      <c r="Q1561" s="2"/>
    </row>
    <row r="1562" spans="1:17" x14ac:dyDescent="0.2">
      <c r="A1562" s="2" t="s">
        <v>4955</v>
      </c>
      <c r="B1562" s="2" t="s">
        <v>11728</v>
      </c>
      <c r="C1562" s="2" t="s">
        <v>6204</v>
      </c>
      <c r="D1562" s="2" t="s">
        <v>5599</v>
      </c>
      <c r="E1562" s="2" t="s">
        <v>11729</v>
      </c>
      <c r="F1562" s="2" t="s">
        <v>6069</v>
      </c>
      <c r="G1562" s="2" t="s">
        <v>5022</v>
      </c>
      <c r="H1562" s="2" t="s">
        <v>5023</v>
      </c>
      <c r="I1562" s="2" t="s">
        <v>11730</v>
      </c>
      <c r="J1562" s="2"/>
      <c r="K1562" s="2"/>
      <c r="L1562" s="2"/>
      <c r="M1562" s="2"/>
      <c r="N1562" s="2"/>
      <c r="O1562" s="2"/>
      <c r="P1562" s="2"/>
      <c r="Q1562" s="2"/>
    </row>
    <row r="1563" spans="1:17" x14ac:dyDescent="0.2">
      <c r="A1563" s="2" t="s">
        <v>987</v>
      </c>
      <c r="B1563" s="2" t="s">
        <v>5733</v>
      </c>
      <c r="C1563" s="2" t="s">
        <v>5159</v>
      </c>
      <c r="D1563" s="2" t="s">
        <v>5473</v>
      </c>
      <c r="E1563" s="2" t="s">
        <v>11731</v>
      </c>
      <c r="F1563" s="2" t="s">
        <v>11732</v>
      </c>
      <c r="G1563" s="2" t="s">
        <v>5022</v>
      </c>
      <c r="H1563" s="2" t="s">
        <v>5023</v>
      </c>
      <c r="I1563" s="2" t="s">
        <v>11733</v>
      </c>
      <c r="J1563" s="2"/>
      <c r="K1563" s="2"/>
      <c r="L1563" s="2"/>
      <c r="M1563" s="2"/>
      <c r="N1563" s="2"/>
      <c r="O1563" s="2"/>
      <c r="P1563" s="2"/>
      <c r="Q1563" s="2"/>
    </row>
    <row r="1564" spans="1:17" x14ac:dyDescent="0.2">
      <c r="A1564" s="2" t="s">
        <v>2828</v>
      </c>
      <c r="B1564" s="2" t="s">
        <v>11734</v>
      </c>
      <c r="C1564" s="2" t="s">
        <v>8332</v>
      </c>
      <c r="D1564" s="2" t="s">
        <v>5498</v>
      </c>
      <c r="E1564" s="2" t="s">
        <v>8349</v>
      </c>
      <c r="F1564" s="2" t="s">
        <v>6206</v>
      </c>
      <c r="G1564" s="2" t="s">
        <v>5022</v>
      </c>
      <c r="H1564" s="2" t="s">
        <v>5023</v>
      </c>
      <c r="I1564" s="2" t="s">
        <v>11735</v>
      </c>
      <c r="J1564" s="2"/>
      <c r="K1564" s="2"/>
      <c r="L1564" s="2"/>
      <c r="M1564" s="2"/>
      <c r="N1564" s="2"/>
      <c r="O1564" s="2"/>
      <c r="P1564" s="2"/>
      <c r="Q1564" s="2"/>
    </row>
    <row r="1565" spans="1:17" x14ac:dyDescent="0.2">
      <c r="A1565" s="2" t="s">
        <v>2060</v>
      </c>
      <c r="B1565" s="2" t="s">
        <v>6496</v>
      </c>
      <c r="C1565" s="2" t="s">
        <v>5940</v>
      </c>
      <c r="D1565" s="2" t="s">
        <v>11736</v>
      </c>
      <c r="E1565" s="2" t="s">
        <v>11737</v>
      </c>
      <c r="F1565" s="2" t="s">
        <v>10625</v>
      </c>
      <c r="G1565" s="2" t="s">
        <v>5022</v>
      </c>
      <c r="H1565" s="2" t="s">
        <v>5023</v>
      </c>
      <c r="I1565" s="2"/>
      <c r="J1565" s="2"/>
      <c r="K1565" s="2" t="s">
        <v>11738</v>
      </c>
      <c r="L1565" s="2"/>
      <c r="M1565" s="2"/>
      <c r="N1565" s="2"/>
      <c r="O1565" s="2"/>
      <c r="P1565" s="2"/>
      <c r="Q1565" s="2"/>
    </row>
    <row r="1566" spans="1:17" x14ac:dyDescent="0.2">
      <c r="A1566" s="2" t="s">
        <v>3361</v>
      </c>
      <c r="B1566" s="2" t="s">
        <v>1553</v>
      </c>
      <c r="C1566" s="2" t="s">
        <v>10081</v>
      </c>
      <c r="D1566" s="2" t="s">
        <v>5562</v>
      </c>
      <c r="E1566" s="2" t="s">
        <v>11739</v>
      </c>
      <c r="F1566" s="2" t="s">
        <v>5289</v>
      </c>
      <c r="G1566" s="2" t="s">
        <v>5022</v>
      </c>
      <c r="H1566" s="2" t="s">
        <v>5023</v>
      </c>
      <c r="I1566" s="2" t="s">
        <v>11740</v>
      </c>
      <c r="J1566" s="2"/>
      <c r="K1566" s="2"/>
      <c r="L1566" s="2"/>
      <c r="M1566" s="2" t="s">
        <v>11741</v>
      </c>
      <c r="N1566" s="2"/>
      <c r="O1566" s="2"/>
      <c r="P1566" s="2"/>
      <c r="Q1566" s="2"/>
    </row>
    <row r="1567" spans="1:17" x14ac:dyDescent="0.2">
      <c r="A1567" s="2" t="s">
        <v>2666</v>
      </c>
      <c r="B1567" s="2" t="s">
        <v>5132</v>
      </c>
      <c r="C1567" s="2" t="s">
        <v>7242</v>
      </c>
      <c r="D1567" s="2" t="s">
        <v>6995</v>
      </c>
      <c r="E1567" s="2" t="s">
        <v>11742</v>
      </c>
      <c r="F1567" s="2" t="s">
        <v>11743</v>
      </c>
      <c r="G1567" s="2" t="s">
        <v>5022</v>
      </c>
      <c r="H1567" s="2" t="s">
        <v>5023</v>
      </c>
      <c r="I1567" s="2" t="s">
        <v>11744</v>
      </c>
      <c r="J1567" s="2"/>
      <c r="K1567" s="2"/>
      <c r="L1567" s="2"/>
      <c r="M1567" s="2"/>
      <c r="N1567" s="2"/>
      <c r="O1567" s="2"/>
      <c r="P1567" s="2"/>
      <c r="Q1567" s="2"/>
    </row>
    <row r="1568" spans="1:17" x14ac:dyDescent="0.2">
      <c r="A1568" s="2" t="s">
        <v>4495</v>
      </c>
      <c r="B1568" s="2" t="s">
        <v>8188</v>
      </c>
      <c r="C1568" s="2" t="s">
        <v>5357</v>
      </c>
      <c r="D1568" s="2" t="s">
        <v>5357</v>
      </c>
      <c r="E1568" s="2" t="s">
        <v>11745</v>
      </c>
      <c r="F1568" s="2" t="s">
        <v>7602</v>
      </c>
      <c r="G1568" s="2" t="s">
        <v>5022</v>
      </c>
      <c r="H1568" s="2" t="s">
        <v>5023</v>
      </c>
      <c r="I1568" s="2" t="s">
        <v>11746</v>
      </c>
      <c r="J1568" s="2"/>
      <c r="K1568" s="2"/>
      <c r="L1568" s="2"/>
      <c r="M1568" s="2"/>
      <c r="N1568" s="2"/>
      <c r="O1568" s="2"/>
      <c r="P1568" s="2"/>
      <c r="Q1568" s="2"/>
    </row>
    <row r="1569" spans="1:17" x14ac:dyDescent="0.2">
      <c r="A1569" s="2" t="s">
        <v>3308</v>
      </c>
      <c r="B1569" s="2" t="s">
        <v>6589</v>
      </c>
      <c r="C1569" s="2" t="s">
        <v>6419</v>
      </c>
      <c r="D1569" s="2" t="s">
        <v>7630</v>
      </c>
      <c r="E1569" s="2" t="s">
        <v>11747</v>
      </c>
      <c r="F1569" s="2" t="s">
        <v>11748</v>
      </c>
      <c r="G1569" s="2" t="s">
        <v>5022</v>
      </c>
      <c r="H1569" s="2" t="s">
        <v>5023</v>
      </c>
      <c r="I1569" s="2" t="s">
        <v>11749</v>
      </c>
      <c r="J1569" s="2"/>
      <c r="K1569" s="2"/>
      <c r="L1569" s="2"/>
      <c r="M1569" s="2" t="s">
        <v>11750</v>
      </c>
      <c r="N1569" s="2"/>
      <c r="O1569" s="2"/>
      <c r="P1569" s="2"/>
      <c r="Q1569" s="2"/>
    </row>
    <row r="1570" spans="1:17" x14ac:dyDescent="0.2">
      <c r="A1570" s="2" t="s">
        <v>1841</v>
      </c>
      <c r="B1570" s="2" t="s">
        <v>5061</v>
      </c>
      <c r="C1570" s="2" t="s">
        <v>8573</v>
      </c>
      <c r="D1570" s="2" t="s">
        <v>6449</v>
      </c>
      <c r="E1570" s="2" t="s">
        <v>11751</v>
      </c>
      <c r="F1570" s="2" t="s">
        <v>11752</v>
      </c>
      <c r="G1570" s="2" t="s">
        <v>5022</v>
      </c>
      <c r="H1570" s="2" t="s">
        <v>5023</v>
      </c>
      <c r="I1570" s="2" t="s">
        <v>11753</v>
      </c>
      <c r="J1570" s="2"/>
      <c r="K1570" s="2"/>
      <c r="L1570" s="2"/>
      <c r="M1570" s="2"/>
      <c r="N1570" s="2"/>
      <c r="O1570" s="2"/>
      <c r="P1570" s="2"/>
      <c r="Q1570" s="2"/>
    </row>
    <row r="1571" spans="1:17" x14ac:dyDescent="0.2">
      <c r="A1571" s="2" t="s">
        <v>3128</v>
      </c>
      <c r="B1571" s="2" t="s">
        <v>5472</v>
      </c>
      <c r="C1571" s="2" t="s">
        <v>5700</v>
      </c>
      <c r="D1571" s="2" t="s">
        <v>8532</v>
      </c>
      <c r="E1571" s="2" t="s">
        <v>11754</v>
      </c>
      <c r="F1571" s="2" t="s">
        <v>11755</v>
      </c>
      <c r="G1571" s="2" t="s">
        <v>5022</v>
      </c>
      <c r="H1571" s="2" t="s">
        <v>5023</v>
      </c>
      <c r="I1571" s="2"/>
      <c r="J1571" s="2"/>
      <c r="K1571" s="2" t="s">
        <v>11756</v>
      </c>
      <c r="L1571" s="2"/>
      <c r="M1571" s="2"/>
      <c r="N1571" s="2"/>
      <c r="O1571" s="2"/>
      <c r="P1571" s="2"/>
      <c r="Q1571" s="2"/>
    </row>
    <row r="1572" spans="1:17" x14ac:dyDescent="0.2">
      <c r="A1572" s="2" t="s">
        <v>2496</v>
      </c>
      <c r="B1572" s="2" t="s">
        <v>11757</v>
      </c>
      <c r="C1572" s="2" t="s">
        <v>7358</v>
      </c>
      <c r="D1572" s="2" t="s">
        <v>5374</v>
      </c>
      <c r="E1572" s="2" t="s">
        <v>8713</v>
      </c>
      <c r="F1572" s="2" t="s">
        <v>11758</v>
      </c>
      <c r="G1572" s="2" t="s">
        <v>5022</v>
      </c>
      <c r="H1572" s="2" t="s">
        <v>5023</v>
      </c>
      <c r="I1572" s="2"/>
      <c r="J1572" s="2"/>
      <c r="K1572" s="2" t="s">
        <v>11759</v>
      </c>
      <c r="L1572" s="2"/>
      <c r="M1572" s="2"/>
      <c r="N1572" s="2"/>
      <c r="O1572" s="2"/>
      <c r="P1572" s="2"/>
      <c r="Q1572" s="2"/>
    </row>
    <row r="1573" spans="1:17" x14ac:dyDescent="0.2">
      <c r="A1573" s="2" t="s">
        <v>3333</v>
      </c>
      <c r="B1573" s="2" t="s">
        <v>11760</v>
      </c>
      <c r="C1573" s="2" t="s">
        <v>11761</v>
      </c>
      <c r="D1573" s="2" t="s">
        <v>5223</v>
      </c>
      <c r="E1573" s="2" t="s">
        <v>6262</v>
      </c>
      <c r="F1573" s="2" t="s">
        <v>6269</v>
      </c>
      <c r="G1573" s="2" t="s">
        <v>5022</v>
      </c>
      <c r="H1573" s="2" t="s">
        <v>5023</v>
      </c>
      <c r="I1573" s="2" t="s">
        <v>11762</v>
      </c>
      <c r="J1573" s="2"/>
      <c r="K1573" s="2"/>
      <c r="L1573" s="2"/>
      <c r="M1573" s="2"/>
      <c r="N1573" s="2"/>
      <c r="O1573" s="2"/>
      <c r="P1573" s="2"/>
      <c r="Q1573" s="2"/>
    </row>
    <row r="1574" spans="1:17" x14ac:dyDescent="0.2">
      <c r="A1574" s="2" t="s">
        <v>305</v>
      </c>
      <c r="B1574" s="2" t="s">
        <v>7534</v>
      </c>
      <c r="C1574" s="2" t="s">
        <v>5463</v>
      </c>
      <c r="D1574" s="2" t="s">
        <v>5458</v>
      </c>
      <c r="E1574" s="2" t="s">
        <v>5253</v>
      </c>
      <c r="F1574" s="2" t="s">
        <v>11763</v>
      </c>
      <c r="G1574" s="2" t="s">
        <v>5022</v>
      </c>
      <c r="H1574" s="2" t="s">
        <v>5023</v>
      </c>
      <c r="I1574" s="2" t="s">
        <v>11764</v>
      </c>
      <c r="J1574" s="2"/>
      <c r="K1574" s="2"/>
      <c r="L1574" s="2"/>
      <c r="M1574" s="2" t="s">
        <v>11765</v>
      </c>
      <c r="N1574" s="2"/>
      <c r="O1574" s="2"/>
      <c r="P1574" s="2"/>
      <c r="Q1574" s="2"/>
    </row>
    <row r="1575" spans="1:17" x14ac:dyDescent="0.2">
      <c r="A1575" s="2" t="s">
        <v>1400</v>
      </c>
      <c r="B1575" s="2" t="s">
        <v>9529</v>
      </c>
      <c r="C1575" s="2" t="s">
        <v>6179</v>
      </c>
      <c r="D1575" s="2" t="s">
        <v>6811</v>
      </c>
      <c r="E1575" s="2" t="s">
        <v>11766</v>
      </c>
      <c r="F1575" s="2" t="s">
        <v>6781</v>
      </c>
      <c r="G1575" s="2" t="s">
        <v>5022</v>
      </c>
      <c r="H1575" s="2" t="s">
        <v>5023</v>
      </c>
      <c r="I1575" s="2" t="s">
        <v>11767</v>
      </c>
      <c r="J1575" s="2"/>
      <c r="K1575" s="2"/>
      <c r="L1575" s="2"/>
      <c r="M1575" s="2" t="s">
        <v>11768</v>
      </c>
      <c r="N1575" s="2"/>
      <c r="O1575" s="2"/>
      <c r="P1575" s="2"/>
      <c r="Q1575" s="2"/>
    </row>
    <row r="1576" spans="1:17" x14ac:dyDescent="0.2">
      <c r="A1576" s="2" t="s">
        <v>517</v>
      </c>
      <c r="B1576" s="2" t="s">
        <v>11769</v>
      </c>
      <c r="C1576" s="2" t="s">
        <v>7630</v>
      </c>
      <c r="D1576" s="2" t="s">
        <v>5409</v>
      </c>
      <c r="E1576" s="2" t="s">
        <v>11770</v>
      </c>
      <c r="F1576" s="2" t="s">
        <v>8872</v>
      </c>
      <c r="G1576" s="2" t="s">
        <v>5022</v>
      </c>
      <c r="H1576" s="2" t="s">
        <v>5023</v>
      </c>
      <c r="I1576" s="2" t="s">
        <v>11771</v>
      </c>
      <c r="J1576" s="2"/>
      <c r="K1576" s="2"/>
      <c r="L1576" s="2"/>
      <c r="M1576" s="2" t="s">
        <v>11772</v>
      </c>
      <c r="N1576" s="2"/>
      <c r="O1576" s="2"/>
      <c r="P1576" s="2"/>
      <c r="Q1576" s="2"/>
    </row>
    <row r="1577" spans="1:17" x14ac:dyDescent="0.2">
      <c r="A1577" s="2" t="s">
        <v>3096</v>
      </c>
      <c r="B1577" s="2" t="s">
        <v>7938</v>
      </c>
      <c r="C1577" s="2" t="s">
        <v>11773</v>
      </c>
      <c r="D1577" s="2" t="s">
        <v>6707</v>
      </c>
      <c r="E1577" s="2" t="s">
        <v>11774</v>
      </c>
      <c r="F1577" s="2" t="s">
        <v>11775</v>
      </c>
      <c r="G1577" s="2" t="s">
        <v>5022</v>
      </c>
      <c r="H1577" s="2" t="s">
        <v>5023</v>
      </c>
      <c r="I1577" s="2"/>
      <c r="J1577" s="2"/>
      <c r="K1577" s="2" t="s">
        <v>11776</v>
      </c>
      <c r="L1577" s="2"/>
      <c r="M1577" s="2"/>
      <c r="N1577" s="2"/>
      <c r="O1577" s="2"/>
      <c r="P1577" s="2"/>
      <c r="Q1577" s="2"/>
    </row>
    <row r="1578" spans="1:17" x14ac:dyDescent="0.2">
      <c r="A1578" s="2" t="s">
        <v>1118</v>
      </c>
      <c r="B1578" s="2" t="s">
        <v>5566</v>
      </c>
      <c r="C1578" s="2" t="s">
        <v>6824</v>
      </c>
      <c r="D1578" s="2" t="s">
        <v>9466</v>
      </c>
      <c r="E1578" s="2" t="s">
        <v>11523</v>
      </c>
      <c r="F1578" s="2" t="s">
        <v>6746</v>
      </c>
      <c r="G1578" s="2" t="s">
        <v>5022</v>
      </c>
      <c r="H1578" s="2" t="s">
        <v>5023</v>
      </c>
      <c r="I1578" s="2" t="s">
        <v>11777</v>
      </c>
      <c r="J1578" s="2"/>
      <c r="K1578" s="2"/>
      <c r="L1578" s="2"/>
      <c r="M1578" s="2"/>
      <c r="N1578" s="2"/>
      <c r="O1578" s="2"/>
      <c r="P1578" s="2"/>
      <c r="Q1578" s="2"/>
    </row>
    <row r="1579" spans="1:17" x14ac:dyDescent="0.2">
      <c r="A1579" s="2" t="s">
        <v>2968</v>
      </c>
      <c r="B1579" s="2" t="s">
        <v>5175</v>
      </c>
      <c r="C1579" s="2" t="s">
        <v>5028</v>
      </c>
      <c r="D1579" s="2" t="s">
        <v>6811</v>
      </c>
      <c r="E1579" s="2" t="s">
        <v>5094</v>
      </c>
      <c r="F1579" s="2" t="s">
        <v>10753</v>
      </c>
      <c r="G1579" s="2" t="s">
        <v>5022</v>
      </c>
      <c r="H1579" s="2" t="s">
        <v>5023</v>
      </c>
      <c r="I1579" s="2" t="s">
        <v>11778</v>
      </c>
      <c r="J1579" s="2"/>
      <c r="K1579" s="2"/>
      <c r="L1579" s="2"/>
      <c r="M1579" s="2"/>
      <c r="N1579" s="2"/>
      <c r="O1579" s="2"/>
      <c r="P1579" s="2"/>
      <c r="Q1579" s="2"/>
    </row>
    <row r="1580" spans="1:17" x14ac:dyDescent="0.2">
      <c r="A1580" s="2" t="s">
        <v>3413</v>
      </c>
      <c r="B1580" s="2" t="s">
        <v>11779</v>
      </c>
      <c r="C1580" s="2" t="s">
        <v>11780</v>
      </c>
      <c r="D1580" s="2" t="s">
        <v>5164</v>
      </c>
      <c r="E1580" s="2" t="s">
        <v>5600</v>
      </c>
      <c r="F1580" s="2" t="s">
        <v>11781</v>
      </c>
      <c r="G1580" s="2" t="s">
        <v>5022</v>
      </c>
      <c r="H1580" s="2" t="s">
        <v>5023</v>
      </c>
      <c r="I1580" s="2" t="s">
        <v>11782</v>
      </c>
      <c r="J1580" s="2"/>
      <c r="K1580" s="2"/>
      <c r="L1580" s="2"/>
      <c r="M1580" s="2" t="s">
        <v>11783</v>
      </c>
      <c r="N1580" s="2"/>
      <c r="O1580" s="2"/>
      <c r="P1580" s="2"/>
      <c r="Q1580" s="2"/>
    </row>
    <row r="1581" spans="1:17" x14ac:dyDescent="0.2">
      <c r="A1581" s="2" t="s">
        <v>4046</v>
      </c>
      <c r="B1581" s="2" t="s">
        <v>6895</v>
      </c>
      <c r="C1581" s="2" t="s">
        <v>11784</v>
      </c>
      <c r="D1581" s="2" t="s">
        <v>5075</v>
      </c>
      <c r="E1581" s="2" t="s">
        <v>11785</v>
      </c>
      <c r="F1581" s="2" t="s">
        <v>11786</v>
      </c>
      <c r="G1581" s="2" t="s">
        <v>5022</v>
      </c>
      <c r="H1581" s="2" t="s">
        <v>5023</v>
      </c>
      <c r="I1581" s="2" t="s">
        <v>11787</v>
      </c>
      <c r="J1581" s="2"/>
      <c r="K1581" s="2"/>
      <c r="L1581" s="2"/>
      <c r="M1581" s="2" t="s">
        <v>11788</v>
      </c>
      <c r="N1581" s="2"/>
      <c r="O1581" s="2"/>
      <c r="P1581" s="2"/>
      <c r="Q1581" s="2"/>
    </row>
    <row r="1582" spans="1:17" x14ac:dyDescent="0.2">
      <c r="A1582" s="2" t="s">
        <v>1388</v>
      </c>
      <c r="B1582" s="2" t="s">
        <v>11789</v>
      </c>
      <c r="C1582" s="2" t="s">
        <v>11790</v>
      </c>
      <c r="D1582" s="2" t="s">
        <v>7774</v>
      </c>
      <c r="E1582" s="2" t="s">
        <v>6333</v>
      </c>
      <c r="F1582" s="2" t="s">
        <v>11791</v>
      </c>
      <c r="G1582" s="2" t="s">
        <v>5022</v>
      </c>
      <c r="H1582" s="2" t="s">
        <v>5023</v>
      </c>
      <c r="I1582" s="2" t="s">
        <v>11792</v>
      </c>
      <c r="J1582" s="2"/>
      <c r="K1582" s="2"/>
      <c r="L1582" s="2"/>
      <c r="M1582" s="2"/>
      <c r="N1582" s="2"/>
      <c r="O1582" s="2"/>
      <c r="P1582" s="2"/>
      <c r="Q1582" s="2"/>
    </row>
    <row r="1583" spans="1:17" x14ac:dyDescent="0.2">
      <c r="A1583" s="2" t="s">
        <v>2483</v>
      </c>
      <c r="B1583" s="2" t="s">
        <v>5984</v>
      </c>
      <c r="C1583" s="2" t="s">
        <v>1203</v>
      </c>
      <c r="D1583" s="2" t="s">
        <v>6820</v>
      </c>
      <c r="E1583" s="2" t="s">
        <v>11793</v>
      </c>
      <c r="F1583" s="2" t="s">
        <v>5988</v>
      </c>
      <c r="G1583" s="2" t="s">
        <v>5022</v>
      </c>
      <c r="H1583" s="2" t="s">
        <v>5023</v>
      </c>
      <c r="I1583" s="2"/>
      <c r="J1583" s="2"/>
      <c r="K1583" s="2" t="s">
        <v>11794</v>
      </c>
      <c r="L1583" s="2"/>
      <c r="M1583" s="2"/>
      <c r="N1583" s="2"/>
      <c r="O1583" s="2"/>
      <c r="P1583" s="2"/>
      <c r="Q158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A071-6BC2-4545-BF9B-C715DF649189}">
  <dimension ref="A1:C9"/>
  <sheetViews>
    <sheetView workbookViewId="0">
      <selection activeCell="F13" sqref="F13"/>
    </sheetView>
  </sheetViews>
  <sheetFormatPr baseColWidth="10" defaultRowHeight="15" x14ac:dyDescent="0.2"/>
  <cols>
    <col min="4" max="4" width="15.83203125" customWidth="1"/>
    <col min="5" max="5" width="13.6640625" customWidth="1"/>
  </cols>
  <sheetData>
    <row r="1" spans="1:3" x14ac:dyDescent="0.2">
      <c r="A1" s="1" t="s">
        <v>4982</v>
      </c>
      <c r="B1" s="1" t="s">
        <v>4983</v>
      </c>
      <c r="C1" s="1" t="s">
        <v>4984</v>
      </c>
    </row>
    <row r="2" spans="1:3" x14ac:dyDescent="0.2">
      <c r="A2" t="s">
        <v>32</v>
      </c>
      <c r="B2" s="1" t="s">
        <v>4985</v>
      </c>
      <c r="C2">
        <v>1</v>
      </c>
    </row>
    <row r="3" spans="1:3" x14ac:dyDescent="0.2">
      <c r="A3" t="s">
        <v>41</v>
      </c>
      <c r="B3" s="1" t="s">
        <v>4986</v>
      </c>
      <c r="C3">
        <v>2</v>
      </c>
    </row>
    <row r="4" spans="1:3" x14ac:dyDescent="0.2">
      <c r="A4" t="s">
        <v>242</v>
      </c>
      <c r="B4" s="1" t="s">
        <v>242</v>
      </c>
      <c r="C4">
        <v>3</v>
      </c>
    </row>
    <row r="5" spans="1:3" x14ac:dyDescent="0.2">
      <c r="A5" t="s">
        <v>1650</v>
      </c>
      <c r="B5" s="1" t="s">
        <v>4987</v>
      </c>
      <c r="C5">
        <v>4</v>
      </c>
    </row>
    <row r="6" spans="1:3" x14ac:dyDescent="0.2">
      <c r="A6" t="s">
        <v>1663</v>
      </c>
      <c r="B6" s="1" t="s">
        <v>4988</v>
      </c>
      <c r="C6">
        <v>5</v>
      </c>
    </row>
    <row r="7" spans="1:3" x14ac:dyDescent="0.2">
      <c r="A7" t="s">
        <v>2280</v>
      </c>
      <c r="B7" s="1" t="s">
        <v>4989</v>
      </c>
      <c r="C7">
        <v>6</v>
      </c>
    </row>
    <row r="8" spans="1:3" x14ac:dyDescent="0.2">
      <c r="A8" t="s">
        <v>2959</v>
      </c>
      <c r="B8" s="1" t="s">
        <v>4990</v>
      </c>
      <c r="C8">
        <v>7</v>
      </c>
    </row>
    <row r="9" spans="1:3" x14ac:dyDescent="0.2">
      <c r="A9" t="s">
        <v>3082</v>
      </c>
      <c r="B9" s="1" t="s">
        <v>4991</v>
      </c>
      <c r="C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8922-C75C-1B4B-8C03-55F8B80678E3}">
  <dimension ref="A1:D66"/>
  <sheetViews>
    <sheetView workbookViewId="0">
      <selection activeCell="G10" sqref="G10"/>
    </sheetView>
  </sheetViews>
  <sheetFormatPr baseColWidth="10" defaultRowHeight="15" x14ac:dyDescent="0.2"/>
  <sheetData>
    <row r="1" spans="1:4" x14ac:dyDescent="0.2">
      <c r="A1" s="1" t="s">
        <v>4994</v>
      </c>
      <c r="B1" s="1" t="s">
        <v>4993</v>
      </c>
      <c r="C1" s="1" t="s">
        <v>4992</v>
      </c>
      <c r="D1" s="1" t="s">
        <v>4984</v>
      </c>
    </row>
    <row r="2" spans="1:4" x14ac:dyDescent="0.2">
      <c r="A2" t="str">
        <f>D2&amp;"-"&amp;B2</f>
        <v>1-Mestizo</v>
      </c>
      <c r="B2" s="1" t="s">
        <v>33</v>
      </c>
      <c r="C2">
        <v>1</v>
      </c>
      <c r="D2">
        <v>1</v>
      </c>
    </row>
    <row r="3" spans="1:4" x14ac:dyDescent="0.2">
      <c r="A3" t="str">
        <f t="shared" ref="A3:A66" si="0">D3&amp;"-"&amp;B3</f>
        <v>1-Fox Terrier Pelo Corto</v>
      </c>
      <c r="B3" s="1" t="s">
        <v>63</v>
      </c>
      <c r="C3">
        <v>2</v>
      </c>
      <c r="D3">
        <v>1</v>
      </c>
    </row>
    <row r="4" spans="1:4" x14ac:dyDescent="0.2">
      <c r="A4" t="str">
        <f t="shared" si="0"/>
        <v>1-Shar-Pei</v>
      </c>
      <c r="B4" s="1" t="s">
        <v>72</v>
      </c>
      <c r="C4">
        <v>3</v>
      </c>
      <c r="D4">
        <v>1</v>
      </c>
    </row>
    <row r="5" spans="1:4" x14ac:dyDescent="0.2">
      <c r="A5" t="str">
        <f t="shared" si="0"/>
        <v>1-Caniche</v>
      </c>
      <c r="B5" s="1" t="s">
        <v>122</v>
      </c>
      <c r="C5">
        <v>4</v>
      </c>
      <c r="D5">
        <v>1</v>
      </c>
    </row>
    <row r="6" spans="1:4" x14ac:dyDescent="0.2">
      <c r="A6" t="str">
        <f t="shared" si="0"/>
        <v>1-Yorkshire Terrier</v>
      </c>
      <c r="B6" s="1" t="s">
        <v>143</v>
      </c>
      <c r="C6">
        <v>5</v>
      </c>
      <c r="D6">
        <v>1</v>
      </c>
    </row>
    <row r="7" spans="1:4" x14ac:dyDescent="0.2">
      <c r="A7" t="str">
        <f t="shared" si="0"/>
        <v>1-Poodle</v>
      </c>
      <c r="B7" s="1" t="s">
        <v>150</v>
      </c>
      <c r="C7">
        <v>6</v>
      </c>
      <c r="D7">
        <v>1</v>
      </c>
    </row>
    <row r="8" spans="1:4" x14ac:dyDescent="0.2">
      <c r="A8" t="str">
        <f t="shared" si="0"/>
        <v>1-Shih Tzu</v>
      </c>
      <c r="B8" t="s">
        <v>160</v>
      </c>
      <c r="C8">
        <v>7</v>
      </c>
      <c r="D8">
        <v>1</v>
      </c>
    </row>
    <row r="9" spans="1:4" x14ac:dyDescent="0.2">
      <c r="A9" t="str">
        <f t="shared" si="0"/>
        <v>1-Teckel</v>
      </c>
      <c r="B9" t="s">
        <v>164</v>
      </c>
      <c r="C9">
        <v>8</v>
      </c>
      <c r="D9">
        <v>1</v>
      </c>
    </row>
    <row r="10" spans="1:4" x14ac:dyDescent="0.2">
      <c r="A10" t="str">
        <f t="shared" si="0"/>
        <v>1-Chow-Chow</v>
      </c>
      <c r="B10" t="s">
        <v>206</v>
      </c>
      <c r="C10">
        <v>9</v>
      </c>
      <c r="D10">
        <v>1</v>
      </c>
    </row>
    <row r="11" spans="1:4" x14ac:dyDescent="0.2">
      <c r="A11" t="str">
        <f t="shared" si="0"/>
        <v>1-Terrier Chileno</v>
      </c>
      <c r="B11" t="s">
        <v>257</v>
      </c>
      <c r="C11">
        <v>10</v>
      </c>
      <c r="D11">
        <v>1</v>
      </c>
    </row>
    <row r="12" spans="1:4" x14ac:dyDescent="0.2">
      <c r="A12" t="str">
        <f t="shared" si="0"/>
        <v>1-Pug</v>
      </c>
      <c r="B12" t="s">
        <v>309</v>
      </c>
      <c r="C12">
        <v>11</v>
      </c>
      <c r="D12">
        <v>1</v>
      </c>
    </row>
    <row r="13" spans="1:4" x14ac:dyDescent="0.2">
      <c r="A13" t="str">
        <f t="shared" si="0"/>
        <v>1-Ovejero Alemán</v>
      </c>
      <c r="B13" t="s">
        <v>438</v>
      </c>
      <c r="C13">
        <v>12</v>
      </c>
      <c r="D13">
        <v>1</v>
      </c>
    </row>
    <row r="14" spans="1:4" x14ac:dyDescent="0.2">
      <c r="A14" t="str">
        <f t="shared" si="0"/>
        <v>1-Beagle</v>
      </c>
      <c r="B14" t="s">
        <v>458</v>
      </c>
      <c r="C14">
        <v>13</v>
      </c>
      <c r="D14">
        <v>1</v>
      </c>
    </row>
    <row r="15" spans="1:4" x14ac:dyDescent="0.2">
      <c r="A15" t="str">
        <f t="shared" si="0"/>
        <v>1-Boxer</v>
      </c>
      <c r="B15" t="s">
        <v>473</v>
      </c>
      <c r="C15">
        <v>14</v>
      </c>
      <c r="D15">
        <v>1</v>
      </c>
    </row>
    <row r="16" spans="1:4" x14ac:dyDescent="0.2">
      <c r="A16" t="str">
        <f t="shared" si="0"/>
        <v>1-Akita Americano</v>
      </c>
      <c r="B16" t="s">
        <v>508</v>
      </c>
      <c r="C16">
        <v>15</v>
      </c>
      <c r="D16">
        <v>1</v>
      </c>
    </row>
    <row r="17" spans="1:4" x14ac:dyDescent="0.2">
      <c r="A17" t="str">
        <f t="shared" si="0"/>
        <v>1-Golden Retriever</v>
      </c>
      <c r="B17" t="s">
        <v>545</v>
      </c>
      <c r="C17">
        <v>16</v>
      </c>
      <c r="D17">
        <v>1</v>
      </c>
    </row>
    <row r="18" spans="1:4" x14ac:dyDescent="0.2">
      <c r="A18" t="str">
        <f t="shared" si="0"/>
        <v>1-Malamute de Alaska</v>
      </c>
      <c r="B18" t="s">
        <v>638</v>
      </c>
      <c r="C18">
        <v>17</v>
      </c>
      <c r="D18">
        <v>1</v>
      </c>
    </row>
    <row r="19" spans="1:4" x14ac:dyDescent="0.2">
      <c r="A19" t="str">
        <f t="shared" si="0"/>
        <v>1-Fox Terrier de Pelo Duro</v>
      </c>
      <c r="B19" t="s">
        <v>812</v>
      </c>
      <c r="C19">
        <v>18</v>
      </c>
      <c r="D19">
        <v>1</v>
      </c>
    </row>
    <row r="20" spans="1:4" x14ac:dyDescent="0.2">
      <c r="A20" t="str">
        <f t="shared" si="0"/>
        <v>1-Dogo Argentino</v>
      </c>
      <c r="B20" t="s">
        <v>823</v>
      </c>
      <c r="C20">
        <v>19</v>
      </c>
      <c r="D20">
        <v>1</v>
      </c>
    </row>
    <row r="21" spans="1:4" x14ac:dyDescent="0.2">
      <c r="A21" t="str">
        <f t="shared" si="0"/>
        <v>1-Rottweiler</v>
      </c>
      <c r="B21" t="s">
        <v>855</v>
      </c>
      <c r="C21">
        <v>20</v>
      </c>
      <c r="D21">
        <v>1</v>
      </c>
    </row>
    <row r="22" spans="1:4" x14ac:dyDescent="0.2">
      <c r="A22" t="str">
        <f t="shared" si="0"/>
        <v>1-Terrier Australiano</v>
      </c>
      <c r="B22" t="s">
        <v>876</v>
      </c>
      <c r="C22">
        <v>21</v>
      </c>
      <c r="D22">
        <v>1</v>
      </c>
    </row>
    <row r="23" spans="1:4" x14ac:dyDescent="0.2">
      <c r="A23" t="str">
        <f t="shared" si="0"/>
        <v>1-Mudi</v>
      </c>
      <c r="B23" t="s">
        <v>893</v>
      </c>
      <c r="C23">
        <v>22</v>
      </c>
      <c r="D23">
        <v>1</v>
      </c>
    </row>
    <row r="24" spans="1:4" x14ac:dyDescent="0.2">
      <c r="A24" t="str">
        <f t="shared" si="0"/>
        <v>1-Collie de Pelo Largo</v>
      </c>
      <c r="B24" t="s">
        <v>897</v>
      </c>
      <c r="C24">
        <v>23</v>
      </c>
      <c r="D24">
        <v>1</v>
      </c>
    </row>
    <row r="25" spans="1:4" x14ac:dyDescent="0.2">
      <c r="A25" t="str">
        <f t="shared" si="0"/>
        <v>1-Siberian Husky</v>
      </c>
      <c r="B25" t="s">
        <v>934</v>
      </c>
      <c r="C25">
        <v>24</v>
      </c>
      <c r="D25">
        <v>1</v>
      </c>
    </row>
    <row r="26" spans="1:4" x14ac:dyDescent="0.2">
      <c r="A26" t="str">
        <f t="shared" si="0"/>
        <v>1-American Pit Bull Terrier</v>
      </c>
      <c r="B26" t="s">
        <v>970</v>
      </c>
      <c r="C26">
        <v>25</v>
      </c>
      <c r="D26">
        <v>1</v>
      </c>
    </row>
    <row r="27" spans="1:4" x14ac:dyDescent="0.2">
      <c r="A27" t="str">
        <f t="shared" si="0"/>
        <v>1-Bulldog Francés</v>
      </c>
      <c r="B27" t="s">
        <v>994</v>
      </c>
      <c r="C27">
        <v>26</v>
      </c>
      <c r="D27">
        <v>1</v>
      </c>
    </row>
    <row r="28" spans="1:4" x14ac:dyDescent="0.2">
      <c r="A28" t="str">
        <f t="shared" si="0"/>
        <v>1-Chihuahua</v>
      </c>
      <c r="B28" t="s">
        <v>1067</v>
      </c>
      <c r="C28">
        <v>27</v>
      </c>
      <c r="D28">
        <v>1</v>
      </c>
    </row>
    <row r="29" spans="1:4" x14ac:dyDescent="0.2">
      <c r="A29" t="str">
        <f t="shared" si="0"/>
        <v>1-Labrador Retriever</v>
      </c>
      <c r="B29" t="s">
        <v>1296</v>
      </c>
      <c r="C29">
        <v>28</v>
      </c>
      <c r="D29">
        <v>1</v>
      </c>
    </row>
    <row r="30" spans="1:4" x14ac:dyDescent="0.2">
      <c r="A30" t="str">
        <f t="shared" si="0"/>
        <v>1-Braco de Weimar</v>
      </c>
      <c r="B30" t="s">
        <v>1349</v>
      </c>
      <c r="C30">
        <v>29</v>
      </c>
      <c r="D30">
        <v>1</v>
      </c>
    </row>
    <row r="31" spans="1:4" x14ac:dyDescent="0.2">
      <c r="A31" t="str">
        <f t="shared" si="0"/>
        <v>1-San Bernardo</v>
      </c>
      <c r="B31" t="s">
        <v>1383</v>
      </c>
      <c r="C31">
        <v>30</v>
      </c>
      <c r="D31">
        <v>1</v>
      </c>
    </row>
    <row r="32" spans="1:4" x14ac:dyDescent="0.2">
      <c r="A32" t="str">
        <f t="shared" si="0"/>
        <v>1-Pastor Australiano</v>
      </c>
      <c r="B32" t="s">
        <v>1459</v>
      </c>
      <c r="C32">
        <v>31</v>
      </c>
      <c r="D32">
        <v>1</v>
      </c>
    </row>
    <row r="33" spans="1:4" x14ac:dyDescent="0.2">
      <c r="A33" t="str">
        <f t="shared" si="0"/>
        <v>1-Perro de la Montaña de los pirineos</v>
      </c>
      <c r="B33" t="s">
        <v>1682</v>
      </c>
      <c r="C33">
        <v>32</v>
      </c>
      <c r="D33">
        <v>1</v>
      </c>
    </row>
    <row r="34" spans="1:4" x14ac:dyDescent="0.2">
      <c r="A34" t="str">
        <f t="shared" si="0"/>
        <v>1-Basset Hound</v>
      </c>
      <c r="B34" t="s">
        <v>1731</v>
      </c>
      <c r="C34">
        <v>33</v>
      </c>
      <c r="D34">
        <v>1</v>
      </c>
    </row>
    <row r="35" spans="1:4" x14ac:dyDescent="0.2">
      <c r="A35" t="str">
        <f t="shared" si="0"/>
        <v>1-Pastor de los Pirineos de pelo largo</v>
      </c>
      <c r="B35" t="s">
        <v>1963</v>
      </c>
      <c r="C35">
        <v>34</v>
      </c>
      <c r="D35">
        <v>1</v>
      </c>
    </row>
    <row r="36" spans="1:4" x14ac:dyDescent="0.2">
      <c r="A36" t="str">
        <f t="shared" si="0"/>
        <v>1-Fila Brasilero</v>
      </c>
      <c r="B36" t="s">
        <v>1967</v>
      </c>
      <c r="C36">
        <v>35</v>
      </c>
      <c r="D36">
        <v>1</v>
      </c>
    </row>
    <row r="37" spans="1:4" x14ac:dyDescent="0.2">
      <c r="A37" t="str">
        <f t="shared" si="0"/>
        <v>1-Samoyedo</v>
      </c>
      <c r="B37" t="s">
        <v>2092</v>
      </c>
      <c r="C37">
        <v>36</v>
      </c>
      <c r="D37">
        <v>1</v>
      </c>
    </row>
    <row r="38" spans="1:4" x14ac:dyDescent="0.2">
      <c r="A38" t="str">
        <f t="shared" si="0"/>
        <v>1-Bichón Maltes</v>
      </c>
      <c r="B38" t="s">
        <v>2200</v>
      </c>
      <c r="C38">
        <v>37</v>
      </c>
      <c r="D38">
        <v>1</v>
      </c>
    </row>
    <row r="39" spans="1:4" x14ac:dyDescent="0.2">
      <c r="A39" t="str">
        <f t="shared" si="0"/>
        <v>1-Cocker Spaniel Americano</v>
      </c>
      <c r="B39" t="s">
        <v>2314</v>
      </c>
      <c r="C39">
        <v>38</v>
      </c>
      <c r="D39">
        <v>1</v>
      </c>
    </row>
    <row r="40" spans="1:4" x14ac:dyDescent="0.2">
      <c r="A40" t="str">
        <f t="shared" si="0"/>
        <v>1-Border Collie</v>
      </c>
      <c r="B40" t="s">
        <v>2375</v>
      </c>
      <c r="C40">
        <v>39</v>
      </c>
      <c r="D40">
        <v>1</v>
      </c>
    </row>
    <row r="41" spans="1:4" x14ac:dyDescent="0.2">
      <c r="A41" t="str">
        <f t="shared" si="0"/>
        <v>1-Schnauzer Mediano</v>
      </c>
      <c r="B41" t="s">
        <v>2451</v>
      </c>
      <c r="C41">
        <v>40</v>
      </c>
      <c r="D41">
        <v>1</v>
      </c>
    </row>
    <row r="42" spans="1:4" x14ac:dyDescent="0.2">
      <c r="A42" t="str">
        <f t="shared" si="0"/>
        <v>1-Dálmata</v>
      </c>
      <c r="B42" t="s">
        <v>2487</v>
      </c>
      <c r="C42">
        <v>41</v>
      </c>
      <c r="D42">
        <v>1</v>
      </c>
    </row>
    <row r="43" spans="1:4" x14ac:dyDescent="0.2">
      <c r="A43" t="str">
        <f t="shared" si="0"/>
        <v>1-Terranova</v>
      </c>
      <c r="B43" t="s">
        <v>2750</v>
      </c>
      <c r="C43">
        <v>42</v>
      </c>
      <c r="D43">
        <v>1</v>
      </c>
    </row>
    <row r="44" spans="1:4" x14ac:dyDescent="0.2">
      <c r="A44" t="str">
        <f t="shared" si="0"/>
        <v>1-Staffordshire Terrier Americano</v>
      </c>
      <c r="B44" t="s">
        <v>3137</v>
      </c>
      <c r="C44">
        <v>43</v>
      </c>
      <c r="D44">
        <v>1</v>
      </c>
    </row>
    <row r="45" spans="1:4" x14ac:dyDescent="0.2">
      <c r="A45" t="str">
        <f t="shared" si="0"/>
        <v>1-Bulldog</v>
      </c>
      <c r="B45" t="s">
        <v>3272</v>
      </c>
      <c r="C45">
        <v>44</v>
      </c>
      <c r="D45">
        <v>1</v>
      </c>
    </row>
    <row r="46" spans="1:4" x14ac:dyDescent="0.2">
      <c r="A46" t="str">
        <f t="shared" si="0"/>
        <v>1-Schnauzer Miniatura</v>
      </c>
      <c r="B46" t="s">
        <v>3752</v>
      </c>
      <c r="C46">
        <v>45</v>
      </c>
      <c r="D46">
        <v>1</v>
      </c>
    </row>
    <row r="47" spans="1:4" x14ac:dyDescent="0.2">
      <c r="A47" t="str">
        <f t="shared" si="0"/>
        <v>1-Jack Russell terrier</v>
      </c>
      <c r="B47" t="s">
        <v>3875</v>
      </c>
      <c r="C47">
        <v>46</v>
      </c>
      <c r="D47">
        <v>1</v>
      </c>
    </row>
    <row r="48" spans="1:4" x14ac:dyDescent="0.2">
      <c r="A48" t="str">
        <f t="shared" si="0"/>
        <v>1-Braco de Ariege</v>
      </c>
      <c r="B48" t="s">
        <v>3977</v>
      </c>
      <c r="C48">
        <v>47</v>
      </c>
      <c r="D48">
        <v>1</v>
      </c>
    </row>
    <row r="49" spans="1:4" x14ac:dyDescent="0.2">
      <c r="A49" t="str">
        <f t="shared" si="0"/>
        <v>1-Pequinés</v>
      </c>
      <c r="B49" t="s">
        <v>4396</v>
      </c>
      <c r="C49">
        <v>48</v>
      </c>
      <c r="D49">
        <v>1</v>
      </c>
    </row>
    <row r="50" spans="1:4" x14ac:dyDescent="0.2">
      <c r="A50" t="str">
        <f t="shared" si="0"/>
        <v>1-Antiguo Pastor Inglés</v>
      </c>
      <c r="B50" t="s">
        <v>4521</v>
      </c>
      <c r="C50">
        <v>49</v>
      </c>
      <c r="D50">
        <v>1</v>
      </c>
    </row>
    <row r="51" spans="1:4" x14ac:dyDescent="0.2">
      <c r="A51" t="str">
        <f t="shared" si="0"/>
        <v>1-Dobermann</v>
      </c>
      <c r="B51" t="s">
        <v>4915</v>
      </c>
      <c r="C51">
        <v>50</v>
      </c>
      <c r="D51">
        <v>1</v>
      </c>
    </row>
    <row r="52" spans="1:4" x14ac:dyDescent="0.2">
      <c r="A52" t="str">
        <f t="shared" si="0"/>
        <v>2-DPC (Doméstico de pelo corto o DSH)</v>
      </c>
      <c r="B52" t="s">
        <v>42</v>
      </c>
      <c r="C52">
        <v>51</v>
      </c>
      <c r="D52">
        <v>2</v>
      </c>
    </row>
    <row r="53" spans="1:4" x14ac:dyDescent="0.2">
      <c r="A53" t="str">
        <f t="shared" si="0"/>
        <v>2-DPL (Doméstico de pelo Largo o DLH)</v>
      </c>
      <c r="B53" t="s">
        <v>93</v>
      </c>
      <c r="C53">
        <v>52</v>
      </c>
      <c r="D53">
        <v>2</v>
      </c>
    </row>
    <row r="54" spans="1:4" x14ac:dyDescent="0.2">
      <c r="A54" t="str">
        <f t="shared" si="0"/>
        <v>2-Británico de Pelo Corto</v>
      </c>
      <c r="B54" t="s">
        <v>2624</v>
      </c>
      <c r="C54">
        <v>53</v>
      </c>
      <c r="D54">
        <v>2</v>
      </c>
    </row>
    <row r="55" spans="1:4" x14ac:dyDescent="0.2">
      <c r="A55" t="str">
        <f t="shared" si="0"/>
        <v>2-Persa</v>
      </c>
      <c r="B55" t="s">
        <v>4067</v>
      </c>
      <c r="C55">
        <v>54</v>
      </c>
      <c r="D55">
        <v>2</v>
      </c>
    </row>
    <row r="56" spans="1:4" x14ac:dyDescent="0.2">
      <c r="A56" t="str">
        <f t="shared" si="0"/>
        <v>3-Otra</v>
      </c>
      <c r="B56" s="1" t="s">
        <v>242</v>
      </c>
      <c r="C56">
        <v>55</v>
      </c>
      <c r="D56">
        <v>3</v>
      </c>
    </row>
    <row r="57" spans="1:4" x14ac:dyDescent="0.2">
      <c r="A57" t="str">
        <f t="shared" si="0"/>
        <v>4-Erizo de Tierra</v>
      </c>
      <c r="B57" t="s">
        <v>1651</v>
      </c>
      <c r="C57">
        <v>56</v>
      </c>
      <c r="D57">
        <v>4</v>
      </c>
    </row>
    <row r="58" spans="1:4" x14ac:dyDescent="0.2">
      <c r="A58" t="str">
        <f t="shared" si="0"/>
        <v>5-Hamster Dorado</v>
      </c>
      <c r="B58" t="s">
        <v>1664</v>
      </c>
      <c r="C58">
        <v>57</v>
      </c>
      <c r="D58">
        <v>5</v>
      </c>
    </row>
    <row r="59" spans="1:4" x14ac:dyDescent="0.2">
      <c r="A59" t="str">
        <f t="shared" si="0"/>
        <v>5-Hamster Chino</v>
      </c>
      <c r="B59" t="s">
        <v>3153</v>
      </c>
      <c r="C59">
        <v>58</v>
      </c>
      <c r="D59">
        <v>5</v>
      </c>
    </row>
    <row r="60" spans="1:4" x14ac:dyDescent="0.2">
      <c r="A60" t="str">
        <f t="shared" si="0"/>
        <v>6-Enana</v>
      </c>
      <c r="B60" t="s">
        <v>2281</v>
      </c>
      <c r="C60">
        <v>59</v>
      </c>
      <c r="D60">
        <v>6</v>
      </c>
    </row>
    <row r="61" spans="1:4" x14ac:dyDescent="0.2">
      <c r="A61" t="str">
        <f t="shared" si="0"/>
        <v>6-Cabeza de León</v>
      </c>
      <c r="B61" t="s">
        <v>2511</v>
      </c>
      <c r="C61">
        <v>60</v>
      </c>
      <c r="D61">
        <v>6</v>
      </c>
    </row>
    <row r="62" spans="1:4" x14ac:dyDescent="0.2">
      <c r="A62" t="str">
        <f t="shared" si="0"/>
        <v>6-Conejo Doméstico</v>
      </c>
      <c r="B62" t="s">
        <v>2930</v>
      </c>
      <c r="C62">
        <v>61</v>
      </c>
      <c r="D62">
        <v>6</v>
      </c>
    </row>
    <row r="63" spans="1:4" x14ac:dyDescent="0.2">
      <c r="A63" t="str">
        <f t="shared" si="0"/>
        <v>6-Conejo Angora</v>
      </c>
      <c r="B63" t="s">
        <v>3379</v>
      </c>
      <c r="C63">
        <v>62</v>
      </c>
      <c r="D63">
        <v>6</v>
      </c>
    </row>
    <row r="64" spans="1:4" x14ac:dyDescent="0.2">
      <c r="A64" t="str">
        <f t="shared" si="0"/>
        <v>6-Orejas Caidas</v>
      </c>
      <c r="B64" t="s">
        <v>4275</v>
      </c>
      <c r="C64">
        <v>63</v>
      </c>
      <c r="D64">
        <v>6</v>
      </c>
    </row>
    <row r="65" spans="1:4" x14ac:dyDescent="0.2">
      <c r="A65" t="str">
        <f t="shared" si="0"/>
        <v>7-Tortuga de oreja roja</v>
      </c>
      <c r="B65" t="s">
        <v>2960</v>
      </c>
      <c r="C65">
        <v>64</v>
      </c>
      <c r="D65">
        <v>7</v>
      </c>
    </row>
    <row r="66" spans="1:4" x14ac:dyDescent="0.2">
      <c r="A66" t="str">
        <f t="shared" si="0"/>
        <v>8-Americana</v>
      </c>
      <c r="B66" t="s">
        <v>1616</v>
      </c>
      <c r="C66">
        <v>65</v>
      </c>
      <c r="D66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00AB-4978-374C-AA97-7659DBB5CA0E}">
  <dimension ref="A1:L65"/>
  <sheetViews>
    <sheetView workbookViewId="0">
      <selection activeCell="M18" sqref="M18"/>
    </sheetView>
  </sheetViews>
  <sheetFormatPr baseColWidth="10" defaultRowHeight="15" x14ac:dyDescent="0.2"/>
  <cols>
    <col min="5" max="5" width="27" customWidth="1"/>
    <col min="6" max="6" width="29.1640625" customWidth="1"/>
    <col min="8" max="8" width="12.5" customWidth="1"/>
    <col min="9" max="9" width="13.33203125" customWidth="1"/>
    <col min="10" max="10" width="15.33203125" customWidth="1"/>
    <col min="11" max="11" width="17" customWidth="1"/>
  </cols>
  <sheetData>
    <row r="1" spans="1:12" x14ac:dyDescent="0.2">
      <c r="A1" t="str" cm="1">
        <f t="array" ref="A1:A65">_xlfn.UNIQUE(IF('Fichas clínicas'!AE2:AE2357=1,'Fichas clínicas'!E2:E2357,""))</f>
        <v>Mestizo</v>
      </c>
      <c r="E1" s="1" t="s">
        <v>4985</v>
      </c>
      <c r="F1" s="1" t="s">
        <v>4986</v>
      </c>
      <c r="G1" s="1" t="s">
        <v>242</v>
      </c>
      <c r="H1" s="1" t="s">
        <v>4987</v>
      </c>
      <c r="I1" s="1" t="s">
        <v>4988</v>
      </c>
      <c r="J1" s="1" t="s">
        <v>4989</v>
      </c>
      <c r="K1" s="1" t="s">
        <v>4990</v>
      </c>
      <c r="L1" s="1" t="s">
        <v>4991</v>
      </c>
    </row>
    <row r="2" spans="1:12" x14ac:dyDescent="0.2">
      <c r="A2" t="str">
        <v>DPC (Doméstico de pelo corto o DSH)</v>
      </c>
      <c r="E2" s="1" t="s">
        <v>33</v>
      </c>
      <c r="F2" t="s">
        <v>42</v>
      </c>
      <c r="G2" s="1" t="s">
        <v>242</v>
      </c>
      <c r="H2" t="s">
        <v>1651</v>
      </c>
      <c r="I2" t="s">
        <v>1664</v>
      </c>
      <c r="J2" t="s">
        <v>2281</v>
      </c>
      <c r="K2" t="s">
        <v>2960</v>
      </c>
      <c r="L2" t="s">
        <v>1616</v>
      </c>
    </row>
    <row r="3" spans="1:12" x14ac:dyDescent="0.2">
      <c r="A3" t="str">
        <v>Fox Terrier Pelo Corto</v>
      </c>
      <c r="E3" s="1" t="s">
        <v>63</v>
      </c>
      <c r="F3" t="s">
        <v>93</v>
      </c>
      <c r="I3" t="s">
        <v>3153</v>
      </c>
      <c r="J3" t="s">
        <v>2511</v>
      </c>
    </row>
    <row r="4" spans="1:12" x14ac:dyDescent="0.2">
      <c r="A4" t="str">
        <v>Shar-Pei</v>
      </c>
      <c r="E4" s="1" t="s">
        <v>72</v>
      </c>
      <c r="F4" t="s">
        <v>2624</v>
      </c>
      <c r="J4" t="s">
        <v>2930</v>
      </c>
    </row>
    <row r="5" spans="1:12" x14ac:dyDescent="0.2">
      <c r="A5" t="str">
        <v>DPL (Doméstico de pelo Largo o DLH)</v>
      </c>
      <c r="E5" s="1" t="s">
        <v>122</v>
      </c>
      <c r="F5" t="s">
        <v>4067</v>
      </c>
      <c r="J5" t="s">
        <v>3379</v>
      </c>
    </row>
    <row r="6" spans="1:12" x14ac:dyDescent="0.2">
      <c r="A6" t="str">
        <v>Caniche</v>
      </c>
      <c r="E6" s="1" t="s">
        <v>143</v>
      </c>
      <c r="J6" t="s">
        <v>4275</v>
      </c>
    </row>
    <row r="7" spans="1:12" x14ac:dyDescent="0.2">
      <c r="A7" t="str">
        <v>Yorkshire Terrier</v>
      </c>
      <c r="E7" s="1" t="s">
        <v>150</v>
      </c>
    </row>
    <row r="8" spans="1:12" x14ac:dyDescent="0.2">
      <c r="A8" t="str">
        <v>Poodle</v>
      </c>
      <c r="E8" t="s">
        <v>160</v>
      </c>
    </row>
    <row r="9" spans="1:12" x14ac:dyDescent="0.2">
      <c r="A9" t="str">
        <v>Shih Tzu</v>
      </c>
      <c r="E9" t="s">
        <v>164</v>
      </c>
    </row>
    <row r="10" spans="1:12" x14ac:dyDescent="0.2">
      <c r="A10" t="str">
        <v>Teckel</v>
      </c>
      <c r="E10" t="s">
        <v>206</v>
      </c>
    </row>
    <row r="11" spans="1:12" x14ac:dyDescent="0.2">
      <c r="A11" t="str">
        <v>Chow-Chow</v>
      </c>
      <c r="E11" t="s">
        <v>257</v>
      </c>
    </row>
    <row r="12" spans="1:12" x14ac:dyDescent="0.2">
      <c r="A12" t="str">
        <v>Otra</v>
      </c>
      <c r="E12" t="s">
        <v>309</v>
      </c>
    </row>
    <row r="13" spans="1:12" x14ac:dyDescent="0.2">
      <c r="A13" t="str">
        <v>Terrier Chileno</v>
      </c>
      <c r="E13" t="s">
        <v>438</v>
      </c>
    </row>
    <row r="14" spans="1:12" x14ac:dyDescent="0.2">
      <c r="A14" t="str">
        <v>Pug</v>
      </c>
      <c r="E14" t="s">
        <v>458</v>
      </c>
    </row>
    <row r="15" spans="1:12" x14ac:dyDescent="0.2">
      <c r="A15" t="str">
        <v>Ovejero Alemán</v>
      </c>
      <c r="E15" t="s">
        <v>473</v>
      </c>
    </row>
    <row r="16" spans="1:12" x14ac:dyDescent="0.2">
      <c r="A16" t="str">
        <v>Beagle</v>
      </c>
      <c r="E16" t="s">
        <v>508</v>
      </c>
    </row>
    <row r="17" spans="1:5" x14ac:dyDescent="0.2">
      <c r="A17" t="str">
        <v>Boxer</v>
      </c>
      <c r="E17" t="s">
        <v>545</v>
      </c>
    </row>
    <row r="18" spans="1:5" x14ac:dyDescent="0.2">
      <c r="A18" t="str">
        <v>Akita Americano</v>
      </c>
      <c r="E18" t="s">
        <v>638</v>
      </c>
    </row>
    <row r="19" spans="1:5" x14ac:dyDescent="0.2">
      <c r="A19" t="str">
        <v>Golden Retriever</v>
      </c>
      <c r="E19" t="s">
        <v>812</v>
      </c>
    </row>
    <row r="20" spans="1:5" x14ac:dyDescent="0.2">
      <c r="A20" t="str">
        <v>Malamute de Alaska</v>
      </c>
      <c r="E20" t="s">
        <v>823</v>
      </c>
    </row>
    <row r="21" spans="1:5" x14ac:dyDescent="0.2">
      <c r="A21" t="str">
        <v>Fox Terrier de Pelo Duro</v>
      </c>
      <c r="E21" t="s">
        <v>855</v>
      </c>
    </row>
    <row r="22" spans="1:5" x14ac:dyDescent="0.2">
      <c r="A22" t="str">
        <v>Dogo Argentino</v>
      </c>
      <c r="E22" t="s">
        <v>876</v>
      </c>
    </row>
    <row r="23" spans="1:5" x14ac:dyDescent="0.2">
      <c r="A23" t="str">
        <v>Rottweiler</v>
      </c>
      <c r="E23" t="s">
        <v>893</v>
      </c>
    </row>
    <row r="24" spans="1:5" x14ac:dyDescent="0.2">
      <c r="A24" t="str">
        <v>Terrier Australiano</v>
      </c>
      <c r="E24" t="s">
        <v>897</v>
      </c>
    </row>
    <row r="25" spans="1:5" x14ac:dyDescent="0.2">
      <c r="A25" t="str">
        <v>Mudi</v>
      </c>
      <c r="E25" t="s">
        <v>934</v>
      </c>
    </row>
    <row r="26" spans="1:5" x14ac:dyDescent="0.2">
      <c r="A26" t="str">
        <v>Collie de Pelo Largo</v>
      </c>
      <c r="E26" t="s">
        <v>970</v>
      </c>
    </row>
    <row r="27" spans="1:5" x14ac:dyDescent="0.2">
      <c r="A27" t="str">
        <v>Siberian Husky</v>
      </c>
      <c r="E27" t="s">
        <v>994</v>
      </c>
    </row>
    <row r="28" spans="1:5" x14ac:dyDescent="0.2">
      <c r="A28" t="str">
        <v>American Pit Bull Terrier</v>
      </c>
      <c r="E28" t="s">
        <v>1067</v>
      </c>
    </row>
    <row r="29" spans="1:5" x14ac:dyDescent="0.2">
      <c r="A29" t="str">
        <v>Bulldog Francés</v>
      </c>
      <c r="E29" t="s">
        <v>1296</v>
      </c>
    </row>
    <row r="30" spans="1:5" x14ac:dyDescent="0.2">
      <c r="A30" t="str">
        <v>Chihuahua</v>
      </c>
      <c r="E30" t="s">
        <v>1349</v>
      </c>
    </row>
    <row r="31" spans="1:5" x14ac:dyDescent="0.2">
      <c r="A31" t="str">
        <v>Labrador Retriever</v>
      </c>
      <c r="E31" t="s">
        <v>1383</v>
      </c>
    </row>
    <row r="32" spans="1:5" x14ac:dyDescent="0.2">
      <c r="A32" t="str">
        <v>Braco de Weimar</v>
      </c>
      <c r="E32" t="s">
        <v>1459</v>
      </c>
    </row>
    <row r="33" spans="1:5" x14ac:dyDescent="0.2">
      <c r="A33" t="str">
        <v>San Bernardo</v>
      </c>
      <c r="E33" t="s">
        <v>1682</v>
      </c>
    </row>
    <row r="34" spans="1:5" x14ac:dyDescent="0.2">
      <c r="A34" t="str">
        <v>Pastor Australiano</v>
      </c>
      <c r="E34" t="s">
        <v>1731</v>
      </c>
    </row>
    <row r="35" spans="1:5" x14ac:dyDescent="0.2">
      <c r="A35" t="str">
        <v>Erizo de Tierra</v>
      </c>
      <c r="E35" t="s">
        <v>1963</v>
      </c>
    </row>
    <row r="36" spans="1:5" x14ac:dyDescent="0.2">
      <c r="A36" t="str">
        <v>Hamster Dorado</v>
      </c>
      <c r="E36" t="s">
        <v>1967</v>
      </c>
    </row>
    <row r="37" spans="1:5" x14ac:dyDescent="0.2">
      <c r="A37" t="str">
        <v>Perro de la Montaña de los pirineos</v>
      </c>
      <c r="E37" t="s">
        <v>2092</v>
      </c>
    </row>
    <row r="38" spans="1:5" x14ac:dyDescent="0.2">
      <c r="A38" t="str">
        <v>Basset Hound</v>
      </c>
      <c r="E38" t="s">
        <v>2200</v>
      </c>
    </row>
    <row r="39" spans="1:5" x14ac:dyDescent="0.2">
      <c r="A39" t="str">
        <v>Pastor de los Pirineos de pelo largo</v>
      </c>
      <c r="E39" t="s">
        <v>2314</v>
      </c>
    </row>
    <row r="40" spans="1:5" x14ac:dyDescent="0.2">
      <c r="A40" t="str">
        <v>Fila Brasilero</v>
      </c>
      <c r="E40" t="s">
        <v>2375</v>
      </c>
    </row>
    <row r="41" spans="1:5" x14ac:dyDescent="0.2">
      <c r="A41" t="str">
        <v>Samoyedo</v>
      </c>
      <c r="E41" t="s">
        <v>2451</v>
      </c>
    </row>
    <row r="42" spans="1:5" x14ac:dyDescent="0.2">
      <c r="A42" t="str">
        <v>Bichón Maltes</v>
      </c>
      <c r="E42" t="s">
        <v>2487</v>
      </c>
    </row>
    <row r="43" spans="1:5" x14ac:dyDescent="0.2">
      <c r="A43" t="str">
        <v>Enana</v>
      </c>
      <c r="E43" t="s">
        <v>2750</v>
      </c>
    </row>
    <row r="44" spans="1:5" x14ac:dyDescent="0.2">
      <c r="A44" t="str">
        <v>Cocker Spaniel Americano</v>
      </c>
      <c r="E44" t="s">
        <v>3137</v>
      </c>
    </row>
    <row r="45" spans="1:5" x14ac:dyDescent="0.2">
      <c r="A45" t="str">
        <v>Border Collie</v>
      </c>
      <c r="E45" t="s">
        <v>3272</v>
      </c>
    </row>
    <row r="46" spans="1:5" x14ac:dyDescent="0.2">
      <c r="A46" t="str">
        <v>Schnauzer Mediano</v>
      </c>
      <c r="E46" t="s">
        <v>3752</v>
      </c>
    </row>
    <row r="47" spans="1:5" x14ac:dyDescent="0.2">
      <c r="A47" t="str">
        <v>Dálmata</v>
      </c>
      <c r="E47" t="s">
        <v>3875</v>
      </c>
    </row>
    <row r="48" spans="1:5" x14ac:dyDescent="0.2">
      <c r="A48" t="str">
        <v>Cabeza de León</v>
      </c>
      <c r="E48" t="s">
        <v>3977</v>
      </c>
    </row>
    <row r="49" spans="1:5" x14ac:dyDescent="0.2">
      <c r="A49" t="str">
        <v>Británico de Pelo Corto</v>
      </c>
      <c r="E49" t="s">
        <v>4396</v>
      </c>
    </row>
    <row r="50" spans="1:5" x14ac:dyDescent="0.2">
      <c r="A50" t="str">
        <v>Terranova</v>
      </c>
      <c r="E50" t="s">
        <v>4521</v>
      </c>
    </row>
    <row r="51" spans="1:5" x14ac:dyDescent="0.2">
      <c r="A51" t="str">
        <v>Conejo Doméstico</v>
      </c>
      <c r="E51" t="s">
        <v>4915</v>
      </c>
    </row>
    <row r="52" spans="1:5" x14ac:dyDescent="0.2">
      <c r="A52" t="str">
        <v>Tortuga de oreja roja</v>
      </c>
    </row>
    <row r="53" spans="1:5" x14ac:dyDescent="0.2">
      <c r="A53" t="str">
        <v>Americana</v>
      </c>
    </row>
    <row r="54" spans="1:5" x14ac:dyDescent="0.2">
      <c r="A54" t="str">
        <v>Staffordshire Terrier Americano</v>
      </c>
    </row>
    <row r="55" spans="1:5" x14ac:dyDescent="0.2">
      <c r="A55" t="str">
        <v>Hamster Chino</v>
      </c>
    </row>
    <row r="56" spans="1:5" x14ac:dyDescent="0.2">
      <c r="A56" t="str">
        <v>Bulldog</v>
      </c>
    </row>
    <row r="57" spans="1:5" x14ac:dyDescent="0.2">
      <c r="A57" t="str">
        <v>Conejo Angora</v>
      </c>
    </row>
    <row r="58" spans="1:5" x14ac:dyDescent="0.2">
      <c r="A58" t="str">
        <v>Schnauzer Miniatura</v>
      </c>
    </row>
    <row r="59" spans="1:5" x14ac:dyDescent="0.2">
      <c r="A59" t="str">
        <v>Jack Russell terrier</v>
      </c>
    </row>
    <row r="60" spans="1:5" x14ac:dyDescent="0.2">
      <c r="A60" t="str">
        <v>Braco de Ariege</v>
      </c>
    </row>
    <row r="61" spans="1:5" x14ac:dyDescent="0.2">
      <c r="A61" t="str">
        <v>Persa</v>
      </c>
    </row>
    <row r="62" spans="1:5" x14ac:dyDescent="0.2">
      <c r="A62" t="str">
        <v>Orejas Caidas</v>
      </c>
    </row>
    <row r="63" spans="1:5" x14ac:dyDescent="0.2">
      <c r="A63" t="str">
        <v>Pequinés</v>
      </c>
    </row>
    <row r="64" spans="1:5" x14ac:dyDescent="0.2">
      <c r="A64" t="str">
        <v>Antiguo Pastor Inglés</v>
      </c>
    </row>
    <row r="65" spans="1:1" x14ac:dyDescent="0.2">
      <c r="A65" t="str">
        <v>Dobermann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Fichas clínicas</vt:lpstr>
      <vt:lpstr>paciente_tutor</vt:lpstr>
      <vt:lpstr>clientes</vt:lpstr>
      <vt:lpstr>especies</vt:lpstr>
      <vt:lpstr>razas</vt:lpstr>
      <vt:lpstr>funcion_lista_razas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Felipe Henriquez R.</cp:lastModifiedBy>
  <dcterms:created xsi:type="dcterms:W3CDTF">2024-11-26T16:42:38Z</dcterms:created>
  <dcterms:modified xsi:type="dcterms:W3CDTF">2025-09-27T22:13:56Z</dcterms:modified>
</cp:coreProperties>
</file>